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BP&amp;T" sheetId="34" state="visible" r:id="rId34"/>
    <sheet name="2.13 SA&amp;D" sheetId="35" state="visible" r:id="rId35"/>
    <sheet name="2.14 EGI" sheetId="36" state="visible" r:id="rId36"/>
    <sheet name="- SUMMARIES -" sheetId="37" state="visible" r:id="rId37"/>
    <sheet name="3.1 Group Summary" sheetId="38" state="visible" r:id="rId38"/>
    <sheet name="3.2 Total Cost" sheetId="39" state="visible" r:id="rId39"/>
    <sheet name="3.3 Squad Detail" sheetId="40" state="visible" r:id="rId40"/>
    <sheet name="3.4 COE Detail" sheetId="41" state="visible" r:id="rId41"/>
    <sheet name="- EVIDENCE -" sheetId="42" state="visible" r:id="rId42"/>
    <sheet name="3.5 Source Reconciliation" sheetId="43" state="visible" r:id="rId43"/>
    <sheet name="4.0 Data QA" sheetId="44" state="visible" r:id="rId44"/>
    <sheet name="Squads" sheetId="45" state="hidden" r:id="rId45"/>
    <sheet name="Added data" sheetId="46" state="hidden" r:id="rId46"/>
    <sheet name="Sheet2" sheetId="47" state="hidden" r:id="rId47"/>
    <sheet name="FY26 Budget (superseded)" sheetId="48" state="hidden" r:id="rId48"/>
    <sheet name="squad mapping (superseded)" sheetId="49" state="hidden" r:id="rId49"/>
    <sheet name="Lists" sheetId="50" state="hidden" r:id="rId50"/>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pivotCaches>
    <pivotCache cacheId="1" r:id="rId51"/>
    <pivotCache cacheId="2" r:id="rId52"/>
  </pivotCaches>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F2F2F2"/>
        <bgColor rgb="FFF2F2F2"/>
      </patternFill>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7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8" borderId="105" applyAlignment="1" pivotButton="0" quotePrefix="0" xfId="0">
      <alignment horizontal="left" vertical="center"/>
    </xf>
    <xf numFmtId="189"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8" borderId="105" applyAlignment="1" pivotButton="0" quotePrefix="0" xfId="0">
      <alignment horizontal="right" vertical="center"/>
    </xf>
    <xf numFmtId="0" fontId="0" fillId="0" borderId="0" applyAlignment="1" pivotButton="0" quotePrefix="0" xfId="0">
      <alignment horizontal="right" vertical="center"/>
    </xf>
    <xf numFmtId="0" fontId="74" fillId="39" borderId="106" applyAlignment="1" pivotButton="0" quotePrefix="0" xfId="0">
      <alignment horizontal="left" vertical="center"/>
    </xf>
    <xf numFmtId="189" fontId="74" fillId="39" borderId="106" applyAlignment="1" pivotButton="0" quotePrefix="0" xfId="0">
      <alignment horizontal="right" vertical="center"/>
    </xf>
    <xf numFmtId="190" fontId="74" fillId="39" borderId="106" applyAlignment="1" pivotButton="0" quotePrefix="0" xfId="0">
      <alignment horizontal="right" vertical="center"/>
    </xf>
    <xf numFmtId="191"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0" fontId="74" fillId="40" borderId="105" applyAlignment="1" pivotButton="0" quotePrefix="0" xfId="0">
      <alignment horizontal="left" vertical="center"/>
    </xf>
    <xf numFmtId="190" fontId="74" fillId="40"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74" fillId="0" borderId="0" applyAlignment="1" pivotButton="0" quotePrefix="0" xfId="0">
      <alignment horizontal="left" vertical="center"/>
    </xf>
    <xf numFmtId="191" fontId="73" fillId="38" borderId="105" applyAlignment="1" pivotButton="0" quotePrefix="0" xfId="0">
      <alignment horizontal="center" vertical="center" wrapText="1"/>
    </xf>
    <xf numFmtId="190" fontId="73" fillId="38" borderId="105" applyAlignment="1" pivotButton="0" quotePrefix="0" xfId="0">
      <alignment horizontal="center" vertical="center" wrapText="1"/>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9" borderId="106" applyAlignment="1" pivotButton="0" quotePrefix="0" xfId="0">
      <alignment horizontal="right" vertical="center"/>
    </xf>
    <xf numFmtId="190"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189" fontId="75" fillId="0" borderId="0" applyAlignment="1" pivotButton="0" quotePrefix="0" xfId="0">
      <alignment horizontal="right" vertical="center"/>
    </xf>
    <xf numFmtId="189" fontId="74" fillId="38" borderId="105" applyAlignment="1" pivotButton="0" quotePrefix="0" xfId="0">
      <alignment horizontal="right" vertical="center"/>
    </xf>
    <xf numFmtId="189" fontId="74" fillId="39" borderId="106" applyAlignment="1" pivotButton="0" quotePrefix="0" xfId="0">
      <alignment horizontal="right" vertical="center"/>
    </xf>
    <xf numFmtId="190" fontId="74" fillId="40"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39" borderId="106" applyAlignment="1" pivotButton="0" quotePrefix="0" xfId="0">
      <alignment horizontal="right" vertical="center"/>
    </xf>
    <xf numFmtId="0" fontId="73" fillId="0" borderId="0" applyAlignment="1" pivotButton="0" quotePrefix="0" xfId="0">
      <alignment horizontal="general" vertical="bottom"/>
    </xf>
    <xf numFmtId="0" fontId="75" fillId="38" borderId="105" applyAlignment="1" pivotButton="0" quotePrefix="0" xfId="0">
      <alignment horizontal="left" vertical="center"/>
    </xf>
    <xf numFmtId="190" fontId="75" fillId="38" borderId="105" applyAlignment="1" pivotButton="0" quotePrefix="0" xfId="0">
      <alignment horizontal="right" vertical="center"/>
    </xf>
    <xf numFmtId="0" fontId="74" fillId="39" borderId="105" applyAlignment="1" pivotButton="0" quotePrefix="0" xfId="0">
      <alignment horizontal="left" vertical="center"/>
    </xf>
    <xf numFmtId="190" fontId="74" fillId="39" borderId="105"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8" borderId="66" applyAlignment="1" pivotButton="0" quotePrefix="0" xfId="0">
      <alignment horizontal="left" vertical="center"/>
    </xf>
    <xf numFmtId="182" fontId="74" fillId="38" borderId="60" applyAlignment="1" pivotButton="0" quotePrefix="0" xfId="0">
      <alignment horizontal="left" vertical="center"/>
    </xf>
    <xf numFmtId="0" fontId="74" fillId="38"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8" borderId="66" applyAlignment="1" pivotButton="0" quotePrefix="0" xfId="0">
      <alignment horizontal="center" vertical="center" wrapText="1"/>
    </xf>
    <xf numFmtId="182" fontId="74" fillId="38"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createdVersion="3" recordCount="527" r:id="rId1">
  <cacheSource type="worksheet">
    <worksheetSource ref="A:B" sheet="REVIEW - Complete Role Mapping"/>
  </cacheSource>
  <cacheFields count="2">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s>
</pivotCacheDefinition>
</file>

<file path=xl/pivotCache/pivotCacheDefinition2.xml><?xml version="1.0" encoding="utf-8"?>
<pivotCacheDefinition xmlns:r="http://schemas.openxmlformats.org/officeDocument/2006/relationships" xmlns="http://schemas.openxmlformats.org/spreadsheetml/2006/main" createdVersion="3" recordCount="527" r:id="rId1">
  <cacheSource type="worksheet">
    <worksheetSource ref="A1:M538" sheet="REVIEW - Complete Role Mapping"/>
  </cacheSource>
  <cacheFields count="13">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 name="Position Title" uniqueList="1" numFmtId="0" sqlType="0" hierarchy="0" level="0" databaseField="1">
      <sharedItems count="303" containsBlank="1">
        <s v=".NET Back End Developer / Mid"/>
        <s v="AI Capability Lead"/>
        <s v="AI Enablement Lead"/>
        <s v="AI Engineer - Front End"/>
        <s v="AI Engineer - Full Stack "/>
        <s v="Application &amp; Analytics Manager"/>
        <s v="Applications Specialist"/>
        <s v="Applications Specialist - Demand Planning"/>
        <s v="Applications Specialist - Strategic Programs"/>
        <s v="Architect (AI Innovation)"/>
        <s v="Asset Analyst"/>
        <s v="Associate Engineer - Automation Testing"/>
        <s v="Associate Engineer - BE"/>
        <s v="Associate Engineer - Software"/>
        <s v="Associate Engineer Software"/>
        <s v="Associate Engineer- Software"/>
        <s v="Associate Experience Designer"/>
        <s v="B2B &amp; Energy+B452:I452"/>
        <s v="Business Analysis Practice Lead"/>
        <s v="Business Analyst"/>
        <s v="Business Analyst (Integrations)"/>
        <s v="Business Analyst (P&amp;C RTA)"/>
        <s v="Business Analyst (SAP Payroll)"/>
        <s v="Business Analyst (Workplace &amp; Enterprise Tooling)"/>
        <s v="Business Analyst Digital"/>
        <s v="Cloud Operations Engineer"/>
        <s v="Cloud Solutions Architect"/>
        <s v="Commercial Director"/>
        <s v="Configuration Analyst"/>
        <s v="Cyber Architecture Lead"/>
        <s v="Cyber Business Analyst"/>
        <s v="Cyber GRC Analyst"/>
        <s v="Cyber Offensive Security Lead"/>
        <s v="Cyber Security Analyst"/>
        <s v="Cyber Security Architect"/>
        <s v="Cyber Security Operations Lead"/>
        <s v="Cyber Technical Business Analyst"/>
        <s v="Data Adoption Specialist"/>
        <s v="Data Analyst"/>
        <s v="Data Application Specialist "/>
        <s v="Data Architect"/>
        <s v="Data Enablement Lead"/>
        <s v="Data Engineer Analyst"/>
        <s v="Data Governance Lead"/>
        <s v="Data Governance Specialist"/>
        <s v="Data Migration Lead"/>
        <s v="Data Operations Manager"/>
        <s v="Data Scientist"/>
        <s v="Delivery Assurance Manager"/>
        <s v="Delivery Capacity &amp; Assurance Lead"/>
        <s v="Delivery Excellence Manager"/>
        <s v="Delivery Lead"/>
        <s v="Delivery Lead - (P&amp;C)"/>
        <s v="Delivery Lead - EGI"/>
        <s v="Delivery Lead - Integration"/>
        <s v="Delivery Lead (Cloud &amp; Network)"/>
        <s v="Delivery Lead (Integrations)"/>
        <s v="Delivery Lead (JDE)"/>
        <s v="Delivery Lead (RTA)"/>
        <s v="Delivery Lead (SAP)"/>
        <s v="Delivery Lead, EGI"/>
        <s v="Delivery Manager"/>
        <s v="Delivery Manager, Strategy, Architecture &amp; Data"/>
        <s v="Delivery Systems Analyst"/>
        <s v="Deployment Coordinator"/>
        <s v="Deployment Lead"/>
        <s v="Design Manager"/>
        <s v="DeveloperSAP ECC"/>
        <s v="Digital Support Manager - NZ"/>
        <s v="Digital Support Manager (AU)"/>
        <s v="Domain Architect - CFE &amp; Infrastructure "/>
        <s v="Domain Architect - Customer &amp; Digital Tech"/>
        <s v="Domain Architect - Group Functions"/>
        <s v="Domain Architect - Retail &amp; Z"/>
        <s v="Domain Architect - TDD"/>
        <s v="Energy Platforms Lead"/>
        <s v="Engineer"/>
        <s v="Engineer - BE"/>
        <s v="Engineer - Data"/>
        <s v="Engineer - DevOps"/>
        <s v="Engineer - IDAM"/>
        <s v="Engineer - Integration"/>
        <s v="Engineer - Mobile"/>
        <s v="Engineer - Mobile (Android)"/>
        <s v="Engineer - Mobile (ios)"/>
        <s v="Engineer - Modern Workplaces"/>
        <s v="Engineer - Software"/>
        <s v="Engineer Applications"/>
        <s v="Engineer Automation - Testing"/>
        <s v="Engineer Data"/>
        <s v="Engineer Data  "/>
        <s v="Engineer Data (Snowflake)"/>
        <s v="Engineer Integration"/>
        <s v="Engineer Software"/>
        <s v="Engineer, Dev Ops"/>
        <s v="Engineer, Software"/>
        <s v="Engineer, Sotware"/>
        <s v="Enterprise Architect"/>
        <s v="Enterprise Process Lead"/>
        <s v="Enterprise Systems Specialist"/>
        <s v="EnterpriseProcess Analyst"/>
        <s v="Environments and Test Data Manager"/>
        <s v="ERP HR Pay Functional Lead"/>
        <s v="Experience Designer"/>
        <s v="Field Systems Operations Lead - NSW"/>
        <s v="Field Systems Operations Lead - QLD"/>
        <s v="Field Systems Operations Lead - VIC"/>
        <s v="Field Systems Operations Lead - WA"/>
        <s v="FinOps Manager"/>
        <s v="Graduate"/>
        <s v="Head of Architecture"/>
        <s v="Head of Cyber Strategy &amp; Technology"/>
        <s v="Head of Service Operations &amp; Assurance"/>
        <s v="Head of Technology - Digital"/>
        <s v="Head of Technology - P&amp;C, Finance &amp; Legal"/>
        <s v="Head of Technology - TDD &amp; Engineering Capability Lead"/>
        <s v="Head of Technology Strategy &amp; AI Capability"/>
        <s v="Head of Technology,  Group Data"/>
        <s v="Head of Technology, AU Retail"/>
        <s v="Head of Technology, B2B &amp; Energy Solutions"/>
        <s v="Head of Technology, Commercial Fuels"/>
        <s v="Head of Technology, Fuel Infrastructure"/>
        <s v="Head of Technology, Loyalty &amp; Martech"/>
        <s v="Head of Technology, Z and Group Retail Platforms"/>
        <s v="Head of Transformation"/>
        <s v="Infrastructure Engineer"/>
        <s v="Infrastructure Operations Lead"/>
        <s v="Integration Architect   "/>
        <s v="Integration Architect - Boomi"/>
        <s v="Integration Architect (C)"/>
        <s v="Integration Architect (C) - Boomi"/>
        <s v="Integration Specialist (ASAPIO CTRM)"/>
        <s v="Intermediate Quality Assurance"/>
        <s v="JDE Senior Systems Specialist"/>
        <s v="JDE Systems Specialist"/>
        <s v="Lead  Engineer - Software"/>
        <s v="Lead - AU Retail Operations"/>
        <s v="Lead – Asset &amp; Configuration"/>
        <s v="Lead – Change &amp; Release Management"/>
        <s v="Lead – Problem Management"/>
        <s v="Lead – Service Assurance"/>
        <s v="Lead – Service Desk"/>
        <s v="Lead – Service Performance &amp; Insights"/>
        <s v="Lead – Technology Support"/>
        <s v="Lead Business Analyst"/>
        <s v="Lead Data Analyst"/>
        <s v="Lead Engineer"/>
        <s v="Lead Engineer - Automation Test"/>
        <s v="Lead Engineer - BE"/>
        <s v="Lead Engineer - Devops"/>
        <s v="Lead Engineer - Mobile"/>
        <s v="Lead Engineer - Software"/>
        <s v="Lead Engineer (Automation Test)"/>
        <s v="Lead Engineer (Snowflake)"/>
        <s v="Lead Engineer Applications"/>
        <s v="Lead engineer Data"/>
        <s v="Lead Engineer Software"/>
        <s v="Lead Engineer, Devops"/>
        <s v="Lead JDE Systems Specialist"/>
        <s v="Lead P&amp;C Platforms"/>
        <s v="Lead Quality Assurance"/>
        <s v="Lead Reporting &amp; Insights"/>
        <s v="Lead Technology Support  "/>
        <s v="Lead Technology Support - Infrastructure"/>
        <s v="Lead, Service Management"/>
        <s v="Manager - AU Retail Operations"/>
        <s v="Manager - Infrastructure Operations"/>
        <s v="Manager Cyber Security GRC"/>
        <s v="Manager Cyber Security Operations"/>
        <s v="Manager Identity &amp; Access Management"/>
        <s v="Manager Risk &amp; Resilience"/>
        <s v="Manager, Customer Support Operations"/>
        <s v="Manager, Service Management &amp; Major Incident Mgmt Lead"/>
        <s v="Manager, Service Performance &amp; Assurance"/>
        <s v="Marketing Technology Lead"/>
        <s v="Martech Lead - Dynamics"/>
        <s v="Martech Specialist"/>
        <s v="Network Operations Engineer"/>
        <s v="Nework Architect"/>
        <s v="Platform Architect"/>
        <s v="Portfolio Analyst"/>
        <s v="Portfolio Manager Cyber Security"/>
        <s v="Portfolio Mnager"/>
        <s v="Portfolio Reporting Manager"/>
        <s v="Principal Engineer"/>
        <s v="Principal Experience Designer"/>
        <s v="Principal, Data Architecture &amp; Governance"/>
        <s v="Program Architect"/>
        <s v="Program Manager"/>
        <s v="Program Manager - CTRM"/>
        <s v="Program Manager (PEP13-EGI-UKG)"/>
        <s v="Program Manager POS"/>
        <s v="Program Manager Tech &amp; P&amp;C"/>
        <s v="Project Coordinator"/>
        <s v="Project Finance Lead"/>
        <s v="Project Manager"/>
        <s v="Project Manager – Deployments"/>
        <s v="Project Manager (PEP13-EGI-UKG)"/>
        <s v="Project Manager Deployment"/>
        <s v="Project Manager Retail"/>
        <s v="Project Manger"/>
        <s v="QA / Tester / Mid"/>
        <s v="QA Analyst"/>
        <s v="Quality Assurance"/>
        <s v="Release &amp; Deployment Manager"/>
        <s v="Release &amp; Environments Manager"/>
        <s v="Reporting Analyst"/>
        <s v="Reporting analysts - Strategic Programs"/>
        <s v="Risk &amp; Resilience Lead"/>
        <s v="RPA Lead"/>
        <s v="SAP ERP Application Lead"/>
        <s v="SAP Functional Specialist"/>
        <s v="SAP HR Specialist"/>
        <s v="SAP Solution Architect"/>
        <s v="Scrum Master"/>
        <s v="Senior Business Analyst"/>
        <s v="Senior Communications Advisor"/>
        <s v="Senior Cyber GRC Specialist"/>
        <s v="Senior Cyber Project Manager"/>
        <s v="Senior Data Analyst"/>
        <s v="Senior Data Scientist"/>
        <s v="Senior Engineer"/>
        <s v="Senior Engineer - BE"/>
        <s v="Senior Engineer - DevOps"/>
        <s v="Senior Engineer - Software"/>
        <s v="Senior Engineer (Automation Test)"/>
        <s v="Senior Engineer Automation Testing"/>
        <s v="Senior Engineer Data"/>
        <s v="Senior Engineer Software"/>
        <s v="Senior PM PEP1, PEP18"/>
        <s v="Senior QA Analyst"/>
        <s v="Senior Quality Assurance"/>
        <s v="Senior Quality Assurance "/>
        <s v="Senior Site Systems Analyst"/>
        <s v="Senior Systems Analyst"/>
        <s v="Senior Systems Analyst - Card"/>
        <s v="Senior Systems Analyst Card"/>
        <s v="Service &amp; Contract Specialist AU"/>
        <s v="Service &amp; Contract Specialist NZ"/>
        <s v="Service Delivery Lead"/>
        <s v="Service Transition Lead"/>
        <s v="Servicenow Platform Specialist"/>
        <s v="Site Systems Analyst"/>
        <s v="Snr Business Analyst"/>
        <s v="Snr Data Governance Specialist"/>
        <s v="Snr Engineer"/>
        <s v="Snr Engineer - BE"/>
        <s v="Snr Engineer - Boomi"/>
        <s v="Snr Engineer - FE"/>
        <s v="Snr Engineer Software"/>
        <s v="Snr Engineer, Data"/>
        <s v="Snr Finance Support Administrator"/>
        <s v="Snr Quality Assurance"/>
        <s v="Software Asset Specialist"/>
        <s v="Solution Architect"/>
        <s v="Solution Architect - Finance"/>
        <s v="Strategic Delivery Consultant"/>
        <s v="strategic program architect"/>
        <s v="Strategy Analyst"/>
        <s v="Support Analyst - Field Operations"/>
        <s v="Support Analyst -Retail"/>
        <s v="System Analyst"/>
        <s v="System Analyst Card"/>
        <s v="System Specialist"/>
        <s v="Systems Analyst"/>
        <s v="Systems Analyst / Mid"/>
        <s v="Systems Specialist"/>
        <s v="TDD BP - ES"/>
        <s v="TDD BP - Infrastructure"/>
        <s v="TDD BP - Retail &amp; Customer - Store Digital"/>
        <s v="TDD BP - T&amp;S"/>
        <s v="TDD BP - Z"/>
        <s v="TDD BP, Group Functions"/>
        <s v="TDD Strategic Delivery"/>
        <s v="Tech Support Technician"/>
        <s v="Technology &amp; Lab Specialist Stores"/>
        <s v="Technology Finance Analyst"/>
        <s v="Technology Manager  Data Science"/>
        <s v="Technology Manager - B2B"/>
        <s v="Technology Manager - Digital"/>
        <s v="Technology Manager - Loyalty &amp; Martech"/>
        <s v="Technology Manager - T&amp;S"/>
        <s v="Technology Manager – Cloud, Network and Infrastructure Operations"/>
        <s v="Technology Manager – Data &amp; Engineering"/>
        <s v="Technology Manager – DevOps and Quality Engineering"/>
        <s v="Technology Manager – P&amp;C Platforms"/>
        <s v="Technology Manager Data"/>
        <s v="Technology Manager, Data"/>
        <s v="Technology Manager, Data Engineering &amp; Platforms"/>
        <s v="Technology Manager, Energy Solutions"/>
        <s v="Technology Manager, Engineering"/>
        <s v="Technology Manager, Enterprise Tooling"/>
        <s v="Technology Manager, Future Infrastructure "/>
        <s v="Technology Manager, Integration &amp; Process Automation"/>
        <s v="Technology Manager, Merchandising &amp; WFM"/>
        <s v="Technology Manager, Retail"/>
        <s v="Technology Manager, Site Systems"/>
        <s v="Technology Manager, Store Platform"/>
        <s v="Technology Manger - Finance Platfoms"/>
        <s v="Technology Support Engineer"/>
        <s v="Technology Support Engineer - Infrastructure"/>
        <s v="Workplace Tooling Specialist"/>
        <m/>
      </sharedItems>
    </cacheField>
    <cacheField name="Reports to name" uniqueList="1" numFmtId="0" sqlType="0" hierarchy="0" level="0" databaseField="1">
      <sharedItems count="76" containsBlank="1">
        <s v="Allan Francia"/>
        <s v="Amish Pandit"/>
        <s v="Andy Stewart"/>
        <s v="Areum Kim-Lee"/>
        <s v="Brian Gates"/>
        <s v="Byron Thornhill"/>
        <s v="Callan McLaughlin"/>
        <s v="Chris Rojas"/>
        <s v="Darren Koller"/>
        <s v="Deepali Mahajan"/>
        <s v="Dinesh Chandrasekaran"/>
        <s v="Diya Thomas"/>
        <s v="Ed Tacey"/>
        <s v="EE Lynn Yap"/>
        <s v="Elle Spencer"/>
        <s v="Emily Mogic"/>
        <s v="Ephraim Adan"/>
        <s v="Ephriam Adan"/>
        <s v="Frances Bouzo"/>
        <s v="Glenn Earl"/>
        <s v="Greg Cassis"/>
        <s v="Harley Giles"/>
        <s v="James Byrne"/>
        <s v="James Holgate"/>
        <s v="Jason Gleason"/>
        <s v="Jaya Ganasan"/>
        <s v="Jin Zhong"/>
        <s v="Joe Nahma"/>
        <s v="Joel Vijayakumar"/>
        <s v="John McCormack"/>
        <s v="Jonathan Robinson"/>
        <s v="Julma Bhagwani"/>
        <s v="Karla Orozco Loza"/>
        <s v="Kevin Sheerin"/>
        <s v="Khalid Mahmud"/>
        <s v="Kris Hamilton"/>
        <s v="Lead – Asset &amp; Configuration (Vacant)"/>
        <s v="Liesl Tye"/>
        <s v="Lydia Pritchard"/>
        <s v="Lynda Niewidok"/>
        <s v="Madan Murthy"/>
        <s v="Mark Pearson"/>
        <s v="Mark Wilson"/>
        <s v="Matt Ashley"/>
        <s v="Matthew Patane"/>
        <s v="Maudud Chaudhury"/>
        <s v="Michael Schofield"/>
        <s v="Mick Collins"/>
        <s v="Mike Seales"/>
        <s v="Mitesh Shah"/>
        <s v="Moitri Pal"/>
        <s v="Nakul Bharade"/>
        <s v="Prashanth Krishnankutty"/>
        <s v="Rajini Onteddu Reddy"/>
        <s v="Roanne Steele"/>
        <s v="Roanne Steele "/>
        <s v="Roozbeh Shahbazirad"/>
        <s v="Ruth Chou"/>
        <s v="Sai Konka"/>
        <s v="Sam Chan"/>
        <s v="Sanjay Tikoo"/>
        <s v="Shane Ker"/>
        <s v="Shobhit Mittal"/>
        <s v="Shona Paul"/>
        <s v="Steven Atcheson"/>
        <s v="Tracy Lee Reaper"/>
        <s v="Trena Foote"/>
        <s v="Vacant"/>
        <s v="Vaishnavi Viswanathan"/>
        <s v="Vance Anderson"/>
        <s v="Vanessa Allen"/>
        <s v="Vaso Vukovic"/>
        <s v="Vasso Vucovic"/>
        <s v="Vedran Jukic"/>
        <s v="Vivienne Vasak"/>
        <m/>
      </sharedItems>
    </cacheField>
    <cacheField name="Reports to Position" uniqueList="1" numFmtId="0" sqlType="0" hierarchy="0" level="0" databaseField="1">
      <sharedItems count="102" containsBlank="1">
        <s v="AI Enablement Lead"/>
        <s v="Applications &amp; Analytics Manager"/>
        <s v="CISO "/>
        <s v="Commercial Director"/>
        <s v="customer, program manager"/>
        <s v="Cyber Architecture Lead"/>
        <s v="Darren Koller"/>
        <s v="Data Capability Manager"/>
        <s v="Data Operations Manager"/>
        <s v="Delivery Excellence Manager"/>
        <s v="Delivery Manager"/>
        <s v="Delivery Manager "/>
        <s v="Delivery Manager, Ampol Retail"/>
        <s v="Delivery Manager, Digital"/>
        <s v="Delivery Manager, Loyalty"/>
        <s v="Delivery Manager, P&amp;C, Finance &amp; Legal"/>
        <s v="Delivery Manager, Strategy, Architecture &amp; Data"/>
        <s v="Delivery Manager, Z and Retail Data"/>
        <s v="Design Manager"/>
        <s v="Digital Support Manager(AU)"/>
        <s v="Enterprise Process Lead"/>
        <s v="Fin Ops Manager"/>
        <s v="GM TDD, Ampol Retail &amp; Z"/>
        <s v="GM TDD, CFE&amp;I"/>
        <s v="GM TDD, Customer"/>
        <s v="GM TDD, EGI"/>
        <s v="GM TDD, Group Function"/>
        <s v="GM TDD, Partnering &amp; Transformation"/>
        <s v="GM TDD, Strategy, Architecture, Data"/>
        <s v="Head Cyber Strategy &amp; Technology "/>
        <s v="Head of Architecture"/>
        <s v="Head of Cyber Strategy &amp; Technology "/>
        <s v="Head of Service Operatoins &amp; Assurance"/>
        <s v="Head of Technology  Strategy &amp; AI Capability"/>
        <s v="Head of Technology - P&amp;C, Finance &amp; Legal"/>
        <s v="Head of Technology - TDD &amp; Engineering Capability Lead"/>
        <s v="Head of Technology Finance, P&amp;C Legal"/>
        <s v="Head of Technology- TDD &amp; Engineering Capability"/>
        <s v="Head of Technology,  Ampol Retail"/>
        <s v="Head of Technology,  Group Data"/>
        <s v="Head of Technology, B2B &amp; Energy Solutions"/>
        <s v="Head of Technology, Commercial Fuels"/>
        <s v="Head of Technology, Digital"/>
        <s v="Head of Technology, Fuel Infrastructure"/>
        <s v="Head of Technology, Infrastructure"/>
        <s v="Head of Technology, Loyalty &amp; Martech"/>
        <s v="Head of Technology, Z and Group Retail Platforms"/>
        <s v="Lead – Asset &amp; Configuration (Vacant)"/>
        <s v="Lead Engineer - BE"/>
        <s v="Lead Engineer (Automation Test)"/>
        <s v="Lead Engineer (Databricks)"/>
        <s v="Lead Engineer (Snowflake)"/>
        <s v="Lead JDE System Specialist"/>
        <s v="Lead Quality Assurance"/>
        <s v="Lead Service Desk "/>
        <s v="Lead Support, Infrastructure"/>
        <s v="Lead Technology Support "/>
        <s v="Lead, Reporting &amp; Insights"/>
        <s v="Manager - Infrastructure Operations"/>
        <s v="Manager Customer Support Operations "/>
        <s v="Manager Cyber Security GRC"/>
        <s v="Manager Cyber Security Operations "/>
        <s v="Manager Identity &amp; Access Management "/>
        <s v="Manager Risk &amp; Resilience "/>
        <s v="Manager Service Management &amp; Major Incident Management Lead "/>
        <s v="Manager Service Perforance &amp; Assurance "/>
        <s v="Manager, AU Retail Operations"/>
        <s v="Manager, Risk &amp; Resilience "/>
        <s v="Portfolio Manger Cyber Security "/>
        <s v="Portfolio Reporting Manger"/>
        <s v="Program Manager"/>
        <s v="Program Manager - EGI"/>
        <s v="Project Manger"/>
        <s v="Release &amp; Deployment Manager"/>
        <s v="RPA Lead"/>
        <s v="SAP ERP Application Lead"/>
        <s v="Solution Architect SAP"/>
        <s v="Tech Manager, Merchandising &amp; WFM"/>
        <s v="Technology Manager - Cloud, Network &amp; Infrastructure Operations"/>
        <s v="Technology Manager – DevOps and Quality Engineering"/>
        <s v="Technology Manager Finance Platforms"/>
        <s v="Technology Manager Integration &amp; Process Managemetn"/>
        <s v="Technology Manager P&amp;C Platforms"/>
        <s v="Technology Manager,  Site Systems"/>
        <s v="Technology Manager, Data"/>
        <s v="Technology Manager, Data &amp; Engineering"/>
        <s v="Technology Manager, Data Engineering &amp; Platforms"/>
        <s v="Technology Manager, Data Science"/>
        <s v="Technology Manager, Digital Engineering"/>
        <s v="Technology Manager, Digitial"/>
        <s v="Technology Manager, Energy Solutions"/>
        <s v="Technology Manager, Engineering"/>
        <s v="Technology Manager, Enterprise Tooling"/>
        <s v="Technology Manager, Future Infrastructure"/>
        <s v="Technology Manager, Loyalty &amp; Martech"/>
        <s v="Technology Manager, Retail"/>
        <s v="Technology Manager, Store Platform"/>
        <s v="Technology Manager, T&amp;S"/>
        <s v="Technology Manager, TDD Refinery"/>
        <s v="Technology Manger, Data"/>
        <s v="vacant"/>
        <m/>
      </sharedItems>
    </cacheField>
    <cacheField name="Division (GM)" uniqueList="1" numFmtId="0" sqlType="0" hierarchy="0" level="0" databaseField="1">
      <sharedItems count="9" containsBlank="1">
        <s v="Ampol Retail &amp; Z"/>
        <s v="Customer"/>
        <s v="Cyber, Risk &amp; Operations"/>
        <s v="EGI"/>
        <s v="Partnering &amp; Transformation"/>
        <s v="Strategy, Architecture &amp; Data"/>
        <s v="TDD CFE&amp;I"/>
        <s v="TDD Group Functions"/>
        <m/>
      </sharedItems>
    </cacheField>
    <cacheField name="Department (GM-1)" uniqueList="1" numFmtId="0" sqlType="0" hierarchy="0" level="0" databaseField="1">
      <sharedItems count="29" containsBlank="1">
        <s v="Ampol Retail"/>
        <s v="Architecture"/>
        <s v="B2B &amp; Energy Solutions"/>
        <s v="Commercial"/>
        <s v="Commercial Fuels"/>
        <s v="Customer, AI Enablement"/>
        <s v="Customer, PMO"/>
        <s v="Cyber GRC"/>
        <s v="Cyber Risk"/>
        <s v="Cyber Sec Ops"/>
        <s v="Cyber Strat &amp; Tech"/>
        <s v="Delivery, SADA"/>
        <s v="Digital"/>
        <s v="EGI"/>
        <s v="Fuel Infrastructure"/>
        <s v="Group Data"/>
        <s v="Leadership"/>
        <s v="Loyalty &amp; Martech"/>
        <s v="na"/>
        <s v="P&amp;C, Finance &amp; Legal"/>
        <s v="Program Management"/>
        <s v="Service Op &amp; Assurance"/>
        <s v="TDD &amp; Engineering"/>
        <s v="TDD &amp; Engineering "/>
        <s v="TDD Business Partner"/>
        <s v="Technology Strategy &amp; AI Capability"/>
        <s v="Transformation"/>
        <s v="Z &amp; Group Retail"/>
        <m/>
      </sharedItems>
    </cacheField>
    <cacheField name="Team (GM-2)" uniqueList="1" numFmtId="0" sqlType="0" hierarchy="0" level="0" databaseField="1">
      <sharedItems count="56" containsBlank="1">
        <s v="Ampol Retail, Delivery"/>
        <s v="Ampol Retail, Merch &amp; RTA"/>
        <s v="Ampol Retail, Store Platforms"/>
        <s v="Ampol Retail, Technology"/>
        <s v="Architecture"/>
        <s v="Cloud Network &amp; Infra Ops"/>
        <s v="Cloud, Network &amp; Infra"/>
        <s v="Cyber Security Uplift Program"/>
        <s v="Data Capability"/>
        <s v="Data Engineering &amp; Platforms"/>
        <s v="Data Operations"/>
        <s v="Data Science"/>
        <s v="Delivery"/>
        <s v="Delivery, Commercial Fuels"/>
        <s v="Delivery, P&amp;C, Finance &amp; Legal"/>
        <s v="Delivery, TDD &amp; Engineering"/>
        <s v="Dev Ops  &amp; QE"/>
        <s v="DevOps &amp; QE"/>
        <s v="Digital Support (AU)"/>
        <s v="Digital Support (NZ)"/>
        <s v="Digital, Delivery"/>
        <s v="Digital, Design"/>
        <s v="Digital, Tech"/>
        <s v="EGI"/>
        <s v="Fuel Infrastructure"/>
        <s v="Fuel Infrastructure, Data"/>
        <s v="Fuel Infrastructure, Delivery"/>
        <s v="Identity &amp; Access Management "/>
        <s v="Integration &amp; Process automation"/>
        <s v="Integration &amp; Process Management"/>
        <s v="Leadership"/>
        <s v="Loyalty, Data &amp; Engineering"/>
        <s v="Loyalty, Delivery "/>
        <s v="Loyalty, Tech"/>
        <s v="na"/>
        <s v="Refinery Applications"/>
        <s v="Risk &amp; Resilience "/>
        <s v="Service Performance &amp; Assurance "/>
        <s v="Tech, Digital"/>
        <s v="Tech, Digital Engineering"/>
        <s v="Tech, Finance Platforms"/>
        <s v="Tech, P&amp;C Platforms"/>
        <s v="Technology - Distribution"/>
        <s v="Technology B2B"/>
        <s v="Technology Energy Solutions"/>
        <s v="Technology Strategy &amp; AI Capability"/>
        <s v="Technology Support "/>
        <s v="Technology, CF Engineering"/>
        <s v="Technology, T&amp;S Data"/>
        <s v="Technology, Trading &amp; Shipping"/>
        <s v="Workplace &amp; Enterprise Tooling"/>
        <s v="Z &amp; Group Retail, Data"/>
        <s v="Z &amp; Group Retail, Delivery"/>
        <s v="Z &amp; Group Retail, Engineering"/>
        <s v="Z &amp; Group Retail, Site Systems"/>
        <m/>
      </sharedItems>
    </cacheField>
    <cacheField name="Portfolio" uniqueList="1" numFmtId="0" sqlType="0" hierarchy="0" level="0" databaseField="1">
      <sharedItems count="17" containsBlank="1">
        <s v="Ampol Customer"/>
        <s v="Ampol Retail"/>
        <s v="B2B &amp; Energy Solutions"/>
        <s v="COE - Cyber, Risk &amp; Operations"/>
        <s v="COE - Partnering &amp; Transformation"/>
        <s v="COE - Strategy, Architecture, Data"/>
        <s v="Commercial Fuels"/>
        <s v="EGI"/>
        <s v="Enterprise Data"/>
        <s v="Finance"/>
        <s v="Infrastructure"/>
        <s v="P&amp;C"/>
        <s v="P&amp;C, Finance &amp; Legal"/>
        <s v="Retail"/>
        <s v="TDD"/>
        <s v="Z"/>
        <m/>
      </sharedItems>
    </cacheField>
    <cacheField name="Platform" uniqueList="1" numFmtId="0" sqlType="0" hierarchy="0" level="0" databaseField="1">
      <sharedItems count="39" containsBlank="1">
        <s v="(All Customer)"/>
        <s v="(All Retail)"/>
        <s v="Above Store"/>
        <s v="Ampol Digital"/>
        <s v="Ampol Digital, Group Customer Platforms"/>
        <s v="Ampol Loyalty &amp; Martech"/>
        <s v="AMPOS"/>
        <s v="AU Finance"/>
        <s v="B2B"/>
        <s v="CTRM"/>
        <s v="Data &amp; Insights "/>
        <s v="Distribution"/>
        <s v="EGI"/>
        <s v="EGI "/>
        <s v="Energy Solutions"/>
        <s v="Finance"/>
        <s v="Fuel Infrastructure"/>
        <s v="Group Data"/>
        <s v="Leadership"/>
        <s v="Leadership "/>
        <s v="Manufacturing"/>
        <s v="NA"/>
        <s v="Network/QSR"/>
        <s v="NZ Finance"/>
        <s v="P&amp;C"/>
        <s v="P&amp;C, Finance &amp; Legal"/>
        <s v="Store Operations"/>
        <s v="Store Operations, Network &amp; QSR, Deployment"/>
        <s v="Store Operations, Payments, POS"/>
        <s v="Supply"/>
        <s v="TDD"/>
        <s v="Trading &amp; Shipping"/>
        <s v="Z Customer"/>
        <s v="Z Customer &amp; Z Supply"/>
        <s v="Z Energy (Digitial)"/>
        <s v="Z Energy (Digitial) and Ampol Customer"/>
        <s v="Z Loyalty &amp; Martech"/>
        <s v="Z Supply"/>
        <m/>
      </sharedItems>
    </cacheField>
    <cacheField name="Squad" uniqueList="1" numFmtId="0" sqlType="0" hierarchy="0" level="0" databaseField="1">
      <sharedItems count="53" containsBlank="1">
        <s v="Above Store"/>
        <s v="Ampol App"/>
        <s v="Ampol Loyalty &amp; Martech"/>
        <s v="Ampol Web"/>
        <s v="AmPos"/>
        <s v="AU CRM &amp; Martech"/>
        <s v="B2B"/>
        <s v="Cloud, Network &amp; Infra Ops"/>
        <s v="CTRM"/>
        <s v="Customer, AI"/>
        <s v="Data - AU"/>
        <s v="Data - NZ"/>
        <s v="Data &amp; Insights "/>
        <s v="Data Platform"/>
        <s v="Data Science"/>
        <s v="Deployment"/>
        <s v="DevOps &amp; QE"/>
        <s v="Digital Operations"/>
        <s v="Distribution, Sales &amp; Services"/>
        <s v="EGI"/>
        <s v="EGI Customer"/>
        <s v="EGI Finance"/>
        <s v="EGI P&amp;C"/>
        <s v="EGI Retail"/>
        <s v="EGI TDD"/>
        <s v="Energy"/>
        <s v="EVCI"/>
        <s v="Integration &amp; Process automation"/>
        <s v="Leadership"/>
        <s v="Manuacturing Group Projects"/>
        <s v="Manufacturing Group Projects"/>
        <s v="NA"/>
        <s v="Network &amp; QSR"/>
        <s v="NZ Finance"/>
        <s v="P&amp;C"/>
        <s v="P&amp;C RTA"/>
        <s v="Payments"/>
        <s v="POS"/>
        <s v="Reporting &amp; Analytics"/>
        <s v="SAP ERP"/>
        <s v="Site Systems"/>
        <s v="Store Operations"/>
        <s v="Supply"/>
        <s v="Technology Suport"/>
        <s v="Trading &amp; Shipping"/>
        <s v="Trading &amp; Shipping Data"/>
        <s v="Workplace &amp; Enterprise Tooling"/>
        <s v="Z App and Web"/>
        <s v="Z Energy Martech"/>
        <s v="Z Loyalty &amp; Martech"/>
        <s v="Z Retail Backend "/>
        <s v="Z Supply"/>
        <m/>
      </sharedItems>
    </cacheField>
    <cacheField name="CC" uniqueList="1" numFmtId="0" sqlType="0" hierarchy="0" level="0" databaseField="1">
      <sharedItems count="1" containsBlank="1" containsString="0">
        <m/>
      </sharedItems>
    </cacheField>
    <cacheField name="Country" uniqueList="1" numFmtId="0" sqlType="0" hierarchy="0" level="0" databaseField="1">
      <sharedItems count="6" containsBlank="1">
        <s v="Australia"/>
        <s v="NZ"/>
        <s v="Singapore"/>
        <s v="USA"/>
        <s v="WIPRO"/>
        <m/>
      </sharedItems>
    </cacheField>
  </cacheFields>
</pivotCacheDefinition>
</file>

<file path=xl/pivotCache/pivotCacheRecords1.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Cache/pivotCacheRecords2.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BV458:BV459"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O2:O3"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filterMode="0">
    <tabColor rgb="FF002F6C"/>
    <outlinePr summaryBelow="1" summaryRight="1"/>
    <pageSetUpPr fitToPage="1"/>
  </sheetPr>
  <dimension ref="A1:C4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7" t="inlineStr">
        <is>
          <t>Roles in the ledger</t>
        </is>
      </c>
      <c r="C5" s="1789">
        <f>'3.1 Group Summary'!$G$38</f>
        <v>525</v>
      </c>
    </row>
    <row r="6">
      <c r="B6" s="1787" t="inlineStr">
        <is>
          <t>Filled</t>
        </is>
      </c>
      <c r="C6" s="1789">
        <f>'3.1 Group Summary'!$H$38</f>
        <v>390</v>
      </c>
    </row>
    <row r="7">
      <c r="B7" s="1787" t="inlineStr">
        <is>
          <t>Vacant</t>
        </is>
      </c>
      <c r="C7" s="1789">
        <f>'3.1 Group Summary'!$I$38</f>
        <v>135</v>
      </c>
    </row>
    <row r="8">
      <c r="B8" s="1787" t="inlineStr">
        <is>
          <t>Cost today ($m)</t>
        </is>
      </c>
      <c r="C8" s="1790">
        <f>'3.1 Group Summary'!$D$38</f>
        <v>115.1132622681</v>
      </c>
    </row>
    <row r="9">
      <c r="B9" s="1787" t="inlineStr">
        <is>
          <t>Of which people in seat today ($m)</t>
        </is>
      </c>
      <c r="C9" s="1790">
        <f>SUMIFS('REVIEW - Complete Role Mapping'!$AA$2:$AA$528,'REVIEW - Complete Role Mapping'!$AK$2:$AK$528,"Filled")/1000000</f>
        <v>86.5787701821</v>
      </c>
    </row>
    <row r="10">
      <c r="B10" s="1787" t="inlineStr">
        <is>
          <t>Of which vacancies not yet filled ($m)</t>
        </is>
      </c>
      <c r="C10" s="1790">
        <f>SUMIFS('REVIEW - Complete Role Mapping'!$AA$2:$AA$528,'REVIEW - Complete Role Mapping'!$AK$2:$AK$528,"Vacant")/1000000</f>
        <v>28.534492086</v>
      </c>
    </row>
    <row r="11"/>
    <row r="12" ht="19" customHeight="1" s="866">
      <c r="B12" s="1527" t="inlineStr">
        <is>
          <t>Against the archetype</t>
        </is>
      </c>
      <c r="C12" s="1528" t="n"/>
    </row>
    <row r="13">
      <c r="B13" s="1787" t="inlineStr">
        <is>
          <t>Squads priced by an archetype - archetype cost ($m)</t>
        </is>
      </c>
      <c r="C13" s="1790">
        <f>'3.1 Group Summary'!$C$20</f>
        <v>64.2</v>
      </c>
    </row>
    <row r="14">
      <c r="B14" s="1787" t="inlineStr">
        <is>
          <t>Squads priced by an archetype - actual ($m)</t>
        </is>
      </c>
      <c r="C14" s="1790">
        <f>'3.1 Group Summary'!$D$20</f>
        <v>63.8112576151</v>
      </c>
    </row>
    <row r="15">
      <c r="B15" s="1787" t="inlineStr">
        <is>
          <t>Squads priced by an archetype - over/(under) ($m)</t>
        </is>
      </c>
      <c r="C15" s="1790">
        <f>'3.1 Group Summary'!$E$20</f>
        <v>-0.388742384899999</v>
      </c>
    </row>
    <row r="16">
      <c r="B16" s="1787" t="inlineStr">
        <is>
          <t>Directly funded programmes - over/(under) funded ($m)</t>
        </is>
      </c>
      <c r="C16" s="1790">
        <f>'3.1 Group Summary'!$E$29</f>
        <v>1.437617098</v>
      </c>
    </row>
    <row r="17">
      <c r="B17" s="1787" t="inlineStr">
        <is>
          <t>COEs and EGI - over/(under) their 1.x planned spend ($m)</t>
        </is>
      </c>
      <c r="C17" s="1790">
        <f>'3.1 Group Summary'!$E$35</f>
        <v>0</v>
      </c>
    </row>
    <row r="18">
      <c r="B18" s="1787" t="inlineStr">
        <is>
          <t>Overhead roles - not covered by the allowance ($m)</t>
        </is>
      </c>
      <c r="C18" s="1790">
        <f>'3.1 Group Summary'!$E$36</f>
        <v>5.329230155</v>
      </c>
    </row>
    <row r="19">
      <c r="B19" s="1787" t="inlineStr">
        <is>
          <t>Total over/(under) archetype ($m)</t>
        </is>
      </c>
      <c r="C19" s="1790">
        <f>'3.1 Group Summary'!$E$38</f>
        <v>6.3781048681</v>
      </c>
    </row>
    <row r="20"/>
    <row r="21" ht="19" customHeight="1" s="866">
      <c r="B21" s="1527" t="inlineStr">
        <is>
          <t>The vacancy decision</t>
        </is>
      </c>
      <c r="C21" s="1528" t="n"/>
    </row>
    <row r="22">
      <c r="B22" s="1787" t="inlineStr">
        <is>
          <t>Vacant roles</t>
        </is>
      </c>
      <c r="C22" s="1789">
        <f>'3.1 Group Summary'!$I$38</f>
        <v>135</v>
      </c>
    </row>
    <row r="23">
      <c r="B23" s="1787" t="inlineStr">
        <is>
          <t>Vacancies set to hire</t>
        </is>
      </c>
      <c r="C23" s="1789">
        <f>N('2.1 Ampol Retail'!$I$30)+N('2.2 Customer'!$I$29)+N('2.3 Enterprise Data'!$I$23)+N('2.4 TDD Group Functions'!$I$25)+N('2.5 P&amp;C'!$I$23)+N('2.6 Finance'!$I$21)+N('2.7 Infrastructure'!$I$25)+N('2.8 Energy Solutions &amp; B2B'!$I$24)+N('2.9 Commercial Fuels'!$I$24)+N('2.10 Z Retail'!$I$25)+N('2.11 COE Cyber'!$I$24)+N('2.12 BP&amp;T'!$I$22)+N('2.13 SA&amp;D'!$I$24)+N('2.14 EGI'!$I$20)</f>
        <v>135</v>
      </c>
    </row>
    <row r="24">
      <c r="B24" s="1787" t="inlineStr">
        <is>
          <t>Roles set to offshore</t>
        </is>
      </c>
      <c r="C24" s="1789">
        <f>N('2.1 Ampol Retail'!$J$30)+N('2.2 Customer'!$J$29)+N('2.3 Enterprise Data'!$J$23)+N('2.4 TDD Group Functions'!$J$25)+N('2.5 P&amp;C'!$J$23)+N('2.6 Finance'!$J$21)+N('2.7 Infrastructure'!$J$25)+N('2.8 Energy Solutions &amp; B2B'!$J$24)+N('2.9 Commercial Fuels'!$J$24)+N('2.10 Z Retail'!$J$25)+N('2.11 COE Cyber'!$J$24)+N('2.12 BP&amp;T'!$J$22)+N('2.13 SA&amp;D'!$J$24)+N('2.14 EGI'!$J$20)</f>
        <v>0</v>
      </c>
    </row>
    <row r="25">
      <c r="B25" s="1787" t="inlineStr">
        <is>
          <t>Roles put on hold</t>
        </is>
      </c>
      <c r="C25" s="1789">
        <f>N('2.1 Ampol Retail'!$K$30)+N('2.2 Customer'!$K$29)+N('2.3 Enterprise Data'!$K$23)+N('2.4 TDD Group Functions'!$K$25)+N('2.5 P&amp;C'!$K$23)+N('2.6 Finance'!$K$21)+N('2.7 Infrastructure'!$K$25)+N('2.8 Energy Solutions &amp; B2B'!$K$24)+N('2.9 Commercial Fuels'!$K$24)+N('2.10 Z Retail'!$K$25)+N('2.11 COE Cyber'!$K$24)+N('2.12 BP&amp;T'!$K$22)+N('2.13 SA&amp;D'!$K$24)+N('2.14 EGI'!$K$20)</f>
        <v>0</v>
      </c>
    </row>
    <row r="26">
      <c r="B26" s="1787" t="inlineStr">
        <is>
          <t>Roles after the decisions set today</t>
        </is>
      </c>
      <c r="C26" s="1789">
        <f>'3.1 Group Summary'!$J$38</f>
        <v>525</v>
      </c>
    </row>
    <row r="27">
      <c r="B27" s="1787" t="inlineStr">
        <is>
          <t>Cost after the decisions set today ($m)</t>
        </is>
      </c>
      <c r="C27" s="1790">
        <f>'3.1 Group Summary'!$F$38</f>
        <v>115.1132622681</v>
      </c>
    </row>
    <row r="28">
      <c r="B28" s="1787" t="inlineStr">
        <is>
          <t>Impact of those decisions ($m)</t>
        </is>
      </c>
      <c r="C28" s="1790">
        <f>'3.1 Group Summary'!$F$38-'3.1 Group Summary'!$D$38</f>
        <v>0</v>
      </c>
    </row>
    <row r="29"/>
    <row r="30" ht="19" customHeight="1" s="866">
      <c r="B30" s="1527" t="inlineStr">
        <is>
          <t>Portfolio drill-down</t>
        </is>
      </c>
      <c r="C30" s="1528" t="n"/>
    </row>
    <row r="31">
      <c r="B31" s="1791" t="inlineStr">
        <is>
          <t>Pick a portfolio</t>
        </is>
      </c>
      <c r="C31" s="1547" t="inlineStr">
        <is>
          <t>Ampol Retail</t>
        </is>
      </c>
    </row>
    <row r="32">
      <c r="B32" s="1787" t="inlineStr">
        <is>
          <t>Roles</t>
        </is>
      </c>
      <c r="C32" s="1789">
        <f>SUMIFS('3.3 Squad Detail'!$H$6:$H$109,'3.3 Squad Detail'!$B$6:$B$109,$C$31)</f>
        <v>70</v>
      </c>
    </row>
    <row r="33">
      <c r="B33" s="1787" t="inlineStr">
        <is>
          <t>Filled</t>
        </is>
      </c>
      <c r="C33" s="1789">
        <f>SUMIFS('3.3 Squad Detail'!$I$6:$I$109,'3.3 Squad Detail'!$B$6:$B$109,$C$31)</f>
        <v>48</v>
      </c>
    </row>
    <row r="34">
      <c r="B34" s="1787" t="inlineStr">
        <is>
          <t>Vacant</t>
        </is>
      </c>
      <c r="C34" s="1789">
        <f>SUMIFS('3.3 Squad Detail'!$J$6:$J$109,'3.3 Squad Detail'!$B$6:$B$109,$C$31)</f>
        <v>22</v>
      </c>
    </row>
    <row r="35">
      <c r="B35" s="1787" t="inlineStr">
        <is>
          <t>Roles after decisions</t>
        </is>
      </c>
      <c r="C35" s="1789">
        <f>SUMIFS('3.3 Squad Detail'!$K$6:$K$109,'3.3 Squad Detail'!$B$6:$B$109,$C$31)</f>
        <v>70</v>
      </c>
    </row>
    <row r="36">
      <c r="B36" s="1787" t="inlineStr">
        <is>
          <t>Actual cost ($m)</t>
        </is>
      </c>
      <c r="C36" s="1790">
        <f>SUMIFS('3.3 Squad Detail'!$M$6:$M$109,'3.3 Squad Detail'!$B$6:$B$109,$C$31)</f>
        <v>14.005227457</v>
      </c>
    </row>
    <row r="37">
      <c r="B37" s="1787" t="inlineStr">
        <is>
          <t>Of which overhead roles ($m)</t>
        </is>
      </c>
      <c r="C37" s="1790">
        <f>SUMIFS('3.3 Squad Detail'!$M$6:$M$109,'3.3 Squad Detail'!$B$6:$B$109,$C$31,'3.3 Squad Detail'!$C$6:$C$109,"Overhead")</f>
        <v>1.255615963</v>
      </c>
    </row>
    <row r="38">
      <c r="B38" s="1787" t="inlineStr">
        <is>
          <t>Squads priced by an archetype - over/(under) archetype ($m)</t>
        </is>
      </c>
      <c r="C38" s="1790">
        <f>SUMIFS('3.3 Squad Detail'!$N$6:$N$109,'3.3 Squad Detail'!$B$6:$B$109,$C$31,'3.3 Squad Detail'!$C$6:$C$109,"Archetype")</f>
        <v>-0.766475</v>
      </c>
    </row>
    <row r="39">
      <c r="B39" s="1787" t="inlineStr">
        <is>
          <t>Directly funded programmes - over/(under) funded ($m)</t>
        </is>
      </c>
      <c r="C39" s="1790">
        <f>SUMIFS('3.3 Squad Detail'!$N$6:$N$109,'3.3 Squad Detail'!$B$6:$B$109,$C$31,'3.3 Squad Detail'!$C$6:$C$109,"Directly funded")</f>
        <v>0.710941</v>
      </c>
    </row>
    <row r="40">
      <c r="B40" s="1787" t="inlineStr">
        <is>
          <t>Cost after vacancy decisions ($m)</t>
        </is>
      </c>
      <c r="C40" s="1790">
        <f>SUMIFS('3.3 Squad Detail'!$O$6:$O$109,'3.3 Squad Detail'!$B$6:$B$109,$C$31)</f>
        <v>14.005227457</v>
      </c>
    </row>
  </sheetData>
  <dataValidations count="1">
    <dataValidation sqref="C31"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39"/>
  <sheetViews>
    <sheetView showFormulas="0" showGridLines="0" showRowColHeaders="1" showZeros="1" rightToLeft="0" tabSelected="0" showOutlineSymbols="1" defaultGridColor="1" view="normal" topLeftCell="A6" colorId="64" zoomScale="120" zoomScaleNormal="120" zoomScalePageLayoutView="100" workbookViewId="0">
      <pane xSplit="2" ySplit="5" topLeftCell="C6" activePane="bottomRight" state="frozen"/>
      <selection pane="topRight"/>
      <selection pane="bottomLeft"/>
      <selection pane="bottomRigh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21" t="inlineStr">
        <is>
          <t>Actual cost ($m)</t>
        </is>
      </c>
      <c r="G5" s="1821"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22" t="n">
        <v>1.5</v>
      </c>
      <c r="D6" s="1822" t="n">
        <v>0.5</v>
      </c>
      <c r="E6" s="1010">
        <f>C6+D6</f>
        <v>2</v>
      </c>
      <c r="F6" s="1010">
        <f>SUMIFS('REVIEW - Complete Role Mapping'!$AA$2:$AA$528,'REVIEW - Complete Role Mapping'!$AJ$2:$AJ$528,"COE SA&amp;D")/1000000</f>
        <v>6.529494052</v>
      </c>
      <c r="G6" s="1011">
        <f>$F6-$E6</f>
        <v>4.529494052</v>
      </c>
      <c r="H6" s="865" t="n"/>
      <c r="I6" s="1012" t="inlineStr">
        <is>
          <t>Head of Tech</t>
        </is>
      </c>
      <c r="J6" s="1822" t="n">
        <v>0.275</v>
      </c>
      <c r="K6" s="1823" t="n">
        <v>0.5</v>
      </c>
      <c r="L6" s="1014">
        <f>J6*K6</f>
        <v>0.1375</v>
      </c>
    </row>
    <row r="7" ht="14.25" customHeight="1" s="866">
      <c r="B7" s="1015" t="inlineStr">
        <is>
          <t>COE - Cyber, Risk &amp; Service Ops (see 1.13 Cyber Roles)</t>
        </is>
      </c>
      <c r="C7" s="1822" t="n">
        <v>0</v>
      </c>
      <c r="D7" s="1822" t="n">
        <v>0</v>
      </c>
      <c r="E7" s="1016">
        <f>C7+D7</f>
        <v>0</v>
      </c>
      <c r="F7" s="1010" t="n">
        <v>0</v>
      </c>
      <c r="G7" s="1011">
        <f>$F7-$E7</f>
        <v>0</v>
      </c>
      <c r="H7" s="865" t="n"/>
      <c r="I7" s="1012" t="inlineStr">
        <is>
          <t>Business Partner</t>
        </is>
      </c>
      <c r="J7" s="1822" t="n">
        <v>0.44</v>
      </c>
      <c r="K7" s="1823" t="n">
        <v>0.5</v>
      </c>
      <c r="L7" s="1014">
        <f>J7*K7</f>
        <v>0.22</v>
      </c>
    </row>
    <row r="8" ht="14.25" customHeight="1" s="866">
      <c r="B8" s="1008" t="inlineStr">
        <is>
          <t>COE - Transformation</t>
        </is>
      </c>
      <c r="C8" s="1822" t="n">
        <v>1.5</v>
      </c>
      <c r="D8" s="1822" t="n">
        <v>0.5</v>
      </c>
      <c r="E8" s="1010">
        <f>C8+D8</f>
        <v>2</v>
      </c>
      <c r="F8" s="1010">
        <f>SUMIFS('REVIEW - Complete Role Mapping'!$AA$2:$AA$528,'REVIEW - Complete Role Mapping'!$AJ$2:$AJ$528,"COE BP&amp;T")/1000000</f>
        <v>6.400561822</v>
      </c>
      <c r="G8" s="1011">
        <f>$F8-$E8</f>
        <v>4.400561822</v>
      </c>
      <c r="H8" s="865" t="n"/>
      <c r="I8" s="1012" t="inlineStr">
        <is>
          <t>Domain Architect</t>
        </is>
      </c>
      <c r="J8" s="1822" t="n">
        <v>0.28</v>
      </c>
      <c r="K8" s="1823" t="n">
        <v>0.5</v>
      </c>
      <c r="L8" s="1014">
        <f>J8*K8</f>
        <v>0.14</v>
      </c>
    </row>
    <row r="9" ht="14.25" customHeight="1" s="866">
      <c r="B9" s="1015" t="inlineStr">
        <is>
          <t>COE - Business Partnering</t>
        </is>
      </c>
      <c r="C9" s="1822" t="n">
        <v>1.5</v>
      </c>
      <c r="D9" s="1822" t="n">
        <v>0.5</v>
      </c>
      <c r="E9" s="1016">
        <f>C9+D9</f>
        <v>2</v>
      </c>
      <c r="F9" s="1010" t="n">
        <v>0</v>
      </c>
      <c r="G9" s="1011">
        <f>$F9-$E9</f>
        <v>-2</v>
      </c>
      <c r="H9" s="865" t="inlineStr">
        <is>
          <t>charged on the first COE BP&amp;T line above</t>
        </is>
      </c>
      <c r="I9" s="1012" t="inlineStr">
        <is>
          <t>Leadership Overhead</t>
        </is>
      </c>
      <c r="J9" s="1822" t="n">
        <v>1</v>
      </c>
      <c r="K9" s="1823" t="n">
        <v>0.3</v>
      </c>
      <c r="L9" s="1014">
        <f>J9*K9</f>
        <v>0.3</v>
      </c>
    </row>
    <row r="10" ht="14.25" customHeight="1" s="866">
      <c r="B10" s="1008" t="inlineStr">
        <is>
          <t>COE - Data</t>
        </is>
      </c>
      <c r="C10" s="1822" t="n">
        <v>1.5</v>
      </c>
      <c r="D10" s="1822"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22" t="n">
        <v>5.5</v>
      </c>
      <c r="D11" s="1822" t="n">
        <v>0</v>
      </c>
      <c r="E11" s="1016">
        <f>C11+D11</f>
        <v>5.5</v>
      </c>
      <c r="F11" s="1010">
        <f>SUMIFS('REVIEW - Complete Role Mapping'!$AA$2:$AA$528,'REVIEW - Complete Role Mapping'!$AJ$2:$AJ$528,"Ampol Retail")/1000000</f>
        <v>14.005227457</v>
      </c>
      <c r="G11" s="1824">
        <f>$F11-$E11</f>
        <v>8.505227457</v>
      </c>
      <c r="H11" s="865" t="n"/>
      <c r="I11" s="865" t="n"/>
      <c r="J11" s="865" t="n"/>
      <c r="K11" s="865" t="n"/>
      <c r="L11" s="865" t="n"/>
    </row>
    <row r="12" ht="14.25" customHeight="1" s="866">
      <c r="B12" s="1008" t="inlineStr">
        <is>
          <t>Z Retail</t>
        </is>
      </c>
      <c r="C12" s="1822" t="n">
        <v>0</v>
      </c>
      <c r="D12" s="1822" t="n">
        <v>6.5</v>
      </c>
      <c r="E12" s="1010">
        <f>C12+D12</f>
        <v>6.5</v>
      </c>
      <c r="F12" s="1010">
        <f>SUMIFS('REVIEW - Complete Role Mapping'!$AA$2:$AA$528,'REVIEW - Complete Role Mapping'!$AJ$2:$AJ$528,"Z Retail")/1000000</f>
        <v>7.337294352</v>
      </c>
      <c r="G12" s="1824">
        <f>$F12-$E12</f>
        <v>0.837294352</v>
      </c>
      <c r="H12" s="865" t="n"/>
      <c r="I12" s="1002" t="inlineStr">
        <is>
          <t>Platform Overhead (roles, $m)</t>
        </is>
      </c>
      <c r="J12" s="1003" t="n"/>
      <c r="K12" s="1003" t="n"/>
      <c r="L12" s="1004" t="n"/>
    </row>
    <row r="13" ht="76" customHeight="1" s="866">
      <c r="B13" s="1400" t="inlineStr">
        <is>
          <t>Ampol Customer</t>
        </is>
      </c>
      <c r="C13" s="1822" t="n">
        <v>2.5</v>
      </c>
      <c r="D13" s="1822" t="n">
        <v>0</v>
      </c>
      <c r="E13" s="1825">
        <f>C13+D13</f>
        <v>2.5</v>
      </c>
      <c r="F13" s="1826">
        <f>SUMIFS('REVIEW - Complete Role Mapping'!$AA$2:$AA$528,'REVIEW - Complete Role Mapping'!$AJ$2:$AJ$528,"Customer")/1000000</f>
        <v>17.12686714</v>
      </c>
      <c r="G13" s="1826">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22" t="n">
        <v>0</v>
      </c>
      <c r="D14" s="1822" t="n">
        <v>4</v>
      </c>
      <c r="E14" s="1010">
        <f>C14+D14</f>
        <v>4</v>
      </c>
      <c r="F14" s="1010" t="n">
        <v>0</v>
      </c>
      <c r="G14" s="1010" t="n"/>
      <c r="H14" s="865" t="inlineStr">
        <is>
          <t>charged on the first Customer line above</t>
        </is>
      </c>
      <c r="I14" s="1012" t="inlineStr">
        <is>
          <t>Delivery Manager</t>
        </is>
      </c>
      <c r="J14" s="1822" t="n">
        <v>0.28</v>
      </c>
      <c r="K14" s="1823" t="n">
        <v>0.3</v>
      </c>
      <c r="L14" s="1014">
        <f>J14*K14</f>
        <v>0.084</v>
      </c>
    </row>
    <row r="15" ht="14.25" customHeight="1" s="866">
      <c r="B15" s="1015" t="inlineStr">
        <is>
          <t>Commercial Fuels</t>
        </is>
      </c>
      <c r="C15" s="1822" t="n">
        <v>2.5</v>
      </c>
      <c r="D15" s="1822" t="n">
        <v>0</v>
      </c>
      <c r="E15" s="1016">
        <f>C15+D15</f>
        <v>2.5</v>
      </c>
      <c r="F15" s="1010">
        <f>SUMIFS('REVIEW - Complete Role Mapping'!$AA$2:$AA$528,'REVIEW - Complete Role Mapping'!$AJ$2:$AJ$528,"Commercial Fuels")/1000000</f>
        <v>10.1976697287</v>
      </c>
      <c r="G15" s="1824">
        <f>$F15-$E15</f>
        <v>7.6976697287</v>
      </c>
      <c r="H15" s="865" t="n"/>
      <c r="I15" s="1012" t="inlineStr">
        <is>
          <t>Tech Manager</t>
        </is>
      </c>
      <c r="J15" s="1822" t="n">
        <v>0.27</v>
      </c>
      <c r="K15" s="1823" t="n">
        <v>0.3</v>
      </c>
      <c r="L15" s="1014">
        <f>J15*K15</f>
        <v>0.081</v>
      </c>
    </row>
    <row r="16" ht="14.25" customHeight="1" s="866">
      <c r="B16" s="1008" t="inlineStr">
        <is>
          <t>Energy Solutions &amp; B2B</t>
        </is>
      </c>
      <c r="C16" s="1822" t="n">
        <v>2.5</v>
      </c>
      <c r="D16" s="1822" t="n">
        <v>0</v>
      </c>
      <c r="E16" s="1010">
        <f>C16+D16</f>
        <v>2.5</v>
      </c>
      <c r="F16" s="1010">
        <f>SUMIFS('REVIEW - Complete Role Mapping'!$AA$2:$AA$528,'REVIEW - Complete Role Mapping'!$AJ$2:$AJ$528,"Energy Solutions &amp; B2B")/1000000</f>
        <v>6.447816278</v>
      </c>
      <c r="G16" s="1824">
        <f>$F16-$E16</f>
        <v>3.947816278</v>
      </c>
      <c r="H16" s="865" t="n"/>
      <c r="I16" s="1017" t="inlineStr">
        <is>
          <t>Platform overhead subtotal (per platform)</t>
        </is>
      </c>
      <c r="J16" s="865" t="n"/>
      <c r="K16" s="865" t="n"/>
      <c r="L16" s="1018">
        <f>SUM(L14:L15)</f>
        <v>0.165</v>
      </c>
    </row>
    <row r="17" ht="14.25" customHeight="1" s="866">
      <c r="B17" s="1015" t="inlineStr">
        <is>
          <t>Infrastructure</t>
        </is>
      </c>
      <c r="C17" s="1822" t="n">
        <v>2.5</v>
      </c>
      <c r="D17" s="1822" t="n">
        <v>0</v>
      </c>
      <c r="E17" s="1016">
        <f>C17+D17</f>
        <v>2.5</v>
      </c>
      <c r="F17" s="1010">
        <f>SUMIFS('REVIEW - Complete Role Mapping'!$AA$2:$AA$528,'REVIEW - Complete Role Mapping'!$AJ$2:$AJ$528,"Infrastructure")/1000000</f>
        <v>7.74836354</v>
      </c>
      <c r="G17" s="1824">
        <f>$F17-$E17</f>
        <v>5.24836354</v>
      </c>
    </row>
    <row r="18" ht="14.25" customHeight="1" s="866">
      <c r="B18" s="1008" t="inlineStr">
        <is>
          <t>P&amp;C</t>
        </is>
      </c>
      <c r="C18" s="1822" t="n">
        <v>1</v>
      </c>
      <c r="D18" s="1822" t="n">
        <v>1</v>
      </c>
      <c r="E18" s="1010">
        <f>C18+D18</f>
        <v>2</v>
      </c>
      <c r="F18" s="1010">
        <f>SUMIFS('REVIEW - Complete Role Mapping'!$AA$2:$AA$528,'REVIEW - Complete Role Mapping'!$AJ$2:$AJ$528,"P&amp;C")/1000000</f>
        <v>4.18444088</v>
      </c>
      <c r="G18" s="1824">
        <f>$F18-$E18</f>
        <v>2.18444088</v>
      </c>
    </row>
    <row r="19" ht="14.25" customHeight="1" s="866">
      <c r="B19" s="1015" t="inlineStr">
        <is>
          <t>Finance</t>
        </is>
      </c>
      <c r="C19" s="1822" t="n">
        <v>1</v>
      </c>
      <c r="D19" s="1822" t="n">
        <v>1</v>
      </c>
      <c r="E19" s="1016">
        <f>C19+D19</f>
        <v>2</v>
      </c>
      <c r="F19" s="1010">
        <f>SUMIFS('REVIEW - Complete Role Mapping'!$AA$2:$AA$528,'REVIEW - Complete Role Mapping'!$AJ$2:$AJ$528,"Finance")/1000000</f>
        <v>3.844616116</v>
      </c>
      <c r="G19" s="1824">
        <f>$F19-$E19</f>
        <v>1.844616116</v>
      </c>
    </row>
    <row r="20" ht="14.25" customHeight="1" s="866">
      <c r="B20" s="1008" t="inlineStr">
        <is>
          <t>Legal</t>
        </is>
      </c>
      <c r="C20" s="1822" t="n">
        <v>0</v>
      </c>
      <c r="D20" s="1822" t="n">
        <v>0</v>
      </c>
      <c r="E20" s="1010">
        <f>C20+D20</f>
        <v>0</v>
      </c>
      <c r="F20" s="1010" t="n">
        <v>0</v>
      </c>
      <c r="G20" s="1010">
        <f>$F20-$E20</f>
        <v>0</v>
      </c>
    </row>
    <row r="21" ht="14.25" customHeight="1" s="866">
      <c r="B21" s="1015" t="inlineStr">
        <is>
          <t>TDD</t>
        </is>
      </c>
      <c r="C21" s="1822" t="n">
        <v>4.5</v>
      </c>
      <c r="D21" s="1822"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22" t="n">
        <v>2.5</v>
      </c>
      <c r="D22" s="1822" t="n">
        <v>1</v>
      </c>
      <c r="E22" s="1010">
        <f>C22+D22</f>
        <v>3.5</v>
      </c>
      <c r="F22" s="1010">
        <f>SUMIFS('REVIEW - Complete Role Mapping'!$AA$2:$AA$528,'REVIEW - Complete Role Mapping'!$AJ$2:$AJ$528,"Enterprise Data")/1000000</f>
        <v>6.418403776</v>
      </c>
      <c r="G22" s="1010">
        <f>$F22-$E22</f>
        <v>2.918403776</v>
      </c>
    </row>
    <row r="23" ht="14.25" customHeight="1" s="866">
      <c r="B23" s="1827" t="inlineStr">
        <is>
          <t>TDD Cyber</t>
        </is>
      </c>
      <c r="C23" s="1822" t="n">
        <v>2.5</v>
      </c>
      <c r="D23" s="1822" t="n">
        <v>1</v>
      </c>
      <c r="E23" s="1016">
        <f>C23+D23</f>
        <v>3.5</v>
      </c>
      <c r="F23" s="1010">
        <f>SUMIFS('REVIEW - Complete Role Mapping'!$AA$2:$AA$528,'REVIEW - Complete Role Mapping'!$AJ$2:$AJ$528,"COE Cyber")/1000000</f>
        <v>9.897858294</v>
      </c>
      <c r="G23" s="1824">
        <f>$F23-$E23</f>
        <v>6.397858294</v>
      </c>
    </row>
    <row r="24" ht="14.25" customHeight="1" s="866">
      <c r="B24" s="1008" t="n"/>
      <c r="C24" s="1822" t="n"/>
      <c r="D24" s="1822" t="n"/>
      <c r="E24" s="1010" t="n"/>
      <c r="F24" s="1010" t="n"/>
      <c r="G24" s="1010" t="n"/>
    </row>
    <row r="25" ht="14.25" customHeight="1" s="866">
      <c r="B25" s="1015" t="inlineStr">
        <is>
          <t>EGI</t>
        </is>
      </c>
      <c r="C25" s="1822" t="n">
        <v>0</v>
      </c>
      <c r="D25" s="1822"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8" t="inlineStr">
        <is>
          <t>Budget</t>
        </is>
      </c>
      <c r="C27" s="1829">
        <f>'0.1 Budget Table (Fin)'!G5+'0.1 Budget Table (Fin)'!G7</f>
        <v>36.2</v>
      </c>
      <c r="D27" s="1829">
        <f>'0.1 Budget Table (Fin)'!G6</f>
        <v>17.6</v>
      </c>
      <c r="E27" s="1829">
        <f>'0.1 Budget Table (Fin)'!G14</f>
        <v>53.8</v>
      </c>
      <c r="F27" s="1828"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O29"/>
  <sheetViews>
    <sheetView showFormulas="0" showGridLines="0" showRowColHeaders="1" showZeros="1" rightToLeft="0" tabSelected="0" showOutlineSymbols="1" defaultGridColor="1" view="normal" topLeftCell="B1" colorId="64" zoomScale="120" zoomScaleNormal="120" zoomScalePageLayoutView="100" workbookViewId="0">
      <pane xSplit="2" ySplit="4" topLeftCell="C5" activePane="bottomRight" state="frozen"/>
      <selection pane="topRight"/>
      <selection pane="bottomLeft"/>
      <selection pane="bottomRigh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865" t="n"/>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30" t="inlineStr">
        <is>
          <t>Offshore rate</t>
        </is>
      </c>
    </row>
    <row r="5" ht="14.25" customHeight="1" s="866">
      <c r="A5" s="1012" t="str">
        <f>$C5&amp;"|"&amp;$D5</f>
        <v>Engineering|S</v>
      </c>
      <c r="B5" s="865" t="n"/>
      <c r="C5" s="1831" t="inlineStr">
        <is>
          <t>Engineering</t>
        </is>
      </c>
      <c r="D5" s="1831" t="inlineStr">
        <is>
          <t>S</t>
        </is>
      </c>
      <c r="E5" s="1831" t="inlineStr">
        <is>
          <t>Lean build squad</t>
        </is>
      </c>
      <c r="F5" s="1832" t="n">
        <v>4.5</v>
      </c>
      <c r="G5" s="1833" t="n">
        <v>0.8</v>
      </c>
      <c r="H5" s="1833">
        <f>G5*$K$5</f>
        <v>0.32</v>
      </c>
      <c r="I5" s="1831"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4" t="inlineStr">
        <is>
          <t>Configuration / Integration</t>
        </is>
      </c>
      <c r="D8" s="1834" t="inlineStr">
        <is>
          <t>XS</t>
        </is>
      </c>
      <c r="E8" s="1834" t="inlineStr">
        <is>
          <t>MS Squad</t>
        </is>
      </c>
      <c r="F8" s="1835"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pane xSplit="2" ySplit="1" topLeftCell="C2" activePane="bottomRight" state="frozen"/>
      <selection pane="topRight"/>
      <selection pane="bottomLeft"/>
      <selection pane="bottomRigh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2"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3"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4"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6"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7"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5"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8" t="n">
        <v>116027</v>
      </c>
      <c r="B491" s="1839" t="inlineStr">
        <is>
          <t>Nidhi Aggarwal</t>
        </is>
      </c>
      <c r="C491" s="1839" t="inlineStr">
        <is>
          <t>Snr Engineer - Boomi</t>
        </is>
      </c>
      <c r="D491" s="1840" t="inlineStr">
        <is>
          <t>Mike Seales</t>
        </is>
      </c>
      <c r="E491" s="1840" t="inlineStr">
        <is>
          <t>Technology Manager Integration &amp; Process Managemetn</t>
        </is>
      </c>
      <c r="F491" s="1841" t="inlineStr">
        <is>
          <t>TDD Group Functions</t>
        </is>
      </c>
      <c r="G491" s="1837" t="inlineStr">
        <is>
          <t>TDD &amp; Engineering</t>
        </is>
      </c>
      <c r="H491" s="1840" t="inlineStr">
        <is>
          <t>Integration &amp; Process Management</t>
        </is>
      </c>
      <c r="I491" s="1840" t="inlineStr">
        <is>
          <t>TDD</t>
        </is>
      </c>
      <c r="J491" s="1837" t="inlineStr">
        <is>
          <t>TDD</t>
        </is>
      </c>
      <c r="K491" s="1837" t="inlineStr">
        <is>
          <t>Integration &amp; Process automation</t>
        </is>
      </c>
      <c r="L491" s="1837" t="n"/>
      <c r="M491" s="1842" t="inlineStr">
        <is>
          <t>NZ</t>
        </is>
      </c>
      <c r="N491" s="1836" t="n"/>
      <c r="O491" s="1836" t="n">
        <v>1</v>
      </c>
      <c r="P491" s="1836" t="n"/>
      <c r="Q491" s="1836" t="inlineStr">
        <is>
          <t>Permanent - Full Time</t>
        </is>
      </c>
      <c r="R491" s="1843" t="n"/>
      <c r="S491" s="1843" t="n"/>
      <c r="T491" s="1844" t="n">
        <v>150000</v>
      </c>
      <c r="U491" s="1845" t="n"/>
      <c r="V491" s="1846" t="n"/>
      <c r="W491" s="1847" t="n"/>
      <c r="X491" s="1847" t="n"/>
      <c r="Y491" s="1848" t="n"/>
      <c r="Z491" s="1847" t="n"/>
      <c r="AA491" s="1849">
        <f>IF(TRIM($B491)="","",IF(N($AU491)&gt;0,$AU491,IF(N($S491)&gt;0,$S491*Lists!$AG$15*(1+N($Z491)),N($U491)*(1+N($V491)+N($W491)+N($X491)+N($Z491))+N($Y491))))</f>
        <v>0</v>
      </c>
      <c r="AB491" s="1850"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51"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51" t="str">
        <f>IF(TRIM($B491)="","",IFERROR(INDEX(Lists!$AA:$AA,MATCH($AP491,Lists!$Z:$Z,0)),$AP491))</f>
        <v>Integration &amp; Process Automation</v>
      </c>
      <c r="AT491" s="1851"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52"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3">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4">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3">
        <f>N('0.1 Budget Table (Fin)'!N9)</f>
        <v>1.3</v>
      </c>
      <c r="J15" s="1855"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3">
        <f>N('0.1 Budget Table (Fin)'!P9)</f>
        <v>11.8</v>
      </c>
      <c r="J16" s="1855"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3">
        <f>N('0.1 Budget Table (Fin)'!O9)</f>
        <v>6.8</v>
      </c>
      <c r="J17" s="1833">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3" t="n"/>
      <c r="J18" s="1833">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3" t="n"/>
      <c r="J19" s="1833">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3" t="n"/>
      <c r="J20" s="1833">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3"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3">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3">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3">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3">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3">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3">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3"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3">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13" t="inlineStr">
        <is>
          <t>Platform: Pricing &amp; WFM - combined into Above Store, no squad of its own</t>
        </is>
      </c>
      <c r="C39" s="1814" t="n"/>
      <c r="D39" s="1814" t="n"/>
      <c r="E39" s="1814" t="n"/>
      <c r="F39" s="1814" t="n"/>
      <c r="G39" s="1814" t="n"/>
      <c r="H39" s="1814" t="n"/>
      <c r="I39" s="1814" t="n"/>
      <c r="J39" s="1814" t="n"/>
      <c r="K39" s="1815" t="n"/>
      <c r="L39" s="1815" t="n"/>
      <c r="M39" s="865" t="n"/>
      <c r="N39" s="865" t="n"/>
      <c r="O39" s="865" t="n"/>
    </row>
    <row r="40" s="866">
      <c r="B40" s="1816" t="n"/>
      <c r="C40" s="1816" t="n"/>
      <c r="D40" s="1816" t="n"/>
      <c r="E40" s="1816" t="n"/>
      <c r="F40" s="1816" t="n"/>
      <c r="G40" s="1816" t="n"/>
      <c r="H40" s="1816" t="n"/>
      <c r="I40" s="1816" t="n"/>
      <c r="J40" s="1816" t="n"/>
      <c r="K40" s="1815" t="n"/>
      <c r="L40" s="1815" t="n"/>
      <c r="M40" s="865" t="n"/>
      <c r="N40" s="865" t="n"/>
      <c r="O40" s="865" t="n"/>
    </row>
    <row r="41" s="866">
      <c r="B41" s="1815" t="n"/>
      <c r="C41" s="1815" t="n"/>
      <c r="D41" s="1815" t="n"/>
      <c r="E41" s="1815" t="n"/>
      <c r="F41" s="1815" t="n"/>
      <c r="G41" s="1817" t="n"/>
      <c r="H41" s="1818" t="n"/>
      <c r="I41" s="1818" t="n"/>
      <c r="J41" s="1818" t="n"/>
      <c r="K41" s="1815" t="n"/>
      <c r="L41" s="1815" t="n"/>
      <c r="M41" s="865" t="n"/>
      <c r="N41" s="865" t="n"/>
      <c r="O41" s="865" t="n"/>
    </row>
    <row r="42" s="866">
      <c r="B42" s="1815" t="n"/>
      <c r="C42" s="1815" t="n"/>
      <c r="D42" s="1815" t="n"/>
      <c r="E42" s="1815" t="n"/>
      <c r="F42" s="1815" t="n"/>
      <c r="G42" s="1817" t="n"/>
      <c r="H42" s="1818" t="n"/>
      <c r="I42" s="1818" t="n"/>
      <c r="J42" s="1818" t="n"/>
      <c r="K42" s="1815" t="n"/>
      <c r="L42" s="1815" t="n"/>
      <c r="M42" s="865" t="n"/>
      <c r="N42" s="865" t="n"/>
      <c r="O42" s="865" t="n"/>
    </row>
    <row r="43" s="866">
      <c r="B43" s="1815" t="n"/>
      <c r="C43" s="1815" t="n"/>
      <c r="D43" s="1815" t="n"/>
      <c r="E43" s="1815" t="n"/>
      <c r="F43" s="1815" t="n"/>
      <c r="G43" s="1815" t="n"/>
      <c r="H43" s="1815" t="n"/>
      <c r="I43" s="1818" t="n"/>
      <c r="J43" s="1815" t="n"/>
      <c r="K43" s="1815" t="n"/>
      <c r="L43" s="1815" t="n"/>
      <c r="M43" s="865" t="n"/>
      <c r="N43" s="865" t="n"/>
      <c r="O43" s="865" t="n"/>
    </row>
    <row r="44" s="866">
      <c r="B44" s="1815" t="n"/>
      <c r="C44" s="1815" t="n"/>
      <c r="D44" s="1815" t="n"/>
      <c r="E44" s="1815" t="n"/>
      <c r="F44" s="1815" t="n"/>
      <c r="G44" s="1815" t="n"/>
      <c r="H44" s="1818" t="n"/>
      <c r="I44" s="1818" t="n"/>
      <c r="J44" s="1818" t="n"/>
      <c r="K44" s="1815" t="n"/>
      <c r="L44" s="1815" t="n"/>
      <c r="M44" s="865" t="n"/>
      <c r="N44" s="865" t="n"/>
      <c r="O44" s="865" t="n"/>
    </row>
    <row r="45" s="866">
      <c r="B45" s="1815" t="n"/>
      <c r="C45" s="1815" t="n"/>
      <c r="D45" s="1815" t="n"/>
      <c r="E45" s="1815" t="n"/>
      <c r="F45" s="1815" t="n"/>
      <c r="G45" s="1815" t="n"/>
      <c r="H45" s="1815" t="n"/>
      <c r="I45" s="1815" t="n"/>
      <c r="J45" s="1815" t="n"/>
      <c r="K45" s="1815" t="n"/>
      <c r="L45" s="1815"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5"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33"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3">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3">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3">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3">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5"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33"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pane xSplit="2" ySplit="5" topLeftCell="C6" activePane="bottomRight" state="frozen"/>
      <selection pane="topRight"/>
      <selection pane="bottomLeft"/>
      <selection pane="bottomRigh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2"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3">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6">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3">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3">
        <f>N('0.1 Budget Table (Fin)'!N13)</f>
        <v>0</v>
      </c>
      <c r="J15" s="1855"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3">
        <f>N('0.1 Budget Table (Fin)'!P13)</f>
        <v>5</v>
      </c>
      <c r="J16" s="1855"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3" t="n"/>
      <c r="J17" s="1833">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3">
        <f>N('0.1 Budget Table (Fin)'!O13)</f>
        <v>5</v>
      </c>
      <c r="J18" s="1855"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3" t="n"/>
      <c r="J19" s="1857" t="n"/>
      <c r="K19" s="1014" t="n"/>
      <c r="L19" s="1401" t="n"/>
      <c r="M19" s="865" t="n"/>
      <c r="N19" s="865" t="n"/>
      <c r="O19" s="865" t="n"/>
    </row>
    <row r="20" ht="14.25" customHeight="1" s="866">
      <c r="B20" s="865" t="n"/>
      <c r="C20" s="865" t="n"/>
      <c r="D20" s="865" t="n"/>
      <c r="E20" s="865" t="n"/>
      <c r="F20" s="1312" t="n"/>
      <c r="G20" s="865" t="n"/>
      <c r="H20" s="1012" t="inlineStr">
        <is>
          <t>Z OpEx Initiatives</t>
        </is>
      </c>
      <c r="I20" s="1833" t="n"/>
      <c r="J20" s="1857" t="n"/>
      <c r="K20" s="1014" t="n"/>
      <c r="L20" s="1401" t="n"/>
      <c r="M20" s="865" t="n"/>
      <c r="N20" s="865" t="n"/>
      <c r="O20" s="865" t="n"/>
    </row>
    <row r="21" ht="14.25" customHeight="1" s="866">
      <c r="B21" s="865" t="n"/>
      <c r="C21" s="865" t="n"/>
      <c r="D21" s="865" t="n"/>
      <c r="E21" s="865" t="n"/>
      <c r="F21" s="1312" t="n"/>
      <c r="G21" s="865" t="n"/>
      <c r="H21" s="1012" t="inlineStr">
        <is>
          <t>Z CapEx</t>
        </is>
      </c>
      <c r="I21" s="1833" t="n"/>
      <c r="J21" s="1857" t="n"/>
      <c r="K21" s="1014" t="n"/>
      <c r="L21" s="1401" t="n"/>
      <c r="M21" s="865" t="n"/>
      <c r="N21" s="865" t="n"/>
      <c r="O21" s="865" t="n"/>
    </row>
    <row r="22" ht="14.25" customHeight="1" s="866">
      <c r="B22" s="865" t="n"/>
      <c r="C22" s="865" t="n"/>
      <c r="D22" s="865" t="n"/>
      <c r="E22" s="865" t="n"/>
      <c r="F22" s="1312" t="n"/>
      <c r="G22" s="865" t="n"/>
      <c r="H22" s="1012" t="inlineStr">
        <is>
          <t>Z Sig items</t>
        </is>
      </c>
      <c r="I22" s="1833" t="n"/>
      <c r="J22" s="1857" t="n"/>
      <c r="K22" s="1014" t="n"/>
      <c r="L22" s="1401" t="n"/>
      <c r="M22" s="865" t="n"/>
      <c r="N22" s="865" t="n"/>
      <c r="O22" s="865" t="n"/>
    </row>
    <row r="23" ht="14.25" customHeight="1" s="866">
      <c r="B23" s="865" t="n"/>
      <c r="C23" s="865" t="n"/>
      <c r="D23" s="865" t="n"/>
      <c r="E23" s="865" t="n"/>
      <c r="F23" s="1312" t="n"/>
      <c r="G23" s="865" t="n"/>
      <c r="H23" s="1012" t="inlineStr">
        <is>
          <t>Depreciation</t>
        </is>
      </c>
      <c r="I23" s="1833">
        <f>N('0.1 Budget Table (Fin)'!M13)</f>
        <v>0</v>
      </c>
      <c r="J23" s="1855"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3">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3">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3">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3">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3">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3">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5"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3">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8">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8">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8">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9"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8"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O38"/>
  <sheetViews>
    <sheetView showFormulas="0" showGridLines="0" showRowColHeaders="1" showZeros="1" rightToLeft="0" tabSelected="0" showOutlineSymbols="1" defaultGridColor="1" view="normal" topLeftCell="A1" colorId="64" zoomScale="90" zoomScaleNormal="90" zoomScalePageLayoutView="100" workbookViewId="0">
      <pane xSplit="2" ySplit="5" topLeftCell="C6" activePane="bottomRight" state="frozen"/>
      <selection pane="topRight"/>
      <selection pane="bottomLeft"/>
      <selection pane="bottomRigh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2"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3">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8" t="n"/>
      <c r="J14" s="1833">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8" t="n"/>
      <c r="J15" s="1855"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8" t="n"/>
      <c r="J16" s="1857">
        <f>H36</f>
        <v>0</v>
      </c>
      <c r="K16" s="1383" t="n"/>
    </row>
    <row r="17" ht="14.25" customHeight="1" s="866">
      <c r="B17" s="1336" t="inlineStr">
        <is>
          <t>Still to fund outside TDD</t>
        </is>
      </c>
      <c r="C17" s="1337">
        <f>$J17</f>
        <v>2.42</v>
      </c>
      <c r="D17" s="1312" t="n"/>
      <c r="E17" s="865" t="n"/>
      <c r="F17" s="1312" t="n"/>
      <c r="G17" s="865" t="n"/>
      <c r="H17" s="1361" t="inlineStr">
        <is>
          <t>Left to fund</t>
        </is>
      </c>
      <c r="I17" s="1858"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8" t="n"/>
      <c r="J18" s="1860" t="n"/>
      <c r="K18" s="1383" t="n"/>
      <c r="L18" s="865" t="n"/>
      <c r="M18" s="865" t="n"/>
    </row>
    <row r="19" ht="14.25" customHeight="1" s="866">
      <c r="H19" s="1380" t="n"/>
      <c r="I19" s="1858" t="n"/>
      <c r="J19" s="1860"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3">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3">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3">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3" t="n"/>
      <c r="I30" s="1014" t="n"/>
      <c r="J30" s="1014" t="n"/>
      <c r="K30" s="865" t="n"/>
      <c r="L30" s="1358" t="n"/>
      <c r="M30" s="865" t="n"/>
    </row>
    <row r="31" ht="14.25" customHeight="1" s="866">
      <c r="B31" s="1012" t="inlineStr">
        <is>
          <t>Platform Overhead</t>
        </is>
      </c>
      <c r="C31" s="865" t="n"/>
      <c r="D31" s="865" t="n"/>
      <c r="E31" s="865" t="n"/>
      <c r="F31" s="1312" t="n"/>
      <c r="G31" s="865" t="n"/>
      <c r="H31" s="865" t="n"/>
      <c r="I31" s="1833">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13" t="inlineStr">
        <is>
          <t>Platform: EGI Data - removed, no roles</t>
        </is>
      </c>
      <c r="C34" s="1814" t="n"/>
      <c r="D34" s="1814" t="n"/>
      <c r="E34" s="1814" t="n"/>
      <c r="F34" s="1814" t="n"/>
      <c r="G34" s="1814" t="n"/>
      <c r="H34" s="1814" t="n"/>
      <c r="I34" s="1814" t="n"/>
      <c r="J34" s="1814" t="n"/>
      <c r="K34" s="1815" t="n"/>
      <c r="L34" s="1815" t="n"/>
      <c r="M34" s="865" t="n"/>
    </row>
    <row r="35" s="866">
      <c r="B35" s="1816" t="n"/>
      <c r="C35" s="1816" t="n"/>
      <c r="D35" s="1816" t="n"/>
      <c r="E35" s="1816" t="n"/>
      <c r="F35" s="1816" t="n"/>
      <c r="G35" s="1816" t="n"/>
      <c r="H35" s="1816" t="n"/>
      <c r="I35" s="1816" t="n"/>
      <c r="J35" s="1816" t="n"/>
      <c r="K35" s="1815" t="n"/>
      <c r="L35" s="1815" t="n"/>
      <c r="M35" s="865" t="n"/>
    </row>
    <row r="36" s="866">
      <c r="B36" s="1815" t="n"/>
      <c r="C36" s="1815" t="n"/>
      <c r="D36" s="1815" t="n"/>
      <c r="E36" s="1815" t="n"/>
      <c r="F36" s="1819" t="n"/>
      <c r="G36" s="1817" t="n"/>
      <c r="H36" s="1818" t="n"/>
      <c r="I36" s="1818" t="n"/>
      <c r="J36" s="1818" t="n"/>
      <c r="K36" s="1814" t="n"/>
      <c r="L36" s="1814" t="n"/>
    </row>
    <row r="37" s="866">
      <c r="B37" s="1815" t="n"/>
      <c r="C37" s="1815" t="n"/>
      <c r="D37" s="1815" t="n"/>
      <c r="E37" s="1815" t="n"/>
      <c r="F37" s="1815" t="n"/>
      <c r="G37" s="1815" t="n"/>
      <c r="H37" s="1815" t="n"/>
      <c r="I37" s="1818" t="n"/>
      <c r="J37" s="1815" t="n"/>
      <c r="K37" s="1814" t="n"/>
      <c r="L37" s="1814" t="n"/>
    </row>
    <row r="38" s="866">
      <c r="B38" s="1815" t="n"/>
      <c r="C38" s="1815" t="n"/>
      <c r="D38" s="1815" t="n"/>
      <c r="E38" s="1815" t="n"/>
      <c r="F38" s="1815" t="n"/>
      <c r="G38" s="1815" t="n"/>
      <c r="H38" s="1818" t="n"/>
      <c r="I38" s="1818" t="n"/>
      <c r="J38" s="1818" t="n"/>
      <c r="K38" s="1814" t="n"/>
      <c r="L38" s="1814" t="n"/>
    </row>
  </sheetData>
  <mergeCells count="4">
    <mergeCell ref="B25:J25"/>
    <mergeCell ref="H4:I4"/>
    <mergeCell ref="H12:K12"/>
    <mergeCell ref="B4:E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2"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3">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3" t="n"/>
      <c r="J13" s="1833">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33" t="n"/>
      <c r="J14" s="1833">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3"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3" t="n"/>
      <c r="J16" s="1857" t="n"/>
      <c r="K16" s="865" t="n"/>
      <c r="L16" s="865" t="n"/>
      <c r="M16" s="865" t="n"/>
      <c r="N16" s="865" t="n"/>
    </row>
    <row r="17" ht="14.25" customHeight="1" s="866">
      <c r="B17" s="1342" t="inlineStr">
        <is>
          <t>Total to fund</t>
        </is>
      </c>
      <c r="C17" s="1343">
        <f>$C15+$C16</f>
        <v>1.2575</v>
      </c>
      <c r="D17" s="865" t="n"/>
      <c r="E17" s="865" t="n"/>
      <c r="F17" s="1312" t="n"/>
      <c r="G17" s="865" t="n"/>
      <c r="H17" s="1012" t="n"/>
      <c r="I17" s="1833" t="n"/>
      <c r="J17" s="1857"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61" t="inlineStr">
        <is>
          <t>Nbr Archetype Roles</t>
        </is>
      </c>
      <c r="N20" s="1862" t="inlineStr">
        <is>
          <t>Published Roles</t>
        </is>
      </c>
      <c r="O20" s="1863" t="inlineStr">
        <is>
          <t>Review Outcome</t>
        </is>
      </c>
      <c r="P20" s="1863" t="inlineStr">
        <is>
          <t>Vacant Now</t>
        </is>
      </c>
      <c r="Q20" s="1863" t="inlineStr">
        <is>
          <t>FY27</t>
        </is>
      </c>
      <c r="R20" s="1863"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3">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4" t="n">
        <v>6</v>
      </c>
      <c r="N21" s="1864" t="n">
        <v>6</v>
      </c>
      <c r="O21" s="1864" t="inlineStr">
        <is>
          <t>No Change</t>
        </is>
      </c>
      <c r="P21" s="1864" t="n">
        <v>2</v>
      </c>
      <c r="Q21" s="1864"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3">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4" t="n">
        <v>10</v>
      </c>
      <c r="N22" s="1864" t="n">
        <v>13</v>
      </c>
      <c r="O22" s="1428" t="inlineStr">
        <is>
          <t>Reduce CSA by 2</t>
        </is>
      </c>
      <c r="P22" s="1864" t="n">
        <v>2</v>
      </c>
      <c r="Q22" s="1864" t="n">
        <v>11</v>
      </c>
      <c r="R22" s="1864"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3">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5" t="inlineStr">
        <is>
          <t>Remove Lead Engineer Software and Test Automation</t>
        </is>
      </c>
      <c r="P23" s="1864"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3">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4" t="n">
        <v>9</v>
      </c>
      <c r="N24" s="1864" t="n">
        <v>10</v>
      </c>
      <c r="O24" s="1865" t="inlineStr">
        <is>
          <t>Oversubscribed RPA costs</t>
        </is>
      </c>
      <c r="P24" s="1864" t="n">
        <v>2</v>
      </c>
      <c r="Q24" s="1864" t="n">
        <v>10</v>
      </c>
    </row>
    <row r="25" ht="14.25" customHeight="1" s="866">
      <c r="B25" s="1012" t="inlineStr">
        <is>
          <t>Platform Overhead</t>
        </is>
      </c>
      <c r="C25" s="865" t="n"/>
      <c r="D25" s="865" t="n"/>
      <c r="E25" s="865" t="n"/>
      <c r="F25" s="1312" t="n"/>
      <c r="G25" s="865" t="n"/>
      <c r="H25" s="865" t="n"/>
      <c r="I25" s="1833">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52" t="n"/>
      <c r="D28" s="1852" t="n"/>
      <c r="E28" s="1852" t="n"/>
      <c r="F28" s="1852" t="n"/>
      <c r="G28" s="1852" t="n"/>
      <c r="H28" s="1852" t="n"/>
      <c r="I28" s="1852" t="n"/>
      <c r="J28" s="1852"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5"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pane xSplit="2" ySplit="5" topLeftCell="C6" activePane="bottomRight" state="frozen"/>
      <selection pane="topRight"/>
      <selection pane="bottomLeft"/>
      <selection pane="bottomRigh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2"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3">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8">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8">
        <f>N('0.1 Budget Table (Fin)'!N12)</f>
        <v>2</v>
      </c>
      <c r="J14" s="1860">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8">
        <f>N('0.1 Budget Table (Fin)'!P12)</f>
        <v>0.3</v>
      </c>
      <c r="J15" s="1860">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8">
        <f>N('0.1 Budget Table (Fin)'!O12)</f>
        <v>1.4</v>
      </c>
      <c r="J16" s="1860">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8" t="n"/>
      <c r="J17" s="1858">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8">
        <f>N('0.1 Budget Table (Fin)'!M12)</f>
        <v>0</v>
      </c>
      <c r="J18" s="1859"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4"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61" t="inlineStr">
        <is>
          <t>Nbr Archetype Roles</t>
        </is>
      </c>
      <c r="N24" s="1862" t="inlineStr">
        <is>
          <t>Published Roles</t>
        </is>
      </c>
      <c r="O24" s="1863" t="inlineStr">
        <is>
          <t>Review Outcome</t>
        </is>
      </c>
      <c r="P24" s="1863" t="inlineStr">
        <is>
          <t>Vacant Now</t>
        </is>
      </c>
      <c r="Q24" s="1863"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8">
        <f>IFERROR(IF($E25="Onshore",INDEX('0.3 Squad Archetypes'!$G$5:$G$23,MATCH($C25&amp;"|"&amp;$D25,'0.3 Squad Archetypes'!$A$5:$A$23,0)),INDEX('0.3 Squad Archetypes'!$H$5:$H$23,MATCH($C25&amp;"|"&amp;$D25,'0.3 Squad Archetypes'!$A$5:$A$23,0))),"check size")</f>
        <v>2.1</v>
      </c>
      <c r="I25" s="1383">
        <f>IFERROR($H25*$G25,"")</f>
        <v>0.63</v>
      </c>
      <c r="J25" s="1383">
        <f>IFERROR($H25*(1-$G25),"")</f>
        <v>1.47</v>
      </c>
      <c r="M25" s="1864" t="n">
        <v>9</v>
      </c>
      <c r="N25" s="1864" t="n">
        <v>9</v>
      </c>
      <c r="O25" s="1865" t="n"/>
      <c r="P25" s="1864" t="n">
        <v>4</v>
      </c>
      <c r="Q25" s="1864"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8">
        <f>IFERROR(IF($E26="Onshore",INDEX('0.3 Squad Archetypes'!$G$5:$G$23,MATCH($C26&amp;"|"&amp;$D26,'0.3 Squad Archetypes'!$A$5:$A$23,0)),INDEX('0.3 Squad Archetypes'!$H$5:$H$23,MATCH($C26&amp;"|"&amp;$D26,'0.3 Squad Archetypes'!$A$5:$A$23,0))),"check size")</f>
        <v>1.4</v>
      </c>
      <c r="I26" s="1383">
        <f>IFERROR($H26*$G26,"")</f>
        <v>0.42</v>
      </c>
      <c r="J26" s="1383">
        <f>IFERROR($H26*(1-$G26),"")</f>
        <v>0.98</v>
      </c>
      <c r="M26" s="1864" t="n">
        <v>6</v>
      </c>
      <c r="N26" s="1864" t="n">
        <v>5</v>
      </c>
      <c r="O26" s="1865" t="n"/>
      <c r="P26" s="1864" t="n">
        <v>5</v>
      </c>
      <c r="Q26" s="1864" t="n">
        <v>5</v>
      </c>
    </row>
    <row r="27" ht="14.25" customHeight="1" s="866">
      <c r="B27" s="1380" t="inlineStr">
        <is>
          <t>Platform Overhead</t>
        </is>
      </c>
      <c r="C27" s="865" t="n"/>
      <c r="D27" s="865" t="n"/>
      <c r="E27" s="865" t="n"/>
      <c r="F27" s="1312" t="n"/>
      <c r="G27" s="865" t="n"/>
      <c r="H27" s="1382" t="n"/>
      <c r="I27" s="1858">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52" t="n"/>
      <c r="D30" s="1852" t="n"/>
      <c r="E30" s="1852" t="n"/>
      <c r="F30" s="1852" t="n"/>
      <c r="G30" s="1852" t="n"/>
      <c r="H30" s="1852" t="n"/>
      <c r="I30" s="1852" t="n"/>
      <c r="J30" s="1852"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7" t="n"/>
      <c r="I32" s="1014">
        <f>IFERROR($H32*$G32,"")</f>
        <v>0</v>
      </c>
      <c r="J32" s="1014">
        <f>IFERROR($H32*(1-$G32),"")</f>
        <v>0</v>
      </c>
      <c r="K32" s="1358" t="n"/>
      <c r="L32" s="865" t="n"/>
      <c r="M32" s="865" t="n"/>
      <c r="N32" s="1364" t="str">
        <f>"People in this program today cost "&amp;TEXT(SUMIFS('REVIEW - Complete Role Mapping'!$AA$2:$AA$530,'REVIEW - Complete Role Mapping'!$AP$2:$AP$530,$B32)/1000000,"0.00")&amp;"m. Set the agreed cost in the yellow cell."</f>
        <v>People in this program today cost 0.24m. Set the agreed cost in the yellow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2"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3">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8">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8">
        <f>N('0.1 Budget Table (Fin)'!N11)</f>
        <v>0.9</v>
      </c>
      <c r="J15" s="1860">
        <f>I15*0.5</f>
        <v>0.45</v>
      </c>
      <c r="K15" s="1383">
        <f>IFERROR(I15-J15,0)</f>
        <v>0.45</v>
      </c>
      <c r="L15" s="865" t="n"/>
      <c r="M15" s="1864"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8">
        <f>N('0.1 Budget Table (Fin)'!P11)</f>
        <v>0</v>
      </c>
      <c r="J16" s="1859"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8">
        <f>N('0.1 Budget Table (Fin)'!O11)</f>
        <v>0</v>
      </c>
      <c r="J17" s="1859"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8" t="n"/>
      <c r="J18" s="1858">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8">
        <f>N('0.1 Budget Table (Fin)'!M11)</f>
        <v>0</v>
      </c>
      <c r="J19" s="1859"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6" t="inlineStr">
        <is>
          <t>Nbr Archetype Roles</t>
        </is>
      </c>
      <c r="L25" s="1867" t="inlineStr">
        <is>
          <t>Published Roles</t>
        </is>
      </c>
      <c r="M25" s="1863" t="inlineStr">
        <is>
          <t>Review Outcome</t>
        </is>
      </c>
      <c r="N25" s="1863" t="inlineStr">
        <is>
          <t>Vacant Now</t>
        </is>
      </c>
      <c r="O25" s="1863"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8">
        <f>IFERROR(IF($E26="Onshore",INDEX('0.3 Squad Archetypes'!$G$5:$G$23,MATCH($C26&amp;"|"&amp;$D26,'0.3 Squad Archetypes'!$A$5:$A$23,0)),INDEX('0.3 Squad Archetypes'!$H$5:$H$23,MATCH($C26&amp;"|"&amp;$D26,'0.3 Squad Archetypes'!$A$5:$A$23,0))),"check size")</f>
        <v>1.4</v>
      </c>
      <c r="I26" s="1383">
        <f>IFERROR($H26*$G26,"")</f>
        <v>0.28</v>
      </c>
      <c r="J26" s="1383">
        <f>IFERROR($H26*(1-$G26),"")</f>
        <v>1.12</v>
      </c>
      <c r="K26" s="1868" t="n">
        <v>6</v>
      </c>
      <c r="L26" s="1864" t="n">
        <v>9</v>
      </c>
      <c r="M26" s="1428" t="inlineStr">
        <is>
          <t>remove 2 roles</t>
        </is>
      </c>
      <c r="N26" s="1864" t="n">
        <v>5</v>
      </c>
      <c r="O26" s="1864"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8">
        <f>IFERROR(IF($E27="Onshore",INDEX('0.3 Squad Archetypes'!$G$5:$G$23,MATCH($C27&amp;"|"&amp;$D27,'0.3 Squad Archetypes'!$A$5:$A$23,0)),INDEX('0.3 Squad Archetypes'!$H$5:$H$23,MATCH($C27&amp;"|"&amp;$D27,'0.3 Squad Archetypes'!$A$5:$A$23,0))),"check size")</f>
        <v>1.4</v>
      </c>
      <c r="I27" s="1383">
        <f>IFERROR($H27*$G27,"")</f>
        <v>1.4</v>
      </c>
      <c r="J27" s="1383">
        <f>IFERROR($H27*(1-$G27),"")</f>
        <v>0</v>
      </c>
      <c r="K27" s="1868" t="n">
        <v>6</v>
      </c>
      <c r="L27" s="1864" t="n">
        <v>5</v>
      </c>
      <c r="M27" s="1428" t="n"/>
      <c r="N27" s="1864" t="n">
        <v>1</v>
      </c>
      <c r="O27" s="1864" t="n">
        <v>5</v>
      </c>
    </row>
    <row r="28" ht="14.25" customHeight="1" s="866">
      <c r="B28" s="1380" t="inlineStr">
        <is>
          <t>Platform Overhead</t>
        </is>
      </c>
      <c r="C28" s="1382" t="n"/>
      <c r="D28" s="1382" t="n"/>
      <c r="E28" s="1382" t="n"/>
      <c r="F28" s="1312" t="n"/>
      <c r="G28" s="1382" t="n"/>
      <c r="H28" s="1382" t="n"/>
      <c r="I28" s="1858">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52" t="n"/>
      <c r="D31" s="1852" t="n"/>
      <c r="E31" s="1852" t="n"/>
      <c r="F31" s="1852" t="n"/>
      <c r="G31" s="1852" t="n"/>
      <c r="H31" s="1852" t="n"/>
      <c r="I31" s="1852" t="n"/>
      <c r="J31" s="1852"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5"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O4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2"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8">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8">
        <f>N('0.1 Budget Table (Fin)'!N10)</f>
        <v>0.4</v>
      </c>
      <c r="J15" s="1859"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8">
        <f>N('0.1 Budget Table (Fin)'!P10)</f>
        <v>5</v>
      </c>
      <c r="J16" s="1860">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8">
        <f>N('0.1 Budget Table (Fin)'!O10)</f>
        <v>0</v>
      </c>
      <c r="J17" s="1859"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8">
        <f>N('0.1 Budget Table (Fin)'!M10)</f>
        <v>0</v>
      </c>
      <c r="J18" s="1859"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8">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8">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8">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8">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8">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8">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8">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O40"/>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2"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3">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8">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9" t="n">
        <v>2.5</v>
      </c>
      <c r="J14" s="1859"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9" t="n">
        <v>2.5</v>
      </c>
      <c r="J15" s="1859"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60" t="n"/>
      <c r="J16" s="1860"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60" t="n"/>
      <c r="J17" s="1860"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60" t="n"/>
      <c r="J18" s="1859" t="n">
        <v>1.5</v>
      </c>
      <c r="K18" s="1383" t="n"/>
      <c r="L18" s="1401" t="n"/>
      <c r="M18" s="865" t="n"/>
    </row>
    <row r="19" ht="14.25" customHeight="1" s="866">
      <c r="B19" s="865" t="n"/>
      <c r="C19" s="865" t="n"/>
      <c r="D19" s="865" t="n"/>
      <c r="E19" s="865" t="n"/>
      <c r="F19" s="1312" t="n"/>
      <c r="G19" s="865" t="n"/>
      <c r="H19" s="1380" t="inlineStr">
        <is>
          <t>Significant Items</t>
        </is>
      </c>
      <c r="I19" s="1858">
        <f>N('0.1 Budget Table (Fin)'!O7)</f>
        <v>0</v>
      </c>
      <c r="J19" s="1859" t="n">
        <v>0</v>
      </c>
      <c r="K19" s="1383">
        <f>IFERROR(I19-J19,0)</f>
        <v>0</v>
      </c>
      <c r="L19" s="1401" t="n"/>
      <c r="M19" s="865" t="n"/>
    </row>
    <row r="20" ht="14.25" customHeight="1" s="866">
      <c r="B20" s="865" t="n"/>
      <c r="C20" s="865" t="n"/>
      <c r="D20" s="865" t="n"/>
      <c r="E20" s="865" t="n"/>
      <c r="F20" s="1312" t="n"/>
      <c r="G20" s="865" t="n"/>
      <c r="H20" s="1380" t="inlineStr">
        <is>
          <t>Depreciation</t>
        </is>
      </c>
      <c r="I20" s="1858">
        <f>N('0.1 Budget Table (Fin)'!M7)</f>
        <v>0</v>
      </c>
      <c r="J20" s="1859"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8">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8">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8">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8">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8">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2"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3">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3">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3">
        <f>N('0.1 Budget Table (Fin)'!N8)</f>
        <v>6.1</v>
      </c>
      <c r="J14" s="1855"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3">
        <f>N('0.1 Budget Table (Fin)'!P8)</f>
        <v>6.8</v>
      </c>
      <c r="J15" s="1855"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3">
        <f>N('0.1 Budget Table (Fin)'!P5)</f>
        <v>4.9</v>
      </c>
      <c r="J16" s="1857"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3">
        <f>N('0.1 Budget Table (Fin)'!O8)</f>
        <v>14.2</v>
      </c>
      <c r="J17" s="1833">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3">
        <f>N('0.1 Budget Table (Fin)'!M8)</f>
        <v>0</v>
      </c>
      <c r="J18" s="1855"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3">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3">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3">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3">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3">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5"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3">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O41"/>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2"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3">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8">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8">
        <f>N('0.1 Budget Table (Fin)'!N6)</f>
        <v>1.4</v>
      </c>
      <c r="J15" s="1859"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8">
        <f>N('0.1 Budget Table (Fin)'!P6)</f>
        <v>11.7</v>
      </c>
      <c r="J16" s="1859"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8">
        <f>N('0.1 Budget Table (Fin)'!$O$6)</f>
        <v>0</v>
      </c>
      <c r="J17" s="1859"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8">
        <f>N('0.1 Budget Table (Fin)'!M6)</f>
        <v>11.3</v>
      </c>
      <c r="J18" s="1859"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8">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8">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8">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8">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8">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3">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33"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pane xSplit="2" ySplit="5" topLeftCell="C6" activePane="bottomRight" state="frozen"/>
      <selection pane="topRight"/>
      <selection pane="bottomLeft"/>
      <selection pane="bottomRigh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52" t="n"/>
      <c r="D4" s="1852" t="n"/>
      <c r="E4" s="1852" t="n"/>
      <c r="F4" s="1852" t="n"/>
      <c r="G4" s="1852" t="n"/>
      <c r="H4" s="1852" t="n"/>
      <c r="I4" s="1852" t="n"/>
      <c r="J4" s="1852"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4.2</v>
      </c>
      <c r="H6" s="1473">
        <f>$F6-$G6</f>
        <v>-0.907437408</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6.2</v>
      </c>
      <c r="H8" s="1477">
        <f>$F8-$G8</f>
        <v>0.200561822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C14+C13</f>
        <v>4.2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6.2</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0" t="inlineStr">
        <is>
          <t>Offshore discount in the AU / NZ split ($m)</t>
        </is>
      </c>
      <c r="C18" s="1358" t="n"/>
      <c r="D18" s="1358" t="n"/>
      <c r="E18" s="1358" t="n"/>
      <c r="F18" s="1772">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9" t="n"/>
      <c r="G19" s="1527" t="n"/>
      <c r="H19" s="1869"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52" t="n"/>
      <c r="D4" s="1852" t="n"/>
      <c r="E4" s="1852" t="n"/>
      <c r="F4" s="1852" t="n"/>
      <c r="G4" s="1852" t="n"/>
      <c r="H4" s="1852" t="n"/>
      <c r="I4" s="1852" t="n"/>
      <c r="J4" s="1852" t="n"/>
      <c r="K4" s="1852"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3.4</v>
      </c>
      <c r="I6" s="1473">
        <f>$G6-$H6</f>
        <v>0.558617086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5.4</v>
      </c>
      <c r="I8" s="1477">
        <f>$G8-$H8</f>
        <v>1.129494052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C14+C13</f>
        <v>3.4</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5.4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0" t="inlineStr">
        <is>
          <t>Offshore discount in the AU / NZ split ($m)</t>
        </is>
      </c>
      <c r="C19" s="1487" t="n"/>
      <c r="D19" s="1487" t="n"/>
      <c r="E19" s="1487" t="n"/>
      <c r="F19" s="1358" t="n"/>
      <c r="G19" s="1772">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9" t="n"/>
      <c r="G20" s="1527" t="n"/>
      <c r="H20" s="1869"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pane xSplit="2" ySplit="5" topLeftCell="C6" activePane="bottomRight" state="frozen"/>
      <selection pane="topRight"/>
      <selection pane="bottomLeft"/>
      <selection pane="bottomRigh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70" t="n"/>
      <c r="D4" s="1870" t="n"/>
      <c r="E4" s="1870" t="n"/>
      <c r="F4" s="1870" t="n"/>
      <c r="G4" s="1870" t="n"/>
      <c r="H4" s="1870" t="n"/>
      <c r="I4" s="1870" t="n"/>
      <c r="J4" s="1870" t="n"/>
    </row>
    <row r="5" ht="48" customHeight="1" s="866">
      <c r="B5" s="1318" t="inlineStr">
        <is>
          <t>Grouping</t>
        </is>
      </c>
      <c r="C5" s="1830" t="inlineStr">
        <is>
          <t>Roles</t>
        </is>
      </c>
      <c r="D5" s="1830" t="inlineStr">
        <is>
          <t>Filled</t>
        </is>
      </c>
      <c r="E5" s="1830" t="inlineStr">
        <is>
          <t>Vacant</t>
        </is>
      </c>
      <c r="F5" s="1830" t="inlineStr">
        <is>
          <t>Planned spend ($m)</t>
        </is>
      </c>
      <c r="G5" s="1830" t="inlineStr">
        <is>
          <t>Budget to draw down ($m)</t>
        </is>
      </c>
      <c r="H5" s="1830"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2"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3"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70" t="n"/>
      <c r="D17" s="1870" t="n"/>
      <c r="E17" s="1870" t="n"/>
      <c r="F17" s="1870" t="n"/>
      <c r="G17" s="1870" t="n"/>
      <c r="H17" s="1871" t="n"/>
      <c r="I17" s="1871" t="n"/>
      <c r="J17" s="1871"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inlineStr">
        <is>
          <t>Roles and costs come straight from Sheet2 (updated cyber, risk and operations FTE list).</t>
        </is>
      </c>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9"/>
  <sheetViews>
    <sheetView showFormulas="0" showGridLines="0" showRowColHeaders="1" showZeros="1" rightToLeft="0" tabSelected="0" showOutlineSymbols="1" defaultGridColor="1" view="normal" topLeftCell="A1" colorId="64" zoomScale="80" zoomScaleNormal="8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Above Store</t>
        </is>
      </c>
      <c r="C7" s="1530" t="str">
        <f>IFERROR(INDEX('1.1 Ampol Retail'!$C$23:$C$68,MATCH($B7,'1.1 Ampol Retail'!$B$23:$B$68,0)),"Not on the 1.x tab")</f>
        <v>Configuration / Integration</v>
      </c>
      <c r="D7" s="1530" t="str">
        <f>IFERROR(IF(INDEX('1.1 Ampol Retail'!$D$23:$D$68,MATCH($B7,'1.1 Ampol Retail'!$B$23:$B$68,0))="","-",INDEX('1.1 Ampol Retail'!$D$23:$D$68,MATCH($B7,'1.1 Ampol Retail'!$B$23:$B$68,0))),"-")</f>
        <v>M</v>
      </c>
      <c r="E7" s="1782">
        <f>IFERROR(INDEX('0.3 Squad Archetypes'!$F$5:$F$23,MATCH($C7&amp;"|"&amp;$D7,'0.3 Squad Archetypes'!$A$5:$A$23,0)),"-")</f>
        <v>9</v>
      </c>
      <c r="F7" s="1773">
        <f>COUNTA($B$38:$B$48)</f>
        <v>11</v>
      </c>
      <c r="G7" s="1773">
        <f>COUNTIFS($D$38:$D$48,"Filled")</f>
        <v>7</v>
      </c>
      <c r="H7" s="1773">
        <f>COUNTIFS($D$38:$D$48,"Vacant")</f>
        <v>4</v>
      </c>
      <c r="I7" s="1773">
        <f>COUNTIFS($D$38:$D$48,"Vacant",$E$38:$E$48,"Hire")</f>
        <v>4</v>
      </c>
      <c r="J7" s="1773">
        <f>COUNTIFS($E$38:$E$48,"Offshore")</f>
        <v>0</v>
      </c>
      <c r="K7" s="1773">
        <f>COUNTIFS($E$38:$E$48,"Hold")</f>
        <v>0</v>
      </c>
      <c r="L7" s="1773">
        <f>$F7-$K7</f>
        <v>11</v>
      </c>
      <c r="M7" s="1772">
        <f>IFERROR(IF(INDEX('1.1 Ampol Retail'!$E$23:$E$68,MATCH($B7,'1.1 Ampol Retail'!$B$23:$B$68,0))="Offshore",INDEX('0.3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2.097921857</v>
      </c>
      <c r="O7" s="1772">
        <f>IFERROR(ROUND($N7-$M7,6),"-")</f>
        <v>-0.002078</v>
      </c>
      <c r="P7" s="1772">
        <f>SUM($G$38:$G$48)/1000000</f>
        <v>2.097921857</v>
      </c>
      <c r="Q7" s="1772">
        <f>IFERROR(ROUND($P7-$M7,6),"-")</f>
        <v>-0.002078</v>
      </c>
    </row>
    <row r="8">
      <c r="B8" s="1530" t="inlineStr">
        <is>
          <t>Data AU</t>
        </is>
      </c>
      <c r="C8" s="1530" t="str">
        <f>IFERROR(INDEX('1.1 Ampol Retail'!$C$23:$C$68,MATCH($B8,'1.1 Ampol Retail'!$B$23:$B$68,0)),"Not on the 1.x tab")</f>
        <v>Enterprise Data and Insights</v>
      </c>
      <c r="D8" s="1530" t="str">
        <f>IFERROR(IF(INDEX('1.1 Ampol Retail'!$D$23:$D$68,MATCH($B8,'1.1 Ampol Retail'!$B$23:$B$68,0))="","-",INDEX('1.1 Ampol Retail'!$D$23:$D$68,MATCH($B8,'1.1 Ampol Retail'!$B$23:$B$68,0))),"-")</f>
        <v>M</v>
      </c>
      <c r="E8" s="1782">
        <f>IFERROR(INDEX('0.3 Squad Archetypes'!$F$5:$F$23,MATCH($C8&amp;"|"&amp;$D8,'0.3 Squad Archetypes'!$A$5:$A$23,0)),"-")</f>
        <v>7.5</v>
      </c>
      <c r="F8" s="1773">
        <f>COUNTA($B$61:$B$66)</f>
        <v>6</v>
      </c>
      <c r="G8" s="1773">
        <f>COUNTIFS($D$61:$D$66,"Filled")</f>
        <v>0</v>
      </c>
      <c r="H8" s="1773">
        <f>COUNTIFS($D$61:$D$66,"Vacant")</f>
        <v>6</v>
      </c>
      <c r="I8" s="1773">
        <f>COUNTIFS($D$61:$D$66,"Vacant",$E$61:$E$66,"Hire")</f>
        <v>6</v>
      </c>
      <c r="J8" s="1773">
        <f>COUNTIFS($E$61:$E$66,"Offshore")</f>
        <v>0</v>
      </c>
      <c r="K8" s="1773">
        <f>COUNTIFS($E$61:$E$66,"Hold")</f>
        <v>0</v>
      </c>
      <c r="L8" s="1773">
        <f>$F8-$K8</f>
        <v>6</v>
      </c>
      <c r="M8" s="1772">
        <f>IFERROR(IF(INDEX('1.1 Ampol Retail'!$E$23:$E$68,MATCH($B8,'1.1 Ampol Retail'!$B$23:$B$68,0))="Offshore",INDEX('0.3 Squad Archetypes'!$H$5:$H$23,MATCH($C8&amp;"|"&amp;$D8,'0.3 Squad Archetypes'!$A$5:$A$23,0)),INDEX('0.3 Squad Archetypes'!$G$5:$G$23,MATCH($C8&amp;"|"&amp;$D8,'0.3 Squad Archetypes'!$A$5:$A$23,0))),"-")</f>
        <v>0.68</v>
      </c>
      <c r="N8" s="1772">
        <f>SUMIFS('REVIEW - Complete Role Mapping'!$AA$2:$AA$528,'REVIEW - Complete Role Mapping'!$AJ$2:$AJ$528,$C$3,'REVIEW - Complete Role Mapping'!$AT$2:$AT$528,$B8)/1000000</f>
        <v>1.21232375</v>
      </c>
      <c r="O8" s="1772">
        <f>IFERROR(ROUND($N8-$M8,6),"-")</f>
        <v>0.532324</v>
      </c>
      <c r="P8" s="1772">
        <f>SUM($G$61:$G$66)/1000000</f>
        <v>1.21232375</v>
      </c>
      <c r="Q8" s="1772">
        <f>IFERROR(ROUND($P8-$M8,6),"-")</f>
        <v>0.532324</v>
      </c>
    </row>
    <row r="9">
      <c r="B9" s="1530" t="inlineStr">
        <is>
          <t>Deployment</t>
        </is>
      </c>
      <c r="C9" s="1530" t="str">
        <f>IFERROR(INDEX('1.1 Ampol Retail'!$C$23:$C$68,MATCH($B9,'1.1 Ampol Retail'!$B$23:$B$68,0)),"Not on the 1.x tab")</f>
        <v>Operations</v>
      </c>
      <c r="D9" s="1530" t="str">
        <f>IFERROR(IF(INDEX('1.1 Ampol Retail'!$D$23:$D$68,MATCH($B9,'1.1 Ampol Retail'!$B$23:$B$68,0))="","-",INDEX('1.1 Ampol Retail'!$D$23:$D$68,MATCH($B9,'1.1 Ampol Retail'!$B$23:$B$68,0))),"-")</f>
        <v>S</v>
      </c>
      <c r="E9" s="1782">
        <f>IFERROR(INDEX('0.3 Squad Archetypes'!$F$5:$F$23,MATCH($C9&amp;"|"&amp;$D9,'0.3 Squad Archetypes'!$A$5:$A$23,0)),"-")</f>
        <v>4</v>
      </c>
      <c r="F9" s="1773">
        <f>COUNTA($B$68:$B$72)</f>
        <v>5</v>
      </c>
      <c r="G9" s="1773">
        <f>COUNTIFS($D$68:$D$72,"Filled")</f>
        <v>5</v>
      </c>
      <c r="H9" s="1773">
        <f>COUNTIFS($D$68:$D$72,"Vacant")</f>
        <v>0</v>
      </c>
      <c r="I9" s="1773">
        <f>COUNTIFS($D$68:$D$72,"Vacant",$E$68:$E$72,"Hire")</f>
        <v>0</v>
      </c>
      <c r="J9" s="1773">
        <f>COUNTIFS($E$68:$E$72,"Offshore")</f>
        <v>0</v>
      </c>
      <c r="K9" s="1773">
        <f>COUNTIFS($E$68:$E$72,"Hold")</f>
        <v>0</v>
      </c>
      <c r="L9" s="1773">
        <f>$F9-$K9</f>
        <v>5</v>
      </c>
      <c r="M9" s="1772">
        <f>IFERROR(IF(INDEX('1.1 Ampol Retail'!$E$23:$E$68,MATCH($B9,'1.1 Ampol Retail'!$B$23:$B$68,0))="Offshore",INDEX('0.3 Squad Archetypes'!$H$5:$H$23,MATCH($C9&amp;"|"&amp;$D9,'0.3 Squad Archetypes'!$A$5:$A$23,0)),INDEX('0.3 Squad Archetypes'!$G$5:$G$23,MATCH($C9&amp;"|"&amp;$D9,'0.3 Squad Archetypes'!$A$5:$A$23,0))),"-")</f>
        <v>0.8</v>
      </c>
      <c r="N9" s="1772">
        <f>SUMIFS('REVIEW - Complete Role Mapping'!$AA$2:$AA$528,'REVIEW - Complete Role Mapping'!$AJ$2:$AJ$528,$C$3,'REVIEW - Complete Role Mapping'!$AT$2:$AT$528,$B9)/1000000</f>
        <v>0.893835732</v>
      </c>
      <c r="O9" s="1772">
        <f>IFERROR(ROUND($N9-$M9,6),"-")</f>
        <v>0.093836</v>
      </c>
      <c r="P9" s="1772">
        <f>SUM($G$68:$G$72)/1000000</f>
        <v>0.893835732</v>
      </c>
      <c r="Q9" s="1772">
        <f>IFERROR(ROUND($P9-$M9,6),"-")</f>
        <v>0.093836</v>
      </c>
    </row>
    <row r="10">
      <c r="B10" s="1530" t="inlineStr">
        <is>
          <t>Network &amp; QSR</t>
        </is>
      </c>
      <c r="C10" s="1530" t="str">
        <f>IFERROR(INDEX('1.1 Ampol Retail'!$C$23:$C$68,MATCH($B10,'1.1 Ampol Retail'!$B$23:$B$68,0)),"Not on the 1.x tab")</f>
        <v>Configuration / Integration</v>
      </c>
      <c r="D10" s="1530" t="str">
        <f>IFERROR(IF(INDEX('1.1 Ampol Retail'!$D$23:$D$68,MATCH($B10,'1.1 Ampol Retail'!$B$23:$B$68,0))="","-",INDEX('1.1 Ampol Retail'!$D$23:$D$68,MATCH($B10,'1.1 Ampol Retail'!$B$23:$B$68,0))),"-")</f>
        <v>S</v>
      </c>
      <c r="E10" s="1782">
        <f>IFERROR(INDEX('0.3 Squad Archetypes'!$F$5:$F$23,MATCH($C10&amp;"|"&amp;$D10,'0.3 Squad Archetypes'!$A$5:$A$23,0)),"-")</f>
        <v>6</v>
      </c>
      <c r="F10" s="1773">
        <f>COUNTA($B$83:$B$88)</f>
        <v>6</v>
      </c>
      <c r="G10" s="1773">
        <f>COUNTIFS($D$83:$D$88,"Filled")</f>
        <v>4</v>
      </c>
      <c r="H10" s="1773">
        <f>COUNTIFS($D$83:$D$88,"Vacant")</f>
        <v>2</v>
      </c>
      <c r="I10" s="1773">
        <f>COUNTIFS($D$83:$D$88,"Vacant",$E$83:$E$88,"Hire")</f>
        <v>2</v>
      </c>
      <c r="J10" s="1773">
        <f>COUNTIFS($E$83:$E$88,"Offshore")</f>
        <v>0</v>
      </c>
      <c r="K10" s="1773">
        <f>COUNTIFS($E$83:$E$88,"Hold")</f>
        <v>0</v>
      </c>
      <c r="L10" s="1773">
        <f>$F10-$K10</f>
        <v>6</v>
      </c>
      <c r="M10" s="1772">
        <f>IFERROR(IF(INDEX('1.1 Ampol Retail'!$E$23:$E$68,MATCH($B10,'1.1 Ampol Retail'!$B$23:$B$68,0))="Offshore",INDEX('0.3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1.1140311</v>
      </c>
      <c r="O10" s="1772">
        <f>IFERROR(ROUND($N10-$M10,6),"-")</f>
        <v>-0.285969</v>
      </c>
      <c r="P10" s="1772">
        <f>SUM($G$83:$G$88)/1000000</f>
        <v>1.1140311</v>
      </c>
      <c r="Q10" s="1772">
        <f>IFERROR(ROUND($P10-$M10,6),"-")</f>
        <v>-0.285969</v>
      </c>
    </row>
    <row r="11">
      <c r="B11" s="1530" t="inlineStr">
        <is>
          <t>POS</t>
        </is>
      </c>
      <c r="C11" s="1530" t="str">
        <f>IFERROR(INDEX('1.1 Ampol Retail'!$C$23:$C$68,MATCH($B11,'1.1 Ampol Retail'!$B$23:$B$68,0)),"Not on the 1.x tab")</f>
        <v>Configuration / Integration</v>
      </c>
      <c r="D11" s="1530" t="str">
        <f>IFERROR(IF(INDEX('1.1 Ampol Retail'!$D$23:$D$68,MATCH($B11,'1.1 Ampol Retail'!$B$23:$B$68,0))="","-",INDEX('1.1 Ampol Retail'!$D$23:$D$68,MATCH($B11,'1.1 Ampol Retail'!$B$23:$B$68,0))),"-")</f>
        <v>M</v>
      </c>
      <c r="E11" s="1782">
        <f>IFERROR(INDEX('0.3 Squad Archetypes'!$F$5:$F$23,MATCH($C11&amp;"|"&amp;$D11,'0.3 Squad Archetypes'!$A$5:$A$23,0)),"-")</f>
        <v>9</v>
      </c>
      <c r="F11" s="1773">
        <f>COUNTA($B$90:$B$97)</f>
        <v>8</v>
      </c>
      <c r="G11" s="1773">
        <f>COUNTIFS($D$90:$D$97,"Filled")</f>
        <v>0</v>
      </c>
      <c r="H11" s="1773">
        <f>COUNTIFS($D$90:$D$97,"Vacant")</f>
        <v>8</v>
      </c>
      <c r="I11" s="1773">
        <f>COUNTIFS($D$90:$D$97,"Vacant",$E$90:$E$97,"Hire")</f>
        <v>8</v>
      </c>
      <c r="J11" s="1773">
        <f>COUNTIFS($E$90:$E$97,"Offshore")</f>
        <v>0</v>
      </c>
      <c r="K11" s="1773">
        <f>COUNTIFS($E$90:$E$97,"Hold")</f>
        <v>0</v>
      </c>
      <c r="L11" s="1773">
        <f>$F11-$K11</f>
        <v>8</v>
      </c>
      <c r="M11" s="1772">
        <f>IFERROR(IF(INDEX('1.1 Ampol Retail'!$E$23:$E$68,MATCH($B11,'1.1 Ampol Retail'!$B$23:$B$68,0))="Offshore",INDEX('0.3 Squad Archetypes'!$H$5:$H$23,MATCH($C11&amp;"|"&amp;$D11,'0.3 Squad Archetypes'!$A$5:$A$23,0)),INDEX('0.3 Squad Archetypes'!$G$5:$G$23,MATCH($C11&amp;"|"&amp;$D11,'0.3 Squad Archetypes'!$A$5:$A$23,0))),"-")</f>
        <v>2.1</v>
      </c>
      <c r="N11" s="1772">
        <f>SUMIFS('REVIEW - Complete Role Mapping'!$AA$2:$AA$528,'REVIEW - Complete Role Mapping'!$AJ$2:$AJ$528,$C$3,'REVIEW - Complete Role Mapping'!$AT$2:$AT$528,$B11)/1000000</f>
        <v>1.576223685</v>
      </c>
      <c r="O11" s="1772">
        <f>IFERROR(ROUND($N11-$M11,6),"-")</f>
        <v>-0.523776</v>
      </c>
      <c r="P11" s="1772">
        <f>SUM($G$90:$G$97)/1000000</f>
        <v>1.576223685</v>
      </c>
      <c r="Q11" s="1772">
        <f>IFERROR(ROUND($P11-$M11,6),"-")</f>
        <v>-0.523776</v>
      </c>
    </row>
    <row r="12">
      <c r="B12" s="1530" t="inlineStr">
        <is>
          <t>Payments</t>
        </is>
      </c>
      <c r="C12" s="1530" t="str">
        <f>IFERROR(INDEX('1.1 Ampol Retail'!$C$23:$C$68,MATCH($B12,'1.1 Ampol Retail'!$B$23:$B$68,0)),"Not on the 1.x tab")</f>
        <v>Configuration / Integration</v>
      </c>
      <c r="D12" s="1530" t="str">
        <f>IFERROR(IF(INDEX('1.1 Ampol Retail'!$D$23:$D$68,MATCH($B12,'1.1 Ampol Retail'!$B$23:$B$68,0))="","-",INDEX('1.1 Ampol Retail'!$D$23:$D$68,MATCH($B12,'1.1 Ampol Retail'!$B$23:$B$68,0))),"-")</f>
        <v>S</v>
      </c>
      <c r="E12" s="1782">
        <f>IFERROR(INDEX('0.3 Squad Archetypes'!$F$5:$F$23,MATCH($C12&amp;"|"&amp;$D12,'0.3 Squad Archetypes'!$A$5:$A$23,0)),"-")</f>
        <v>6</v>
      </c>
      <c r="F12" s="1773">
        <f>COUNTA($B$99:$B$102)</f>
        <v>4</v>
      </c>
      <c r="G12" s="1773">
        <f>COUNTIFS($D$99:$D$102,"Filled")</f>
        <v>3</v>
      </c>
      <c r="H12" s="1773">
        <f>COUNTIFS($D$99:$D$102,"Vacant")</f>
        <v>1</v>
      </c>
      <c r="I12" s="1773">
        <f>COUNTIFS($D$99:$D$102,"Vacant",$E$99:$E$102,"Hire")</f>
        <v>1</v>
      </c>
      <c r="J12" s="1773">
        <f>COUNTIFS($E$99:$E$102,"Offshore")</f>
        <v>0</v>
      </c>
      <c r="K12" s="1773">
        <f>COUNTIFS($E$99:$E$102,"Hold")</f>
        <v>0</v>
      </c>
      <c r="L12" s="1773">
        <f>$F12-$K12</f>
        <v>4</v>
      </c>
      <c r="M12" s="1772">
        <f>IFERROR(IF(INDEX('1.1 Ampol Retail'!$E$23:$E$68,MATCH($B12,'1.1 Ampol Retail'!$B$23:$B$68,0))="Offshore",INDEX('0.3 Squad Archetypes'!$H$5:$H$23,MATCH($C12&amp;"|"&amp;$D12,'0.3 Squad Archetypes'!$A$5:$A$23,0)),INDEX('0.3 Squad Archetypes'!$G$5:$G$23,MATCH($C12&amp;"|"&amp;$D12,'0.3 Squad Archetypes'!$A$5:$A$23,0))),"-")</f>
        <v>1.4</v>
      </c>
      <c r="N12" s="1772">
        <f>SUMIFS('REVIEW - Complete Role Mapping'!$AA$2:$AA$528,'REVIEW - Complete Role Mapping'!$AJ$2:$AJ$528,$C$3,'REVIEW - Complete Role Mapping'!$AT$2:$AT$528,$B12)/1000000</f>
        <v>0.789428585</v>
      </c>
      <c r="O12" s="1772">
        <f>IFERROR(ROUND($N12-$M12,6),"-")</f>
        <v>-0.610571</v>
      </c>
      <c r="P12" s="1772">
        <f>SUM($G$99:$G$102)/1000000</f>
        <v>0.789428585</v>
      </c>
      <c r="Q12" s="1772">
        <f>IFERROR(ROUND($P12-$M12,6),"-")</f>
        <v>-0.610571</v>
      </c>
    </row>
    <row r="13">
      <c r="B13" s="1530" t="inlineStr">
        <is>
          <t>Store Operations</t>
        </is>
      </c>
      <c r="C13" s="1530" t="str">
        <f>IFERROR(INDEX('1.1 Ampol Retail'!$C$23:$C$68,MATCH($B13,'1.1 Ampol Retail'!$B$23:$B$68,0)),"Not on the 1.x tab")</f>
        <v>Operations</v>
      </c>
      <c r="D13" s="1530" t="str">
        <f>IFERROR(IF(INDEX('1.1 Ampol Retail'!$D$23:$D$68,MATCH($B13,'1.1 Ampol Retail'!$B$23:$B$68,0))="","-",INDEX('1.1 Ampol Retail'!$D$23:$D$68,MATCH($B13,'1.1 Ampol Retail'!$B$23:$B$68,0))),"-")</f>
        <v>M</v>
      </c>
      <c r="E13" s="1782">
        <f>IFERROR(INDEX('0.3 Squad Archetypes'!$F$5:$F$23,MATCH($C13&amp;"|"&amp;$D13,'0.3 Squad Archetypes'!$A$5:$A$23,0)),"-")</f>
        <v>6</v>
      </c>
      <c r="F13" s="1773">
        <f>COUNTA($B$104:$B$111)</f>
        <v>8</v>
      </c>
      <c r="G13" s="1773">
        <f>COUNTIFS($D$104:$D$111,"Filled")</f>
        <v>7</v>
      </c>
      <c r="H13" s="1773">
        <f>COUNTIFS($D$104:$D$111,"Vacant")</f>
        <v>1</v>
      </c>
      <c r="I13" s="1773">
        <f>COUNTIFS($D$104:$D$111,"Vacant",$E$104:$E$111,"Hire")</f>
        <v>1</v>
      </c>
      <c r="J13" s="1773">
        <f>COUNTIFS($E$104:$E$111,"Offshore")</f>
        <v>0</v>
      </c>
      <c r="K13" s="1773">
        <f>COUNTIFS($E$104:$E$111,"Hold")</f>
        <v>0</v>
      </c>
      <c r="L13" s="1773">
        <f>$F13-$K13</f>
        <v>8</v>
      </c>
      <c r="M13" s="1772">
        <f>IFERROR(IF(INDEX('1.1 Ampol Retail'!$E$23:$E$68,MATCH($B13,'1.1 Ampol Retail'!$B$23:$B$68,0))="Offshore",INDEX('0.3 Squad Archetypes'!$H$5:$H$23,MATCH($C13&amp;"|"&amp;$D13,'0.3 Squad Archetypes'!$A$5:$A$23,0)),INDEX('0.3 Squad Archetypes'!$G$5:$G$23,MATCH($C13&amp;"|"&amp;$D13,'0.3 Squad Archetypes'!$A$5:$A$23,0))),"-")</f>
        <v>1.4</v>
      </c>
      <c r="N13" s="1772">
        <f>SUMIFS('REVIEW - Complete Role Mapping'!$AA$2:$AA$528,'REVIEW - Complete Role Mapping'!$AJ$2:$AJ$528,$C$3,'REVIEW - Complete Role Mapping'!$AT$2:$AT$528,$B13)/1000000</f>
        <v>1.429759453</v>
      </c>
      <c r="O13" s="1772">
        <f>IFERROR(ROUND($N13-$M13,6),"-")</f>
        <v>0.029759</v>
      </c>
      <c r="P13" s="1772">
        <f>SUM($G$104:$G$111)/1000000</f>
        <v>1.429759453</v>
      </c>
      <c r="Q13" s="1772">
        <f>IFERROR(ROUND($P13-$M13,6),"-")</f>
        <v>0.029759</v>
      </c>
    </row>
    <row r="14">
      <c r="B14" s="1534" t="inlineStr">
        <is>
          <t>Squads priced by an archetype</t>
        </is>
      </c>
      <c r="C14" s="1534" t="n"/>
      <c r="D14" s="1534" t="n"/>
      <c r="E14" s="1783">
        <f>SUM(E7:E13)</f>
        <v>47.5</v>
      </c>
      <c r="F14" s="1775">
        <f>SUM(F7:F13)</f>
        <v>48</v>
      </c>
      <c r="G14" s="1775">
        <f>SUM(G7:G13)</f>
        <v>26</v>
      </c>
      <c r="H14" s="1775">
        <f>SUM(H7:H13)</f>
        <v>22</v>
      </c>
      <c r="I14" s="1775">
        <f>SUM(I7:I13)</f>
        <v>22</v>
      </c>
      <c r="J14" s="1775">
        <f>SUM(J7:J13)</f>
        <v>0</v>
      </c>
      <c r="K14" s="1775">
        <f>SUM(K7:K13)</f>
        <v>0</v>
      </c>
      <c r="L14" s="1775">
        <f>SUM(L7:L13)</f>
        <v>48</v>
      </c>
      <c r="M14" s="1774">
        <f>SUM(M7:M13)</f>
        <v>9.88</v>
      </c>
      <c r="N14" s="1774">
        <f>SUM(N7:N13)</f>
        <v>9.113524162</v>
      </c>
      <c r="O14" s="1774">
        <f>SUM(O7:O13)</f>
        <v>-0.766475</v>
      </c>
      <c r="P14" s="1774">
        <f>SUM(P7:P13)</f>
        <v>9.113524162</v>
      </c>
      <c r="Q14" s="1774">
        <f>SUM(Q7:Q13)</f>
        <v>-0.766475</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AmPOS</t>
        </is>
      </c>
      <c r="C18" s="1530" t="str">
        <f>IFERROR(INDEX('1.1 Ampol Retail'!$C$23:$C$68,MATCH($B18,'1.1 Ampol Retail'!$B$23:$B$68,0)),"Not on the 1.x tab")</f>
        <v>Strategic Programs</v>
      </c>
      <c r="D18" s="1530" t="str">
        <f>IFERROR(IF(INDEX('1.1 Ampol Retail'!$D$23:$D$68,MATCH($B18,'1.1 Ampol Retail'!$B$23:$B$68,0))="","-",INDEX('1.1 Ampol Retail'!$D$23:$D$68,MATCH($B18,'1.1 Ampol Retail'!$B$23:$B$68,0))),"-")</f>
        <v>-</v>
      </c>
      <c r="E18" s="1782" t="str">
        <f>"-"</f>
        <v>-</v>
      </c>
      <c r="F18" s="1773">
        <f>COUNTA($B$50:$B$59)</f>
        <v>10</v>
      </c>
      <c r="G18" s="1773">
        <f>COUNTIFS($D$50:$D$59,"Filled")</f>
        <v>10</v>
      </c>
      <c r="H18" s="1773">
        <f>COUNTIFS($D$50:$D$59,"Vacant")</f>
        <v>0</v>
      </c>
      <c r="I18" s="1773">
        <f>COUNTIFS($D$50:$D$59,"Vacant",$E$50:$E$59,"Hire")</f>
        <v>0</v>
      </c>
      <c r="J18" s="1773">
        <f>COUNTIFS($E$50:$E$59,"Offshore")</f>
        <v>0</v>
      </c>
      <c r="K18" s="1773">
        <f>COUNTIFS($E$50:$E$59,"Hold")</f>
        <v>0</v>
      </c>
      <c r="L18" s="1773">
        <f>$F18-$K18</f>
        <v>10</v>
      </c>
      <c r="M18" s="1772">
        <f>IFERROR(INDEX('1.1 Ampol Retail'!$H$23:$H$68,MATCH($B18,'1.1 Ampol Retail'!$B$23:$B$68,0)),"-")</f>
        <v>1.404089</v>
      </c>
      <c r="N18" s="1772">
        <f>SUMIFS('REVIEW - Complete Role Mapping'!$AA$2:$AA$528,'REVIEW - Complete Role Mapping'!$AJ$2:$AJ$528,$C$3,'REVIEW - Complete Role Mapping'!$AT$2:$AT$528,$B18)/1000000</f>
        <v>2.115029718</v>
      </c>
      <c r="O18" s="1772">
        <f>IFERROR(ROUND($N18-$M18,6),"-")</f>
        <v>0.710941</v>
      </c>
      <c r="P18" s="1772">
        <f>SUM($G$50:$G$59)/1000000</f>
        <v>2.115029718</v>
      </c>
      <c r="Q18" s="1772">
        <f>IFERROR(ROUND($P18-$M18,6),"-")</f>
        <v>0.710941</v>
      </c>
    </row>
    <row r="19">
      <c r="B19" s="1530" t="inlineStr">
        <is>
          <t>EGI Retail</t>
        </is>
      </c>
      <c r="C19" s="1530" t="str">
        <f>IFERROR(INDEX('1.1 Ampol Retail'!$C$23:$C$68,MATCH($B19,'1.1 Ampol Retail'!$B$23:$B$68,0)),"Not on the 1.x tab")</f>
        <v>Strategic Programs</v>
      </c>
      <c r="D19" s="1530" t="str">
        <f>IFERROR(IF(INDEX('1.1 Ampol Retail'!$D$23:$D$68,MATCH($B19,'1.1 Ampol Retail'!$B$23:$B$68,0))="","-",INDEX('1.1 Ampol Retail'!$D$23:$D$68,MATCH($B19,'1.1 Ampol Retail'!$B$23:$B$68,0))),"-")</f>
        <v>-</v>
      </c>
      <c r="E19" s="1782" t="str">
        <f>"-"</f>
        <v>-</v>
      </c>
      <c r="F19" s="1773">
        <f>COUNTA($B$74:$B$79)</f>
        <v>6</v>
      </c>
      <c r="G19" s="1773">
        <f>COUNTIFS($D$74:$D$79,"Filled")</f>
        <v>6</v>
      </c>
      <c r="H19" s="1773">
        <f>COUNTIFS($D$74:$D$79,"Vacant")</f>
        <v>0</v>
      </c>
      <c r="I19" s="1773">
        <f>COUNTIFS($D$74:$D$79,"Vacant",$E$74:$E$79,"Hire")</f>
        <v>0</v>
      </c>
      <c r="J19" s="1773">
        <f>COUNTIFS($E$74:$E$79,"Offshore")</f>
        <v>0</v>
      </c>
      <c r="K19" s="1773">
        <f>COUNTIFS($E$74:$E$79,"Hold")</f>
        <v>0</v>
      </c>
      <c r="L19" s="1773">
        <f>$F19-$K19</f>
        <v>6</v>
      </c>
      <c r="M19" s="1772">
        <f>$N19</f>
        <v>1.221357614</v>
      </c>
      <c r="N19" s="1772">
        <f>SUMIFS('REVIEW - Complete Role Mapping'!$AA$2:$AA$528,'REVIEW - Complete Role Mapping'!$AJ$2:$AJ$528,$C$3,'REVIEW - Complete Role Mapping'!$AT$2:$AT$528,$B19)/1000000</f>
        <v>1.221357614</v>
      </c>
      <c r="O19" s="1772">
        <f>IFERROR(ROUND($N19-$M19,6),"-")</f>
        <v>0</v>
      </c>
      <c r="P19" s="1772">
        <f>SUM($G$74:$G$79)/1000000</f>
        <v>1.221357614</v>
      </c>
      <c r="Q19" s="1772">
        <f>IFERROR(ROUND($P19-$M19,6),"-")</f>
        <v>0</v>
      </c>
    </row>
    <row r="20">
      <c r="B20" s="1530" t="inlineStr">
        <is>
          <t>EGI TDD</t>
        </is>
      </c>
      <c r="C20" s="1530" t="str">
        <f>IFERROR(INDEX('1.1 Ampol Retail'!$C$23:$C$68,MATCH($B20,'1.1 Ampol Retail'!$B$23:$B$68,0)),"Not on the 1.x tab")</f>
        <v>Not on the 1.x tab</v>
      </c>
      <c r="D20" s="1530" t="str">
        <f>IFERROR(IF(INDEX('1.1 Ampol Retail'!$D$23:$D$68,MATCH($B20,'1.1 Ampol Retail'!$B$23:$B$68,0))="","-",INDEX('1.1 Ampol Retail'!$D$23:$D$68,MATCH($B20,'1.1 Ampol Retail'!$B$23:$B$68,0))),"-")</f>
        <v>-</v>
      </c>
      <c r="E20" s="1782" t="str">
        <f>"-"</f>
        <v>-</v>
      </c>
      <c r="F20" s="1773">
        <f>COUNTA($B$81:$B$81)</f>
        <v>1</v>
      </c>
      <c r="G20" s="1773">
        <f>COUNTIFS($D$81:$D$81,"Filled")</f>
        <v>1</v>
      </c>
      <c r="H20" s="1773">
        <f>COUNTIFS($D$81:$D$81,"Vacant")</f>
        <v>0</v>
      </c>
      <c r="I20" s="1773">
        <f>COUNTIFS($D$81:$D$81,"Vacant",$E$81:$E$81,"Hire")</f>
        <v>0</v>
      </c>
      <c r="J20" s="1773">
        <f>COUNTIFS($E$81:$E$81,"Offshore")</f>
        <v>0</v>
      </c>
      <c r="K20" s="1773">
        <f>COUNTIFS($E$81:$E$81,"Hold")</f>
        <v>0</v>
      </c>
      <c r="L20" s="1773">
        <f>$F20-$K20</f>
        <v>1</v>
      </c>
      <c r="M20" s="1772">
        <f>$N20</f>
        <v>0.2997</v>
      </c>
      <c r="N20" s="1772">
        <f>SUMIFS('REVIEW - Complete Role Mapping'!$AA$2:$AA$528,'REVIEW - Complete Role Mapping'!$AJ$2:$AJ$528,$C$3,'REVIEW - Complete Role Mapping'!$AT$2:$AT$528,$B20)/1000000</f>
        <v>0.2997</v>
      </c>
      <c r="O20" s="1772">
        <f>IFERROR(ROUND($N20-$M20,6),"-")</f>
        <v>0</v>
      </c>
      <c r="P20" s="1772">
        <f>SUM($G$81:$G$81)/1000000</f>
        <v>0.2997</v>
      </c>
      <c r="Q20" s="1772">
        <f>IFERROR(ROUND($P20-$M20,6),"-")</f>
        <v>0</v>
      </c>
    </row>
    <row r="21">
      <c r="B21" s="1534" t="inlineStr">
        <is>
          <t>Directly funded total</t>
        </is>
      </c>
      <c r="C21" s="1534" t="n"/>
      <c r="D21" s="1534" t="n"/>
      <c r="E21" s="1783">
        <f>SUM(E18:E20)</f>
        <v>0</v>
      </c>
      <c r="F21" s="1775">
        <f>SUM(F18:F20)</f>
        <v>17</v>
      </c>
      <c r="G21" s="1775">
        <f>SUM(G18:G20)</f>
        <v>17</v>
      </c>
      <c r="H21" s="1775">
        <f>SUM(H18:H20)</f>
        <v>0</v>
      </c>
      <c r="I21" s="1775">
        <f>SUM(I18:I20)</f>
        <v>0</v>
      </c>
      <c r="J21" s="1775">
        <f>SUM(J18:J20)</f>
        <v>0</v>
      </c>
      <c r="K21" s="1775">
        <f>SUM(K18:K20)</f>
        <v>0</v>
      </c>
      <c r="L21" s="1775">
        <f>SUM(L18:L20)</f>
        <v>17</v>
      </c>
      <c r="M21" s="1774">
        <f>SUM(M18:M20)</f>
        <v>2.925146614</v>
      </c>
      <c r="N21" s="1774">
        <f>SUM(N18:N20)</f>
        <v>3.636087332</v>
      </c>
      <c r="O21" s="1774">
        <f>SUM(O18:O20)</f>
        <v>0.710941</v>
      </c>
      <c r="P21" s="1774">
        <f>SUM(P18:P20)</f>
        <v>3.636087332</v>
      </c>
      <c r="Q21" s="1774">
        <f>SUM(Q18:Q20)</f>
        <v>0.710941</v>
      </c>
    </row>
    <row r="22"/>
    <row r="23" ht="19" customHeight="1" s="866">
      <c r="B23" s="1527" t="inlineStr">
        <is>
          <t>Overhead roles - against the allowance on 3.2</t>
        </is>
      </c>
      <c r="C23" s="1528" t="n"/>
      <c r="D23" s="1528" t="n"/>
      <c r="E23" s="1528" t="n"/>
      <c r="F23" s="1528" t="n"/>
      <c r="G23" s="1528" t="n"/>
      <c r="H23" s="1528" t="n"/>
      <c r="I23" s="1528" t="n"/>
      <c r="J23" s="1528" t="n"/>
      <c r="K23" s="1528" t="n"/>
      <c r="L23" s="1528" t="n"/>
      <c r="M23" s="1528" t="n"/>
      <c r="N23" s="1528" t="n"/>
      <c r="O23" s="1528" t="n"/>
      <c r="P23" s="1528" t="n"/>
      <c r="Q23" s="1528" t="n"/>
    </row>
    <row r="24" ht="48" customHeight="1" s="866">
      <c r="B24" s="1529" t="inlineStr">
        <is>
          <t>Squad</t>
        </is>
      </c>
      <c r="C24" s="1529" t="inlineStr">
        <is>
          <t>Archetype Type</t>
        </is>
      </c>
      <c r="D24" s="1529" t="inlineStr">
        <is>
          <t>Size</t>
        </is>
      </c>
      <c r="E24" s="1529" t="inlineStr">
        <is>
          <t>Archetype roles</t>
        </is>
      </c>
      <c r="F24" s="1529" t="inlineStr">
        <is>
          <t>Roles</t>
        </is>
      </c>
      <c r="G24" s="1529" t="inlineStr">
        <is>
          <t>Filled</t>
        </is>
      </c>
      <c r="H24" s="1529" t="inlineStr">
        <is>
          <t>Vacant</t>
        </is>
      </c>
      <c r="I24" s="1529" t="inlineStr">
        <is>
          <t>To hire</t>
        </is>
      </c>
      <c r="J24" s="1529" t="inlineStr">
        <is>
          <t>To offshore</t>
        </is>
      </c>
      <c r="K24" s="1529" t="inlineStr">
        <is>
          <t>On hold</t>
        </is>
      </c>
      <c r="L24" s="1529" t="inlineStr">
        <is>
          <t>Roles after decisions</t>
        </is>
      </c>
      <c r="M24" s="1529" t="inlineStr">
        <is>
          <t>Allowance - stated on 3.2</t>
        </is>
      </c>
      <c r="N24" s="1529" t="inlineStr">
        <is>
          <t>Actual cost ($m)</t>
        </is>
      </c>
      <c r="O24" s="1529" t="inlineStr">
        <is>
          <t>Variance</t>
        </is>
      </c>
      <c r="P24" s="1529" t="inlineStr">
        <is>
          <t>Cost after vacancy decisions ($m)</t>
        </is>
      </c>
      <c r="Q24" s="1529" t="inlineStr">
        <is>
          <t>New variance</t>
        </is>
      </c>
    </row>
    <row r="25">
      <c r="B25" s="1530" t="inlineStr">
        <is>
          <t>Head of Technology</t>
        </is>
      </c>
      <c r="C25" s="1530" t="str">
        <f>"-"</f>
        <v>-</v>
      </c>
      <c r="D25" s="1530" t="str">
        <f>"-"</f>
        <v>-</v>
      </c>
      <c r="E25" s="1538" t="str">
        <f>"-"</f>
        <v>-</v>
      </c>
      <c r="F25" s="1773">
        <f>COUNTA($B$113:$B$113)</f>
        <v>1</v>
      </c>
      <c r="G25" s="1773">
        <f>COUNTIFS($D$113:$D$113,"Filled")</f>
        <v>1</v>
      </c>
      <c r="H25" s="1773">
        <f>COUNTIFS($D$113:$D$113,"Vacant")</f>
        <v>0</v>
      </c>
      <c r="I25" s="1773">
        <f>COUNTIFS($D$113:$D$113,"Vacant",$E$113:$E$113,"Hire")</f>
        <v>0</v>
      </c>
      <c r="J25" s="1773">
        <f>COUNTIFS($E$113:$E$113,"Offshore")</f>
        <v>0</v>
      </c>
      <c r="K25" s="1773">
        <f>COUNTIFS($E$113:$E$113,"Hold")</f>
        <v>0</v>
      </c>
      <c r="L25" s="1773">
        <f>$F25-$K25</f>
        <v>1</v>
      </c>
      <c r="M25" s="1538" t="str">
        <f>"-"</f>
        <v>-</v>
      </c>
      <c r="N25" s="1772">
        <f>SUMIFS('REVIEW - Complete Role Mapping'!$AA$2:$AA$528,'REVIEW - Complete Role Mapping'!$AJ$2:$AJ$528,$C$3,'REVIEW - Complete Role Mapping'!$AT$2:$AT$528,$B25)/1000000</f>
        <v>0.18603225</v>
      </c>
      <c r="O25" s="1538" t="str">
        <f>"-"</f>
        <v>-</v>
      </c>
      <c r="P25" s="1772">
        <f>SUM($G$113:$G$113)/1000000</f>
        <v>0.18603225</v>
      </c>
      <c r="Q25" s="1538" t="str">
        <f>"-"</f>
        <v>-</v>
      </c>
    </row>
    <row r="26">
      <c r="B26" s="1530" t="inlineStr">
        <is>
          <t>Delivery Manager</t>
        </is>
      </c>
      <c r="C26" s="1530" t="str">
        <f>"-"</f>
        <v>-</v>
      </c>
      <c r="D26" s="1530" t="str">
        <f>"-"</f>
        <v>-</v>
      </c>
      <c r="E26" s="1538" t="str">
        <f>"-"</f>
        <v>-</v>
      </c>
      <c r="F26" s="1773">
        <f>COUNTA($B$115:$B$115)</f>
        <v>1</v>
      </c>
      <c r="G26" s="1773">
        <f>COUNTIFS($D$115:$D$115,"Filled")</f>
        <v>1</v>
      </c>
      <c r="H26" s="1773">
        <f>COUNTIFS($D$115:$D$115,"Vacant")</f>
        <v>0</v>
      </c>
      <c r="I26" s="1773">
        <f>COUNTIFS($D$115:$D$115,"Vacant",$E$115:$E$115,"Hire")</f>
        <v>0</v>
      </c>
      <c r="J26" s="1773">
        <f>COUNTIFS($E$115:$E$115,"Offshore")</f>
        <v>0</v>
      </c>
      <c r="K26" s="1773">
        <f>COUNTIFS($E$115:$E$115,"Hold")</f>
        <v>0</v>
      </c>
      <c r="L26" s="1773">
        <f>$F26-$K26</f>
        <v>1</v>
      </c>
      <c r="M26" s="1538" t="str">
        <f>"-"</f>
        <v>-</v>
      </c>
      <c r="N26" s="1772">
        <f>SUMIFS('REVIEW - Complete Role Mapping'!$AA$2:$AA$528,'REVIEW - Complete Role Mapping'!$AJ$2:$AJ$528,$C$3,'REVIEW - Complete Role Mapping'!$AT$2:$AT$528,$B26)/1000000</f>
        <v>0.30293735</v>
      </c>
      <c r="O26" s="1538" t="str">
        <f>"-"</f>
        <v>-</v>
      </c>
      <c r="P26" s="1772">
        <f>SUM($G$115:$G$115)/1000000</f>
        <v>0.30293735</v>
      </c>
      <c r="Q26" s="1538" t="str">
        <f>"-"</f>
        <v>-</v>
      </c>
    </row>
    <row r="27">
      <c r="B27" s="1530" t="inlineStr">
        <is>
          <t>Technology Manager</t>
        </is>
      </c>
      <c r="C27" s="1530" t="str">
        <f>"-"</f>
        <v>-</v>
      </c>
      <c r="D27" s="1530" t="str">
        <f>"-"</f>
        <v>-</v>
      </c>
      <c r="E27" s="1538" t="str">
        <f>"-"</f>
        <v>-</v>
      </c>
      <c r="F27" s="1773">
        <f>COUNTA($B$117:$B$119)</f>
        <v>3</v>
      </c>
      <c r="G27" s="1773">
        <f>COUNTIFS($D$117:$D$119,"Filled")</f>
        <v>3</v>
      </c>
      <c r="H27" s="1773">
        <f>COUNTIFS($D$117:$D$119,"Vacant")</f>
        <v>0</v>
      </c>
      <c r="I27" s="1773">
        <f>COUNTIFS($D$117:$D$119,"Vacant",$E$117:$E$119,"Hire")</f>
        <v>0</v>
      </c>
      <c r="J27" s="1773">
        <f>COUNTIFS($E$117:$E$119,"Offshore")</f>
        <v>0</v>
      </c>
      <c r="K27" s="1773">
        <f>COUNTIFS($E$117:$E$119,"Hold")</f>
        <v>0</v>
      </c>
      <c r="L27" s="1773">
        <f>$F27-$K27</f>
        <v>3</v>
      </c>
      <c r="M27" s="1538" t="str">
        <f>"-"</f>
        <v>-</v>
      </c>
      <c r="N27" s="1772">
        <f>SUMIFS('REVIEW - Complete Role Mapping'!$AA$2:$AA$528,'REVIEW - Complete Role Mapping'!$AJ$2:$AJ$528,$C$3,'REVIEW - Complete Role Mapping'!$AT$2:$AT$528,$B27)/1000000</f>
        <v>0.766646363</v>
      </c>
      <c r="O27" s="1538" t="str">
        <f>"-"</f>
        <v>-</v>
      </c>
      <c r="P27" s="1772">
        <f>SUM($G$117:$G$119)/1000000</f>
        <v>0.766646363</v>
      </c>
      <c r="Q27" s="1538" t="str">
        <f>"-"</f>
        <v>-</v>
      </c>
    </row>
    <row r="28">
      <c r="B28" s="1534" t="inlineStr">
        <is>
          <t>Overhead roles total</t>
        </is>
      </c>
      <c r="C28" s="1534" t="n"/>
      <c r="D28" s="1534" t="n"/>
      <c r="E28" s="1783">
        <f>SUM(E25:E27)</f>
        <v>0</v>
      </c>
      <c r="F28" s="1775">
        <f>SUM(F25:F27)</f>
        <v>5</v>
      </c>
      <c r="G28" s="1775">
        <f>SUM(G25:G27)</f>
        <v>5</v>
      </c>
      <c r="H28" s="1775">
        <f>SUM(H25:H27)</f>
        <v>0</v>
      </c>
      <c r="I28" s="1775">
        <f>SUM(I25:I27)</f>
        <v>0</v>
      </c>
      <c r="J28" s="1775">
        <f>SUM(J25:J27)</f>
        <v>0</v>
      </c>
      <c r="K28" s="1775">
        <f>SUM(K25:K27)</f>
        <v>0</v>
      </c>
      <c r="L28" s="1775">
        <f>SUM(L25:L27)</f>
        <v>5</v>
      </c>
      <c r="M28" s="1774">
        <f>SUM(M25:M27)</f>
        <v>0</v>
      </c>
      <c r="N28" s="1774">
        <f>SUM(N25:N27)</f>
        <v>1.255615963</v>
      </c>
      <c r="O28" s="1774">
        <f>SUM(O25:O27)</f>
        <v>0</v>
      </c>
      <c r="P28" s="1774">
        <f>SUM(P25:P27)</f>
        <v>1.255615963</v>
      </c>
      <c r="Q28" s="1774">
        <f>SUM(Q25:Q27)</f>
        <v>0</v>
      </c>
    </row>
    <row r="29"/>
    <row r="30">
      <c r="B30" s="1539" t="inlineStr">
        <is>
          <t>Total portfolio</t>
        </is>
      </c>
      <c r="C30" s="1539" t="n"/>
      <c r="D30" s="1539" t="n"/>
      <c r="E30" s="1784">
        <f>N(E14)+N(E21)+N(E28)</f>
        <v>47.5</v>
      </c>
      <c r="F30" s="1777">
        <f>N(F14)+N(F21)+N(F28)</f>
        <v>70</v>
      </c>
      <c r="G30" s="1777">
        <f>N(G14)+N(G21)+N(G28)</f>
        <v>48</v>
      </c>
      <c r="H30" s="1777">
        <f>N(H14)+N(H21)+N(H28)</f>
        <v>22</v>
      </c>
      <c r="I30" s="1777">
        <f>N(I14)+N(I21)+N(I28)</f>
        <v>22</v>
      </c>
      <c r="J30" s="1777">
        <f>N(J14)+N(J21)+N(J28)</f>
        <v>0</v>
      </c>
      <c r="K30" s="1777">
        <f>N(K14)+N(K21)+N(K28)</f>
        <v>0</v>
      </c>
      <c r="L30" s="1777">
        <f>N(L14)+N(L21)+N(L28)</f>
        <v>70</v>
      </c>
      <c r="M30" s="1776">
        <f>N(M14)+N(M21)+N(M28)</f>
        <v>12.805146614</v>
      </c>
      <c r="N30" s="1776">
        <f>N(N14)+N(N21)+N(N28)</f>
        <v>14.005227457</v>
      </c>
      <c r="O30" s="1776">
        <f>N(O14)+N(O21)+N(O28)</f>
        <v>-0.055534</v>
      </c>
      <c r="P30" s="1776">
        <f>N(P14)+N(P21)+N(P28)</f>
        <v>14.005227457</v>
      </c>
      <c r="Q30" s="1776">
        <f>N(Q14)+N(Q21)+N(Q28)</f>
        <v>-0.055534</v>
      </c>
    </row>
    <row r="31"/>
    <row r="32">
      <c r="B32" s="1526" t="inlineStr">
        <is>
          <t>Control - roles against the ledger, must be 0</t>
        </is>
      </c>
      <c r="F32" s="1778">
        <f>$F$30-COUNTIFS('REVIEW - Complete Role Mapping'!$AJ$2:$AJ$528,$C$3)</f>
        <v>0</v>
      </c>
    </row>
    <row r="33">
      <c r="B33" s="1526" t="inlineStr">
        <is>
          <t>Control - cost against the ledger ($m), must be 0</t>
        </is>
      </c>
      <c r="N33" s="1779">
        <f>ROUND($N$30-SUMIFS('REVIEW - Complete Role Mapping'!$AA$2:$AA$528,'REVIEW - Complete Role Mapping'!$AJ$2:$AJ$528,$C$3)/1000000,6)</f>
        <v>0</v>
      </c>
    </row>
    <row r="34"/>
    <row r="35" ht="19" customHeight="1" s="866">
      <c r="B35" s="1527" t="inlineStr">
        <is>
          <t>Ampol Retail FTE</t>
        </is>
      </c>
      <c r="C35" s="1528" t="n"/>
      <c r="D35" s="1528" t="n"/>
      <c r="E35" s="1528" t="n"/>
      <c r="F35" s="1528" t="n"/>
      <c r="G35" s="1528" t="n"/>
    </row>
    <row r="36" ht="34" customHeight="1" s="866">
      <c r="B36" s="1529" t="inlineStr">
        <is>
          <t>Name</t>
        </is>
      </c>
      <c r="C36" s="1529" t="inlineStr">
        <is>
          <t>Role</t>
        </is>
      </c>
      <c r="D36" s="1529" t="inlineStr">
        <is>
          <t>Status</t>
        </is>
      </c>
      <c r="E36" s="1529" t="inlineStr">
        <is>
          <t>Vacancy lever</t>
        </is>
      </c>
      <c r="F36" s="1529" t="inlineStr">
        <is>
          <t>Role cost ($)</t>
        </is>
      </c>
      <c r="G36" s="1529" t="inlineStr">
        <is>
          <t>Cost after decision ($)</t>
        </is>
      </c>
    </row>
    <row r="37">
      <c r="B37" s="1545" t="inlineStr">
        <is>
          <t>Above Store</t>
        </is>
      </c>
      <c r="C37" s="1545" t="str">
        <f>COUNTA($B$38:$B$48)&amp;IF(COUNTA($B$38:$B$48)=1," role"," roles")</f>
        <v>11 roles</v>
      </c>
      <c r="D37" s="1545" t="n"/>
      <c r="E37" s="1545" t="n"/>
      <c r="F37" s="1785">
        <f>SUM(F38:F48)</f>
        <v>2097921.857</v>
      </c>
      <c r="G37" s="1785">
        <f>SUM(G38:G48)</f>
        <v>2097921.857</v>
      </c>
    </row>
    <row r="38">
      <c r="B38" s="1530" t="str">
        <f>INDEX('REVIEW - Complete Role Mapping'!$B:$B,36)</f>
        <v>Joseph Maroun</v>
      </c>
      <c r="C38" s="1530" t="str">
        <f>INDEX('REVIEW - Complete Role Mapping'!$C:$C,36)</f>
        <v>Systems Analyst</v>
      </c>
      <c r="D38" s="1530" t="str">
        <f>INDEX('REVIEW - Complete Role Mapping'!$AK:$AK,36)</f>
        <v>Filled</v>
      </c>
      <c r="E38" s="1547" t="inlineStr">
        <is>
          <t>Filled</t>
        </is>
      </c>
      <c r="F38" s="1773">
        <f>INDEX('REVIEW - Complete Role Mapping'!$AA:$AA,36)</f>
        <v>176565.05</v>
      </c>
      <c r="G38" s="1773">
        <f>$F38*IFERROR(INDEX(Lists!$AD:$AD,MATCH($E38,Lists!$AC:$AC,0)),1)</f>
        <v>176565.05</v>
      </c>
    </row>
    <row r="39">
      <c r="B39" s="1530" t="str">
        <f>INDEX('REVIEW - Complete Role Mapping'!$B:$B,43)</f>
        <v>Majdi Abedi</v>
      </c>
      <c r="C39" s="1530" t="str">
        <f>INDEX('REVIEW - Complete Role Mapping'!$C:$C,43)</f>
        <v>Systems Analyst</v>
      </c>
      <c r="D39" s="1530" t="str">
        <f>INDEX('REVIEW - Complete Role Mapping'!$AK:$AK,43)</f>
        <v>Filled</v>
      </c>
      <c r="E39" s="1547" t="inlineStr">
        <is>
          <t>Filled</t>
        </is>
      </c>
      <c r="F39" s="1773">
        <f>INDEX('REVIEW - Complete Role Mapping'!$AA:$AA,43)</f>
        <v>134367.972</v>
      </c>
      <c r="G39" s="1773">
        <f>$F39*IFERROR(INDEX(Lists!$AD:$AD,MATCH($E39,Lists!$AC:$AC,0)),1)</f>
        <v>134367.972</v>
      </c>
    </row>
    <row r="40">
      <c r="B40" s="1530" t="str">
        <f>INDEX('REVIEW - Complete Role Mapping'!$B:$B,53)</f>
        <v>Pahul Oberoi</v>
      </c>
      <c r="C40" s="1530" t="str">
        <f>INDEX('REVIEW - Complete Role Mapping'!$C:$C,53)</f>
        <v>Systems Analyst</v>
      </c>
      <c r="D40" s="1530" t="str">
        <f>INDEX('REVIEW - Complete Role Mapping'!$AK:$AK,53)</f>
        <v>Filled</v>
      </c>
      <c r="E40" s="1547" t="inlineStr">
        <is>
          <t>Filled</t>
        </is>
      </c>
      <c r="F40" s="1773">
        <f>INDEX('REVIEW - Complete Role Mapping'!$AA:$AA,53)</f>
        <v>162060.6</v>
      </c>
      <c r="G40" s="1773">
        <f>$F40*IFERROR(INDEX(Lists!$AD:$AD,MATCH($E40,Lists!$AC:$AC,0)),1)</f>
        <v>162060.6</v>
      </c>
    </row>
    <row r="41">
      <c r="B41" s="1530" t="str">
        <f>INDEX('REVIEW - Complete Role Mapping'!$B:$B,58)</f>
        <v>Sao Keawprasit</v>
      </c>
      <c r="C41" s="1530" t="str">
        <f>INDEX('REVIEW - Complete Role Mapping'!$C:$C,58)</f>
        <v>Systems Analyst</v>
      </c>
      <c r="D41" s="1530" t="str">
        <f>INDEX('REVIEW - Complete Role Mapping'!$AK:$AK,58)</f>
        <v>Filled</v>
      </c>
      <c r="E41" s="1547" t="inlineStr">
        <is>
          <t>Filled</t>
        </is>
      </c>
      <c r="F41" s="1773">
        <f>INDEX('REVIEW - Complete Role Mapping'!$AA:$AA,58)</f>
        <v>203213.7</v>
      </c>
      <c r="G41" s="1773">
        <f>$F41*IFERROR(INDEX(Lists!$AD:$AD,MATCH($E41,Lists!$AC:$AC,0)),1)</f>
        <v>203213.7</v>
      </c>
    </row>
    <row r="42">
      <c r="B42" s="1530" t="str">
        <f>INDEX('REVIEW - Complete Role Mapping'!$B:$B,67)</f>
        <v>Vacant</v>
      </c>
      <c r="C42" s="1530" t="str">
        <f>INDEX('REVIEW - Complete Role Mapping'!$C:$C,67)</f>
        <v>Business Analyst</v>
      </c>
      <c r="D42" s="1530" t="str">
        <f>INDEX('REVIEW - Complete Role Mapping'!$AK:$AK,67)</f>
        <v>Vacant</v>
      </c>
      <c r="E42" s="1547" t="inlineStr">
        <is>
          <t>Hire</t>
        </is>
      </c>
      <c r="F42" s="1773">
        <f>INDEX('REVIEW - Complete Role Mapping'!$AA:$AA,67)</f>
        <v>202853.25</v>
      </c>
      <c r="G42" s="1773">
        <f>$F42*IFERROR(INDEX(Lists!$AD:$AD,MATCH($E42,Lists!$AC:$AC,0)),1)</f>
        <v>202853.25</v>
      </c>
    </row>
    <row r="43">
      <c r="B43" s="1530" t="str">
        <f>INDEX('REVIEW - Complete Role Mapping'!$B:$B,79)</f>
        <v>Vacant</v>
      </c>
      <c r="C43" s="1530" t="str">
        <f>INDEX('REVIEW - Complete Role Mapping'!$C:$C,79)</f>
        <v>Engineer - Integration</v>
      </c>
      <c r="D43" s="1530" t="str">
        <f>INDEX('REVIEW - Complete Role Mapping'!$AK:$AK,79)</f>
        <v>Vacant</v>
      </c>
      <c r="E43" s="1547" t="inlineStr">
        <is>
          <t>Hire</t>
        </is>
      </c>
      <c r="F43" s="1773">
        <f>INDEX('REVIEW - Complete Role Mapping'!$AA:$AA,79)</f>
        <v>170489.75</v>
      </c>
      <c r="G43" s="1773">
        <f>$F43*IFERROR(INDEX(Lists!$AD:$AD,MATCH($E43,Lists!$AC:$AC,0)),1)</f>
        <v>170489.75</v>
      </c>
    </row>
    <row r="44">
      <c r="B44" s="1530" t="str">
        <f>INDEX('REVIEW - Complete Role Mapping'!$B:$B,85)</f>
        <v>Vacant</v>
      </c>
      <c r="C44" s="1530" t="str">
        <f>INDEX('REVIEW - Complete Role Mapping'!$C:$C,85)</f>
        <v>Quality Assurance</v>
      </c>
      <c r="D44" s="1530" t="str">
        <f>INDEX('REVIEW - Complete Role Mapping'!$AK:$AK,85)</f>
        <v>Vacant</v>
      </c>
      <c r="E44" s="1547" t="inlineStr">
        <is>
          <t>Hire</t>
        </is>
      </c>
      <c r="F44" s="1773">
        <f>INDEX('REVIEW - Complete Role Mapping'!$AA:$AA,85)</f>
        <v>170501.585</v>
      </c>
      <c r="G44" s="1773">
        <f>$F44*IFERROR(INDEX(Lists!$AD:$AD,MATCH($E44,Lists!$AC:$AC,0)),1)</f>
        <v>170501.585</v>
      </c>
    </row>
    <row r="45">
      <c r="B45" s="1530" t="str">
        <f>INDEX('REVIEW - Complete Role Mapping'!$B:$B,92)</f>
        <v>Vacant</v>
      </c>
      <c r="C45" s="1530" t="str">
        <f>INDEX('REVIEW - Complete Role Mapping'!$C:$C,92)</f>
        <v>Systems Analyst</v>
      </c>
      <c r="D45" s="1530" t="str">
        <f>INDEX('REVIEW - Complete Role Mapping'!$AK:$AK,92)</f>
        <v>Vacant</v>
      </c>
      <c r="E45" s="1547" t="inlineStr">
        <is>
          <t>Hire</t>
        </is>
      </c>
      <c r="F45" s="1773">
        <f>INDEX('REVIEW - Complete Role Mapping'!$AA:$AA,92)</f>
        <v>201585</v>
      </c>
      <c r="G45" s="1773">
        <f>$F45*IFERROR(INDEX(Lists!$AD:$AD,MATCH($E45,Lists!$AC:$AC,0)),1)</f>
        <v>201585</v>
      </c>
    </row>
    <row r="46">
      <c r="B46" s="1530" t="str">
        <f>INDEX('REVIEW - Complete Role Mapping'!$B:$B,102)</f>
        <v>Vijay Patel</v>
      </c>
      <c r="C46" s="1530" t="str">
        <f>INDEX('REVIEW - Complete Role Mapping'!$C:$C,102)</f>
        <v>Systems Analyst</v>
      </c>
      <c r="D46" s="1530" t="str">
        <f>INDEX('REVIEW - Complete Role Mapping'!$AK:$AK,102)</f>
        <v>Filled</v>
      </c>
      <c r="E46" s="1547" t="inlineStr">
        <is>
          <t>Filled</t>
        </is>
      </c>
      <c r="F46" s="1773">
        <f>INDEX('REVIEW - Complete Role Mapping'!$AA:$AA,102)</f>
        <v>193575</v>
      </c>
      <c r="G46" s="1773">
        <f>$F46*IFERROR(INDEX(Lists!$AD:$AD,MATCH($E46,Lists!$AC:$AC,0)),1)</f>
        <v>193575</v>
      </c>
    </row>
    <row r="47">
      <c r="B47" s="1530" t="str">
        <f>INDEX('REVIEW - Complete Role Mapping'!$B:$B,106)</f>
        <v>Zhan Zhang</v>
      </c>
      <c r="C47" s="1530" t="str">
        <f>INDEX('REVIEW - Complete Role Mapping'!$C:$C,106)</f>
        <v>Solution Architect</v>
      </c>
      <c r="D47" s="1530" t="str">
        <f>INDEX('REVIEW - Complete Role Mapping'!$AK:$AK,106)</f>
        <v>Filled</v>
      </c>
      <c r="E47" s="1547" t="inlineStr">
        <is>
          <t>Filled</t>
        </is>
      </c>
      <c r="F47" s="1773">
        <f>INDEX('REVIEW - Complete Role Mapping'!$AA:$AA,106)</f>
        <v>243637.5</v>
      </c>
      <c r="G47" s="1773">
        <f>$F47*IFERROR(INDEX(Lists!$AD:$AD,MATCH($E47,Lists!$AC:$AC,0)),1)</f>
        <v>243637.5</v>
      </c>
    </row>
    <row r="48">
      <c r="B48" s="1530" t="str">
        <f>INDEX('REVIEW - Complete Role Mapping'!$B:$B,107)</f>
        <v>Zuan Zheng</v>
      </c>
      <c r="C48" s="1530" t="str">
        <f>INDEX('REVIEW - Complete Role Mapping'!$C:$C,107)</f>
        <v>Systems Analyst</v>
      </c>
      <c r="D48" s="1530" t="str">
        <f>INDEX('REVIEW - Complete Role Mapping'!$AK:$AK,107)</f>
        <v>Filled</v>
      </c>
      <c r="E48" s="1547" t="inlineStr">
        <is>
          <t>Filled</t>
        </is>
      </c>
      <c r="F48" s="1773">
        <f>INDEX('REVIEW - Complete Role Mapping'!$AA:$AA,107)</f>
        <v>239072.45</v>
      </c>
      <c r="G48" s="1773">
        <f>$F48*IFERROR(INDEX(Lists!$AD:$AD,MATCH($E48,Lists!$AC:$AC,0)),1)</f>
        <v>239072.45</v>
      </c>
    </row>
    <row r="49">
      <c r="B49" s="1545" t="inlineStr">
        <is>
          <t>AmPOS</t>
        </is>
      </c>
      <c r="C49" s="1545" t="str">
        <f>COUNTA($B$50:$B$59)&amp;IF(COUNTA($B$50:$B$59)=1," role"," roles")</f>
        <v>10 roles</v>
      </c>
      <c r="D49" s="1545" t="n"/>
      <c r="E49" s="1545" t="n"/>
      <c r="F49" s="1785">
        <f>SUM(F50:F59)</f>
        <v>2115029.718</v>
      </c>
      <c r="G49" s="1785">
        <f>SUM(G50:G59)</f>
        <v>2115029.718</v>
      </c>
    </row>
    <row r="50">
      <c r="B50" s="1530" t="str">
        <f>INDEX('REVIEW - Complete Role Mapping'!$B:$B,13)</f>
        <v>Balaji Murugan</v>
      </c>
      <c r="C50" s="1530" t="str">
        <f>INDEX('REVIEW - Complete Role Mapping'!$C:$C,13)</f>
        <v>Delivery Lead</v>
      </c>
      <c r="D50" s="1530" t="str">
        <f>INDEX('REVIEW - Complete Role Mapping'!$AK:$AK,13)</f>
        <v>Filled</v>
      </c>
      <c r="E50" s="1547" t="inlineStr">
        <is>
          <t>Filled</t>
        </is>
      </c>
      <c r="F50" s="1773">
        <f>INDEX('REVIEW - Complete Role Mapping'!$AA:$AA,13)</f>
        <v>237654.03</v>
      </c>
      <c r="G50" s="1773">
        <f>$F50*IFERROR(INDEX(Lists!$AD:$AD,MATCH($E50,Lists!$AC:$AC,0)),1)</f>
        <v>237654.03</v>
      </c>
    </row>
    <row r="51">
      <c r="B51" s="1530" t="str">
        <f>INDEX('REVIEW - Complete Role Mapping'!$B:$B,30)</f>
        <v>Irfan Zavahir</v>
      </c>
      <c r="C51" s="1530" t="str">
        <f>INDEX('REVIEW - Complete Role Mapping'!$C:$C,30)</f>
        <v>Delivery Lead</v>
      </c>
      <c r="D51" s="1530" t="str">
        <f>INDEX('REVIEW - Complete Role Mapping'!$AK:$AK,30)</f>
        <v>Filled</v>
      </c>
      <c r="E51" s="1547" t="inlineStr">
        <is>
          <t>Filled</t>
        </is>
      </c>
      <c r="F51" s="1773">
        <f>INDEX('REVIEW - Complete Role Mapping'!$AA:$AA,30)</f>
        <v>161334</v>
      </c>
      <c r="G51" s="1773">
        <f>$F51*IFERROR(INDEX(Lists!$AD:$AD,MATCH($E51,Lists!$AC:$AC,0)),1)</f>
        <v>161334</v>
      </c>
    </row>
    <row r="52">
      <c r="B52" s="1530" t="str">
        <f>INDEX('REVIEW - Complete Role Mapping'!$B:$B,37)</f>
        <v>Karthick Sathiyamoorthy</v>
      </c>
      <c r="C52" s="1530" t="str">
        <f>INDEX('REVIEW - Complete Role Mapping'!$C:$C,37)</f>
        <v>Quality Assurance</v>
      </c>
      <c r="D52" s="1530" t="str">
        <f>INDEX('REVIEW - Complete Role Mapping'!$AK:$AK,37)</f>
        <v>Filled</v>
      </c>
      <c r="E52" s="1547" t="inlineStr">
        <is>
          <t>Filled</t>
        </is>
      </c>
      <c r="F52" s="1773">
        <f>INDEX('REVIEW - Complete Role Mapping'!$AA:$AA,37)</f>
        <v>194028.9</v>
      </c>
      <c r="G52" s="1773">
        <f>$F52*IFERROR(INDEX(Lists!$AD:$AD,MATCH($E52,Lists!$AC:$AC,0)),1)</f>
        <v>194028.9</v>
      </c>
    </row>
    <row r="53">
      <c r="B53" s="1530" t="str">
        <f>INDEX('REVIEW - Complete Role Mapping'!$B:$B,39)</f>
        <v>Kate Johnstone</v>
      </c>
      <c r="C53" s="1530" t="str">
        <f>INDEX('REVIEW - Complete Role Mapping'!$C:$C,39)</f>
        <v>Program Manager POS</v>
      </c>
      <c r="D53" s="1530" t="str">
        <f>INDEX('REVIEW - Complete Role Mapping'!$AK:$AK,39)</f>
        <v>Filled</v>
      </c>
      <c r="E53" s="1547" t="inlineStr">
        <is>
          <t>Filled</t>
        </is>
      </c>
      <c r="F53" s="1773">
        <f>INDEX('REVIEW - Complete Role Mapping'!$AA:$AA,39)</f>
        <v>202026.336</v>
      </c>
      <c r="G53" s="1773">
        <f>$F53*IFERROR(INDEX(Lists!$AD:$AD,MATCH($E53,Lists!$AC:$AC,0)),1)</f>
        <v>202026.336</v>
      </c>
    </row>
    <row r="54">
      <c r="B54" s="1530" t="str">
        <f>INDEX('REVIEW - Complete Role Mapping'!$B:$B,51)</f>
        <v>Mick Standen</v>
      </c>
      <c r="C54" s="1530" t="str">
        <f>INDEX('REVIEW - Complete Role Mapping'!$C:$C,51)</f>
        <v>Systems Analyst</v>
      </c>
      <c r="D54" s="1530" t="str">
        <f>INDEX('REVIEW - Complete Role Mapping'!$AK:$AK,51)</f>
        <v>Filled</v>
      </c>
      <c r="E54" s="1547" t="inlineStr">
        <is>
          <t>Filled</t>
        </is>
      </c>
      <c r="F54" s="1773">
        <f>INDEX('REVIEW - Complete Role Mapping'!$AA:$AA,51)</f>
        <v>262647.9</v>
      </c>
      <c r="G54" s="1773">
        <f>$F54*IFERROR(INDEX(Lists!$AD:$AD,MATCH($E54,Lists!$AC:$AC,0)),1)</f>
        <v>262647.9</v>
      </c>
    </row>
    <row r="55">
      <c r="B55" s="1530" t="str">
        <f>INDEX('REVIEW - Complete Role Mapping'!$B:$B,55)</f>
        <v>Peter Nicolopoulos</v>
      </c>
      <c r="C55" s="1530" t="str">
        <f>INDEX('REVIEW - Complete Role Mapping'!$C:$C,55)</f>
        <v>Systems Analyst</v>
      </c>
      <c r="D55" s="1530" t="str">
        <f>INDEX('REVIEW - Complete Role Mapping'!$AK:$AK,55)</f>
        <v>Filled</v>
      </c>
      <c r="E55" s="1547" t="inlineStr">
        <is>
          <t>Filled</t>
        </is>
      </c>
      <c r="F55" s="1773">
        <f>INDEX('REVIEW - Complete Role Mapping'!$AA:$AA,55)</f>
        <v>147460.584</v>
      </c>
      <c r="G55" s="1773">
        <f>$F55*IFERROR(INDEX(Lists!$AD:$AD,MATCH($E55,Lists!$AC:$AC,0)),1)</f>
        <v>147460.584</v>
      </c>
    </row>
    <row r="56">
      <c r="B56" s="1530" t="str">
        <f>INDEX('REVIEW - Complete Role Mapping'!$B:$B,62)</f>
        <v>Tabitha Raharadjo</v>
      </c>
      <c r="C56" s="1530" t="str">
        <f>INDEX('REVIEW - Complete Role Mapping'!$C:$C,62)</f>
        <v>Project Coordinator</v>
      </c>
      <c r="D56" s="1530" t="str">
        <f>INDEX('REVIEW - Complete Role Mapping'!$AK:$AK,62)</f>
        <v>Filled</v>
      </c>
      <c r="E56" s="1547" t="inlineStr">
        <is>
          <t>Filled</t>
        </is>
      </c>
      <c r="F56" s="1773">
        <f>INDEX('REVIEW - Complete Role Mapping'!$AA:$AA,62)</f>
        <v>198937.068</v>
      </c>
      <c r="G56" s="1773">
        <f>$F56*IFERROR(INDEX(Lists!$AD:$AD,MATCH($E56,Lists!$AC:$AC,0)),1)</f>
        <v>198937.068</v>
      </c>
    </row>
    <row r="57">
      <c r="B57" s="1530" t="str">
        <f>INDEX('REVIEW - Complete Role Mapping'!$B:$B,380)</f>
        <v>Kevin Nelson</v>
      </c>
      <c r="C57" s="1530" t="str">
        <f>INDEX('REVIEW - Complete Role Mapping'!$C:$C,380)</f>
        <v>Delivery Lead</v>
      </c>
      <c r="D57" s="1530" t="str">
        <f>INDEX('REVIEW - Complete Role Mapping'!$AK:$AK,380)</f>
        <v>Filled</v>
      </c>
      <c r="E57" s="1547" t="inlineStr">
        <is>
          <t>Filled</t>
        </is>
      </c>
      <c r="F57" s="1773">
        <f>INDEX('REVIEW - Complete Role Mapping'!$AA:$AA,380)</f>
        <v>253142.7</v>
      </c>
      <c r="G57" s="1773">
        <f>$F57*IFERROR(INDEX(Lists!$AD:$AD,MATCH($E57,Lists!$AC:$AC,0)),1)</f>
        <v>253142.7</v>
      </c>
    </row>
    <row r="58">
      <c r="B58" s="1530" t="str">
        <f>INDEX('REVIEW - Complete Role Mapping'!$B:$B,442)</f>
        <v>Victor Beuk</v>
      </c>
      <c r="C58" s="1530" t="str">
        <f>INDEX('REVIEW - Complete Role Mapping'!$C:$C,442)</f>
        <v>Delivery Lead</v>
      </c>
      <c r="D58" s="1530" t="str">
        <f>INDEX('REVIEW - Complete Role Mapping'!$AK:$AK,442)</f>
        <v>Filled</v>
      </c>
      <c r="E58" s="1547" t="inlineStr">
        <is>
          <t>Filled</t>
        </is>
      </c>
      <c r="F58" s="1773">
        <f>INDEX('REVIEW - Complete Role Mapping'!$AA:$AA,442)</f>
        <v>247455.6</v>
      </c>
      <c r="G58" s="1773">
        <f>$F58*IFERROR(INDEX(Lists!$AD:$AD,MATCH($E58,Lists!$AC:$AC,0)),1)</f>
        <v>247455.6</v>
      </c>
    </row>
    <row r="59">
      <c r="B59" s="1530" t="str">
        <f>INDEX('REVIEW - Complete Role Mapping'!$B:$B,467)</f>
        <v>Hardik Trivedi</v>
      </c>
      <c r="C59" s="1530" t="str">
        <f>INDEX('REVIEW - Complete Role Mapping'!$C:$C,467)</f>
        <v>Snr Business Analyst</v>
      </c>
      <c r="D59" s="1530" t="str">
        <f>INDEX('REVIEW - Complete Role Mapping'!$AK:$AK,467)</f>
        <v>Filled</v>
      </c>
      <c r="E59" s="1547" t="inlineStr">
        <is>
          <t>Filled</t>
        </is>
      </c>
      <c r="F59" s="1773">
        <f>INDEX('REVIEW - Complete Role Mapping'!$AA:$AA,467)</f>
        <v>210342.6</v>
      </c>
      <c r="G59" s="1773">
        <f>$F59*IFERROR(INDEX(Lists!$AD:$AD,MATCH($E59,Lists!$AC:$AC,0)),1)</f>
        <v>210342.6</v>
      </c>
    </row>
    <row r="60">
      <c r="B60" s="1545" t="inlineStr">
        <is>
          <t>Data AU</t>
        </is>
      </c>
      <c r="C60" s="1545" t="str">
        <f>COUNTA($B$61:$B$66)&amp;IF(COUNTA($B$61:$B$66)=1," role"," roles")</f>
        <v>6 roles</v>
      </c>
      <c r="D60" s="1545" t="n"/>
      <c r="E60" s="1545" t="n"/>
      <c r="F60" s="1785">
        <f>SUM(F61:F66)</f>
        <v>1212323.75</v>
      </c>
      <c r="G60" s="1785">
        <f>SUM(G61:G66)</f>
        <v>1212323.75</v>
      </c>
    </row>
    <row r="61">
      <c r="B61" s="1530" t="str">
        <f>INDEX('REVIEW - Complete Role Mapping'!$B:$B,70)</f>
        <v>Vacant</v>
      </c>
      <c r="C61" s="1530" t="str">
        <f>INDEX('REVIEW - Complete Role Mapping'!$C:$C,70)</f>
        <v>Data Analyst</v>
      </c>
      <c r="D61" s="1530" t="str">
        <f>INDEX('REVIEW - Complete Role Mapping'!$AK:$AK,70)</f>
        <v>Vacant</v>
      </c>
      <c r="E61" s="1547" t="inlineStr">
        <is>
          <t>Hire</t>
        </is>
      </c>
      <c r="F61" s="1773">
        <f>INDEX('REVIEW - Complete Role Mapping'!$AA:$AA,70)</f>
        <v>201585</v>
      </c>
      <c r="G61" s="1773">
        <f>$F61*IFERROR(INDEX(Lists!$AD:$AD,MATCH($E61,Lists!$AC:$AC,0)),1)</f>
        <v>201585</v>
      </c>
    </row>
    <row r="62">
      <c r="B62" s="1530" t="str">
        <f>INDEX('REVIEW - Complete Role Mapping'!$B:$B,71)</f>
        <v>Vacant</v>
      </c>
      <c r="C62" s="1530" t="str">
        <f>INDEX('REVIEW - Complete Role Mapping'!$C:$C,71)</f>
        <v>Data Analyst</v>
      </c>
      <c r="D62" s="1530" t="str">
        <f>INDEX('REVIEW - Complete Role Mapping'!$AK:$AK,71)</f>
        <v>Vacant</v>
      </c>
      <c r="E62" s="1547" t="inlineStr">
        <is>
          <t>Hire</t>
        </is>
      </c>
      <c r="F62" s="1773">
        <f>INDEX('REVIEW - Complete Role Mapping'!$AA:$AA,71)</f>
        <v>231689.25</v>
      </c>
      <c r="G62" s="1773">
        <f>$F62*IFERROR(INDEX(Lists!$AD:$AD,MATCH($E62,Lists!$AC:$AC,0)),1)</f>
        <v>231689.25</v>
      </c>
    </row>
    <row r="63">
      <c r="B63" s="1530" t="str">
        <f>INDEX('REVIEW - Complete Role Mapping'!$B:$B,72)</f>
        <v>Vacant</v>
      </c>
      <c r="C63" s="1530" t="str">
        <f>INDEX('REVIEW - Complete Role Mapping'!$C:$C,72)</f>
        <v>Delivery Lead</v>
      </c>
      <c r="D63" s="1530" t="str">
        <f>INDEX('REVIEW - Complete Role Mapping'!$AK:$AK,72)</f>
        <v>Vacant</v>
      </c>
      <c r="E63" s="1547" t="inlineStr">
        <is>
          <t>Hire</t>
        </is>
      </c>
      <c r="F63" s="1773">
        <f>INDEX('REVIEW - Complete Role Mapping'!$AA:$AA,72)</f>
        <v>202853.25</v>
      </c>
      <c r="G63" s="1773">
        <f>$F63*IFERROR(INDEX(Lists!$AD:$AD,MATCH($E63,Lists!$AC:$AC,0)),1)</f>
        <v>202853.25</v>
      </c>
    </row>
    <row r="64">
      <c r="B64" s="1530" t="str">
        <f>INDEX('REVIEW - Complete Role Mapping'!$B:$B,75)</f>
        <v>Vacant</v>
      </c>
      <c r="C64" s="1530" t="str">
        <f>INDEX('REVIEW - Complete Role Mapping'!$C:$C,75)</f>
        <v>Engineer - Data</v>
      </c>
      <c r="D64" s="1530" t="str">
        <f>INDEX('REVIEW - Complete Role Mapping'!$AK:$AK,75)</f>
        <v>Vacant</v>
      </c>
      <c r="E64" s="1547" t="inlineStr">
        <is>
          <t>Hire</t>
        </is>
      </c>
      <c r="F64" s="1773">
        <f>INDEX('REVIEW - Complete Role Mapping'!$AA:$AA,75)</f>
        <v>202853.25</v>
      </c>
      <c r="G64" s="1773">
        <f>$F64*IFERROR(INDEX(Lists!$AD:$AD,MATCH($E64,Lists!$AC:$AC,0)),1)</f>
        <v>202853.25</v>
      </c>
    </row>
    <row r="65">
      <c r="B65" s="1530" t="str">
        <f>INDEX('REVIEW - Complete Role Mapping'!$B:$B,76)</f>
        <v>Vacant</v>
      </c>
      <c r="C65" s="1530" t="str">
        <f>INDEX('REVIEW - Complete Role Mapping'!$C:$C,76)</f>
        <v>Engineer - Data</v>
      </c>
      <c r="D65" s="1530" t="str">
        <f>INDEX('REVIEW - Complete Role Mapping'!$AK:$AK,76)</f>
        <v>Vacant</v>
      </c>
      <c r="E65" s="1547" t="inlineStr">
        <is>
          <t>Hire</t>
        </is>
      </c>
      <c r="F65" s="1773">
        <f>INDEX('REVIEW - Complete Role Mapping'!$AA:$AA,76)</f>
        <v>202853.25</v>
      </c>
      <c r="G65" s="1773">
        <f>$F65*IFERROR(INDEX(Lists!$AD:$AD,MATCH($E65,Lists!$AC:$AC,0)),1)</f>
        <v>202853.25</v>
      </c>
    </row>
    <row r="66">
      <c r="B66" s="1530" t="str">
        <f>INDEX('REVIEW - Complete Role Mapping'!$B:$B,77)</f>
        <v>Vacant</v>
      </c>
      <c r="C66" s="1530" t="str">
        <f>INDEX('REVIEW - Complete Role Mapping'!$C:$C,77)</f>
        <v>Engineer - Data</v>
      </c>
      <c r="D66" s="1530" t="str">
        <f>INDEX('REVIEW - Complete Role Mapping'!$AK:$AK,77)</f>
        <v>Vacant</v>
      </c>
      <c r="E66" s="1547" t="inlineStr">
        <is>
          <t>Hire</t>
        </is>
      </c>
      <c r="F66" s="1773">
        <f>INDEX('REVIEW - Complete Role Mapping'!$AA:$AA,77)</f>
        <v>170489.75</v>
      </c>
      <c r="G66" s="1773">
        <f>$F66*IFERROR(INDEX(Lists!$AD:$AD,MATCH($E66,Lists!$AC:$AC,0)),1)</f>
        <v>170489.75</v>
      </c>
    </row>
    <row r="67">
      <c r="B67" s="1545" t="inlineStr">
        <is>
          <t>Deployment</t>
        </is>
      </c>
      <c r="C67" s="1545" t="str">
        <f>COUNTA($B$68:$B$72)&amp;IF(COUNTA($B$68:$B$72)=1," role"," roles")</f>
        <v>5 roles</v>
      </c>
      <c r="D67" s="1545" t="n"/>
      <c r="E67" s="1545" t="n"/>
      <c r="F67" s="1785">
        <f>SUM(F68:F72)</f>
        <v>893835.732</v>
      </c>
      <c r="G67" s="1785">
        <f>SUM(G68:G72)</f>
        <v>893835.732</v>
      </c>
    </row>
    <row r="68">
      <c r="B68" s="1530" t="str">
        <f>INDEX('REVIEW - Complete Role Mapping'!$B:$B,8)</f>
        <v>Aniket Banerji</v>
      </c>
      <c r="C68" s="1530" t="str">
        <f>INDEX('REVIEW - Complete Role Mapping'!$C:$C,8)</f>
        <v>Deployment Lead</v>
      </c>
      <c r="D68" s="1530" t="str">
        <f>INDEX('REVIEW - Complete Role Mapping'!$AK:$AK,8)</f>
        <v>Filled</v>
      </c>
      <c r="E68" s="1547" t="inlineStr">
        <is>
          <t>Filled</t>
        </is>
      </c>
      <c r="F68" s="1773">
        <f>INDEX('REVIEW - Complete Role Mapping'!$AA:$AA,8)</f>
        <v>200250</v>
      </c>
      <c r="G68" s="1773">
        <f>$F68*IFERROR(INDEX(Lists!$AD:$AD,MATCH($E68,Lists!$AC:$AC,0)),1)</f>
        <v>200250</v>
      </c>
    </row>
    <row r="69">
      <c r="B69" s="1530" t="str">
        <f>INDEX('REVIEW - Complete Role Mapping'!$B:$B,11)</f>
        <v>Anthony Dumbrell</v>
      </c>
      <c r="C69" s="1530" t="str">
        <f>INDEX('REVIEW - Complete Role Mapping'!$C:$C,11)</f>
        <v>Technology &amp; Lab Specialist Stores</v>
      </c>
      <c r="D69" s="1530" t="str">
        <f>INDEX('REVIEW - Complete Role Mapping'!$AK:$AK,11)</f>
        <v>Filled</v>
      </c>
      <c r="E69" s="1547" t="inlineStr">
        <is>
          <t>Filled</t>
        </is>
      </c>
      <c r="F69" s="1773">
        <f>INDEX('REVIEW - Complete Role Mapping'!$AA:$AA,11)</f>
        <v>206070.6</v>
      </c>
      <c r="G69" s="1773">
        <f>$F69*IFERROR(INDEX(Lists!$AD:$AD,MATCH($E69,Lists!$AC:$AC,0)),1)</f>
        <v>206070.6</v>
      </c>
    </row>
    <row r="70">
      <c r="B70" s="1530" t="str">
        <f>INDEX('REVIEW - Complete Role Mapping'!$B:$B,22)</f>
        <v>Deepak Kubendran</v>
      </c>
      <c r="C70" s="1530" t="str">
        <f>INDEX('REVIEW - Complete Role Mapping'!$C:$C,22)</f>
        <v>Project Manager - Deployments</v>
      </c>
      <c r="D70" s="1530" t="str">
        <f>INDEX('REVIEW - Complete Role Mapping'!$AK:$AK,22)</f>
        <v>Filled</v>
      </c>
      <c r="E70" s="1547" t="inlineStr">
        <is>
          <t>Filled</t>
        </is>
      </c>
      <c r="F70" s="1773">
        <f>INDEX('REVIEW - Complete Role Mapping'!$AA:$AA,22)</f>
        <v>205483.2</v>
      </c>
      <c r="G70" s="1773">
        <f>$F70*IFERROR(INDEX(Lists!$AD:$AD,MATCH($E70,Lists!$AC:$AC,0)),1)</f>
        <v>205483.2</v>
      </c>
    </row>
    <row r="71">
      <c r="B71" s="1530" t="str">
        <f>INDEX('REVIEW - Complete Role Mapping'!$B:$B,48)</f>
        <v>Matthew Patane</v>
      </c>
      <c r="C71" s="1530" t="str">
        <f>INDEX('REVIEW - Complete Role Mapping'!$C:$C,48)</f>
        <v>Release &amp; Deployment Manager</v>
      </c>
      <c r="D71" s="1530" t="str">
        <f>INDEX('REVIEW - Complete Role Mapping'!$AK:$AK,48)</f>
        <v>Filled</v>
      </c>
      <c r="E71" s="1547" t="inlineStr">
        <is>
          <t>Filled</t>
        </is>
      </c>
      <c r="F71" s="1773">
        <f>INDEX('REVIEW - Complete Role Mapping'!$AA:$AA,48)</f>
        <v>136461.432</v>
      </c>
      <c r="G71" s="1773">
        <f>$F71*IFERROR(INDEX(Lists!$AD:$AD,MATCH($E71,Lists!$AC:$AC,0)),1)</f>
        <v>136461.432</v>
      </c>
    </row>
    <row r="72">
      <c r="B72" s="1530" t="str">
        <f>INDEX('REVIEW - Complete Role Mapping'!$B:$B,103)</f>
        <v>Violeta Trajkovski</v>
      </c>
      <c r="C72" s="1530" t="str">
        <f>INDEX('REVIEW - Complete Role Mapping'!$C:$C,103)</f>
        <v>Deployment Coordinator</v>
      </c>
      <c r="D72" s="1530" t="str">
        <f>INDEX('REVIEW - Complete Role Mapping'!$AK:$AK,103)</f>
        <v>Filled</v>
      </c>
      <c r="E72" s="1547" t="inlineStr">
        <is>
          <t>Filled</t>
        </is>
      </c>
      <c r="F72" s="1773">
        <f>INDEX('REVIEW - Complete Role Mapping'!$AA:$AA,103)</f>
        <v>145570.5</v>
      </c>
      <c r="G72" s="1773">
        <f>$F72*IFERROR(INDEX(Lists!$AD:$AD,MATCH($E72,Lists!$AC:$AC,0)),1)</f>
        <v>145570.5</v>
      </c>
    </row>
    <row r="73">
      <c r="B73" s="1545" t="inlineStr">
        <is>
          <t>EGI Retail</t>
        </is>
      </c>
      <c r="C73" s="1545" t="str">
        <f>COUNTA($B$74:$B$79)&amp;IF(COUNTA($B$74:$B$79)=1," role"," roles")</f>
        <v>6 roles</v>
      </c>
      <c r="D73" s="1545" t="n"/>
      <c r="E73" s="1545" t="n"/>
      <c r="F73" s="1785">
        <f>SUM(F74:F79)</f>
        <v>1221357.614</v>
      </c>
      <c r="G73" s="1785">
        <f>SUM(G74:G79)</f>
        <v>1221357.614</v>
      </c>
    </row>
    <row r="74">
      <c r="B74" s="1530" t="str">
        <f>INDEX('REVIEW - Complete Role Mapping'!$B:$B,4)</f>
        <v>Alex Prakhiy</v>
      </c>
      <c r="C74" s="1530" t="str">
        <f>INDEX('REVIEW - Complete Role Mapping'!$C:$C,4)</f>
        <v>Business Analyst</v>
      </c>
      <c r="D74" s="1530" t="str">
        <f>INDEX('REVIEW - Complete Role Mapping'!$AK:$AK,4)</f>
        <v>Filled</v>
      </c>
      <c r="E74" s="1547" t="inlineStr">
        <is>
          <t>Filled</t>
        </is>
      </c>
      <c r="F74" s="1773">
        <f>INDEX('REVIEW - Complete Role Mapping'!$AA:$AA,4)</f>
        <v>222000</v>
      </c>
      <c r="G74" s="1773">
        <f>$F74*IFERROR(INDEX(Lists!$AD:$AD,MATCH($E74,Lists!$AC:$AC,0)),1)</f>
        <v>222000</v>
      </c>
    </row>
    <row r="75">
      <c r="B75" s="1530" t="str">
        <f>INDEX('REVIEW - Complete Role Mapping'!$B:$B,10)</f>
        <v>Anne Pretorius</v>
      </c>
      <c r="C75" s="1530" t="str">
        <f>INDEX('REVIEW - Complete Role Mapping'!$C:$C,10)</f>
        <v>Lead Business Analyst</v>
      </c>
      <c r="D75" s="1530" t="str">
        <f>INDEX('REVIEW - Complete Role Mapping'!$AK:$AK,10)</f>
        <v>Filled</v>
      </c>
      <c r="E75" s="1547" t="inlineStr">
        <is>
          <t>Filled</t>
        </is>
      </c>
      <c r="F75" s="1773">
        <f>INDEX('REVIEW - Complete Role Mapping'!$AA:$AA,10)</f>
        <v>195610.164</v>
      </c>
      <c r="G75" s="1773">
        <f>$F75*IFERROR(INDEX(Lists!$AD:$AD,MATCH($E75,Lists!$AC:$AC,0)),1)</f>
        <v>195610.164</v>
      </c>
    </row>
    <row r="76">
      <c r="B76" s="1530" t="str">
        <f>INDEX('REVIEW - Complete Role Mapping'!$B:$B,47)</f>
        <v>Marty O'Shea</v>
      </c>
      <c r="C76" s="1530" t="str">
        <f>INDEX('REVIEW - Complete Role Mapping'!$C:$C,47)</f>
        <v>Systems Analyst</v>
      </c>
      <c r="D76" s="1530" t="str">
        <f>INDEX('REVIEW - Complete Role Mapping'!$AK:$AK,47)</f>
        <v>Filled</v>
      </c>
      <c r="E76" s="1547" t="inlineStr">
        <is>
          <t>Filled</t>
        </is>
      </c>
      <c r="F76" s="1773">
        <f>INDEX('REVIEW - Complete Role Mapping'!$AA:$AA,47)</f>
        <v>247161.9</v>
      </c>
      <c r="G76" s="1773">
        <f>$F76*IFERROR(INDEX(Lists!$AD:$AD,MATCH($E76,Lists!$AC:$AC,0)),1)</f>
        <v>247161.9</v>
      </c>
    </row>
    <row r="77">
      <c r="B77" s="1530" t="str">
        <f>INDEX('REVIEW - Complete Role Mapping'!$B:$B,52)</f>
        <v>Navneet Singh</v>
      </c>
      <c r="C77" s="1530" t="str">
        <f>INDEX('REVIEW - Complete Role Mapping'!$C:$C,52)</f>
        <v>Solution Architect</v>
      </c>
      <c r="D77" s="1530" t="str">
        <f>INDEX('REVIEW - Complete Role Mapping'!$AK:$AK,52)</f>
        <v>Filled</v>
      </c>
      <c r="E77" s="1547" t="inlineStr">
        <is>
          <t>Filled</t>
        </is>
      </c>
      <c r="F77" s="1773">
        <f>INDEX('REVIEW - Complete Role Mapping'!$AA:$AA,52)</f>
        <v>133500</v>
      </c>
      <c r="G77" s="1773">
        <f>$F77*IFERROR(INDEX(Lists!$AD:$AD,MATCH($E77,Lists!$AC:$AC,0)),1)</f>
        <v>133500</v>
      </c>
    </row>
    <row r="78">
      <c r="B78" s="1530" t="str">
        <f>INDEX('REVIEW - Complete Role Mapping'!$B:$B,60)</f>
        <v>Sendhil Vinayagam (75% EGI)</v>
      </c>
      <c r="C78" s="1530" t="str">
        <f>INDEX('REVIEW - Complete Role Mapping'!$C:$C,60)</f>
        <v>Solution Architect</v>
      </c>
      <c r="D78" s="1530" t="str">
        <f>INDEX('REVIEW - Complete Role Mapping'!$AK:$AK,60)</f>
        <v>Filled</v>
      </c>
      <c r="E78" s="1547" t="inlineStr">
        <is>
          <t>Filled</t>
        </is>
      </c>
      <c r="F78" s="1773">
        <f>INDEX('REVIEW - Complete Role Mapping'!$AA:$AA,60)</f>
        <v>267547.35</v>
      </c>
      <c r="G78" s="1773">
        <f>$F78*IFERROR(INDEX(Lists!$AD:$AD,MATCH($E78,Lists!$AC:$AC,0)),1)</f>
        <v>267547.35</v>
      </c>
    </row>
    <row r="79">
      <c r="B79" s="1530" t="str">
        <f>INDEX('REVIEW - Complete Role Mapping'!$B:$B,61)</f>
        <v>Sjoerd Van Sluijs</v>
      </c>
      <c r="C79" s="1530" t="str">
        <f>INDEX('REVIEW - Complete Role Mapping'!$C:$C,61)</f>
        <v>Senior PM PEP1, PEP18</v>
      </c>
      <c r="D79" s="1530" t="str">
        <f>INDEX('REVIEW - Complete Role Mapping'!$AK:$AK,61)</f>
        <v>Filled</v>
      </c>
      <c r="E79" s="1547" t="inlineStr">
        <is>
          <t>Filled</t>
        </is>
      </c>
      <c r="F79" s="1773">
        <f>INDEX('REVIEW - Complete Role Mapping'!$AA:$AA,61)</f>
        <v>155538.2</v>
      </c>
      <c r="G79" s="1773">
        <f>$F79*IFERROR(INDEX(Lists!$AD:$AD,MATCH($E79,Lists!$AC:$AC,0)),1)</f>
        <v>155538.2</v>
      </c>
    </row>
    <row r="80">
      <c r="B80" s="1545" t="inlineStr">
        <is>
          <t>EGI TDD</t>
        </is>
      </c>
      <c r="C80" s="1545" t="str">
        <f>COUNTA($B$81:$B$81)&amp;IF(COUNTA($B$81:$B$81)=1," role"," roles")</f>
        <v>1 role</v>
      </c>
      <c r="D80" s="1545" t="n"/>
      <c r="E80" s="1545" t="n"/>
      <c r="F80" s="1785">
        <f>SUM(F81:F81)</f>
        <v>299700</v>
      </c>
      <c r="G80" s="1785">
        <f>SUM(G81:G81)</f>
        <v>299700</v>
      </c>
    </row>
    <row r="81">
      <c r="B81" s="1530" t="str">
        <f>INDEX('REVIEW - Complete Role Mapping'!$B:$B,104)</f>
        <v>Viren Khatri</v>
      </c>
      <c r="C81" s="1530" t="str">
        <f>INDEX('REVIEW - Complete Role Mapping'!$C:$C,104)</f>
        <v>Data Migration Lead</v>
      </c>
      <c r="D81" s="1530" t="str">
        <f>INDEX('REVIEW - Complete Role Mapping'!$AK:$AK,104)</f>
        <v>Filled</v>
      </c>
      <c r="E81" s="1547" t="inlineStr">
        <is>
          <t>Filled</t>
        </is>
      </c>
      <c r="F81" s="1773">
        <f>INDEX('REVIEW - Complete Role Mapping'!$AA:$AA,104)</f>
        <v>299700</v>
      </c>
      <c r="G81" s="1773">
        <f>$F81*IFERROR(INDEX(Lists!$AD:$AD,MATCH($E81,Lists!$AC:$AC,0)),1)</f>
        <v>299700</v>
      </c>
    </row>
    <row r="82">
      <c r="B82" s="1545" t="inlineStr">
        <is>
          <t>Network &amp; QSR</t>
        </is>
      </c>
      <c r="C82" s="1545" t="str">
        <f>COUNTA($B$83:$B$88)&amp;IF(COUNTA($B$83:$B$88)=1," role"," roles")</f>
        <v>6 roles</v>
      </c>
      <c r="D82" s="1545" t="n"/>
      <c r="E82" s="1545" t="n"/>
      <c r="F82" s="1785">
        <f>SUM(F83:F88)</f>
        <v>1114031.1</v>
      </c>
      <c r="G82" s="1785">
        <f>SUM(G83:G88)</f>
        <v>1114031.1</v>
      </c>
    </row>
    <row r="83">
      <c r="B83" s="1530" t="str">
        <f>INDEX('REVIEW - Complete Role Mapping'!$B:$B,3)</f>
        <v>Adrian Lueng</v>
      </c>
      <c r="C83" s="1530" t="str">
        <f>INDEX('REVIEW - Complete Role Mapping'!$C:$C,3)</f>
        <v>Quality Assurance</v>
      </c>
      <c r="D83" s="1530" t="str">
        <f>INDEX('REVIEW - Complete Role Mapping'!$AK:$AK,3)</f>
        <v>Filled</v>
      </c>
      <c r="E83" s="1547" t="inlineStr">
        <is>
          <t>Filled</t>
        </is>
      </c>
      <c r="F83" s="1773">
        <f>INDEX('REVIEW - Complete Role Mapping'!$AA:$AA,3)</f>
        <v>157839.45</v>
      </c>
      <c r="G83" s="1773">
        <f>$F83*IFERROR(INDEX(Lists!$AD:$AD,MATCH($E83,Lists!$AC:$AC,0)),1)</f>
        <v>157839.45</v>
      </c>
    </row>
    <row r="84">
      <c r="B84" s="1530" t="str">
        <f>INDEX('REVIEW - Complete Role Mapping'!$B:$B,32)</f>
        <v>Javier Aguirre Castellanos</v>
      </c>
      <c r="C84" s="1530" t="str">
        <f>INDEX('REVIEW - Complete Role Mapping'!$C:$C,32)</f>
        <v>Solution Architect</v>
      </c>
      <c r="D84" s="1530" t="str">
        <f>INDEX('REVIEW - Complete Role Mapping'!$AK:$AK,32)</f>
        <v>Filled</v>
      </c>
      <c r="E84" s="1547" t="inlineStr">
        <is>
          <t>Filled</t>
        </is>
      </c>
      <c r="F84" s="1773">
        <f>INDEX('REVIEW - Complete Role Mapping'!$AA:$AA,32)</f>
        <v>133044</v>
      </c>
      <c r="G84" s="1773">
        <f>$F84*IFERROR(INDEX(Lists!$AD:$AD,MATCH($E84,Lists!$AC:$AC,0)),1)</f>
        <v>133044</v>
      </c>
    </row>
    <row r="85">
      <c r="B85" s="1530" t="str">
        <f>INDEX('REVIEW - Complete Role Mapping'!$B:$B,57)</f>
        <v>Santiago Hernandez Arevalo</v>
      </c>
      <c r="C85" s="1530" t="str">
        <f>INDEX('REVIEW - Complete Role Mapping'!$C:$C,57)</f>
        <v>Systems Analyst</v>
      </c>
      <c r="D85" s="1530" t="str">
        <f>INDEX('REVIEW - Complete Role Mapping'!$AK:$AK,57)</f>
        <v>Filled</v>
      </c>
      <c r="E85" s="1547" t="inlineStr">
        <is>
          <t>Filled</t>
        </is>
      </c>
      <c r="F85" s="1773">
        <f>INDEX('REVIEW - Complete Role Mapping'!$AA:$AA,57)</f>
        <v>206150.7</v>
      </c>
      <c r="G85" s="1773">
        <f>$F85*IFERROR(INDEX(Lists!$AD:$AD,MATCH($E85,Lists!$AC:$AC,0)),1)</f>
        <v>206150.7</v>
      </c>
    </row>
    <row r="86">
      <c r="B86" s="1530" t="str">
        <f>INDEX('REVIEW - Complete Role Mapping'!$B:$B,68)</f>
        <v>Vacant</v>
      </c>
      <c r="C86" s="1530" t="str">
        <f>INDEX('REVIEW - Complete Role Mapping'!$C:$C,68)</f>
        <v>Business Analyst</v>
      </c>
      <c r="D86" s="1530" t="str">
        <f>INDEX('REVIEW - Complete Role Mapping'!$AK:$AK,68)</f>
        <v>Vacant</v>
      </c>
      <c r="E86" s="1547" t="inlineStr">
        <is>
          <t>Hire</t>
        </is>
      </c>
      <c r="F86" s="1773">
        <f>INDEX('REVIEW - Complete Role Mapping'!$AA:$AA,68)</f>
        <v>202853.25</v>
      </c>
      <c r="G86" s="1773">
        <f>$F86*IFERROR(INDEX(Lists!$AD:$AD,MATCH($E86,Lists!$AC:$AC,0)),1)</f>
        <v>202853.25</v>
      </c>
    </row>
    <row r="87">
      <c r="B87" s="1530" t="str">
        <f>INDEX('REVIEW - Complete Role Mapping'!$B:$B,93)</f>
        <v>Vacant</v>
      </c>
      <c r="C87" s="1530" t="str">
        <f>INDEX('REVIEW - Complete Role Mapping'!$C:$C,93)</f>
        <v>Systems Analyst</v>
      </c>
      <c r="D87" s="1530" t="str">
        <f>INDEX('REVIEW - Complete Role Mapping'!$AK:$AK,93)</f>
        <v>Vacant</v>
      </c>
      <c r="E87" s="1547" t="inlineStr">
        <is>
          <t>Hire</t>
        </is>
      </c>
      <c r="F87" s="1773">
        <f>INDEX('REVIEW - Complete Role Mapping'!$AA:$AA,93)</f>
        <v>231689.25</v>
      </c>
      <c r="G87" s="1773">
        <f>$F87*IFERROR(INDEX(Lists!$AD:$AD,MATCH($E87,Lists!$AC:$AC,0)),1)</f>
        <v>231689.25</v>
      </c>
    </row>
    <row r="88">
      <c r="B88" s="1530" t="str">
        <f>INDEX('REVIEW - Complete Role Mapping'!$B:$B,99)</f>
        <v>Vanessa Trujillo Munoz</v>
      </c>
      <c r="C88" s="1530" t="str">
        <f>INDEX('REVIEW - Complete Role Mapping'!$C:$C,99)</f>
        <v>Delivery Lead</v>
      </c>
      <c r="D88" s="1530" t="str">
        <f>INDEX('REVIEW - Complete Role Mapping'!$AK:$AK,99)</f>
        <v>Filled</v>
      </c>
      <c r="E88" s="1547" t="inlineStr">
        <is>
          <t>Filled</t>
        </is>
      </c>
      <c r="F88" s="1773">
        <f>INDEX('REVIEW - Complete Role Mapping'!$AA:$AA,99)</f>
        <v>182454.45</v>
      </c>
      <c r="G88" s="1773">
        <f>$F88*IFERROR(INDEX(Lists!$AD:$AD,MATCH($E88,Lists!$AC:$AC,0)),1)</f>
        <v>182454.45</v>
      </c>
    </row>
    <row r="89">
      <c r="B89" s="1545" t="inlineStr">
        <is>
          <t>POS</t>
        </is>
      </c>
      <c r="C89" s="1545" t="str">
        <f>COUNTA($B$90:$B$97)&amp;IF(COUNTA($B$90:$B$97)=1," role"," roles")</f>
        <v>8 roles</v>
      </c>
      <c r="D89" s="1545" t="n"/>
      <c r="E89" s="1545" t="n"/>
      <c r="F89" s="1785">
        <f>SUM(F90:F97)</f>
        <v>1576223.685</v>
      </c>
      <c r="G89" s="1785">
        <f>SUM(G90:G97)</f>
        <v>1576223.685</v>
      </c>
    </row>
    <row r="90">
      <c r="B90" s="1530" t="str">
        <f>INDEX('REVIEW - Complete Role Mapping'!$B:$B,69)</f>
        <v>Vacant</v>
      </c>
      <c r="C90" s="1530" t="str">
        <f>INDEX('REVIEW - Complete Role Mapping'!$C:$C,69)</f>
        <v>Business Analyst</v>
      </c>
      <c r="D90" s="1530" t="str">
        <f>INDEX('REVIEW - Complete Role Mapping'!$AK:$AK,69)</f>
        <v>Vacant</v>
      </c>
      <c r="E90" s="1547" t="inlineStr">
        <is>
          <t>Hire</t>
        </is>
      </c>
      <c r="F90" s="1773">
        <f>INDEX('REVIEW - Complete Role Mapping'!$AA:$AA,69)</f>
        <v>170501.585</v>
      </c>
      <c r="G90" s="1773">
        <f>$F90*IFERROR(INDEX(Lists!$AD:$AD,MATCH($E90,Lists!$AC:$AC,0)),1)</f>
        <v>170501.585</v>
      </c>
    </row>
    <row r="91">
      <c r="B91" s="1530" t="str">
        <f>INDEX('REVIEW - Complete Role Mapping'!$B:$B,81)</f>
        <v>Vacant</v>
      </c>
      <c r="C91" s="1530" t="str">
        <f>INDEX('REVIEW - Complete Role Mapping'!$C:$C,81)</f>
        <v>Engineer Integration</v>
      </c>
      <c r="D91" s="1530" t="str">
        <f>INDEX('REVIEW - Complete Role Mapping'!$AK:$AK,81)</f>
        <v>Vacant</v>
      </c>
      <c r="E91" s="1547" t="inlineStr">
        <is>
          <t>Hire</t>
        </is>
      </c>
      <c r="F91" s="1773">
        <f>INDEX('REVIEW - Complete Role Mapping'!$AA:$AA,81)</f>
        <v>231689.25</v>
      </c>
      <c r="G91" s="1773">
        <f>$F91*IFERROR(INDEX(Lists!$AD:$AD,MATCH($E91,Lists!$AC:$AC,0)),1)</f>
        <v>231689.25</v>
      </c>
    </row>
    <row r="92">
      <c r="B92" s="1530" t="str">
        <f>INDEX('REVIEW - Complete Role Mapping'!$B:$B,83)</f>
        <v>Vacant</v>
      </c>
      <c r="C92" s="1530" t="str">
        <f>INDEX('REVIEW - Complete Role Mapping'!$C:$C,83)</f>
        <v>Lead Quality Assurance</v>
      </c>
      <c r="D92" s="1530" t="str">
        <f>INDEX('REVIEW - Complete Role Mapping'!$AK:$AK,83)</f>
        <v>Vacant</v>
      </c>
      <c r="E92" s="1547" t="inlineStr">
        <is>
          <t>Hire</t>
        </is>
      </c>
      <c r="F92" s="1773">
        <f>INDEX('REVIEW - Complete Role Mapping'!$AA:$AA,83)</f>
        <v>224493.6</v>
      </c>
      <c r="G92" s="1773">
        <f>$F92*IFERROR(INDEX(Lists!$AD:$AD,MATCH($E92,Lists!$AC:$AC,0)),1)</f>
        <v>224493.6</v>
      </c>
    </row>
    <row r="93">
      <c r="B93" s="1530" t="str">
        <f>INDEX('REVIEW - Complete Role Mapping'!$B:$B,86)</f>
        <v>Vacant</v>
      </c>
      <c r="C93" s="1530" t="str">
        <f>INDEX('REVIEW - Complete Role Mapping'!$C:$C,86)</f>
        <v>Quality Assurance</v>
      </c>
      <c r="D93" s="1530" t="str">
        <f>INDEX('REVIEW - Complete Role Mapping'!$AK:$AK,86)</f>
        <v>Vacant</v>
      </c>
      <c r="E93" s="1547" t="inlineStr">
        <is>
          <t>Hire</t>
        </is>
      </c>
      <c r="F93" s="1773">
        <f>INDEX('REVIEW - Complete Role Mapping'!$AA:$AA,86)</f>
        <v>170489.75</v>
      </c>
      <c r="G93" s="1773">
        <f>$F93*IFERROR(INDEX(Lists!$AD:$AD,MATCH($E93,Lists!$AC:$AC,0)),1)</f>
        <v>170489.75</v>
      </c>
    </row>
    <row r="94">
      <c r="B94" s="1530" t="str">
        <f>INDEX('REVIEW - Complete Role Mapping'!$B:$B,87)</f>
        <v>Vacant</v>
      </c>
      <c r="C94" s="1530" t="str">
        <f>INDEX('REVIEW - Complete Role Mapping'!$C:$C,87)</f>
        <v>Quality Assurance</v>
      </c>
      <c r="D94" s="1530" t="str">
        <f>INDEX('REVIEW - Complete Role Mapping'!$AK:$AK,87)</f>
        <v>Vacant</v>
      </c>
      <c r="E94" s="1547" t="inlineStr">
        <is>
          <t>Hire</t>
        </is>
      </c>
      <c r="F94" s="1773">
        <f>INDEX('REVIEW - Complete Role Mapping'!$AA:$AA,87)</f>
        <v>170489.75</v>
      </c>
      <c r="G94" s="1773">
        <f>$F94*IFERROR(INDEX(Lists!$AD:$AD,MATCH($E94,Lists!$AC:$AC,0)),1)</f>
        <v>170489.75</v>
      </c>
    </row>
    <row r="95">
      <c r="B95" s="1530" t="str">
        <f>INDEX('REVIEW - Complete Role Mapping'!$B:$B,88)</f>
        <v>Vacant</v>
      </c>
      <c r="C95" s="1530" t="str">
        <f>INDEX('REVIEW - Complete Role Mapping'!$C:$C,88)</f>
        <v>Quality Assurance</v>
      </c>
      <c r="D95" s="1530" t="str">
        <f>INDEX('REVIEW - Complete Role Mapping'!$AK:$AK,88)</f>
        <v>Vacant</v>
      </c>
      <c r="E95" s="1547" t="inlineStr">
        <is>
          <t>Hire</t>
        </is>
      </c>
      <c r="F95" s="1773">
        <f>INDEX('REVIEW - Complete Role Mapping'!$AA:$AA,88)</f>
        <v>202853.25</v>
      </c>
      <c r="G95" s="1773">
        <f>$F95*IFERROR(INDEX(Lists!$AD:$AD,MATCH($E95,Lists!$AC:$AC,0)),1)</f>
        <v>202853.25</v>
      </c>
    </row>
    <row r="96">
      <c r="B96" s="1530" t="str">
        <f>INDEX('REVIEW - Complete Role Mapping'!$B:$B,90)</f>
        <v>Vacant</v>
      </c>
      <c r="C96" s="1530" t="str">
        <f>INDEX('REVIEW - Complete Role Mapping'!$C:$C,90)</f>
        <v>Release &amp; Environments Manager</v>
      </c>
      <c r="D96" s="1530" t="str">
        <f>INDEX('REVIEW - Complete Role Mapping'!$AK:$AK,90)</f>
        <v>Vacant</v>
      </c>
      <c r="E96" s="1547" t="inlineStr">
        <is>
          <t>Hire</t>
        </is>
      </c>
      <c r="F96" s="1773">
        <f>INDEX('REVIEW - Complete Role Mapping'!$AA:$AA,90)</f>
        <v>202853.25</v>
      </c>
      <c r="G96" s="1773">
        <f>$F96*IFERROR(INDEX(Lists!$AD:$AD,MATCH($E96,Lists!$AC:$AC,0)),1)</f>
        <v>202853.25</v>
      </c>
    </row>
    <row r="97">
      <c r="B97" s="1530" t="str">
        <f>INDEX('REVIEW - Complete Role Mapping'!$B:$B,95)</f>
        <v>Vacant</v>
      </c>
      <c r="C97" s="1530" t="str">
        <f>INDEX('REVIEW - Complete Role Mapping'!$C:$C,95)</f>
        <v>Systems Analyst</v>
      </c>
      <c r="D97" s="1530" t="str">
        <f>INDEX('REVIEW - Complete Role Mapping'!$AK:$AK,95)</f>
        <v>Vacant</v>
      </c>
      <c r="E97" s="1547" t="inlineStr">
        <is>
          <t>Hire</t>
        </is>
      </c>
      <c r="F97" s="1773">
        <f>INDEX('REVIEW - Complete Role Mapping'!$AA:$AA,95)</f>
        <v>202853.25</v>
      </c>
      <c r="G97" s="1773">
        <f>$F97*IFERROR(INDEX(Lists!$AD:$AD,MATCH($E97,Lists!$AC:$AC,0)),1)</f>
        <v>202853.25</v>
      </c>
    </row>
    <row r="98">
      <c r="B98" s="1545" t="inlineStr">
        <is>
          <t>Payments</t>
        </is>
      </c>
      <c r="C98" s="1545" t="str">
        <f>COUNTA($B$99:$B$102)&amp;IF(COUNTA($B$99:$B$102)=1," role"," roles")</f>
        <v>4 roles</v>
      </c>
      <c r="D98" s="1545" t="n"/>
      <c r="E98" s="1545" t="n"/>
      <c r="F98" s="1785">
        <f>SUM(F99:F102)</f>
        <v>789428.585</v>
      </c>
      <c r="G98" s="1785">
        <f>SUM(G99:G102)</f>
        <v>789428.585</v>
      </c>
    </row>
    <row r="99">
      <c r="B99" s="1530" t="str">
        <f>INDEX('REVIEW - Complete Role Mapping'!$B:$B,14)</f>
        <v>Beenu Murali</v>
      </c>
      <c r="C99" s="1530" t="str">
        <f>INDEX('REVIEW - Complete Role Mapping'!$C:$C,14)</f>
        <v>Quality Assurance</v>
      </c>
      <c r="D99" s="1530" t="str">
        <f>INDEX('REVIEW - Complete Role Mapping'!$AK:$AK,14)</f>
        <v>Filled</v>
      </c>
      <c r="E99" s="1547" t="inlineStr">
        <is>
          <t>Filled</t>
        </is>
      </c>
      <c r="F99" s="1773">
        <f>INDEX('REVIEW - Complete Role Mapping'!$AA:$AA,14)</f>
        <v>146083.35</v>
      </c>
      <c r="G99" s="1773">
        <f>$F99*IFERROR(INDEX(Lists!$AD:$AD,MATCH($E99,Lists!$AC:$AC,0)),1)</f>
        <v>146083.35</v>
      </c>
    </row>
    <row r="100">
      <c r="B100" s="1530" t="str">
        <f>INDEX('REVIEW - Complete Role Mapping'!$B:$B,59)</f>
        <v>Sayan Kar</v>
      </c>
      <c r="C100" s="1530" t="str">
        <f>INDEX('REVIEW - Complete Role Mapping'!$C:$C,59)</f>
        <v>Systems Analyst</v>
      </c>
      <c r="D100" s="1530" t="str">
        <f>INDEX('REVIEW - Complete Role Mapping'!$AK:$AK,59)</f>
        <v>Filled</v>
      </c>
      <c r="E100" s="1547" t="inlineStr">
        <is>
          <t>Filled</t>
        </is>
      </c>
      <c r="F100" s="1773">
        <f>INDEX('REVIEW - Complete Role Mapping'!$AA:$AA,59)</f>
        <v>259243.65</v>
      </c>
      <c r="G100" s="1773">
        <f>$F100*IFERROR(INDEX(Lists!$AD:$AD,MATCH($E100,Lists!$AC:$AC,0)),1)</f>
        <v>259243.65</v>
      </c>
    </row>
    <row r="101">
      <c r="B101" s="1530" t="str">
        <f>INDEX('REVIEW - Complete Role Mapping'!$B:$B,94)</f>
        <v>Vacant</v>
      </c>
      <c r="C101" s="1530" t="str">
        <f>INDEX('REVIEW - Complete Role Mapping'!$C:$C,94)</f>
        <v>Systems Analyst</v>
      </c>
      <c r="D101" s="1530" t="str">
        <f>INDEX('REVIEW - Complete Role Mapping'!$AK:$AK,94)</f>
        <v>Vacant</v>
      </c>
      <c r="E101" s="1547" t="inlineStr">
        <is>
          <t>Hire</t>
        </is>
      </c>
      <c r="F101" s="1773">
        <f>INDEX('REVIEW - Complete Role Mapping'!$AA:$AA,94)</f>
        <v>170501.585</v>
      </c>
      <c r="G101" s="1773">
        <f>$F101*IFERROR(INDEX(Lists!$AD:$AD,MATCH($E101,Lists!$AC:$AC,0)),1)</f>
        <v>170501.585</v>
      </c>
    </row>
    <row r="102">
      <c r="B102" s="1530" t="str">
        <f>INDEX('REVIEW - Complete Role Mapping'!$B:$B,101)</f>
        <v>Venkat Kedharanathan</v>
      </c>
      <c r="C102" s="1530" t="str">
        <f>INDEX('REVIEW - Complete Role Mapping'!$C:$C,101)</f>
        <v>Senior Business Analyst</v>
      </c>
      <c r="D102" s="1530" t="str">
        <f>INDEX('REVIEW - Complete Role Mapping'!$AK:$AK,101)</f>
        <v>Filled</v>
      </c>
      <c r="E102" s="1547" t="inlineStr">
        <is>
          <t>Filled</t>
        </is>
      </c>
      <c r="F102" s="1773">
        <f>INDEX('REVIEW - Complete Role Mapping'!$AA:$AA,101)</f>
        <v>213600</v>
      </c>
      <c r="G102" s="1773">
        <f>$F102*IFERROR(INDEX(Lists!$AD:$AD,MATCH($E102,Lists!$AC:$AC,0)),1)</f>
        <v>213600</v>
      </c>
    </row>
    <row r="103">
      <c r="B103" s="1545" t="inlineStr">
        <is>
          <t>Store Operations</t>
        </is>
      </c>
      <c r="C103" s="1545" t="str">
        <f>COUNTA($B$104:$B$111)&amp;IF(COUNTA($B$104:$B$111)=1," role"," roles")</f>
        <v>8 roles</v>
      </c>
      <c r="D103" s="1545" t="n"/>
      <c r="E103" s="1545" t="n"/>
      <c r="F103" s="1785">
        <f>SUM(F104:F111)</f>
        <v>1429759.453</v>
      </c>
      <c r="G103" s="1785">
        <f>SUM(G104:G111)</f>
        <v>1429759.453</v>
      </c>
    </row>
    <row r="104">
      <c r="B104" s="1530" t="str">
        <f>INDEX('REVIEW - Complete Role Mapping'!$B:$B,7)</f>
        <v>Andrew Whitford</v>
      </c>
      <c r="C104" s="1530" t="str">
        <f>INDEX('REVIEW - Complete Role Mapping'!$C:$C,7)</f>
        <v>Field Systems Operations Lead - WA</v>
      </c>
      <c r="D104" s="1530" t="str">
        <f>INDEX('REVIEW - Complete Role Mapping'!$AK:$AK,7)</f>
        <v>Filled</v>
      </c>
      <c r="E104" s="1547" t="inlineStr">
        <is>
          <t>Filled</t>
        </is>
      </c>
      <c r="F104" s="1773">
        <f>INDEX('REVIEW - Complete Role Mapping'!$AA:$AA,7)</f>
        <v>164033.1</v>
      </c>
      <c r="G104" s="1773">
        <f>$F104*IFERROR(INDEX(Lists!$AD:$AD,MATCH($E104,Lists!$AC:$AC,0)),1)</f>
        <v>164033.1</v>
      </c>
    </row>
    <row r="105">
      <c r="B105" s="1530" t="str">
        <f>INDEX('REVIEW - Complete Role Mapping'!$B:$B,24)</f>
        <v>Ephraim Adan</v>
      </c>
      <c r="C105" s="1530" t="str">
        <f>INDEX('REVIEW - Complete Role Mapping'!$C:$C,24)</f>
        <v>Manager - AU Retail Operations</v>
      </c>
      <c r="D105" s="1530" t="str">
        <f>INDEX('REVIEW - Complete Role Mapping'!$AK:$AK,24)</f>
        <v>Filled</v>
      </c>
      <c r="E105" s="1547" t="inlineStr">
        <is>
          <t>Filled</t>
        </is>
      </c>
      <c r="F105" s="1773">
        <f>INDEX('REVIEW - Complete Role Mapping'!$AA:$AA,24)</f>
        <v>77707.84</v>
      </c>
      <c r="G105" s="1773">
        <f>$F105*IFERROR(INDEX(Lists!$AD:$AD,MATCH($E105,Lists!$AC:$AC,0)),1)</f>
        <v>77707.84</v>
      </c>
    </row>
    <row r="106">
      <c r="B106" s="1530" t="str">
        <f>INDEX('REVIEW - Complete Role Mapping'!$B:$B,27)</f>
        <v>Geoff Goddard</v>
      </c>
      <c r="C106" s="1530" t="str">
        <f>INDEX('REVIEW - Complete Role Mapping'!$C:$C,27)</f>
        <v>Field Systems Operations Lead - VIC</v>
      </c>
      <c r="D106" s="1530" t="str">
        <f>INDEX('REVIEW - Complete Role Mapping'!$AK:$AK,27)</f>
        <v>Filled</v>
      </c>
      <c r="E106" s="1547" t="inlineStr">
        <is>
          <t>Filled</t>
        </is>
      </c>
      <c r="F106" s="1773">
        <f>INDEX('REVIEW - Complete Role Mapping'!$AA:$AA,27)</f>
        <v>167360.05</v>
      </c>
      <c r="G106" s="1773">
        <f>$F106*IFERROR(INDEX(Lists!$AD:$AD,MATCH($E106,Lists!$AC:$AC,0)),1)</f>
        <v>167360.05</v>
      </c>
    </row>
    <row r="107">
      <c r="B107" s="1530" t="str">
        <f>INDEX('REVIEW - Complete Role Mapping'!$B:$B,28)</f>
        <v>Gerald Aguas</v>
      </c>
      <c r="C107" s="1530" t="str">
        <f>INDEX('REVIEW - Complete Role Mapping'!$C:$C,28)</f>
        <v>Field Systems Operations Lead - NSW</v>
      </c>
      <c r="D107" s="1530" t="str">
        <f>INDEX('REVIEW - Complete Role Mapping'!$AK:$AK,28)</f>
        <v>Filled</v>
      </c>
      <c r="E107" s="1547" t="inlineStr">
        <is>
          <t>Filled</t>
        </is>
      </c>
      <c r="F107" s="1773">
        <f>INDEX('REVIEW - Complete Role Mapping'!$AA:$AA,28)</f>
        <v>190155.852</v>
      </c>
      <c r="G107" s="1773">
        <f>$F107*IFERROR(INDEX(Lists!$AD:$AD,MATCH($E107,Lists!$AC:$AC,0)),1)</f>
        <v>190155.852</v>
      </c>
    </row>
    <row r="108">
      <c r="B108" s="1530" t="str">
        <f>INDEX('REVIEW - Complete Role Mapping'!$B:$B,38)</f>
        <v>Karthikeyan Kuppan</v>
      </c>
      <c r="C108" s="1530" t="str">
        <f>INDEX('REVIEW - Complete Role Mapping'!$C:$C,38)</f>
        <v>Lead - AU Retail Operations</v>
      </c>
      <c r="D108" s="1530" t="str">
        <f>INDEX('REVIEW - Complete Role Mapping'!$AK:$AK,38)</f>
        <v>Filled</v>
      </c>
      <c r="E108" s="1547" t="inlineStr">
        <is>
          <t>Filled</t>
        </is>
      </c>
      <c r="F108" s="1773">
        <f>INDEX('REVIEW - Complete Role Mapping'!$AA:$AA,38)</f>
        <v>242933.676</v>
      </c>
      <c r="G108" s="1773">
        <f>$F108*IFERROR(INDEX(Lists!$AD:$AD,MATCH($E108,Lists!$AC:$AC,0)),1)</f>
        <v>242933.676</v>
      </c>
    </row>
    <row r="109">
      <c r="B109" s="1530" t="str">
        <f>INDEX('REVIEW - Complete Role Mapping'!$B:$B,54)</f>
        <v>Patrick Ericson Nario</v>
      </c>
      <c r="C109" s="1530" t="str">
        <f>INDEX('REVIEW - Complete Role Mapping'!$C:$C,54)</f>
        <v>Support Analyst - Field Operations</v>
      </c>
      <c r="D109" s="1530" t="str">
        <f>INDEX('REVIEW - Complete Role Mapping'!$AK:$AK,54)</f>
        <v>Filled</v>
      </c>
      <c r="E109" s="1547" t="inlineStr">
        <is>
          <t>Filled</t>
        </is>
      </c>
      <c r="F109" s="1773">
        <f>INDEX('REVIEW - Complete Role Mapping'!$AA:$AA,54)</f>
        <v>214214.1</v>
      </c>
      <c r="G109" s="1773">
        <f>$F109*IFERROR(INDEX(Lists!$AD:$AD,MATCH($E109,Lists!$AC:$AC,0)),1)</f>
        <v>214214.1</v>
      </c>
    </row>
    <row r="110">
      <c r="B110" s="1530" t="str">
        <f>INDEX('REVIEW - Complete Role Mapping'!$B:$B,66)</f>
        <v>Tuan Edwards</v>
      </c>
      <c r="C110" s="1530" t="str">
        <f>INDEX('REVIEW - Complete Role Mapping'!$C:$C,66)</f>
        <v>Field Systems Operations Lead - QLD</v>
      </c>
      <c r="D110" s="1530" t="str">
        <f>INDEX('REVIEW - Complete Role Mapping'!$AK:$AK,66)</f>
        <v>Filled</v>
      </c>
      <c r="E110" s="1547" t="inlineStr">
        <is>
          <t>Filled</t>
        </is>
      </c>
      <c r="F110" s="1773">
        <f>INDEX('REVIEW - Complete Role Mapping'!$AA:$AA,66)</f>
        <v>202853.25</v>
      </c>
      <c r="G110" s="1773">
        <f>$F110*IFERROR(INDEX(Lists!$AD:$AD,MATCH($E110,Lists!$AC:$AC,0)),1)</f>
        <v>202853.25</v>
      </c>
    </row>
    <row r="111">
      <c r="B111" s="1530" t="str">
        <f>INDEX('REVIEW - Complete Role Mapping'!$B:$B,91)</f>
        <v>Vacant</v>
      </c>
      <c r="C111" s="1530" t="str">
        <f>INDEX('REVIEW - Complete Role Mapping'!$C:$C,91)</f>
        <v>Support Analyst -Retail</v>
      </c>
      <c r="D111" s="1530" t="str">
        <f>INDEX('REVIEW - Complete Role Mapping'!$AK:$AK,91)</f>
        <v>Vacant</v>
      </c>
      <c r="E111" s="1547" t="inlineStr">
        <is>
          <t>Hire</t>
        </is>
      </c>
      <c r="F111" s="1773">
        <f>INDEX('REVIEW - Complete Role Mapping'!$AA:$AA,91)</f>
        <v>170501.585</v>
      </c>
      <c r="G111" s="1773">
        <f>$F111*IFERROR(INDEX(Lists!$AD:$AD,MATCH($E111,Lists!$AC:$AC,0)),1)</f>
        <v>170501.585</v>
      </c>
    </row>
    <row r="112">
      <c r="B112" s="1545" t="inlineStr">
        <is>
          <t>Head of Technology</t>
        </is>
      </c>
      <c r="C112" s="1545" t="str">
        <f>COUNTA($B$113:$B$113)&amp;IF(COUNTA($B$113:$B$113)=1," role"," roles")</f>
        <v>1 role</v>
      </c>
      <c r="D112" s="1545" t="n"/>
      <c r="E112" s="1545" t="n"/>
      <c r="F112" s="1785">
        <f>SUM(F113:F113)</f>
        <v>186032.25</v>
      </c>
      <c r="G112" s="1785">
        <f>SUM(G113:G113)</f>
        <v>186032.25</v>
      </c>
    </row>
    <row r="113">
      <c r="B113" s="1530" t="str">
        <f>INDEX('REVIEW - Complete Role Mapping'!$B:$B,42)</f>
        <v>Madan Murthy</v>
      </c>
      <c r="C113" s="1530" t="str">
        <f>INDEX('REVIEW - Complete Role Mapping'!$C:$C,42)</f>
        <v>Head of Technology, AU Retail</v>
      </c>
      <c r="D113" s="1530" t="str">
        <f>INDEX('REVIEW - Complete Role Mapping'!$AK:$AK,42)</f>
        <v>Filled</v>
      </c>
      <c r="E113" s="1547" t="inlineStr">
        <is>
          <t>Filled</t>
        </is>
      </c>
      <c r="F113" s="1773">
        <f>INDEX('REVIEW - Complete Role Mapping'!$AA:$AA,42)</f>
        <v>186032.25</v>
      </c>
      <c r="G113" s="1773">
        <f>$F113*IFERROR(INDEX(Lists!$AD:$AD,MATCH($E113,Lists!$AC:$AC,0)),1)</f>
        <v>186032.25</v>
      </c>
    </row>
    <row r="114">
      <c r="B114" s="1545" t="inlineStr">
        <is>
          <t>Delivery Manager</t>
        </is>
      </c>
      <c r="C114" s="1545" t="str">
        <f>COUNTA($B$115:$B$115)&amp;IF(COUNTA($B$115:$B$115)=1," role"," roles")</f>
        <v>1 role</v>
      </c>
      <c r="D114" s="1545" t="n"/>
      <c r="E114" s="1545" t="n"/>
      <c r="F114" s="1785">
        <f>SUM(F115:F115)</f>
        <v>302937.35</v>
      </c>
      <c r="G114" s="1785">
        <f>SUM(G115:G115)</f>
        <v>302937.35</v>
      </c>
    </row>
    <row r="115">
      <c r="B115" s="1530" t="str">
        <f>INDEX('REVIEW - Complete Role Mapping'!$B:$B,97)</f>
        <v>Vanessa Allen</v>
      </c>
      <c r="C115" s="1530" t="str">
        <f>INDEX('REVIEW - Complete Role Mapping'!$C:$C,97)</f>
        <v>Delivery Manager</v>
      </c>
      <c r="D115" s="1530" t="str">
        <f>INDEX('REVIEW - Complete Role Mapping'!$AK:$AK,97)</f>
        <v>Filled</v>
      </c>
      <c r="E115" s="1547" t="inlineStr">
        <is>
          <t>Filled</t>
        </is>
      </c>
      <c r="F115" s="1773">
        <f>INDEX('REVIEW - Complete Role Mapping'!$AA:$AA,97)</f>
        <v>302937.35</v>
      </c>
      <c r="G115" s="1773">
        <f>$F115*IFERROR(INDEX(Lists!$AD:$AD,MATCH($E115,Lists!$AC:$AC,0)),1)</f>
        <v>302937.35</v>
      </c>
    </row>
    <row r="116">
      <c r="B116" s="1545" t="inlineStr">
        <is>
          <t>Technology Manager</t>
        </is>
      </c>
      <c r="C116" s="1545" t="str">
        <f>COUNTA($B$117:$B$119)&amp;IF(COUNTA($B$117:$B$119)=1," role"," roles")</f>
        <v>3 roles</v>
      </c>
      <c r="D116" s="1545" t="n"/>
      <c r="E116" s="1545" t="n"/>
      <c r="F116" s="1785">
        <f>SUM(F117:F119)</f>
        <v>766646.363</v>
      </c>
      <c r="G116" s="1785">
        <f>SUM(G117:G119)</f>
        <v>766646.363</v>
      </c>
    </row>
    <row r="117">
      <c r="B117" s="1530" t="str">
        <f>INDEX('REVIEW - Complete Role Mapping'!$B:$B,64)</f>
        <v>Tracy Lee Reaper</v>
      </c>
      <c r="C117" s="1530" t="str">
        <f>INDEX('REVIEW - Complete Role Mapping'!$C:$C,64)</f>
        <v>Technology Manager, Merchandising &amp; WFM</v>
      </c>
      <c r="D117" s="1530" t="str">
        <f>INDEX('REVIEW - Complete Role Mapping'!$AK:$AK,64)</f>
        <v>Filled</v>
      </c>
      <c r="E117" s="1547" t="inlineStr">
        <is>
          <t>Filled</t>
        </is>
      </c>
      <c r="F117" s="1773">
        <f>INDEX('REVIEW - Complete Role Mapping'!$AA:$AA,64)</f>
        <v>224341.488</v>
      </c>
      <c r="G117" s="1773">
        <f>$F117*IFERROR(INDEX(Lists!$AD:$AD,MATCH($E117,Lists!$AC:$AC,0)),1)</f>
        <v>224341.488</v>
      </c>
    </row>
    <row r="118">
      <c r="B118" s="1530" t="str">
        <f>INDEX('REVIEW - Complete Role Mapping'!$B:$B,96)</f>
        <v>Vaishnavi Viswanathan</v>
      </c>
      <c r="C118" s="1530" t="str">
        <f>INDEX('REVIEW - Complete Role Mapping'!$C:$C,96)</f>
        <v>Technology Manager, Store Platform</v>
      </c>
      <c r="D118" s="1530" t="str">
        <f>INDEX('REVIEW - Complete Role Mapping'!$AK:$AK,96)</f>
        <v>Filled</v>
      </c>
      <c r="E118" s="1547" t="inlineStr">
        <is>
          <t>Filled</t>
        </is>
      </c>
      <c r="F118" s="1773">
        <f>INDEX('REVIEW - Complete Role Mapping'!$AA:$AA,96)</f>
        <v>257754.875</v>
      </c>
      <c r="G118" s="1773">
        <f>$F118*IFERROR(INDEX(Lists!$AD:$AD,MATCH($E118,Lists!$AC:$AC,0)),1)</f>
        <v>257754.875</v>
      </c>
    </row>
    <row r="119">
      <c r="B119" s="1530" t="str">
        <f>INDEX('REVIEW - Complete Role Mapping'!$B:$B,100)</f>
        <v>Vedran Jukic</v>
      </c>
      <c r="C119" s="1530" t="str">
        <f>INDEX('REVIEW - Complete Role Mapping'!$C:$C,100)</f>
        <v>Technology Manager, Retail</v>
      </c>
      <c r="D119" s="1530" t="str">
        <f>INDEX('REVIEW - Complete Role Mapping'!$AK:$AK,100)</f>
        <v>Filled</v>
      </c>
      <c r="E119" s="1547" t="inlineStr">
        <is>
          <t>Filled</t>
        </is>
      </c>
      <c r="F119" s="1773">
        <f>INDEX('REVIEW - Complete Role Mapping'!$AA:$AA,100)</f>
        <v>284550</v>
      </c>
      <c r="G119" s="1773">
        <f>$F119*IFERROR(INDEX(Lists!$AD:$AD,MATCH($E119,Lists!$AC:$AC,0)),1)</f>
        <v>284550</v>
      </c>
    </row>
  </sheetData>
  <dataValidations count="1">
    <dataValidation sqref="E38 E39 E40 E41 E42 E43 E44 E45 E46 E47 E48 E50 E51 E52 E53 E54 E55 E56 E57 E58 E59 E61 E62 E63 E64 E65 E66 E68 E69 E70 E71 E72 E74 E75 E76 E77 E78 E79 E81 E83 E84 E85 E86 E87 E88 E90 E91 E92 E93 E94 E95 E96 E97 E99 E100 E101 E102 E104 E105 E106 E107 E108 E109 E110 E111 E113 E115 E117 E118 E11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30"/>
  <sheetViews>
    <sheetView showFormulas="0" showGridLines="0" showRowColHeaders="1" showZeros="1" rightToLeft="0" tabSelected="1" showOutlineSymbols="1" defaultGridColor="1" view="normal" topLeftCell="A19" colorId="64" zoomScale="70" zoomScaleNormal="70" zoomScalePageLayoutView="100" workbookViewId="0">
      <pane xSplit="2" ySplit="6" topLeftCell="C7" activePane="bottomRight" state="frozen"/>
      <selection pane="topRight" activeCell="A1" sqref="A1"/>
      <selection pane="bottomLeft" activeCell="A1" sqref="A1"/>
      <selection pane="bottomRigh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Customer - working copy</t>
        </is>
      </c>
    </row>
    <row r="3">
      <c r="B3" s="1525" t="inlineStr">
        <is>
          <t>Portfolio</t>
        </is>
      </c>
      <c r="C3" s="1526" t="inlineStr">
        <is>
          <t>Customer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Ampol App</t>
        </is>
      </c>
      <c r="C7" s="1530" t="str">
        <f>IFERROR(INDEX('1.2 Customer'!$C$29:$C$56,MATCH($B7,'1.2 Customer'!$B$29:$B$56,0)),"Not on the 1.x tab")</f>
        <v>Product</v>
      </c>
      <c r="D7" s="1530" t="str">
        <f>IFERROR(IF(INDEX('1.2 Customer'!$D$29:$D$56,MATCH($B7,'1.2 Customer'!$B$29:$B$56,0))="","-",INDEX('1.2 Customer'!$D$29:$D$56,MATCH($B7,'1.2 Customer'!$B$29:$B$56,0))),"-")</f>
        <v>L</v>
      </c>
      <c r="E7" s="1782">
        <f>IFERROR(INDEX('0.3 Squad Archetypes'!$F$5:$F$23,MATCH($C7&amp;"|"&amp;$D7,'0.3 Squad Archetypes'!$A$5:$A$23,0)),"-")</f>
        <v>12</v>
      </c>
      <c r="F7" s="1773">
        <f>COUNTA($B$37:$B$50)</f>
        <v>14</v>
      </c>
      <c r="G7" s="1773">
        <f>COUNTIFS($D$37:$D$50,"Filled")</f>
        <v>14</v>
      </c>
      <c r="H7" s="1773">
        <f>COUNTIFS($D$37:$D$50,"Vacant")</f>
        <v>0</v>
      </c>
      <c r="I7" s="1773">
        <f>COUNTIFS($D$37:$D$50,"Vacant",$E$37:$E$50,"Hire")</f>
        <v>0</v>
      </c>
      <c r="J7" s="1773">
        <f>COUNTIFS($E$37:$E$50,"Offshore")</f>
        <v>0</v>
      </c>
      <c r="K7" s="1773">
        <f>COUNTIFS($E$37:$E$50,"Hold")</f>
        <v>0</v>
      </c>
      <c r="L7" s="1773">
        <f>$F7-$K7</f>
        <v>14</v>
      </c>
      <c r="M7" s="1772">
        <f>IFERROR(IF(INDEX('1.2 Customer'!$E$29:$E$56,MATCH($B7,'1.2 Customer'!$B$29:$B$56,0))="Offshore",INDEX('0.3 Squad Archetypes'!$H$5:$H$23,MATCH($C7&amp;"|"&amp;$D7,'0.3 Squad Archetypes'!$A$5:$A$23,0)),INDEX('0.3 Squad Archetypes'!$G$5:$G$23,MATCH($C7&amp;"|"&amp;$D7,'0.3 Squad Archetypes'!$A$5:$A$23,0))),"-")</f>
        <v>2.8</v>
      </c>
      <c r="N7" s="1772">
        <f>SUMIFS('REVIEW - Complete Role Mapping'!$AA$2:$AA$528,'REVIEW - Complete Role Mapping'!$AJ$2:$AJ$528,$C$3,'REVIEW - Complete Role Mapping'!$AT$2:$AT$528,$B7)/1000000</f>
        <v>3.36059233</v>
      </c>
      <c r="O7" s="1772">
        <f>IFERROR(ROUND($N7-$M7,6),"-")</f>
        <v>0.560592</v>
      </c>
      <c r="P7" s="1772">
        <f>SUM($G$37:$G$50)/1000000</f>
        <v>3.36059233</v>
      </c>
      <c r="Q7" s="1772">
        <f>IFERROR(ROUND($P7-$M7,6),"-")</f>
        <v>0.560592</v>
      </c>
    </row>
    <row r="8">
      <c r="B8" s="1530" t="inlineStr">
        <is>
          <t>Ampol Loyalty &amp; Martech</t>
        </is>
      </c>
      <c r="C8" s="1530" t="str">
        <f>IFERROR(INDEX('1.2 Customer'!$C$29:$C$56,MATCH($B8,'1.2 Customer'!$B$29:$B$56,0)),"Not on the 1.x tab")</f>
        <v>Product</v>
      </c>
      <c r="D8" s="1530" t="str">
        <f>IFERROR(IF(INDEX('1.2 Customer'!$D$29:$D$56,MATCH($B8,'1.2 Customer'!$B$29:$B$56,0))="","-",INDEX('1.2 Customer'!$D$29:$D$56,MATCH($B8,'1.2 Customer'!$B$29:$B$56,0))),"-")</f>
        <v>M</v>
      </c>
      <c r="E8" s="1782">
        <f>IFERROR(INDEX('0.3 Squad Archetypes'!$F$5:$F$23,MATCH($C8&amp;"|"&amp;$D8,'0.3 Squad Archetypes'!$A$5:$A$23,0)),"-")</f>
        <v>8.5</v>
      </c>
      <c r="F8" s="1773">
        <f>COUNTA($B$52:$B$60)</f>
        <v>9</v>
      </c>
      <c r="G8" s="1773">
        <f>COUNTIFS($D$52:$D$60,"Filled")</f>
        <v>3</v>
      </c>
      <c r="H8" s="1773">
        <f>COUNTIFS($D$52:$D$60,"Vacant")</f>
        <v>6</v>
      </c>
      <c r="I8" s="1773">
        <f>COUNTIFS($D$52:$D$60,"Vacant",$E$52:$E$60,"Hire")</f>
        <v>6</v>
      </c>
      <c r="J8" s="1773">
        <f>COUNTIFS($E$52:$E$60,"Offshore")</f>
        <v>0</v>
      </c>
      <c r="K8" s="1773">
        <f>COUNTIFS($E$52:$E$60,"Hold")</f>
        <v>0</v>
      </c>
      <c r="L8" s="1773">
        <f>$F8-$K8</f>
        <v>9</v>
      </c>
      <c r="M8" s="1772">
        <f>IFERROR(IF(INDEX('1.2 Customer'!$E$29:$E$56,MATCH($B8,'1.2 Customer'!$B$29:$B$56,0))="Offshore",INDEX('0.3 Squad Archetypes'!$H$5:$H$23,MATCH($C8&amp;"|"&amp;$D8,'0.3 Squad Archetypes'!$A$5:$A$23,0)),INDEX('0.3 Squad Archetypes'!$G$5:$G$23,MATCH($C8&amp;"|"&amp;$D8,'0.3 Squad Archetypes'!$A$5:$A$23,0))),"-")</f>
        <v>1.9</v>
      </c>
      <c r="N8" s="1772">
        <f>SUMIFS('REVIEW - Complete Role Mapping'!$AA$2:$AA$528,'REVIEW - Complete Role Mapping'!$AJ$2:$AJ$528,$C$3,'REVIEW - Complete Role Mapping'!$AT$2:$AT$528,$B8)/1000000</f>
        <v>1.331225988</v>
      </c>
      <c r="O8" s="1772">
        <f>IFERROR(ROUND($N8-$M8,6),"-")</f>
        <v>-0.568774</v>
      </c>
      <c r="P8" s="1772">
        <f>SUM($G$52:$G$60)/1000000</f>
        <v>1.331225988</v>
      </c>
      <c r="Q8" s="1772">
        <f>IFERROR(ROUND($P8-$M8,6),"-")</f>
        <v>-0.568774</v>
      </c>
    </row>
    <row r="9">
      <c r="B9" s="1530" t="inlineStr">
        <is>
          <t>Ampol Web</t>
        </is>
      </c>
      <c r="C9" s="1530" t="str">
        <f>IFERROR(INDEX('1.2 Customer'!$C$29:$C$56,MATCH($B9,'1.2 Customer'!$B$29:$B$56,0)),"Not on the 1.x tab")</f>
        <v>Product</v>
      </c>
      <c r="D9" s="1530" t="str">
        <f>IFERROR(IF(INDEX('1.2 Customer'!$D$29:$D$56,MATCH($B9,'1.2 Customer'!$B$29:$B$56,0))="","-",INDEX('1.2 Customer'!$D$29:$D$56,MATCH($B9,'1.2 Customer'!$B$29:$B$56,0))),"-")</f>
        <v>M</v>
      </c>
      <c r="E9" s="1782">
        <f>IFERROR(INDEX('0.3 Squad Archetypes'!$F$5:$F$23,MATCH($C9&amp;"|"&amp;$D9,'0.3 Squad Archetypes'!$A$5:$A$23,0)),"-")</f>
        <v>8.5</v>
      </c>
      <c r="F9" s="1773">
        <f>COUNTA($B$62:$B$70)</f>
        <v>9</v>
      </c>
      <c r="G9" s="1773">
        <f>COUNTIFS($D$62:$D$70,"Filled")</f>
        <v>9</v>
      </c>
      <c r="H9" s="1773">
        <f>COUNTIFS($D$62:$D$70,"Vacant")</f>
        <v>0</v>
      </c>
      <c r="I9" s="1773">
        <f>COUNTIFS($D$62:$D$70,"Vacant",$E$62:$E$70,"Hire")</f>
        <v>0</v>
      </c>
      <c r="J9" s="1773">
        <f>COUNTIFS($E$62:$E$70,"Offshore")</f>
        <v>0</v>
      </c>
      <c r="K9" s="1773">
        <f>COUNTIFS($E$62:$E$70,"Hold")</f>
        <v>0</v>
      </c>
      <c r="L9" s="1773">
        <f>$F9-$K9</f>
        <v>9</v>
      </c>
      <c r="M9" s="1772">
        <f>IFERROR(IF(INDEX('1.2 Customer'!$E$29:$E$56,MATCH($B9,'1.2 Customer'!$B$29:$B$56,0))="Offshore",INDEX('0.3 Squad Archetypes'!$H$5:$H$23,MATCH($C9&amp;"|"&amp;$D9,'0.3 Squad Archetypes'!$A$5:$A$23,0)),INDEX('0.3 Squad Archetypes'!$G$5:$G$23,MATCH($C9&amp;"|"&amp;$D9,'0.3 Squad Archetypes'!$A$5:$A$23,0))),"-")</f>
        <v>1.9</v>
      </c>
      <c r="N9" s="1772">
        <f>SUMIFS('REVIEW - Complete Role Mapping'!$AA$2:$AA$528,'REVIEW - Complete Role Mapping'!$AJ$2:$AJ$528,$C$3,'REVIEW - Complete Role Mapping'!$AT$2:$AT$528,$B9)/1000000</f>
        <v>1.7617192</v>
      </c>
      <c r="O9" s="1772">
        <f>IFERROR(ROUND($N9-$M9,6),"-")</f>
        <v>-0.138281</v>
      </c>
      <c r="P9" s="1772">
        <f>SUM($G$62:$G$70)/1000000</f>
        <v>1.7617192</v>
      </c>
      <c r="Q9" s="1772">
        <f>IFERROR(ROUND($P9-$M9,6),"-")</f>
        <v>-0.138281</v>
      </c>
    </row>
    <row r="10">
      <c r="B10" s="1530" t="inlineStr">
        <is>
          <t>Customer AI</t>
        </is>
      </c>
      <c r="C10" s="1530" t="str">
        <f>IFERROR(INDEX('1.2 Customer'!$C$29:$C$56,MATCH($B10,'1.2 Customer'!$B$29:$B$56,0)),"Not on the 1.x tab")</f>
        <v>Engineering</v>
      </c>
      <c r="D10" s="1530" t="str">
        <f>IFERROR(IF(INDEX('1.2 Customer'!$D$29:$D$56,MATCH($B10,'1.2 Customer'!$B$29:$B$56,0))="","-",INDEX('1.2 Customer'!$D$29:$D$56,MATCH($B10,'1.2 Customer'!$B$29:$B$56,0))),"-")</f>
        <v>S</v>
      </c>
      <c r="E10" s="1782">
        <f>IFERROR(INDEX('0.3 Squad Archetypes'!$F$5:$F$23,MATCH($C10&amp;"|"&amp;$D10,'0.3 Squad Archetypes'!$A$5:$A$23,0)),"-")</f>
        <v>4.5</v>
      </c>
      <c r="F10" s="1773">
        <f>COUNTA($B$72:$B$73)</f>
        <v>2</v>
      </c>
      <c r="G10" s="1773">
        <f>COUNTIFS($D$72:$D$73,"Filled")</f>
        <v>0</v>
      </c>
      <c r="H10" s="1773">
        <f>COUNTIFS($D$72:$D$73,"Vacant")</f>
        <v>2</v>
      </c>
      <c r="I10" s="1773">
        <f>COUNTIFS($D$72:$D$73,"Vacant",$E$72:$E$73,"Hire")</f>
        <v>2</v>
      </c>
      <c r="J10" s="1773">
        <f>COUNTIFS($E$72:$E$73,"Offshore")</f>
        <v>0</v>
      </c>
      <c r="K10" s="1773">
        <f>COUNTIFS($E$72:$E$73,"Hold")</f>
        <v>0</v>
      </c>
      <c r="L10" s="1773">
        <f>$F10-$K10</f>
        <v>2</v>
      </c>
      <c r="M10" s="1772">
        <f>IFERROR(IF(INDEX('1.2 Customer'!$E$29:$E$56,MATCH($B10,'1.2 Customer'!$B$29:$B$56,0))="Offshore",INDEX('0.3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0.17103768</v>
      </c>
      <c r="O10" s="1772">
        <f>IFERROR(ROUND($N10-$M10,6),"-")</f>
        <v>-0.628962</v>
      </c>
      <c r="P10" s="1772">
        <f>SUM($G$72:$G$73)/1000000</f>
        <v>0.17103768</v>
      </c>
      <c r="Q10" s="1772">
        <f>IFERROR(ROUND($P10-$M10,6),"-")</f>
        <v>-0.628962</v>
      </c>
    </row>
    <row r="11">
      <c r="B11" s="1530" t="inlineStr">
        <is>
          <t>Digital Operations</t>
        </is>
      </c>
      <c r="C11" s="1530" t="str">
        <f>IFERROR(INDEX('1.2 Customer'!$C$29:$C$56,MATCH($B11,'1.2 Customer'!$B$29:$B$56,0)),"Not on the 1.x tab")</f>
        <v>Operations</v>
      </c>
      <c r="D11" s="1530" t="str">
        <f>IFERROR(IF(INDEX('1.2 Customer'!$D$29:$D$56,MATCH($B11,'1.2 Customer'!$B$29:$B$56,0))="","-",INDEX('1.2 Customer'!$D$29:$D$56,MATCH($B11,'1.2 Customer'!$B$29:$B$56,0))),"-")</f>
        <v>M</v>
      </c>
      <c r="E11" s="1782">
        <f>IFERROR(INDEX('0.3 Squad Archetypes'!$F$5:$F$23,MATCH($C11&amp;"|"&amp;$D11,'0.3 Squad Archetypes'!$A$5:$A$23,0)),"-")</f>
        <v>6</v>
      </c>
      <c r="F11" s="1773">
        <f>COUNTA($B$75:$B$81)</f>
        <v>7</v>
      </c>
      <c r="G11" s="1773">
        <f>COUNTIFS($D$75:$D$81,"Filled")</f>
        <v>4</v>
      </c>
      <c r="H11" s="1773">
        <f>COUNTIFS($D$75:$D$81,"Vacant")</f>
        <v>3</v>
      </c>
      <c r="I11" s="1773">
        <f>COUNTIFS($D$75:$D$81,"Vacant",$E$75:$E$81,"Hire")</f>
        <v>3</v>
      </c>
      <c r="J11" s="1773">
        <f>COUNTIFS($E$75:$E$81,"Offshore")</f>
        <v>0</v>
      </c>
      <c r="K11" s="1773">
        <f>COUNTIFS($E$75:$E$81,"Hold")</f>
        <v>0</v>
      </c>
      <c r="L11" s="1773">
        <f>$F11-$K11</f>
        <v>7</v>
      </c>
      <c r="M11" s="1772">
        <f>IFERROR(IF(INDEX('1.2 Customer'!$E$29:$E$56,MATCH($B11,'1.2 Customer'!$B$29:$B$56,0))="Offshore",INDEX('0.3 Squad Archetypes'!$H$5:$H$23,MATCH($C11&amp;"|"&amp;$D11,'0.3 Squad Archetypes'!$A$5:$A$23,0)),INDEX('0.3 Squad Archetypes'!$G$5:$G$23,MATCH($C11&amp;"|"&amp;$D11,'0.3 Squad Archetypes'!$A$5:$A$23,0))),"-")</f>
        <v>0.56</v>
      </c>
      <c r="N11" s="1772">
        <f>SUMIFS('REVIEW - Complete Role Mapping'!$AA$2:$AA$528,'REVIEW - Complete Role Mapping'!$AJ$2:$AJ$528,$C$3,'REVIEW - Complete Role Mapping'!$AT$2:$AT$528,$B11)/1000000</f>
        <v>1.303645928</v>
      </c>
      <c r="O11" s="1772">
        <f>IFERROR(ROUND($N11-$M11,6),"-")</f>
        <v>0.743646</v>
      </c>
      <c r="P11" s="1772">
        <f>SUM($G$75:$G$81)/1000000</f>
        <v>1.303645928</v>
      </c>
      <c r="Q11" s="1772">
        <f>IFERROR(ROUND($P11-$M11,6),"-")</f>
        <v>0.743646</v>
      </c>
    </row>
    <row r="12">
      <c r="B12" s="1530" t="inlineStr">
        <is>
          <t>Z App and Web</t>
        </is>
      </c>
      <c r="C12" s="1530" t="str">
        <f>IFERROR(INDEX('1.2 Customer'!$C$29:$C$56,MATCH($B12,'1.2 Customer'!$B$29:$B$56,0)),"Not on the 1.x tab")</f>
        <v>Product</v>
      </c>
      <c r="D12" s="1530" t="str">
        <f>IFERROR(IF(INDEX('1.2 Customer'!$D$29:$D$56,MATCH($B12,'1.2 Customer'!$B$29:$B$56,0))="","-",INDEX('1.2 Customer'!$D$29:$D$56,MATCH($B12,'1.2 Customer'!$B$29:$B$56,0))),"-")</f>
        <v>S</v>
      </c>
      <c r="E12" s="1782">
        <f>IFERROR(INDEX('0.3 Squad Archetypes'!$F$5:$F$23,MATCH($C12&amp;"|"&amp;$D12,'0.3 Squad Archetypes'!$A$5:$A$23,0)),"-")</f>
        <v>5.5</v>
      </c>
      <c r="F12" s="1773">
        <f>COUNTA($B$100:$B$104)</f>
        <v>5</v>
      </c>
      <c r="G12" s="1773">
        <f>COUNTIFS($D$100:$D$104,"Filled")</f>
        <v>5</v>
      </c>
      <c r="H12" s="1773">
        <f>COUNTIFS($D$100:$D$104,"Vacant")</f>
        <v>0</v>
      </c>
      <c r="I12" s="1773">
        <f>COUNTIFS($D$100:$D$104,"Vacant",$E$100:$E$104,"Hire")</f>
        <v>0</v>
      </c>
      <c r="J12" s="1773">
        <f>COUNTIFS($E$100:$E$104,"Offshore")</f>
        <v>0</v>
      </c>
      <c r="K12" s="1773">
        <f>COUNTIFS($E$100:$E$104,"Hold")</f>
        <v>0</v>
      </c>
      <c r="L12" s="1773">
        <f>$F12-$K12</f>
        <v>5</v>
      </c>
      <c r="M12" s="1772">
        <f>IFERROR(IF(INDEX('1.2 Customer'!$E$29:$E$56,MATCH($B12,'1.2 Customer'!$B$29:$B$56,0))="Offshore",INDEX('0.3 Squad Archetypes'!$H$5:$H$23,MATCH($C12&amp;"|"&amp;$D12,'0.3 Squad Archetypes'!$A$5:$A$23,0)),INDEX('0.3 Squad Archetypes'!$G$5:$G$23,MATCH($C12&amp;"|"&amp;$D12,'0.3 Squad Archetypes'!$A$5:$A$23,0))),"-")</f>
        <v>1.3</v>
      </c>
      <c r="N12" s="1772">
        <f>SUMIFS('REVIEW - Complete Role Mapping'!$AA$2:$AA$528,'REVIEW - Complete Role Mapping'!$AJ$2:$AJ$528,$C$3,'REVIEW - Complete Role Mapping'!$AT$2:$AT$528,$B12)/1000000</f>
        <v>1.223286048</v>
      </c>
      <c r="O12" s="1772">
        <f>IFERROR(ROUND($N12-$M12,6),"-")</f>
        <v>-0.076714</v>
      </c>
      <c r="P12" s="1772">
        <f>SUM($G$100:$G$104)/1000000</f>
        <v>1.223286048</v>
      </c>
      <c r="Q12" s="1772">
        <f>IFERROR(ROUND($P12-$M12,6),"-")</f>
        <v>-0.076714</v>
      </c>
    </row>
    <row r="13">
      <c r="B13" s="1530" t="inlineStr">
        <is>
          <t>Z Loyalty &amp; Martech</t>
        </is>
      </c>
      <c r="C13" s="1530" t="str">
        <f>IFERROR(INDEX('1.2 Customer'!$C$29:$C$56,MATCH($B13,'1.2 Customer'!$B$29:$B$56,0)),"Not on the 1.x tab")</f>
        <v>Product</v>
      </c>
      <c r="D13" s="1530" t="str">
        <f>IFERROR(IF(INDEX('1.2 Customer'!$D$29:$D$56,MATCH($B13,'1.2 Customer'!$B$29:$B$56,0))="","-",INDEX('1.2 Customer'!$D$29:$D$56,MATCH($B13,'1.2 Customer'!$B$29:$B$56,0))),"-")</f>
        <v>L</v>
      </c>
      <c r="E13" s="1782">
        <f>IFERROR(INDEX('0.3 Squad Archetypes'!$F$5:$F$23,MATCH($C13&amp;"|"&amp;$D13,'0.3 Squad Archetypes'!$A$5:$A$23,0)),"-")</f>
        <v>12</v>
      </c>
      <c r="F13" s="1773">
        <f>COUNTA($B$106:$B$119)</f>
        <v>14</v>
      </c>
      <c r="G13" s="1773">
        <f>COUNTIFS($D$106:$D$119,"Filled")</f>
        <v>14</v>
      </c>
      <c r="H13" s="1773">
        <f>COUNTIFS($D$106:$D$119,"Vacant")</f>
        <v>0</v>
      </c>
      <c r="I13" s="1773">
        <f>COUNTIFS($D$106:$D$119,"Vacant",$E$106:$E$119,"Hire")</f>
        <v>0</v>
      </c>
      <c r="J13" s="1773">
        <f>COUNTIFS($E$106:$E$119,"Offshore")</f>
        <v>0</v>
      </c>
      <c r="K13" s="1773">
        <f>COUNTIFS($E$106:$E$119,"Hold")</f>
        <v>0</v>
      </c>
      <c r="L13" s="1773">
        <f>$F13-$K13</f>
        <v>14</v>
      </c>
      <c r="M13" s="1772">
        <f>IFERROR(IF(INDEX('1.2 Customer'!$E$29:$E$56,MATCH($B13,'1.2 Customer'!$B$29:$B$56,0))="Offshore",INDEX('0.3 Squad Archetypes'!$H$5:$H$23,MATCH($C13&amp;"|"&amp;$D13,'0.3 Squad Archetypes'!$A$5:$A$23,0)),INDEX('0.3 Squad Archetypes'!$G$5:$G$23,MATCH($C13&amp;"|"&amp;$D13,'0.3 Squad Archetypes'!$A$5:$A$23,0))),"-")</f>
        <v>2.8</v>
      </c>
      <c r="N13" s="1772">
        <f>SUMIFS('REVIEW - Complete Role Mapping'!$AA$2:$AA$528,'REVIEW - Complete Role Mapping'!$AJ$2:$AJ$528,$C$3,'REVIEW - Complete Role Mapping'!$AT$2:$AT$528,$B13)/1000000</f>
        <v>2.946001772</v>
      </c>
      <c r="O13" s="1772">
        <f>IFERROR(ROUND($N13-$M13,6),"-")</f>
        <v>0.146002</v>
      </c>
      <c r="P13" s="1772">
        <f>SUM($G$106:$G$119)/1000000</f>
        <v>2.946001772</v>
      </c>
      <c r="Q13" s="1772">
        <f>IFERROR(ROUND($P13-$M13,6),"-")</f>
        <v>0.146002</v>
      </c>
    </row>
    <row r="14">
      <c r="B14" s="1534" t="inlineStr">
        <is>
          <t>Squads priced by an archetype</t>
        </is>
      </c>
      <c r="C14" s="1534" t="n"/>
      <c r="D14" s="1534" t="n"/>
      <c r="E14" s="1783">
        <f>SUM(E7:E13)</f>
        <v>57</v>
      </c>
      <c r="F14" s="1775">
        <f>SUM(F7:F13)</f>
        <v>60</v>
      </c>
      <c r="G14" s="1775">
        <f>SUM(G7:G13)</f>
        <v>49</v>
      </c>
      <c r="H14" s="1775">
        <f>SUM(H7:H13)</f>
        <v>11</v>
      </c>
      <c r="I14" s="1775">
        <f>SUM(I7:I13)</f>
        <v>11</v>
      </c>
      <c r="J14" s="1775">
        <f>SUM(J7:J13)</f>
        <v>0</v>
      </c>
      <c r="K14" s="1775">
        <f>SUM(K7:K13)</f>
        <v>0</v>
      </c>
      <c r="L14" s="1775">
        <f>SUM(L7:L13)</f>
        <v>60</v>
      </c>
      <c r="M14" s="1774">
        <f>SUM(M7:M13)</f>
        <v>12.06</v>
      </c>
      <c r="N14" s="1774">
        <f>SUM(N7:N13)</f>
        <v>12.097508946</v>
      </c>
      <c r="O14" s="1774">
        <f>SUM(O7:O13)</f>
        <v>0.037509</v>
      </c>
      <c r="P14" s="1774">
        <f>SUM(P7:P13)</f>
        <v>12.097508946</v>
      </c>
      <c r="Q14" s="1774">
        <f>SUM(Q7:Q13)</f>
        <v>0.037509</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EGI Customer</t>
        </is>
      </c>
      <c r="C18" s="1530" t="str">
        <f>IFERROR(INDEX('1.2 Customer'!$C$29:$C$56,MATCH($B18,'1.2 Customer'!$B$29:$B$56,0)),"Not on the 1.x tab")</f>
        <v>Strategic Programs</v>
      </c>
      <c r="D18" s="1530" t="str">
        <f>IFERROR(IF(INDEX('1.2 Customer'!$D$29:$D$56,MATCH($B18,'1.2 Customer'!$B$29:$B$56,0))="","-",INDEX('1.2 Customer'!$D$29:$D$56,MATCH($B18,'1.2 Customer'!$B$29:$B$56,0))),"-")</f>
        <v>-</v>
      </c>
      <c r="E18" s="1782" t="str">
        <f>"-"</f>
        <v>-</v>
      </c>
      <c r="F18" s="1773">
        <f>COUNTA($B$83:$B$92)</f>
        <v>10</v>
      </c>
      <c r="G18" s="1773">
        <f>COUNTIFS($D$83:$D$92,"Filled")</f>
        <v>10</v>
      </c>
      <c r="H18" s="1773">
        <f>COUNTIFS($D$83:$D$92,"Vacant")</f>
        <v>0</v>
      </c>
      <c r="I18" s="1773">
        <f>COUNTIFS($D$83:$D$92,"Vacant",$E$83:$E$92,"Hire")</f>
        <v>0</v>
      </c>
      <c r="J18" s="1773">
        <f>COUNTIFS($E$83:$E$92,"Offshore")</f>
        <v>0</v>
      </c>
      <c r="K18" s="1773">
        <f>COUNTIFS($E$83:$E$92,"Hold")</f>
        <v>0</v>
      </c>
      <c r="L18" s="1773">
        <f>$F18-$K18</f>
        <v>10</v>
      </c>
      <c r="M18" s="1772">
        <f>$N18</f>
        <v>2.208135308</v>
      </c>
      <c r="N18" s="1772">
        <f>SUMIFS('REVIEW - Complete Role Mapping'!$AA$2:$AA$528,'REVIEW - Complete Role Mapping'!$AJ$2:$AJ$528,$C$3,'REVIEW - Complete Role Mapping'!$AT$2:$AT$528,$B18)/1000000</f>
        <v>2.208135308</v>
      </c>
      <c r="O18" s="1772">
        <f>IFERROR(ROUND($N18-$M18,6),"-")</f>
        <v>0</v>
      </c>
      <c r="P18" s="1772">
        <f>SUM($G$83:$G$92)/1000000</f>
        <v>2.208135308</v>
      </c>
      <c r="Q18" s="1772">
        <f>IFERROR(ROUND($P18-$M18,6),"-")</f>
        <v>0</v>
      </c>
    </row>
    <row r="19">
      <c r="B19" s="1530" t="inlineStr">
        <is>
          <t>Leadership</t>
        </is>
      </c>
      <c r="C19" s="1530" t="str">
        <f>IFERROR(INDEX('1.2 Customer'!$C$29:$C$56,MATCH($B19,'1.2 Customer'!$B$29:$B$56,0)),"Not on the 1.x tab")</f>
        <v>Not on the 1.x tab</v>
      </c>
      <c r="D19" s="1530" t="str">
        <f>IFERROR(IF(INDEX('1.2 Customer'!$D$29:$D$56,MATCH($B19,'1.2 Customer'!$B$29:$B$56,0))="","-",INDEX('1.2 Customer'!$D$29:$D$56,MATCH($B19,'1.2 Customer'!$B$29:$B$56,0))),"-")</f>
        <v>-</v>
      </c>
      <c r="E19" s="1782" t="str">
        <f>"-"</f>
        <v>-</v>
      </c>
      <c r="F19" s="1773">
        <f>COUNTA($B$94:$B$98)</f>
        <v>5</v>
      </c>
      <c r="G19" s="1773">
        <f>COUNTIFS($D$94:$D$98,"Filled")</f>
        <v>4</v>
      </c>
      <c r="H19" s="1773">
        <f>COUNTIFS($D$94:$D$98,"Vacant")</f>
        <v>1</v>
      </c>
      <c r="I19" s="1773">
        <f>COUNTIFS($D$94:$D$98,"Vacant",$E$94:$E$98,"Hire")</f>
        <v>1</v>
      </c>
      <c r="J19" s="1773">
        <f>COUNTIFS($E$94:$E$98,"Offshore")</f>
        <v>0</v>
      </c>
      <c r="K19" s="1773">
        <f>COUNTIFS($E$94:$E$98,"Hold")</f>
        <v>0</v>
      </c>
      <c r="L19" s="1773">
        <f>$F19-$K19</f>
        <v>5</v>
      </c>
      <c r="M19" s="1772" t="str">
        <f>IFERROR(INDEX('1.2 Customer'!$H$29:$H$56,MATCH($B19,'1.2 Customer'!$B$29:$B$56,0)),"-")</f>
        <v>-</v>
      </c>
      <c r="N19" s="1772">
        <f>SUMIFS('REVIEW - Complete Role Mapping'!$AA$2:$AA$528,'REVIEW - Complete Role Mapping'!$AJ$2:$AJ$528,$C$3,'REVIEW - Complete Role Mapping'!$AT$2:$AT$528,$B19)/1000000</f>
        <v>1.048250048</v>
      </c>
      <c r="O19" s="1772" t="str">
        <f>IFERROR(ROUND($N19-$M19,6),"-")</f>
        <v>-</v>
      </c>
      <c r="P19" s="1772">
        <f>SUM($G$94:$G$98)/1000000</f>
        <v>1.048250048</v>
      </c>
      <c r="Q19" s="1772" t="str">
        <f>IFERROR(ROUND($P19-$M19,6),"-")</f>
        <v>-</v>
      </c>
    </row>
    <row r="20">
      <c r="B20" s="1534" t="inlineStr">
        <is>
          <t>Directly funded total</t>
        </is>
      </c>
      <c r="C20" s="1534" t="n"/>
      <c r="D20" s="1534" t="n"/>
      <c r="E20" s="1783">
        <f>SUM(E18:E19)</f>
        <v>0</v>
      </c>
      <c r="F20" s="1775">
        <f>SUM(F18:F19)</f>
        <v>15</v>
      </c>
      <c r="G20" s="1775">
        <f>SUM(G18:G19)</f>
        <v>14</v>
      </c>
      <c r="H20" s="1775">
        <f>SUM(H18:H19)</f>
        <v>1</v>
      </c>
      <c r="I20" s="1775">
        <f>SUM(I18:I19)</f>
        <v>1</v>
      </c>
      <c r="J20" s="1775">
        <f>SUM(J18:J19)</f>
        <v>0</v>
      </c>
      <c r="K20" s="1775">
        <f>SUM(K18:K19)</f>
        <v>0</v>
      </c>
      <c r="L20" s="1775">
        <f>SUM(L18:L19)</f>
        <v>15</v>
      </c>
      <c r="M20" s="1774">
        <f>SUM(M18:M19)</f>
        <v>2.208135308</v>
      </c>
      <c r="N20" s="1774">
        <f>SUM(N18:N19)</f>
        <v>3.256385356</v>
      </c>
      <c r="O20" s="1774">
        <f>SUM(O18:O19)</f>
        <v>0</v>
      </c>
      <c r="P20" s="1774">
        <f>SUM(P18:P19)</f>
        <v>3.256385356</v>
      </c>
      <c r="Q20" s="1774">
        <f>SUM(Q18:Q19)</f>
        <v>0</v>
      </c>
    </row>
    <row r="21"/>
    <row r="22" ht="19" customHeight="1" s="866">
      <c r="B22" s="1527" t="inlineStr">
        <is>
          <t>Overhead roles - against the allowance on 3.2</t>
        </is>
      </c>
      <c r="C22" s="1528" t="n"/>
      <c r="D22" s="1528" t="n"/>
      <c r="E22" s="1528" t="n"/>
      <c r="F22" s="1528" t="n"/>
      <c r="G22" s="1528" t="n"/>
      <c r="H22" s="1528" t="n"/>
      <c r="I22" s="1528" t="n"/>
      <c r="J22" s="1528" t="n"/>
      <c r="K22" s="1528" t="n"/>
      <c r="L22" s="1528" t="n"/>
      <c r="M22" s="1528" t="n"/>
      <c r="N22" s="1528" t="n"/>
      <c r="O22" s="1528" t="n"/>
      <c r="P22" s="1528" t="n"/>
      <c r="Q22" s="1528" t="n"/>
    </row>
    <row r="23" ht="48" customHeight="1" s="866">
      <c r="B23" s="1529" t="inlineStr">
        <is>
          <t>Squad</t>
        </is>
      </c>
      <c r="C23" s="1529" t="inlineStr">
        <is>
          <t>Archetype Type</t>
        </is>
      </c>
      <c r="D23" s="1529" t="inlineStr">
        <is>
          <t>Size</t>
        </is>
      </c>
      <c r="E23" s="1529" t="inlineStr">
        <is>
          <t>Archetype roles</t>
        </is>
      </c>
      <c r="F23" s="1529" t="inlineStr">
        <is>
          <t>Roles</t>
        </is>
      </c>
      <c r="G23" s="1529" t="inlineStr">
        <is>
          <t>Filled</t>
        </is>
      </c>
      <c r="H23" s="1529" t="inlineStr">
        <is>
          <t>Vacant</t>
        </is>
      </c>
      <c r="I23" s="1529" t="inlineStr">
        <is>
          <t>To hire</t>
        </is>
      </c>
      <c r="J23" s="1529" t="inlineStr">
        <is>
          <t>To offshore</t>
        </is>
      </c>
      <c r="K23" s="1529" t="inlineStr">
        <is>
          <t>On hold</t>
        </is>
      </c>
      <c r="L23" s="1529" t="inlineStr">
        <is>
          <t>Roles after decisions</t>
        </is>
      </c>
      <c r="M23" s="1529" t="inlineStr">
        <is>
          <t>Allowance - stated on 3.2</t>
        </is>
      </c>
      <c r="N23" s="1529" t="inlineStr">
        <is>
          <t>Actual cost ($m)</t>
        </is>
      </c>
      <c r="O23" s="1529" t="inlineStr">
        <is>
          <t>Variance</t>
        </is>
      </c>
      <c r="P23" s="1529" t="inlineStr">
        <is>
          <t>Cost after vacancy decisions ($m)</t>
        </is>
      </c>
      <c r="Q23" s="1529" t="inlineStr">
        <is>
          <t>New variance</t>
        </is>
      </c>
    </row>
    <row r="24">
      <c r="B24" s="1530" t="inlineStr">
        <is>
          <t>Head of Technology</t>
        </is>
      </c>
      <c r="C24" s="1530" t="str">
        <f>"-"</f>
        <v>-</v>
      </c>
      <c r="D24" s="1530" t="str">
        <f>"-"</f>
        <v>-</v>
      </c>
      <c r="E24" s="1538" t="str">
        <f>"-"</f>
        <v>-</v>
      </c>
      <c r="F24" s="1773">
        <f>COUNTA($B$121:$B$122)</f>
        <v>2</v>
      </c>
      <c r="G24" s="1773">
        <f>COUNTIFS($D$121:$D$122,"Filled")</f>
        <v>2</v>
      </c>
      <c r="H24" s="1773">
        <f>COUNTIFS($D$121:$D$122,"Vacant")</f>
        <v>0</v>
      </c>
      <c r="I24" s="1773">
        <f>COUNTIFS($D$121:$D$122,"Vacant",$E$121:$E$122,"Hire")</f>
        <v>0</v>
      </c>
      <c r="J24" s="1773">
        <f>COUNTIFS($E$121:$E$122,"Offshore")</f>
        <v>0</v>
      </c>
      <c r="K24" s="1773">
        <f>COUNTIFS($E$121:$E$122,"Hold")</f>
        <v>0</v>
      </c>
      <c r="L24" s="1773">
        <f>$F24-$K24</f>
        <v>2</v>
      </c>
      <c r="M24" s="1538" t="str">
        <f>"-"</f>
        <v>-</v>
      </c>
      <c r="N24" s="1772">
        <f>SUMIFS('REVIEW - Complete Role Mapping'!$AA$2:$AA$528,'REVIEW - Complete Role Mapping'!$AJ$2:$AJ$528,$C$3,'REVIEW - Complete Role Mapping'!$AT$2:$AT$528,$B24)/1000000</f>
        <v>0.5360151</v>
      </c>
      <c r="O24" s="1538" t="str">
        <f>"-"</f>
        <v>-</v>
      </c>
      <c r="P24" s="1772">
        <f>SUM($G$121:$G$122)/1000000</f>
        <v>0.5360151</v>
      </c>
      <c r="Q24" s="1538" t="str">
        <f>"-"</f>
        <v>-</v>
      </c>
    </row>
    <row r="25">
      <c r="B25" s="1530" t="inlineStr">
        <is>
          <t>Delivery Manager</t>
        </is>
      </c>
      <c r="C25" s="1530" t="str">
        <f>"-"</f>
        <v>-</v>
      </c>
      <c r="D25" s="1530" t="str">
        <f>"-"</f>
        <v>-</v>
      </c>
      <c r="E25" s="1538" t="str">
        <f>"-"</f>
        <v>-</v>
      </c>
      <c r="F25" s="1773">
        <f>COUNTA($B$124:$B$125)</f>
        <v>2</v>
      </c>
      <c r="G25" s="1773">
        <f>COUNTIFS($D$124:$D$125,"Filled")</f>
        <v>2</v>
      </c>
      <c r="H25" s="1773">
        <f>COUNTIFS($D$124:$D$125,"Vacant")</f>
        <v>0</v>
      </c>
      <c r="I25" s="1773">
        <f>COUNTIFS($D$124:$D$125,"Vacant",$E$124:$E$125,"Hire")</f>
        <v>0</v>
      </c>
      <c r="J25" s="1773">
        <f>COUNTIFS($E$124:$E$125,"Offshore")</f>
        <v>0</v>
      </c>
      <c r="K25" s="1773">
        <f>COUNTIFS($E$124:$E$125,"Hold")</f>
        <v>0</v>
      </c>
      <c r="L25" s="1773">
        <f>$F25-$K25</f>
        <v>2</v>
      </c>
      <c r="M25" s="1538" t="str">
        <f>"-"</f>
        <v>-</v>
      </c>
      <c r="N25" s="1772">
        <f>SUMIFS('REVIEW - Complete Role Mapping'!$AA$2:$AA$528,'REVIEW - Complete Role Mapping'!$AJ$2:$AJ$528,$C$3,'REVIEW - Complete Role Mapping'!$AT$2:$AT$528,$B25)/1000000</f>
        <v>0.4208721</v>
      </c>
      <c r="O25" s="1538" t="str">
        <f>"-"</f>
        <v>-</v>
      </c>
      <c r="P25" s="1772">
        <f>SUM($G$124:$G$125)/1000000</f>
        <v>0.4208721</v>
      </c>
      <c r="Q25" s="1538" t="str">
        <f>"-"</f>
        <v>-</v>
      </c>
    </row>
    <row r="26">
      <c r="B26" s="1530" t="inlineStr">
        <is>
          <t>Technology Manager</t>
        </is>
      </c>
      <c r="C26" s="1530" t="str">
        <f>"-"</f>
        <v>-</v>
      </c>
      <c r="D26" s="1530" t="str">
        <f>"-"</f>
        <v>-</v>
      </c>
      <c r="E26" s="1538" t="str">
        <f>"-"</f>
        <v>-</v>
      </c>
      <c r="F26" s="1773">
        <f>COUNTA($B$127:$B$130)</f>
        <v>4</v>
      </c>
      <c r="G26" s="1773">
        <f>COUNTIFS($D$127:$D$130,"Filled")</f>
        <v>3</v>
      </c>
      <c r="H26" s="1773">
        <f>COUNTIFS($D$127:$D$130,"Vacant")</f>
        <v>1</v>
      </c>
      <c r="I26" s="1773">
        <f>COUNTIFS($D$127:$D$130,"Vacant",$E$127:$E$130,"Hire")</f>
        <v>1</v>
      </c>
      <c r="J26" s="1773">
        <f>COUNTIFS($E$127:$E$130,"Offshore")</f>
        <v>0</v>
      </c>
      <c r="K26" s="1773">
        <f>COUNTIFS($E$127:$E$130,"Hold")</f>
        <v>0</v>
      </c>
      <c r="L26" s="1773">
        <f>$F26-$K26</f>
        <v>4</v>
      </c>
      <c r="M26" s="1538" t="str">
        <f>"-"</f>
        <v>-</v>
      </c>
      <c r="N26" s="1772">
        <f>SUMIFS('REVIEW - Complete Role Mapping'!$AA$2:$AA$528,'REVIEW - Complete Role Mapping'!$AJ$2:$AJ$528,$C$3,'REVIEW - Complete Role Mapping'!$AT$2:$AT$528,$B26)/1000000</f>
        <v>0.816085638</v>
      </c>
      <c r="O26" s="1538" t="str">
        <f>"-"</f>
        <v>-</v>
      </c>
      <c r="P26" s="1772">
        <f>SUM($G$127:$G$130)/1000000</f>
        <v>0.816085638</v>
      </c>
      <c r="Q26" s="1538" t="str">
        <f>"-"</f>
        <v>-</v>
      </c>
    </row>
    <row r="27">
      <c r="B27" s="1534" t="inlineStr">
        <is>
          <t>Overhead roles total</t>
        </is>
      </c>
      <c r="C27" s="1534" t="n"/>
      <c r="D27" s="1534" t="n"/>
      <c r="E27" s="1783">
        <f>SUM(E24:E26)</f>
        <v>0</v>
      </c>
      <c r="F27" s="1775">
        <f>SUM(F24:F26)</f>
        <v>8</v>
      </c>
      <c r="G27" s="1775">
        <f>SUM(G24:G26)</f>
        <v>7</v>
      </c>
      <c r="H27" s="1775">
        <f>SUM(H24:H26)</f>
        <v>1</v>
      </c>
      <c r="I27" s="1775">
        <f>SUM(I24:I26)</f>
        <v>1</v>
      </c>
      <c r="J27" s="1775">
        <f>SUM(J24:J26)</f>
        <v>0</v>
      </c>
      <c r="K27" s="1775">
        <f>SUM(K24:K26)</f>
        <v>0</v>
      </c>
      <c r="L27" s="1775">
        <f>SUM(L24:L26)</f>
        <v>8</v>
      </c>
      <c r="M27" s="1774">
        <f>SUM(M24:M26)</f>
        <v>0</v>
      </c>
      <c r="N27" s="1774">
        <f>SUM(N24:N26)</f>
        <v>1.772972838</v>
      </c>
      <c r="O27" s="1774">
        <f>SUM(O24:O26)</f>
        <v>0</v>
      </c>
      <c r="P27" s="1774">
        <f>SUM(P24:P26)</f>
        <v>1.772972838</v>
      </c>
      <c r="Q27" s="1774">
        <f>SUM(Q24:Q26)</f>
        <v>0</v>
      </c>
    </row>
    <row r="28"/>
    <row r="29">
      <c r="B29" s="1539" t="inlineStr">
        <is>
          <t>Total portfolio</t>
        </is>
      </c>
      <c r="C29" s="1539" t="n"/>
      <c r="D29" s="1539" t="n"/>
      <c r="E29" s="1784">
        <f>N(E14)+N(E20)+N(E27)</f>
        <v>57</v>
      </c>
      <c r="F29" s="1777">
        <f>N(F14)+N(F20)+N(F27)</f>
        <v>83</v>
      </c>
      <c r="G29" s="1777">
        <f>N(G14)+N(G20)+N(G27)</f>
        <v>70</v>
      </c>
      <c r="H29" s="1777">
        <f>N(H14)+N(H20)+N(H27)</f>
        <v>13</v>
      </c>
      <c r="I29" s="1777">
        <f>N(I14)+N(I20)+N(I27)</f>
        <v>13</v>
      </c>
      <c r="J29" s="1777">
        <f>N(J14)+N(J20)+N(J27)</f>
        <v>0</v>
      </c>
      <c r="K29" s="1777">
        <f>N(K14)+N(K20)+N(K27)</f>
        <v>0</v>
      </c>
      <c r="L29" s="1777">
        <f>N(L14)+N(L20)+N(L27)</f>
        <v>83</v>
      </c>
      <c r="M29" s="1776">
        <f>N(M14)+N(M20)+N(M27)</f>
        <v>14.268135308</v>
      </c>
      <c r="N29" s="1776">
        <f>N(N14)+N(N20)+N(N27)</f>
        <v>17.12686714</v>
      </c>
      <c r="O29" s="1776">
        <f>N(O14)+N(O20)+N(O27)</f>
        <v>0.037509</v>
      </c>
      <c r="P29" s="1776">
        <f>N(P14)+N(P20)+N(P27)</f>
        <v>17.12686714</v>
      </c>
      <c r="Q29" s="1776">
        <f>N(Q14)+N(Q20)+N(Q27)</f>
        <v>0.037509</v>
      </c>
    </row>
    <row r="30"/>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3"/>
    <row r="34" ht="19" customHeight="1" s="866">
      <c r="B34" s="1527" t="inlineStr">
        <is>
          <t>Customer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45" t="inlineStr">
        <is>
          <t>Ampol App</t>
        </is>
      </c>
      <c r="C36" s="1545" t="str">
        <f>COUNTA($B$37:$B$50)&amp;IF(COUNTA($B$37:$B$50)=1," role"," roles")</f>
        <v>14 roles</v>
      </c>
      <c r="D36" s="1545" t="n"/>
      <c r="E36" s="1545" t="n"/>
      <c r="F36" s="1785">
        <f>SUM(F37:F50)</f>
        <v>3360592.33</v>
      </c>
      <c r="G36" s="1785">
        <f>SUM(G37:G50)</f>
        <v>3360592.33</v>
      </c>
    </row>
    <row r="37">
      <c r="B37" s="1530" t="str">
        <f>INDEX('REVIEW - Complete Role Mapping'!$B:$B,112)</f>
        <v>Alisha Allport</v>
      </c>
      <c r="C37" s="1530" t="str">
        <f>INDEX('REVIEW - Complete Role Mapping'!$C:$C,112)</f>
        <v>Principal Experience Designer</v>
      </c>
      <c r="D37" s="1530" t="str">
        <f>INDEX('REVIEW - Complete Role Mapping'!$AK:$AK,112)</f>
        <v>Filled</v>
      </c>
      <c r="E37" s="1547" t="inlineStr">
        <is>
          <t>Filled</t>
        </is>
      </c>
      <c r="F37" s="1773">
        <f>INDEX('REVIEW - Complete Role Mapping'!$AA:$AA,112)</f>
        <v>146464.7</v>
      </c>
      <c r="G37" s="1773">
        <f>$F37*IFERROR(INDEX(Lists!$AD:$AD,MATCH($E37,Lists!$AC:$AC,0)),1)</f>
        <v>146464.7</v>
      </c>
    </row>
    <row r="38">
      <c r="B38" s="1530" t="str">
        <f>INDEX('REVIEW - Complete Role Mapping'!$B:$B,116)</f>
        <v>Annabel Phu</v>
      </c>
      <c r="C38" s="1530" t="str">
        <f>INDEX('REVIEW - Complete Role Mapping'!$C:$C,116)</f>
        <v>Engineer - Mobile</v>
      </c>
      <c r="D38" s="1530" t="str">
        <f>INDEX('REVIEW - Complete Role Mapping'!$AK:$AK,116)</f>
        <v>Filled</v>
      </c>
      <c r="E38" s="1547" t="inlineStr">
        <is>
          <t>Filled</t>
        </is>
      </c>
      <c r="F38" s="1773">
        <f>INDEX('REVIEW - Complete Role Mapping'!$AA:$AA,116)</f>
        <v>266400</v>
      </c>
      <c r="G38" s="1773">
        <f>$F38*IFERROR(INDEX(Lists!$AD:$AD,MATCH($E38,Lists!$AC:$AC,0)),1)</f>
        <v>266400</v>
      </c>
    </row>
    <row r="39">
      <c r="B39" s="1530" t="str">
        <f>INDEX('REVIEW - Complete Role Mapping'!$B:$B,119)</f>
        <v>Anup Antony</v>
      </c>
      <c r="C39" s="1530" t="str">
        <f>INDEX('REVIEW - Complete Role Mapping'!$C:$C,119)</f>
        <v>Engineer - BE</v>
      </c>
      <c r="D39" s="1530" t="str">
        <f>INDEX('REVIEW - Complete Role Mapping'!$AK:$AK,119)</f>
        <v>Filled</v>
      </c>
      <c r="E39" s="1547" t="inlineStr">
        <is>
          <t>Filled</t>
        </is>
      </c>
      <c r="F39" s="1773">
        <f>INDEX('REVIEW - Complete Role Mapping'!$AA:$AA,119)</f>
        <v>255300</v>
      </c>
      <c r="G39" s="1773">
        <f>$F39*IFERROR(INDEX(Lists!$AD:$AD,MATCH($E39,Lists!$AC:$AC,0)),1)</f>
        <v>255300</v>
      </c>
    </row>
    <row r="40">
      <c r="B40" s="1530" t="str">
        <f>INDEX('REVIEW - Complete Role Mapping'!$B:$B,122)</f>
        <v>Binumon Mathai</v>
      </c>
      <c r="C40" s="1530" t="str">
        <f>INDEX('REVIEW - Complete Role Mapping'!$C:$C,122)</f>
        <v>Senior Quality Assurance</v>
      </c>
      <c r="D40" s="1530" t="str">
        <f>INDEX('REVIEW - Complete Role Mapping'!$AK:$AK,122)</f>
        <v>Filled</v>
      </c>
      <c r="E40" s="1547" t="inlineStr">
        <is>
          <t>Filled</t>
        </is>
      </c>
      <c r="F40" s="1773">
        <f>INDEX('REVIEW - Complete Role Mapping'!$AA:$AA,122)</f>
        <v>223776</v>
      </c>
      <c r="G40" s="1773">
        <f>$F40*IFERROR(INDEX(Lists!$AD:$AD,MATCH($E40,Lists!$AC:$AC,0)),1)</f>
        <v>223776</v>
      </c>
    </row>
    <row r="41">
      <c r="B41" s="1530" t="str">
        <f>INDEX('REVIEW - Complete Role Mapping'!$B:$B,132)</f>
        <v>Edwin Justin</v>
      </c>
      <c r="C41" s="1530" t="str">
        <f>INDEX('REVIEW - Complete Role Mapping'!$C:$C,132)</f>
        <v>Senior Engineer - BE</v>
      </c>
      <c r="D41" s="1530" t="str">
        <f>INDEX('REVIEW - Complete Role Mapping'!$AK:$AK,132)</f>
        <v>Filled</v>
      </c>
      <c r="E41" s="1547" t="inlineStr">
        <is>
          <t>Filled</t>
        </is>
      </c>
      <c r="F41" s="1773">
        <f>INDEX('REVIEW - Complete Role Mapping'!$AA:$AA,132)</f>
        <v>194789.85</v>
      </c>
      <c r="G41" s="1773">
        <f>$F41*IFERROR(INDEX(Lists!$AD:$AD,MATCH($E41,Lists!$AC:$AC,0)),1)</f>
        <v>194789.85</v>
      </c>
    </row>
    <row r="42">
      <c r="B42" s="1530" t="str">
        <f>INDEX('REVIEW - Complete Role Mapping'!$B:$B,134)</f>
        <v>Ethan Laffan</v>
      </c>
      <c r="C42" s="1530" t="str">
        <f>INDEX('REVIEW - Complete Role Mapping'!$C:$C,134)</f>
        <v>Associate Experience Designer</v>
      </c>
      <c r="D42" s="1530" t="str">
        <f>INDEX('REVIEW - Complete Role Mapping'!$AK:$AK,134)</f>
        <v>Filled</v>
      </c>
      <c r="E42" s="1547" t="inlineStr">
        <is>
          <t>Filled</t>
        </is>
      </c>
      <c r="F42" s="1773">
        <f>INDEX('REVIEW - Complete Role Mapping'!$AA:$AA,134)</f>
        <v>201585</v>
      </c>
      <c r="G42" s="1773">
        <f>$F42*IFERROR(INDEX(Lists!$AD:$AD,MATCH($E42,Lists!$AC:$AC,0)),1)</f>
        <v>201585</v>
      </c>
    </row>
    <row r="43">
      <c r="B43" s="1530" t="str">
        <f>INDEX('REVIEW - Complete Role Mapping'!$B:$B,145)</f>
        <v>Khalid Mahmud</v>
      </c>
      <c r="C43" s="1530" t="str">
        <f>INDEX('REVIEW - Complete Role Mapping'!$C:$C,145)</f>
        <v>Lead Engineer - BE</v>
      </c>
      <c r="D43" s="1530" t="str">
        <f>INDEX('REVIEW - Complete Role Mapping'!$AK:$AK,145)</f>
        <v>Filled</v>
      </c>
      <c r="E43" s="1547" t="inlineStr">
        <is>
          <t>Filled</t>
        </is>
      </c>
      <c r="F43" s="1773">
        <f>INDEX('REVIEW - Complete Role Mapping'!$AA:$AA,145)</f>
        <v>266400</v>
      </c>
      <c r="G43" s="1773">
        <f>$F43*IFERROR(INDEX(Lists!$AD:$AD,MATCH($E43,Lists!$AC:$AC,0)),1)</f>
        <v>266400</v>
      </c>
    </row>
    <row r="44">
      <c r="B44" s="1530" t="str">
        <f>INDEX('REVIEW - Complete Role Mapping'!$B:$B,149)</f>
        <v>Maria Salman</v>
      </c>
      <c r="C44" s="1530" t="str">
        <f>INDEX('REVIEW - Complete Role Mapping'!$C:$C,149)</f>
        <v>Experience Designer</v>
      </c>
      <c r="D44" s="1530" t="str">
        <f>INDEX('REVIEW - Complete Role Mapping'!$AK:$AK,149)</f>
        <v>Filled</v>
      </c>
      <c r="E44" s="1547" t="inlineStr">
        <is>
          <t>Filled</t>
        </is>
      </c>
      <c r="F44" s="1773">
        <f>INDEX('REVIEW - Complete Role Mapping'!$AA:$AA,149)</f>
        <v>240834.48</v>
      </c>
      <c r="G44" s="1773">
        <f>$F44*IFERROR(INDEX(Lists!$AD:$AD,MATCH($E44,Lists!$AC:$AC,0)),1)</f>
        <v>240834.48</v>
      </c>
    </row>
    <row r="45">
      <c r="B45" s="1530" t="str">
        <f>INDEX('REVIEW - Complete Role Mapping'!$B:$B,154)</f>
        <v>Penny Pennisi</v>
      </c>
      <c r="C45" s="1530" t="str">
        <f>INDEX('REVIEW - Complete Role Mapping'!$C:$C,154)</f>
        <v>Delivery Lead</v>
      </c>
      <c r="D45" s="1530" t="str">
        <f>INDEX('REVIEW - Complete Role Mapping'!$AK:$AK,154)</f>
        <v>Filled</v>
      </c>
      <c r="E45" s="1547" t="inlineStr">
        <is>
          <t>Filled</t>
        </is>
      </c>
      <c r="F45" s="1773">
        <f>INDEX('REVIEW - Complete Role Mapping'!$AA:$AA,154)</f>
        <v>299700</v>
      </c>
      <c r="G45" s="1773">
        <f>$F45*IFERROR(INDEX(Lists!$AD:$AD,MATCH($E45,Lists!$AC:$AC,0)),1)</f>
        <v>299700</v>
      </c>
    </row>
    <row r="46">
      <c r="B46" s="1530" t="str">
        <f>INDEX('REVIEW - Complete Role Mapping'!$B:$B,155)</f>
        <v>Peter Lee</v>
      </c>
      <c r="C46" s="1530" t="str">
        <f>INDEX('REVIEW - Complete Role Mapping'!$C:$C,155)</f>
        <v>Snr Business Analyst</v>
      </c>
      <c r="D46" s="1530" t="str">
        <f>INDEX('REVIEW - Complete Role Mapping'!$AK:$AK,155)</f>
        <v>Filled</v>
      </c>
      <c r="E46" s="1547" t="inlineStr">
        <is>
          <t>Filled</t>
        </is>
      </c>
      <c r="F46" s="1773">
        <f>INDEX('REVIEW - Complete Role Mapping'!$AA:$AA,155)</f>
        <v>243984.6</v>
      </c>
      <c r="G46" s="1773">
        <f>$F46*IFERROR(INDEX(Lists!$AD:$AD,MATCH($E46,Lists!$AC:$AC,0)),1)</f>
        <v>243984.6</v>
      </c>
    </row>
    <row r="47">
      <c r="B47" s="1530" t="str">
        <f>INDEX('REVIEW - Complete Role Mapping'!$B:$B,156)</f>
        <v>Phillip Kewley</v>
      </c>
      <c r="C47" s="1530" t="str">
        <f>INDEX('REVIEW - Complete Role Mapping'!$C:$C,156)</f>
        <v>Quality Assurance</v>
      </c>
      <c r="D47" s="1530" t="str">
        <f>INDEX('REVIEW - Complete Role Mapping'!$AK:$AK,156)</f>
        <v>Filled</v>
      </c>
      <c r="E47" s="1547" t="inlineStr">
        <is>
          <t>Filled</t>
        </is>
      </c>
      <c r="F47" s="1773">
        <f>INDEX('REVIEW - Complete Role Mapping'!$AA:$AA,156)</f>
        <v>213600</v>
      </c>
      <c r="G47" s="1773">
        <f>$F47*IFERROR(INDEX(Lists!$AD:$AD,MATCH($E47,Lists!$AC:$AC,0)),1)</f>
        <v>213600</v>
      </c>
    </row>
    <row r="48">
      <c r="B48" s="1530" t="str">
        <f>INDEX('REVIEW - Complete Role Mapping'!$B:$B,157)</f>
        <v>Raj Ganesan</v>
      </c>
      <c r="C48" s="1530" t="str">
        <f>INDEX('REVIEW - Complete Role Mapping'!$C:$C,157)</f>
        <v>Engineer - Mobile (ios)</v>
      </c>
      <c r="D48" s="1530" t="str">
        <f>INDEX('REVIEW - Complete Role Mapping'!$AK:$AK,157)</f>
        <v>Filled</v>
      </c>
      <c r="E48" s="1547" t="inlineStr">
        <is>
          <t>Filled</t>
        </is>
      </c>
      <c r="F48" s="1773">
        <f>INDEX('REVIEW - Complete Role Mapping'!$AA:$AA,157)</f>
        <v>230880</v>
      </c>
      <c r="G48" s="1773">
        <f>$F48*IFERROR(INDEX(Lists!$AD:$AD,MATCH($E48,Lists!$AC:$AC,0)),1)</f>
        <v>230880</v>
      </c>
    </row>
    <row r="49">
      <c r="B49" s="1530" t="str">
        <f>INDEX('REVIEW - Complete Role Mapping'!$B:$B,166)</f>
        <v>Sheetal Karkera</v>
      </c>
      <c r="C49" s="1530" t="str">
        <f>INDEX('REVIEW - Complete Role Mapping'!$C:$C,166)</f>
        <v>Lead Engineer - Mobile</v>
      </c>
      <c r="D49" s="1530" t="str">
        <f>INDEX('REVIEW - Complete Role Mapping'!$AK:$AK,166)</f>
        <v>Filled</v>
      </c>
      <c r="E49" s="1547" t="inlineStr">
        <is>
          <t>Filled</t>
        </is>
      </c>
      <c r="F49" s="1773">
        <f>INDEX('REVIEW - Complete Role Mapping'!$AA:$AA,166)</f>
        <v>301067.45</v>
      </c>
      <c r="G49" s="1773">
        <f>$F49*IFERROR(INDEX(Lists!$AD:$AD,MATCH($E49,Lists!$AC:$AC,0)),1)</f>
        <v>301067.45</v>
      </c>
    </row>
    <row r="50">
      <c r="B50" s="1530" t="str">
        <f>INDEX('REVIEW - Complete Role Mapping'!$B:$B,173)</f>
        <v>Toby Clark</v>
      </c>
      <c r="C50" s="1530" t="str">
        <f>INDEX('REVIEW - Complete Role Mapping'!$C:$C,173)</f>
        <v>Engineer - Mobile (iOS)</v>
      </c>
      <c r="D50" s="1530" t="str">
        <f>INDEX('REVIEW - Complete Role Mapping'!$AK:$AK,173)</f>
        <v>Filled</v>
      </c>
      <c r="E50" s="1547" t="inlineStr">
        <is>
          <t>Filled</t>
        </is>
      </c>
      <c r="F50" s="1773">
        <f>INDEX('REVIEW - Complete Role Mapping'!$AA:$AA,173)</f>
        <v>275810.25</v>
      </c>
      <c r="G50" s="1773">
        <f>$F50*IFERROR(INDEX(Lists!$AD:$AD,MATCH($E50,Lists!$AC:$AC,0)),1)</f>
        <v>275810.25</v>
      </c>
    </row>
    <row r="51">
      <c r="B51" s="1545" t="inlineStr">
        <is>
          <t>Ampol Loyalty &amp; Martech</t>
        </is>
      </c>
      <c r="C51" s="1545" t="str">
        <f>COUNTA($B$52:$B$60)&amp;IF(COUNTA($B$52:$B$60)=1," role"," roles")</f>
        <v>9 roles</v>
      </c>
      <c r="D51" s="1545" t="n"/>
      <c r="E51" s="1545" t="n"/>
      <c r="F51" s="1785">
        <f>SUM(F52:F60)</f>
        <v>1331225.988</v>
      </c>
      <c r="G51" s="1785">
        <f>SUM(G52:G60)</f>
        <v>1331225.988</v>
      </c>
    </row>
    <row r="52">
      <c r="B52" s="1530" t="str">
        <f>INDEX('REVIEW - Complete Role Mapping'!$B:$B,114)</f>
        <v>Angela Gilbert</v>
      </c>
      <c r="C52" s="1530" t="str">
        <f>INDEX('REVIEW - Complete Role Mapping'!$C:$C,114)</f>
        <v>Martech Lead - Dynamics</v>
      </c>
      <c r="D52" s="1530" t="str">
        <f>INDEX('REVIEW - Complete Role Mapping'!$AK:$AK,114)</f>
        <v>Filled</v>
      </c>
      <c r="E52" s="1547" t="inlineStr">
        <is>
          <t>Filled</t>
        </is>
      </c>
      <c r="F52" s="1773">
        <f>INDEX('REVIEW - Complete Role Mapping'!$AA:$AA,114)</f>
        <v>200250</v>
      </c>
      <c r="G52" s="1773">
        <f>$F52*IFERROR(INDEX(Lists!$AD:$AD,MATCH($E52,Lists!$AC:$AC,0)),1)</f>
        <v>200250</v>
      </c>
    </row>
    <row r="53">
      <c r="B53" s="1530" t="str">
        <f>INDEX('REVIEW - Complete Role Mapping'!$B:$B,137)</f>
        <v>Jawad Hassan</v>
      </c>
      <c r="C53" s="1530" t="str">
        <f>INDEX('REVIEW - Complete Role Mapping'!$C:$C,137)</f>
        <v>Engineer Data (Snowflake)</v>
      </c>
      <c r="D53" s="1530" t="str">
        <f>INDEX('REVIEW - Complete Role Mapping'!$AK:$AK,137)</f>
        <v>Filled</v>
      </c>
      <c r="E53" s="1547" t="inlineStr">
        <is>
          <t>Filled</t>
        </is>
      </c>
      <c r="F53" s="1773">
        <f>INDEX('REVIEW - Complete Role Mapping'!$AA:$AA,137)</f>
        <v>202853.25</v>
      </c>
      <c r="G53" s="1773">
        <f>$F53*IFERROR(INDEX(Lists!$AD:$AD,MATCH($E53,Lists!$AC:$AC,0)),1)</f>
        <v>202853.25</v>
      </c>
    </row>
    <row r="54">
      <c r="B54" s="1530" t="str">
        <f>INDEX('REVIEW - Complete Role Mapping'!$B:$B,138)</f>
        <v>Jeremy Xu</v>
      </c>
      <c r="C54" s="1530" t="str">
        <f>INDEX('REVIEW - Complete Role Mapping'!$C:$C,138)</f>
        <v>Data Analyst</v>
      </c>
      <c r="D54" s="1530" t="str">
        <f>INDEX('REVIEW - Complete Role Mapping'!$AK:$AK,138)</f>
        <v>Filled</v>
      </c>
      <c r="E54" s="1547" t="inlineStr">
        <is>
          <t>Filled</t>
        </is>
      </c>
      <c r="F54" s="1773">
        <f>INDEX('REVIEW - Complete Role Mapping'!$AA:$AA,138)</f>
        <v>202853.25</v>
      </c>
      <c r="G54" s="1773">
        <f>$F54*IFERROR(INDEX(Lists!$AD:$AD,MATCH($E54,Lists!$AC:$AC,0)),1)</f>
        <v>202853.25</v>
      </c>
    </row>
    <row r="55">
      <c r="B55" s="1530" t="str">
        <f>INDEX('REVIEW - Complete Role Mapping'!$B:$B,178)</f>
        <v>Vacant</v>
      </c>
      <c r="C55" s="1530" t="str">
        <f>INDEX('REVIEW - Complete Role Mapping'!$C:$C,178)</f>
        <v>Engineer, Software</v>
      </c>
      <c r="D55" s="1530" t="str">
        <f>INDEX('REVIEW - Complete Role Mapping'!$AK:$AK,178)</f>
        <v>Vacant</v>
      </c>
      <c r="E55" s="1547" t="inlineStr">
        <is>
          <t>Hire</t>
        </is>
      </c>
      <c r="F55" s="1773">
        <f>INDEX('REVIEW - Complete Role Mapping'!$AA:$AA,178)</f>
        <v>155676</v>
      </c>
      <c r="G55" s="1773">
        <f>$F55*IFERROR(INDEX(Lists!$AD:$AD,MATCH($E55,Lists!$AC:$AC,0)),1)</f>
        <v>155676</v>
      </c>
    </row>
    <row r="56">
      <c r="B56" s="1530" t="str">
        <f>INDEX('REVIEW - Complete Role Mapping'!$B:$B,179)</f>
        <v>Vacant</v>
      </c>
      <c r="C56" s="1530" t="str">
        <f>INDEX('REVIEW - Complete Role Mapping'!$C:$C,179)</f>
        <v>Snr Engineer, Data</v>
      </c>
      <c r="D56" s="1530" t="str">
        <f>INDEX('REVIEW - Complete Role Mapping'!$AK:$AK,179)</f>
        <v>Vacant</v>
      </c>
      <c r="E56" s="1547" t="inlineStr">
        <is>
          <t>Hire</t>
        </is>
      </c>
      <c r="F56" s="1773">
        <f>INDEX('REVIEW - Complete Role Mapping'!$AA:$AA,179)</f>
        <v>174743.46</v>
      </c>
      <c r="G56" s="1773">
        <f>$F56*IFERROR(INDEX(Lists!$AD:$AD,MATCH($E56,Lists!$AC:$AC,0)),1)</f>
        <v>174743.46</v>
      </c>
    </row>
    <row r="57">
      <c r="B57" s="1530" t="str">
        <f>INDEX('REVIEW - Complete Role Mapping'!$B:$B,180)</f>
        <v>Vacant</v>
      </c>
      <c r="C57" s="1530" t="str">
        <f>INDEX('REVIEW - Complete Role Mapping'!$C:$C,180)</f>
        <v>Solution Architect</v>
      </c>
      <c r="D57" s="1530" t="str">
        <f>INDEX('REVIEW - Complete Role Mapping'!$AK:$AK,180)</f>
        <v>Vacant</v>
      </c>
      <c r="E57" s="1547" t="inlineStr">
        <is>
          <t>Hire</t>
        </is>
      </c>
      <c r="F57" s="1773">
        <f>INDEX('REVIEW - Complete Role Mapping'!$AA:$AA,180)</f>
        <v>75457.8</v>
      </c>
      <c r="G57" s="1773">
        <f>$F57*IFERROR(INDEX(Lists!$AD:$AD,MATCH($E57,Lists!$AC:$AC,0)),1)</f>
        <v>75457.8</v>
      </c>
    </row>
    <row r="58">
      <c r="B58" s="1530" t="str">
        <f>INDEX('REVIEW - Complete Role Mapping'!$B:$B,181)</f>
        <v>Vacant</v>
      </c>
      <c r="C58" s="1530" t="str">
        <f>INDEX('REVIEW - Complete Role Mapping'!$C:$C,181)</f>
        <v>Data Analyst</v>
      </c>
      <c r="D58" s="1530" t="str">
        <f>INDEX('REVIEW - Complete Role Mapping'!$AK:$AK,181)</f>
        <v>Vacant</v>
      </c>
      <c r="E58" s="1547" t="inlineStr">
        <is>
          <t>Hire</t>
        </is>
      </c>
      <c r="F58" s="1773">
        <f>INDEX('REVIEW - Complete Role Mapping'!$AA:$AA,181)</f>
        <v>75457.8</v>
      </c>
      <c r="G58" s="1773">
        <f>$F58*IFERROR(INDEX(Lists!$AD:$AD,MATCH($E58,Lists!$AC:$AC,0)),1)</f>
        <v>75457.8</v>
      </c>
    </row>
    <row r="59">
      <c r="B59" s="1530" t="str">
        <f>INDEX('REVIEW - Complete Role Mapping'!$B:$B,185)</f>
        <v>Vacant</v>
      </c>
      <c r="C59" s="1530" t="str">
        <f>INDEX('REVIEW - Complete Role Mapping'!$C:$C,185)</f>
        <v>QA / Tester / Mid</v>
      </c>
      <c r="D59" s="1530" t="str">
        <f>INDEX('REVIEW - Complete Role Mapping'!$AK:$AK,185)</f>
        <v>Vacant</v>
      </c>
      <c r="E59" s="1547" t="inlineStr">
        <is>
          <t>Hire</t>
        </is>
      </c>
      <c r="F59" s="1773">
        <f>INDEX('REVIEW - Complete Role Mapping'!$AA:$AA,185)</f>
        <v>95579.88</v>
      </c>
      <c r="G59" s="1773">
        <f>$F59*IFERROR(INDEX(Lists!$AD:$AD,MATCH($E59,Lists!$AC:$AC,0)),1)</f>
        <v>95579.88</v>
      </c>
    </row>
    <row r="60">
      <c r="B60" s="1530" t="str">
        <f>INDEX('REVIEW - Complete Role Mapping'!$B:$B,186)</f>
        <v>Vacant</v>
      </c>
      <c r="C60" s="1530" t="str">
        <f>INDEX('REVIEW - Complete Role Mapping'!$C:$C,186)</f>
        <v>Systems Analyst / Mid</v>
      </c>
      <c r="D60" s="1530" t="str">
        <f>INDEX('REVIEW - Complete Role Mapping'!$AK:$AK,186)</f>
        <v>Vacant</v>
      </c>
      <c r="E60" s="1547" t="inlineStr">
        <is>
          <t>Hire</t>
        </is>
      </c>
      <c r="F60" s="1773">
        <f>INDEX('REVIEW - Complete Role Mapping'!$AA:$AA,186)</f>
        <v>148354.548</v>
      </c>
      <c r="G60" s="1773">
        <f>$F60*IFERROR(INDEX(Lists!$AD:$AD,MATCH($E60,Lists!$AC:$AC,0)),1)</f>
        <v>148354.548</v>
      </c>
    </row>
    <row r="61">
      <c r="B61" s="1545" t="inlineStr">
        <is>
          <t>Ampol Web</t>
        </is>
      </c>
      <c r="C61" s="1545" t="str">
        <f>COUNTA($B$62:$B$70)&amp;IF(COUNTA($B$62:$B$70)=1," role"," roles")</f>
        <v>9 roles</v>
      </c>
      <c r="D61" s="1545" t="n"/>
      <c r="E61" s="1545" t="n"/>
      <c r="F61" s="1785">
        <f>SUM(F62:F70)</f>
        <v>1761719.2</v>
      </c>
      <c r="G61" s="1785">
        <f>SUM(G62:G70)</f>
        <v>1761719.2</v>
      </c>
    </row>
    <row r="62">
      <c r="B62" s="1530" t="str">
        <f>INDEX('REVIEW - Complete Role Mapping'!$B:$B,108)</f>
        <v>Aaron Lu</v>
      </c>
      <c r="C62" s="1530" t="str">
        <f>INDEX('REVIEW - Complete Role Mapping'!$C:$C,108)</f>
        <v>Engineer - BE</v>
      </c>
      <c r="D62" s="1530" t="str">
        <f>INDEX('REVIEW - Complete Role Mapping'!$AK:$AK,108)</f>
        <v>Filled</v>
      </c>
      <c r="E62" s="1547" t="inlineStr">
        <is>
          <t>Filled</t>
        </is>
      </c>
      <c r="F62" s="1773">
        <f>INDEX('REVIEW - Complete Role Mapping'!$AA:$AA,108)</f>
        <v>235333.8</v>
      </c>
      <c r="G62" s="1773">
        <f>$F62*IFERROR(INDEX(Lists!$AD:$AD,MATCH($E62,Lists!$AC:$AC,0)),1)</f>
        <v>235333.8</v>
      </c>
    </row>
    <row r="63">
      <c r="B63" s="1530" t="str">
        <f>INDEX('REVIEW - Complete Role Mapping'!$B:$B,120)</f>
        <v>Ashwini Gaikwad</v>
      </c>
      <c r="C63" s="1530" t="str">
        <f>INDEX('REVIEW - Complete Role Mapping'!$C:$C,120)</f>
        <v>Quality Assurance</v>
      </c>
      <c r="D63" s="1530" t="str">
        <f>INDEX('REVIEW - Complete Role Mapping'!$AK:$AK,120)</f>
        <v>Filled</v>
      </c>
      <c r="E63" s="1547" t="inlineStr">
        <is>
          <t>Filled</t>
        </is>
      </c>
      <c r="F63" s="1773">
        <f>INDEX('REVIEW - Complete Role Mapping'!$AA:$AA,120)</f>
        <v>168677.25</v>
      </c>
      <c r="G63" s="1773">
        <f>$F63*IFERROR(INDEX(Lists!$AD:$AD,MATCH($E63,Lists!$AC:$AC,0)),1)</f>
        <v>168677.25</v>
      </c>
    </row>
    <row r="64">
      <c r="B64" s="1530" t="str">
        <f>INDEX('REVIEW - Complete Role Mapping'!$B:$B,128)</f>
        <v>Darwin Morales</v>
      </c>
      <c r="C64" s="1530" t="str">
        <f>INDEX('REVIEW - Complete Role Mapping'!$C:$C,128)</f>
        <v>Snr Engineer - FE</v>
      </c>
      <c r="D64" s="1530" t="str">
        <f>INDEX('REVIEW - Complete Role Mapping'!$AK:$AK,128)</f>
        <v>Filled</v>
      </c>
      <c r="E64" s="1547" t="inlineStr">
        <is>
          <t>Filled</t>
        </is>
      </c>
      <c r="F64" s="1773">
        <f>INDEX('REVIEW - Complete Role Mapping'!$AA:$AA,128)</f>
        <v>243090.15</v>
      </c>
      <c r="G64" s="1773">
        <f>$F64*IFERROR(INDEX(Lists!$AD:$AD,MATCH($E64,Lists!$AC:$AC,0)),1)</f>
        <v>243090.15</v>
      </c>
    </row>
    <row r="65">
      <c r="B65" s="1530" t="str">
        <f>INDEX('REVIEW - Complete Role Mapping'!$B:$B,136)</f>
        <v>Jasper Na</v>
      </c>
      <c r="C65" s="1530" t="str">
        <f>INDEX('REVIEW - Complete Role Mapping'!$C:$C,136)</f>
        <v>Associate Engineer - BE</v>
      </c>
      <c r="D65" s="1530" t="str">
        <f>INDEX('REVIEW - Complete Role Mapping'!$AK:$AK,136)</f>
        <v>Filled</v>
      </c>
      <c r="E65" s="1547" t="inlineStr">
        <is>
          <t>Filled</t>
        </is>
      </c>
      <c r="F65" s="1773">
        <f>INDEX('REVIEW - Complete Role Mapping'!$AA:$AA,136)</f>
        <v>170489.75</v>
      </c>
      <c r="G65" s="1773">
        <f>$F65*IFERROR(INDEX(Lists!$AD:$AD,MATCH($E65,Lists!$AC:$AC,0)),1)</f>
        <v>170489.75</v>
      </c>
    </row>
    <row r="66">
      <c r="B66" s="1530" t="str">
        <f>INDEX('REVIEW - Complete Role Mapping'!$B:$B,140)</f>
        <v>Jin Zhong</v>
      </c>
      <c r="C66" s="1530" t="str">
        <f>INDEX('REVIEW - Complete Role Mapping'!$C:$C,140)</f>
        <v>Lead Engineer - BE</v>
      </c>
      <c r="D66" s="1530" t="str">
        <f>INDEX('REVIEW - Complete Role Mapping'!$AK:$AK,140)</f>
        <v>Filled</v>
      </c>
      <c r="E66" s="1547" t="inlineStr">
        <is>
          <t>Filled</t>
        </is>
      </c>
      <c r="F66" s="1773">
        <f>INDEX('REVIEW - Complete Role Mapping'!$AA:$AA,140)</f>
        <v>202853.25</v>
      </c>
      <c r="G66" s="1773">
        <f>$F66*IFERROR(INDEX(Lists!$AD:$AD,MATCH($E66,Lists!$AC:$AC,0)),1)</f>
        <v>202853.25</v>
      </c>
    </row>
    <row r="67">
      <c r="B67" s="1530" t="str">
        <f>INDEX('REVIEW - Complete Role Mapping'!$B:$B,141)</f>
        <v>Jordan Askwith</v>
      </c>
      <c r="C67" s="1530" t="str">
        <f>INDEX('REVIEW - Complete Role Mapping'!$C:$C,141)</f>
        <v>Solution Architect</v>
      </c>
      <c r="D67" s="1530" t="str">
        <f>INDEX('REVIEW - Complete Role Mapping'!$AK:$AK,141)</f>
        <v>Filled</v>
      </c>
      <c r="E67" s="1547" t="inlineStr">
        <is>
          <t>Filled</t>
        </is>
      </c>
      <c r="F67" s="1773">
        <f>INDEX('REVIEW - Complete Role Mapping'!$AA:$AA,141)</f>
        <v>202853.25</v>
      </c>
      <c r="G67" s="1773">
        <f>$F67*IFERROR(INDEX(Lists!$AD:$AD,MATCH($E67,Lists!$AC:$AC,0)),1)</f>
        <v>202853.25</v>
      </c>
    </row>
    <row r="68">
      <c r="B68" s="1530" t="str">
        <f>INDEX('REVIEW - Complete Role Mapping'!$B:$B,148)</f>
        <v>Lily Fong</v>
      </c>
      <c r="C68" s="1530" t="str">
        <f>INDEX('REVIEW - Complete Role Mapping'!$C:$C,148)</f>
        <v>Snr Business Analyst</v>
      </c>
      <c r="D68" s="1530" t="str">
        <f>INDEX('REVIEW - Complete Role Mapping'!$AK:$AK,148)</f>
        <v>Filled</v>
      </c>
      <c r="E68" s="1547" t="inlineStr">
        <is>
          <t>Filled</t>
        </is>
      </c>
      <c r="F68" s="1773">
        <f>INDEX('REVIEW - Complete Role Mapping'!$AA:$AA,148)</f>
        <v>170489.75</v>
      </c>
      <c r="G68" s="1773">
        <f>$F68*IFERROR(INDEX(Lists!$AD:$AD,MATCH($E68,Lists!$AC:$AC,0)),1)</f>
        <v>170489.75</v>
      </c>
    </row>
    <row r="69">
      <c r="B69" s="1530" t="str">
        <f>INDEX('REVIEW - Complete Role Mapping'!$B:$B,163)</f>
        <v>Saugata Acharya</v>
      </c>
      <c r="C69" s="1530" t="str">
        <f>INDEX('REVIEW - Complete Role Mapping'!$C:$C,163)</f>
        <v>Delivery Lead</v>
      </c>
      <c r="D69" s="1530" t="str">
        <f>INDEX('REVIEW - Complete Role Mapping'!$AK:$AK,163)</f>
        <v>Filled</v>
      </c>
      <c r="E69" s="1547" t="inlineStr">
        <is>
          <t>Filled</t>
        </is>
      </c>
      <c r="F69" s="1773">
        <f>INDEX('REVIEW - Complete Role Mapping'!$AA:$AA,163)</f>
        <v>217914</v>
      </c>
      <c r="G69" s="1773">
        <f>$F69*IFERROR(INDEX(Lists!$AD:$AD,MATCH($E69,Lists!$AC:$AC,0)),1)</f>
        <v>217914</v>
      </c>
    </row>
    <row r="70">
      <c r="B70" s="1530" t="str">
        <f>INDEX('REVIEW - Complete Role Mapping'!$B:$B,190)</f>
        <v>Zohan Sim</v>
      </c>
      <c r="C70" s="1530" t="str">
        <f>INDEX('REVIEW - Complete Role Mapping'!$C:$C,190)</f>
        <v>Engineer - BE</v>
      </c>
      <c r="D70" s="1530" t="str">
        <f>INDEX('REVIEW - Complete Role Mapping'!$AK:$AK,190)</f>
        <v>Filled</v>
      </c>
      <c r="E70" s="1547" t="inlineStr">
        <is>
          <t>Filled</t>
        </is>
      </c>
      <c r="F70" s="1773">
        <f>INDEX('REVIEW - Complete Role Mapping'!$AA:$AA,190)</f>
        <v>150018</v>
      </c>
      <c r="G70" s="1773">
        <f>$F70*IFERROR(INDEX(Lists!$AD:$AD,MATCH($E70,Lists!$AC:$AC,0)),1)</f>
        <v>150018</v>
      </c>
    </row>
    <row r="71">
      <c r="B71" s="1545" t="inlineStr">
        <is>
          <t>Customer AI</t>
        </is>
      </c>
      <c r="C71" s="1545" t="str">
        <f>COUNTA($B$72:$B$73)&amp;IF(COUNTA($B$72:$B$73)=1," role"," roles")</f>
        <v>2 roles</v>
      </c>
      <c r="D71" s="1545" t="n"/>
      <c r="E71" s="1545" t="n"/>
      <c r="F71" s="1785">
        <f>SUM(F72:F73)</f>
        <v>171037.68</v>
      </c>
      <c r="G71" s="1785">
        <f>SUM(G72:G73)</f>
        <v>171037.68</v>
      </c>
    </row>
    <row r="72">
      <c r="B72" s="1530" t="str">
        <f>INDEX('REVIEW - Complete Role Mapping'!$B:$B,174)</f>
        <v>Vacant</v>
      </c>
      <c r="C72" s="1530" t="str">
        <f>INDEX('REVIEW - Complete Role Mapping'!$C:$C,174)</f>
        <v>AI Engineer - Front End</v>
      </c>
      <c r="D72" s="1530" t="str">
        <f>INDEX('REVIEW - Complete Role Mapping'!$AK:$AK,174)</f>
        <v>Vacant</v>
      </c>
      <c r="E72" s="1547" t="inlineStr">
        <is>
          <t>Hire</t>
        </is>
      </c>
      <c r="F72" s="1773">
        <f>INDEX('REVIEW - Complete Role Mapping'!$AA:$AA,174)</f>
        <v>85518.84</v>
      </c>
      <c r="G72" s="1773">
        <f>$F72*IFERROR(INDEX(Lists!$AD:$AD,MATCH($E72,Lists!$AC:$AC,0)),1)</f>
        <v>85518.84</v>
      </c>
    </row>
    <row r="73">
      <c r="B73" s="1530" t="str">
        <f>INDEX('REVIEW - Complete Role Mapping'!$B:$B,175)</f>
        <v>Vacant</v>
      </c>
      <c r="C73" s="1530" t="str">
        <f>INDEX('REVIEW - Complete Role Mapping'!$C:$C,175)</f>
        <v>AI Engineer - Full Stack </v>
      </c>
      <c r="D73" s="1530" t="str">
        <f>INDEX('REVIEW - Complete Role Mapping'!$AK:$AK,175)</f>
        <v>Vacant</v>
      </c>
      <c r="E73" s="1547" t="inlineStr">
        <is>
          <t>Hire</t>
        </is>
      </c>
      <c r="F73" s="1773">
        <f>INDEX('REVIEW - Complete Role Mapping'!$AA:$AA,175)</f>
        <v>85518.84</v>
      </c>
      <c r="G73" s="1773">
        <f>$F73*IFERROR(INDEX(Lists!$AD:$AD,MATCH($E73,Lists!$AC:$AC,0)),1)</f>
        <v>85518.84</v>
      </c>
    </row>
    <row r="74">
      <c r="B74" s="1545" t="inlineStr">
        <is>
          <t>Digital Operations</t>
        </is>
      </c>
      <c r="C74" s="1545" t="str">
        <f>COUNTA($B$75:$B$81)&amp;IF(COUNTA($B$75:$B$81)=1," role"," roles")</f>
        <v>7 roles</v>
      </c>
      <c r="D74" s="1545" t="n"/>
      <c r="E74" s="1545" t="n"/>
      <c r="F74" s="1785">
        <f>SUM(F75:F81)</f>
        <v>1303645.928</v>
      </c>
      <c r="G74" s="1785">
        <f>SUM(G75:G81)</f>
        <v>1303645.928</v>
      </c>
    </row>
    <row r="75">
      <c r="B75" s="1530" t="str">
        <f>INDEX('REVIEW - Complete Role Mapping'!$B:$B,127)</f>
        <v>Daniel Arban</v>
      </c>
      <c r="C75" s="1530" t="str">
        <f>INDEX('REVIEW - Complete Role Mapping'!$C:$C,127)</f>
        <v>Service Delivery Lead</v>
      </c>
      <c r="D75" s="1530" t="str">
        <f>INDEX('REVIEW - Complete Role Mapping'!$AK:$AK,127)</f>
        <v>Filled</v>
      </c>
      <c r="E75" s="1547" t="inlineStr">
        <is>
          <t>Filled</t>
        </is>
      </c>
      <c r="F75" s="1773">
        <f>INDEX('REVIEW - Complete Role Mapping'!$AA:$AA,127)</f>
        <v>248640</v>
      </c>
      <c r="G75" s="1773">
        <f>$F75*IFERROR(INDEX(Lists!$AD:$AD,MATCH($E75,Lists!$AC:$AC,0)),1)</f>
        <v>248640</v>
      </c>
    </row>
    <row r="76">
      <c r="B76" s="1530" t="str">
        <f>INDEX('REVIEW - Complete Role Mapping'!$B:$B,133)</f>
        <v>Emile Violi</v>
      </c>
      <c r="C76" s="1530" t="str">
        <f>INDEX('REVIEW - Complete Role Mapping'!$C:$C,133)</f>
        <v>Engineer - BE</v>
      </c>
      <c r="D76" s="1530" t="str">
        <f>INDEX('REVIEW - Complete Role Mapping'!$AK:$AK,133)</f>
        <v>Filled</v>
      </c>
      <c r="E76" s="1547" t="inlineStr">
        <is>
          <t>Filled</t>
        </is>
      </c>
      <c r="F76" s="1773">
        <f>INDEX('REVIEW - Complete Role Mapping'!$AA:$AA,133)</f>
        <v>154465.188</v>
      </c>
      <c r="G76" s="1773">
        <f>$F76*IFERROR(INDEX(Lists!$AD:$AD,MATCH($E76,Lists!$AC:$AC,0)),1)</f>
        <v>154465.188</v>
      </c>
    </row>
    <row r="77">
      <c r="B77" s="1530" t="str">
        <f>INDEX('REVIEW - Complete Role Mapping'!$B:$B,150)</f>
        <v>Mark Wilson</v>
      </c>
      <c r="C77" s="1530" t="str">
        <f>INDEX('REVIEW - Complete Role Mapping'!$C:$C,150)</f>
        <v>Digital Support Manager (AU)</v>
      </c>
      <c r="D77" s="1530" t="str">
        <f>INDEX('REVIEW - Complete Role Mapping'!$AK:$AK,150)</f>
        <v>Filled</v>
      </c>
      <c r="E77" s="1547" t="inlineStr">
        <is>
          <t>Filled</t>
        </is>
      </c>
      <c r="F77" s="1773">
        <f>INDEX('REVIEW - Complete Role Mapping'!$AA:$AA,150)</f>
        <v>218926.65</v>
      </c>
      <c r="G77" s="1773">
        <f>$F77*IFERROR(INDEX(Lists!$AD:$AD,MATCH($E77,Lists!$AC:$AC,0)),1)</f>
        <v>218926.65</v>
      </c>
    </row>
    <row r="78">
      <c r="B78" s="1530" t="str">
        <f>INDEX('REVIEW - Complete Role Mapping'!$B:$B,169)</f>
        <v>Shreema Das</v>
      </c>
      <c r="C78" s="1530" t="str">
        <f>INDEX('REVIEW - Complete Role Mapping'!$C:$C,169)</f>
        <v>Solution Architect</v>
      </c>
      <c r="D78" s="1530" t="str">
        <f>INDEX('REVIEW - Complete Role Mapping'!$AK:$AK,169)</f>
        <v>Filled</v>
      </c>
      <c r="E78" s="1547" t="inlineStr">
        <is>
          <t>Filled</t>
        </is>
      </c>
      <c r="F78" s="1773">
        <f>INDEX('REVIEW - Complete Role Mapping'!$AA:$AA,169)</f>
        <v>275810.25</v>
      </c>
      <c r="G78" s="1773">
        <f>$F78*IFERROR(INDEX(Lists!$AD:$AD,MATCH($E78,Lists!$AC:$AC,0)),1)</f>
        <v>275810.25</v>
      </c>
    </row>
    <row r="79">
      <c r="B79" s="1530" t="str">
        <f>INDEX('REVIEW - Complete Role Mapping'!$B:$B,182)</f>
        <v>Vacant</v>
      </c>
      <c r="C79" s="1530" t="str">
        <f>INDEX('REVIEW - Complete Role Mapping'!$C:$C,182)</f>
        <v>.NET Back End Developer / Mid</v>
      </c>
      <c r="D79" s="1530" t="str">
        <f>INDEX('REVIEW - Complete Role Mapping'!$AK:$AK,182)</f>
        <v>Vacant</v>
      </c>
      <c r="E79" s="1547" t="inlineStr">
        <is>
          <t>Hire</t>
        </is>
      </c>
      <c r="F79" s="1773">
        <f>INDEX('REVIEW - Complete Role Mapping'!$AA:$AA,182)</f>
        <v>106519.664</v>
      </c>
      <c r="G79" s="1773">
        <f>$F79*IFERROR(INDEX(Lists!$AD:$AD,MATCH($E79,Lists!$AC:$AC,0)),1)</f>
        <v>106519.664</v>
      </c>
    </row>
    <row r="80">
      <c r="B80" s="1530" t="str">
        <f>INDEX('REVIEW - Complete Role Mapping'!$B:$B,183)</f>
        <v>Vacant</v>
      </c>
      <c r="C80" s="1530" t="str">
        <f>INDEX('REVIEW - Complete Role Mapping'!$C:$C,183)</f>
        <v>.NET Back End Developer / Mid</v>
      </c>
      <c r="D80" s="1530" t="str">
        <f>INDEX('REVIEW - Complete Role Mapping'!$AK:$AK,183)</f>
        <v>Vacant</v>
      </c>
      <c r="E80" s="1547" t="inlineStr">
        <is>
          <t>Hire</t>
        </is>
      </c>
      <c r="F80" s="1773">
        <f>INDEX('REVIEW - Complete Role Mapping'!$AA:$AA,183)</f>
        <v>105043.248</v>
      </c>
      <c r="G80" s="1773">
        <f>$F80*IFERROR(INDEX(Lists!$AD:$AD,MATCH($E80,Lists!$AC:$AC,0)),1)</f>
        <v>105043.248</v>
      </c>
    </row>
    <row r="81">
      <c r="B81" s="1530" t="str">
        <f>INDEX('REVIEW - Complete Role Mapping'!$B:$B,184)</f>
        <v>Vacant</v>
      </c>
      <c r="C81" s="1530" t="str">
        <f>INDEX('REVIEW - Complete Role Mapping'!$C:$C,184)</f>
        <v>QA / Tester / Mid</v>
      </c>
      <c r="D81" s="1530" t="str">
        <f>INDEX('REVIEW - Complete Role Mapping'!$AK:$AK,184)</f>
        <v>Vacant</v>
      </c>
      <c r="E81" s="1547" t="inlineStr">
        <is>
          <t>Hire</t>
        </is>
      </c>
      <c r="F81" s="1773">
        <f>INDEX('REVIEW - Complete Role Mapping'!$AA:$AA,184)</f>
        <v>194240.928</v>
      </c>
      <c r="G81" s="1773">
        <f>$F81*IFERROR(INDEX(Lists!$AD:$AD,MATCH($E81,Lists!$AC:$AC,0)),1)</f>
        <v>194240.928</v>
      </c>
    </row>
    <row r="82">
      <c r="B82" s="1545" t="inlineStr">
        <is>
          <t>EGI Customer</t>
        </is>
      </c>
      <c r="C82" s="1545" t="str">
        <f>COUNTA($B$83:$B$92)&amp;IF(COUNTA($B$83:$B$92)=1," role"," roles")</f>
        <v>10 roles</v>
      </c>
      <c r="D82" s="1545" t="n"/>
      <c r="E82" s="1545" t="n"/>
      <c r="F82" s="1785">
        <f>SUM(F83:F92)</f>
        <v>2208135.308</v>
      </c>
      <c r="G82" s="1785">
        <f>SUM(G83:G92)</f>
        <v>2208135.308</v>
      </c>
    </row>
    <row r="83">
      <c r="B83" s="1530" t="str">
        <f>INDEX('REVIEW - Complete Role Mapping'!$B:$B,111)</f>
        <v>Alan Peng</v>
      </c>
      <c r="C83" s="1530" t="str">
        <f>INDEX('REVIEW - Complete Role Mapping'!$C:$C,111)</f>
        <v>Delivery Lead</v>
      </c>
      <c r="D83" s="1530" t="str">
        <f>INDEX('REVIEW - Complete Role Mapping'!$AK:$AK,111)</f>
        <v>Filled</v>
      </c>
      <c r="E83" s="1547" t="inlineStr">
        <is>
          <t>Filled</t>
        </is>
      </c>
      <c r="F83" s="1773">
        <f>INDEX('REVIEW - Complete Role Mapping'!$AA:$AA,111)</f>
        <v>216043.05</v>
      </c>
      <c r="G83" s="1773">
        <f>$F83*IFERROR(INDEX(Lists!$AD:$AD,MATCH($E83,Lists!$AC:$AC,0)),1)</f>
        <v>216043.05</v>
      </c>
    </row>
    <row r="84">
      <c r="B84" s="1530" t="str">
        <f>INDEX('REVIEW - Complete Role Mapping'!$B:$B,115)</f>
        <v>Angie Ng</v>
      </c>
      <c r="C84" s="1530" t="str">
        <f>INDEX('REVIEW - Complete Role Mapping'!$C:$C,115)</f>
        <v>Snr Engineer - BE</v>
      </c>
      <c r="D84" s="1530" t="str">
        <f>INDEX('REVIEW - Complete Role Mapping'!$AK:$AK,115)</f>
        <v>Filled</v>
      </c>
      <c r="E84" s="1547" t="inlineStr">
        <is>
          <t>Filled</t>
        </is>
      </c>
      <c r="F84" s="1773">
        <f>INDEX('REVIEW - Complete Role Mapping'!$AA:$AA,115)</f>
        <v>254958.3</v>
      </c>
      <c r="G84" s="1773">
        <f>$F84*IFERROR(INDEX(Lists!$AD:$AD,MATCH($E84,Lists!$AC:$AC,0)),1)</f>
        <v>254958.3</v>
      </c>
    </row>
    <row r="85">
      <c r="B85" s="1530" t="str">
        <f>INDEX('REVIEW - Complete Role Mapping'!$B:$B,129)</f>
        <v>Dasha Fothergill</v>
      </c>
      <c r="C85" s="1530" t="str">
        <f>INDEX('REVIEW - Complete Role Mapping'!$C:$C,129)</f>
        <v>Data Analyst</v>
      </c>
      <c r="D85" s="1530" t="str">
        <f>INDEX('REVIEW - Complete Role Mapping'!$AK:$AK,129)</f>
        <v>Filled</v>
      </c>
      <c r="E85" s="1547" t="inlineStr">
        <is>
          <t>Filled</t>
        </is>
      </c>
      <c r="F85" s="1773">
        <f>INDEX('REVIEW - Complete Role Mapping'!$AA:$AA,129)</f>
        <v>188492.4</v>
      </c>
      <c r="G85" s="1773">
        <f>$F85*IFERROR(INDEX(Lists!$AD:$AD,MATCH($E85,Lists!$AC:$AC,0)),1)</f>
        <v>188492.4</v>
      </c>
    </row>
    <row r="86">
      <c r="B86" s="1530" t="str">
        <f>INDEX('REVIEW - Complete Role Mapping'!$B:$B,158)</f>
        <v>Ramez Haider</v>
      </c>
      <c r="C86" s="1530" t="str">
        <f>INDEX('REVIEW - Complete Role Mapping'!$C:$C,158)</f>
        <v>Solution Architect</v>
      </c>
      <c r="D86" s="1530" t="str">
        <f>INDEX('REVIEW - Complete Role Mapping'!$AK:$AK,158)</f>
        <v>Filled</v>
      </c>
      <c r="E86" s="1547" t="inlineStr">
        <is>
          <t>Filled</t>
        </is>
      </c>
      <c r="F86" s="1773">
        <f>INDEX('REVIEW - Complete Role Mapping'!$AA:$AA,158)</f>
        <v>247530</v>
      </c>
      <c r="G86" s="1773">
        <f>$F86*IFERROR(INDEX(Lists!$AD:$AD,MATCH($E86,Lists!$AC:$AC,0)),1)</f>
        <v>247530</v>
      </c>
    </row>
    <row r="87">
      <c r="B87" s="1530" t="str">
        <f>INDEX('REVIEW - Complete Role Mapping'!$B:$B,159)</f>
        <v>Rishabh Bhatia</v>
      </c>
      <c r="C87" s="1530" t="str">
        <f>INDEX('REVIEW - Complete Role Mapping'!$C:$C,159)</f>
        <v>Engineer - Mobile (Android)</v>
      </c>
      <c r="D87" s="1530" t="str">
        <f>INDEX('REVIEW - Complete Role Mapping'!$AK:$AK,159)</f>
        <v>Filled</v>
      </c>
      <c r="E87" s="1547" t="inlineStr">
        <is>
          <t>Filled</t>
        </is>
      </c>
      <c r="F87" s="1773">
        <f>INDEX('REVIEW - Complete Role Mapping'!$AA:$AA,159)</f>
        <v>136760</v>
      </c>
      <c r="G87" s="1773">
        <f>$F87*IFERROR(INDEX(Lists!$AD:$AD,MATCH($E87,Lists!$AC:$AC,0)),1)</f>
        <v>136760</v>
      </c>
    </row>
    <row r="88">
      <c r="B88" s="1530" t="str">
        <f>INDEX('REVIEW - Complete Role Mapping'!$B:$B,160)</f>
        <v>Rob Jadrjevic</v>
      </c>
      <c r="C88" s="1530" t="str">
        <f>INDEX('REVIEW - Complete Role Mapping'!$C:$C,160)</f>
        <v>Engineer - BE</v>
      </c>
      <c r="D88" s="1530" t="str">
        <f>INDEX('REVIEW - Complete Role Mapping'!$AK:$AK,160)</f>
        <v>Filled</v>
      </c>
      <c r="E88" s="1547" t="inlineStr">
        <is>
          <t>Filled</t>
        </is>
      </c>
      <c r="F88" s="1773">
        <f>INDEX('REVIEW - Complete Role Mapping'!$AA:$AA,160)</f>
        <v>202853.25</v>
      </c>
      <c r="G88" s="1773">
        <f>$F88*IFERROR(INDEX(Lists!$AD:$AD,MATCH($E88,Lists!$AC:$AC,0)),1)</f>
        <v>202853.25</v>
      </c>
    </row>
    <row r="89">
      <c r="B89" s="1530" t="str">
        <f>INDEX('REVIEW - Complete Role Mapping'!$B:$B,161)</f>
        <v>Safiq Iqbal</v>
      </c>
      <c r="C89" s="1530" t="str">
        <f>INDEX('REVIEW - Complete Role Mapping'!$C:$C,161)</f>
        <v>Principal Engineer</v>
      </c>
      <c r="D89" s="1530" t="str">
        <f>INDEX('REVIEW - Complete Role Mapping'!$AK:$AK,161)</f>
        <v>Filled</v>
      </c>
      <c r="E89" s="1547" t="inlineStr">
        <is>
          <t>Filled</t>
        </is>
      </c>
      <c r="F89" s="1773">
        <f>INDEX('REVIEW - Complete Role Mapping'!$AA:$AA,161)</f>
        <v>213600</v>
      </c>
      <c r="G89" s="1773">
        <f>$F89*IFERROR(INDEX(Lists!$AD:$AD,MATCH($E89,Lists!$AC:$AC,0)),1)</f>
        <v>213600</v>
      </c>
    </row>
    <row r="90">
      <c r="B90" s="1530" t="str">
        <f>INDEX('REVIEW - Complete Role Mapping'!$B:$B,170)</f>
        <v>Sri Balan Raj</v>
      </c>
      <c r="C90" s="1530" t="str">
        <f>INDEX('REVIEW - Complete Role Mapping'!$C:$C,170)</f>
        <v>Business Analyst</v>
      </c>
      <c r="D90" s="1530" t="str">
        <f>INDEX('REVIEW - Complete Role Mapping'!$AK:$AK,170)</f>
        <v>Filled</v>
      </c>
      <c r="E90" s="1547" t="inlineStr">
        <is>
          <t>Filled</t>
        </is>
      </c>
      <c r="F90" s="1773">
        <f>INDEX('REVIEW - Complete Role Mapping'!$AA:$AA,170)</f>
        <v>275810.25</v>
      </c>
      <c r="G90" s="1773">
        <f>$F90*IFERROR(INDEX(Lists!$AD:$AD,MATCH($E90,Lists!$AC:$AC,0)),1)</f>
        <v>275810.25</v>
      </c>
    </row>
    <row r="91">
      <c r="B91" s="1530" t="str">
        <f>INDEX('REVIEW - Complete Role Mapping'!$B:$B,171)</f>
        <v>Swapnil Pithwa</v>
      </c>
      <c r="C91" s="1530" t="str">
        <f>INDEX('REVIEW - Complete Role Mapping'!$C:$C,171)</f>
        <v>Engineer - BE</v>
      </c>
      <c r="D91" s="1530" t="str">
        <f>INDEX('REVIEW - Complete Role Mapping'!$AK:$AK,171)</f>
        <v>Filled</v>
      </c>
      <c r="E91" s="1547" t="inlineStr">
        <is>
          <t>Filled</t>
        </is>
      </c>
      <c r="F91" s="1773">
        <f>INDEX('REVIEW - Complete Role Mapping'!$AA:$AA,171)</f>
        <v>275810.25</v>
      </c>
      <c r="G91" s="1773">
        <f>$F91*IFERROR(INDEX(Lists!$AD:$AD,MATCH($E91,Lists!$AC:$AC,0)),1)</f>
        <v>275810.25</v>
      </c>
    </row>
    <row r="92">
      <c r="B92" s="1530" t="str">
        <f>INDEX('REVIEW - Complete Role Mapping'!$B:$B,187)</f>
        <v>Waheed Malek</v>
      </c>
      <c r="C92" s="1530" t="str">
        <f>INDEX('REVIEW - Complete Role Mapping'!$C:$C,187)</f>
        <v>Quality Assurance</v>
      </c>
      <c r="D92" s="1530" t="str">
        <f>INDEX('REVIEW - Complete Role Mapping'!$AK:$AK,187)</f>
        <v>Filled</v>
      </c>
      <c r="E92" s="1547" t="inlineStr">
        <is>
          <t>Filled</t>
        </is>
      </c>
      <c r="F92" s="1773">
        <f>INDEX('REVIEW - Complete Role Mapping'!$AA:$AA,187)</f>
        <v>196277.808</v>
      </c>
      <c r="G92" s="1773">
        <f>$F92*IFERROR(INDEX(Lists!$AD:$AD,MATCH($E92,Lists!$AC:$AC,0)),1)</f>
        <v>196277.808</v>
      </c>
    </row>
    <row r="93">
      <c r="B93" s="1545" t="inlineStr">
        <is>
          <t>Leadership</t>
        </is>
      </c>
      <c r="C93" s="1545" t="str">
        <f>COUNTA($B$94:$B$98)&amp;IF(COUNTA($B$94:$B$98)=1," role"," roles")</f>
        <v>5 roles</v>
      </c>
      <c r="D93" s="1545" t="n"/>
      <c r="E93" s="1545" t="n"/>
      <c r="F93" s="1785">
        <f>SUM(F94:F98)</f>
        <v>1048250.048</v>
      </c>
      <c r="G93" s="1785">
        <f>SUM(G94:G98)</f>
        <v>1048250.048</v>
      </c>
    </row>
    <row r="94">
      <c r="B94" s="1530" t="str">
        <f>INDEX('REVIEW - Complete Role Mapping'!$B:$B,109)</f>
        <v>Abhilash Reddy</v>
      </c>
      <c r="C94" s="1530" t="str">
        <f>INDEX('REVIEW - Complete Role Mapping'!$C:$C,109)</f>
        <v>Project Manager</v>
      </c>
      <c r="D94" s="1530" t="str">
        <f>INDEX('REVIEW - Complete Role Mapping'!$AK:$AK,109)</f>
        <v>Filled</v>
      </c>
      <c r="E94" s="1547" t="inlineStr">
        <is>
          <t>Filled</t>
        </is>
      </c>
      <c r="F94" s="1773">
        <f>INDEX('REVIEW - Complete Role Mapping'!$AA:$AA,109)</f>
        <v>266400</v>
      </c>
      <c r="G94" s="1773">
        <f>$F94*IFERROR(INDEX(Lists!$AD:$AD,MATCH($E94,Lists!$AC:$AC,0)),1)</f>
        <v>266400</v>
      </c>
    </row>
    <row r="95">
      <c r="B95" s="1530" t="str">
        <f>INDEX('REVIEW - Complete Role Mapping'!$B:$B,123)</f>
        <v>Byron Thornhill</v>
      </c>
      <c r="C95" s="1530" t="str">
        <f>INDEX('REVIEW - Complete Role Mapping'!$C:$C,123)</f>
        <v>Design Manager</v>
      </c>
      <c r="D95" s="1530" t="str">
        <f>INDEX('REVIEW - Complete Role Mapping'!$AK:$AK,123)</f>
        <v>Filled</v>
      </c>
      <c r="E95" s="1547" t="inlineStr">
        <is>
          <t>Filled</t>
        </is>
      </c>
      <c r="F95" s="1773">
        <f>INDEX('REVIEW - Complete Role Mapping'!$AA:$AA,123)</f>
        <v>157668.5</v>
      </c>
      <c r="G95" s="1773">
        <f>$F95*IFERROR(INDEX(Lists!$AD:$AD,MATCH($E95,Lists!$AC:$AC,0)),1)</f>
        <v>157668.5</v>
      </c>
    </row>
    <row r="96">
      <c r="B96" s="1530" t="str">
        <f>INDEX('REVIEW - Complete Role Mapping'!$B:$B,126)</f>
        <v>Christian Lazano</v>
      </c>
      <c r="C96" s="1530" t="str">
        <f>INDEX('REVIEW - Complete Role Mapping'!$C:$C,126)</f>
        <v>Business Analyst</v>
      </c>
      <c r="D96" s="1530" t="str">
        <f>INDEX('REVIEW - Complete Role Mapping'!$AK:$AK,126)</f>
        <v>Filled</v>
      </c>
      <c r="E96" s="1547" t="inlineStr">
        <is>
          <t>Filled</t>
        </is>
      </c>
      <c r="F96" s="1773">
        <f>INDEX('REVIEW - Complete Role Mapping'!$AA:$AA,126)</f>
        <v>266400</v>
      </c>
      <c r="G96" s="1773">
        <f>$F96*IFERROR(INDEX(Lists!$AD:$AD,MATCH($E96,Lists!$AC:$AC,0)),1)</f>
        <v>266400</v>
      </c>
    </row>
    <row r="97">
      <c r="B97" s="1530" t="str">
        <f>INDEX('REVIEW - Complete Role Mapping'!$B:$B,131)</f>
        <v>Ed Tacey</v>
      </c>
      <c r="C97" s="1530" t="str">
        <f>INDEX('REVIEW - Complete Role Mapping'!$C:$C,131)</f>
        <v>AI Enablement Lead</v>
      </c>
      <c r="D97" s="1530" t="str">
        <f>INDEX('REVIEW - Complete Role Mapping'!$AK:$AK,131)</f>
        <v>Filled</v>
      </c>
      <c r="E97" s="1547" t="inlineStr">
        <is>
          <t>Filled</t>
        </is>
      </c>
      <c r="F97" s="1773">
        <f>INDEX('REVIEW - Complete Role Mapping'!$AA:$AA,131)</f>
        <v>194184.348</v>
      </c>
      <c r="G97" s="1773">
        <f>$F97*IFERROR(INDEX(Lists!$AD:$AD,MATCH($E97,Lists!$AC:$AC,0)),1)</f>
        <v>194184.348</v>
      </c>
    </row>
    <row r="98">
      <c r="B98" s="1530" t="str">
        <f>INDEX('REVIEW - Complete Role Mapping'!$B:$B,177)</f>
        <v>Vacant</v>
      </c>
      <c r="C98" s="1530" t="str">
        <f>INDEX('REVIEW - Complete Role Mapping'!$C:$C,177)</f>
        <v>Program Manager</v>
      </c>
      <c r="D98" s="1530" t="str">
        <f>INDEX('REVIEW - Complete Role Mapping'!$AK:$AK,177)</f>
        <v>Vacant</v>
      </c>
      <c r="E98" s="1547" t="inlineStr">
        <is>
          <t>Hire</t>
        </is>
      </c>
      <c r="F98" s="1773">
        <f>INDEX('REVIEW - Complete Role Mapping'!$AA:$AA,177)</f>
        <v>163597.2</v>
      </c>
      <c r="G98" s="1773">
        <f>$F98*IFERROR(INDEX(Lists!$AD:$AD,MATCH($E98,Lists!$AC:$AC,0)),1)</f>
        <v>163597.2</v>
      </c>
    </row>
    <row r="99">
      <c r="B99" s="1545" t="inlineStr">
        <is>
          <t>Z App and Web</t>
        </is>
      </c>
      <c r="C99" s="1545" t="str">
        <f>COUNTA($B$100:$B$104)&amp;IF(COUNTA($B$100:$B$104)=1," role"," roles")</f>
        <v>5 roles</v>
      </c>
      <c r="D99" s="1545" t="n"/>
      <c r="E99" s="1545" t="n"/>
      <c r="F99" s="1785">
        <f>SUM(F100:F104)</f>
        <v>1223286.048</v>
      </c>
      <c r="G99" s="1785">
        <f>SUM(G100:G104)</f>
        <v>1223286.048</v>
      </c>
    </row>
    <row r="100">
      <c r="B100" s="1530" t="str">
        <f>INDEX('REVIEW - Complete Role Mapping'!$B:$B,118)</f>
        <v>Ants Jackson</v>
      </c>
      <c r="C100" s="1530" t="str">
        <f>INDEX('REVIEW - Complete Role Mapping'!$C:$C,118)</f>
        <v>Experience Designer</v>
      </c>
      <c r="D100" s="1530" t="str">
        <f>INDEX('REVIEW - Complete Role Mapping'!$AK:$AK,118)</f>
        <v>Filled</v>
      </c>
      <c r="E100" s="1547" t="inlineStr">
        <is>
          <t>Filled</t>
        </is>
      </c>
      <c r="F100" s="1773">
        <f>INDEX('REVIEW - Complete Role Mapping'!$AA:$AA,118)</f>
        <v>220275</v>
      </c>
      <c r="G100" s="1773">
        <f>$F100*IFERROR(INDEX(Lists!$AD:$AD,MATCH($E100,Lists!$AC:$AC,0)),1)</f>
        <v>220275</v>
      </c>
    </row>
    <row r="101">
      <c r="B101" s="1530" t="str">
        <f>INDEX('REVIEW - Complete Role Mapping'!$B:$B,135)</f>
        <v>James Nicolle</v>
      </c>
      <c r="C101" s="1530" t="str">
        <f>INDEX('REVIEW - Complete Role Mapping'!$C:$C,135)</f>
        <v>Delivery Lead</v>
      </c>
      <c r="D101" s="1530" t="str">
        <f>INDEX('REVIEW - Complete Role Mapping'!$AK:$AK,135)</f>
        <v>Filled</v>
      </c>
      <c r="E101" s="1547" t="inlineStr">
        <is>
          <t>Filled</t>
        </is>
      </c>
      <c r="F101" s="1773">
        <f>INDEX('REVIEW - Complete Role Mapping'!$AA:$AA,135)</f>
        <v>202853.25</v>
      </c>
      <c r="G101" s="1773">
        <f>$F101*IFERROR(INDEX(Lists!$AD:$AD,MATCH($E101,Lists!$AC:$AC,0)),1)</f>
        <v>202853.25</v>
      </c>
    </row>
    <row r="102">
      <c r="B102" s="1530" t="str">
        <f>INDEX('REVIEW - Complete Role Mapping'!$B:$B,162)</f>
        <v>Sam Turnball</v>
      </c>
      <c r="C102" s="1530" t="str">
        <f>INDEX('REVIEW - Complete Role Mapping'!$C:$C,162)</f>
        <v>Associate Experience Designer</v>
      </c>
      <c r="D102" s="1530" t="str">
        <f>INDEX('REVIEW - Complete Role Mapping'!$AK:$AK,162)</f>
        <v>Filled</v>
      </c>
      <c r="E102" s="1547" t="inlineStr">
        <is>
          <t>Filled</t>
        </is>
      </c>
      <c r="F102" s="1773">
        <f>INDEX('REVIEW - Complete Role Mapping'!$AA:$AA,162)</f>
        <v>301148.976</v>
      </c>
      <c r="G102" s="1773">
        <f>$F102*IFERROR(INDEX(Lists!$AD:$AD,MATCH($E102,Lists!$AC:$AC,0)),1)</f>
        <v>301148.976</v>
      </c>
    </row>
    <row r="103">
      <c r="B103" s="1530" t="str">
        <f>INDEX('REVIEW - Complete Role Mapping'!$B:$B,165)</f>
        <v>Shane Abrahams</v>
      </c>
      <c r="C103" s="1530" t="str">
        <f>INDEX('REVIEW - Complete Role Mapping'!$C:$C,165)</f>
        <v>Digital Support Manager - NZ</v>
      </c>
      <c r="D103" s="1530" t="str">
        <f>INDEX('REVIEW - Complete Role Mapping'!$AK:$AK,165)</f>
        <v>Filled</v>
      </c>
      <c r="E103" s="1547" t="inlineStr">
        <is>
          <t>Filled</t>
        </is>
      </c>
      <c r="F103" s="1773">
        <f>INDEX('REVIEW - Complete Role Mapping'!$AA:$AA,165)</f>
        <v>223198.572</v>
      </c>
      <c r="G103" s="1773">
        <f>$F103*IFERROR(INDEX(Lists!$AD:$AD,MATCH($E103,Lists!$AC:$AC,0)),1)</f>
        <v>223198.572</v>
      </c>
    </row>
    <row r="104">
      <c r="B104" s="1530" t="str">
        <f>INDEX('REVIEW - Complete Role Mapping'!$B:$B,172)</f>
        <v>Tim Corin</v>
      </c>
      <c r="C104" s="1530" t="str">
        <f>INDEX('REVIEW - Complete Role Mapping'!$C:$C,172)</f>
        <v>Experience Designer</v>
      </c>
      <c r="D104" s="1530" t="str">
        <f>INDEX('REVIEW - Complete Role Mapping'!$AK:$AK,172)</f>
        <v>Filled</v>
      </c>
      <c r="E104" s="1547" t="inlineStr">
        <is>
          <t>Filled</t>
        </is>
      </c>
      <c r="F104" s="1773">
        <f>INDEX('REVIEW - Complete Role Mapping'!$AA:$AA,172)</f>
        <v>275810.25</v>
      </c>
      <c r="G104" s="1773">
        <f>$F104*IFERROR(INDEX(Lists!$AD:$AD,MATCH($E104,Lists!$AC:$AC,0)),1)</f>
        <v>275810.25</v>
      </c>
    </row>
    <row r="105">
      <c r="B105" s="1545" t="inlineStr">
        <is>
          <t>Z Loyalty &amp; Martech</t>
        </is>
      </c>
      <c r="C105" s="1545" t="str">
        <f>COUNTA($B$106:$B$119)&amp;IF(COUNTA($B$106:$B$119)=1," role"," roles")</f>
        <v>14 roles</v>
      </c>
      <c r="D105" s="1545" t="n"/>
      <c r="E105" s="1545" t="n"/>
      <c r="F105" s="1785">
        <f>SUM(F106:F119)</f>
        <v>2946001.772</v>
      </c>
      <c r="G105" s="1785">
        <f>SUM(G106:G119)</f>
        <v>2946001.772</v>
      </c>
    </row>
    <row r="106">
      <c r="B106" s="1530" t="str">
        <f>INDEX('REVIEW - Complete Role Mapping'!$B:$B,117)</f>
        <v>Anthony Gen</v>
      </c>
      <c r="C106" s="1530" t="str">
        <f>INDEX('REVIEW - Complete Role Mapping'!$C:$C,117)</f>
        <v>Data Analyst</v>
      </c>
      <c r="D106" s="1530" t="str">
        <f>INDEX('REVIEW - Complete Role Mapping'!$AK:$AK,117)</f>
        <v>Filled</v>
      </c>
      <c r="E106" s="1547" t="inlineStr">
        <is>
          <t>Filled</t>
        </is>
      </c>
      <c r="F106" s="1773">
        <f>INDEX('REVIEW - Complete Role Mapping'!$AA:$AA,117)</f>
        <v>179198.4</v>
      </c>
      <c r="G106" s="1773">
        <f>$F106*IFERROR(INDEX(Lists!$AD:$AD,MATCH($E106,Lists!$AC:$AC,0)),1)</f>
        <v>179198.4</v>
      </c>
    </row>
    <row r="107">
      <c r="B107" s="1530" t="str">
        <f>INDEX('REVIEW - Complete Role Mapping'!$B:$B,121)</f>
        <v>Bharat Talreja</v>
      </c>
      <c r="C107" s="1530" t="str">
        <f>INDEX('REVIEW - Complete Role Mapping'!$C:$C,121)</f>
        <v>Marketing Technology Lead</v>
      </c>
      <c r="D107" s="1530" t="str">
        <f>INDEX('REVIEW - Complete Role Mapping'!$AK:$AK,121)</f>
        <v>Filled</v>
      </c>
      <c r="E107" s="1547" t="inlineStr">
        <is>
          <t>Filled</t>
        </is>
      </c>
      <c r="F107" s="1773">
        <f>INDEX('REVIEW - Complete Role Mapping'!$AA:$AA,121)</f>
        <v>266400</v>
      </c>
      <c r="G107" s="1773">
        <f>$F107*IFERROR(INDEX(Lists!$AD:$AD,MATCH($E107,Lists!$AC:$AC,0)),1)</f>
        <v>266400</v>
      </c>
    </row>
    <row r="108">
      <c r="B108" s="1530" t="str">
        <f>INDEX('REVIEW - Complete Role Mapping'!$B:$B,124)</f>
        <v>Carianne Monast</v>
      </c>
      <c r="C108" s="1530" t="str">
        <f>INDEX('REVIEW - Complete Role Mapping'!$C:$C,124)</f>
        <v>Martech Specialist</v>
      </c>
      <c r="D108" s="1530" t="str">
        <f>INDEX('REVIEW - Complete Role Mapping'!$AK:$AK,124)</f>
        <v>Filled</v>
      </c>
      <c r="E108" s="1547" t="inlineStr">
        <is>
          <t>Filled</t>
        </is>
      </c>
      <c r="F108" s="1773">
        <f>INDEX('REVIEW - Complete Role Mapping'!$AA:$AA,124)</f>
        <v>207352.2</v>
      </c>
      <c r="G108" s="1773">
        <f>$F108*IFERROR(INDEX(Lists!$AD:$AD,MATCH($E108,Lists!$AC:$AC,0)),1)</f>
        <v>207352.2</v>
      </c>
    </row>
    <row r="109">
      <c r="B109" s="1530" t="str">
        <f>INDEX('REVIEW - Complete Role Mapping'!$B:$B,125)</f>
        <v>Celia Voysey</v>
      </c>
      <c r="C109" s="1530" t="str">
        <f>INDEX('REVIEW - Complete Role Mapping'!$C:$C,125)</f>
        <v>Delivery Lead</v>
      </c>
      <c r="D109" s="1530" t="str">
        <f>INDEX('REVIEW - Complete Role Mapping'!$AK:$AK,125)</f>
        <v>Filled</v>
      </c>
      <c r="E109" s="1547" t="inlineStr">
        <is>
          <t>Filled</t>
        </is>
      </c>
      <c r="F109" s="1773">
        <f>INDEX('REVIEW - Complete Role Mapping'!$AA:$AA,125)</f>
        <v>240300</v>
      </c>
      <c r="G109" s="1773">
        <f>$F109*IFERROR(INDEX(Lists!$AD:$AD,MATCH($E109,Lists!$AC:$AC,0)),1)</f>
        <v>240300</v>
      </c>
    </row>
    <row r="110">
      <c r="B110" s="1530" t="str">
        <f>INDEX('REVIEW - Complete Role Mapping'!$B:$B,130)</f>
        <v>Denise Esguerra</v>
      </c>
      <c r="C110" s="1530" t="str">
        <f>INDEX('REVIEW - Complete Role Mapping'!$C:$C,130)</f>
        <v>Martech Specialist</v>
      </c>
      <c r="D110" s="1530" t="str">
        <f>INDEX('REVIEW - Complete Role Mapping'!$AK:$AK,130)</f>
        <v>Filled</v>
      </c>
      <c r="E110" s="1547" t="inlineStr">
        <is>
          <t>Filled</t>
        </is>
      </c>
      <c r="F110" s="1773">
        <f>INDEX('REVIEW - Complete Role Mapping'!$AA:$AA,130)</f>
        <v>177525</v>
      </c>
      <c r="G110" s="1773">
        <f>$F110*IFERROR(INDEX(Lists!$AD:$AD,MATCH($E110,Lists!$AC:$AC,0)),1)</f>
        <v>177525</v>
      </c>
    </row>
    <row r="111">
      <c r="B111" s="1530" t="str">
        <f>INDEX('REVIEW - Complete Role Mapping'!$B:$B,142)</f>
        <v>Jordan Kettles</v>
      </c>
      <c r="C111" s="1530" t="str">
        <f>INDEX('REVIEW - Complete Role Mapping'!$C:$C,142)</f>
        <v>Engineer, Sotware</v>
      </c>
      <c r="D111" s="1530" t="str">
        <f>INDEX('REVIEW - Complete Role Mapping'!$AK:$AK,142)</f>
        <v>Filled</v>
      </c>
      <c r="E111" s="1547" t="inlineStr">
        <is>
          <t>Filled</t>
        </is>
      </c>
      <c r="F111" s="1773">
        <f>INDEX('REVIEW - Complete Role Mapping'!$AA:$AA,142)</f>
        <v>165860.95</v>
      </c>
      <c r="G111" s="1773">
        <f>$F111*IFERROR(INDEX(Lists!$AD:$AD,MATCH($E111,Lists!$AC:$AC,0)),1)</f>
        <v>165860.95</v>
      </c>
    </row>
    <row r="112">
      <c r="B112" s="1530" t="str">
        <f>INDEX('REVIEW - Complete Role Mapping'!$B:$B,143)</f>
        <v>Kaye Javier</v>
      </c>
      <c r="C112" s="1530" t="str">
        <f>INDEX('REVIEW - Complete Role Mapping'!$C:$C,143)</f>
        <v>QA Analyst</v>
      </c>
      <c r="D112" s="1530" t="str">
        <f>INDEX('REVIEW - Complete Role Mapping'!$AK:$AK,143)</f>
        <v>Filled</v>
      </c>
      <c r="E112" s="1547" t="inlineStr">
        <is>
          <t>Filled</t>
        </is>
      </c>
      <c r="F112" s="1773">
        <f>INDEX('REVIEW - Complete Role Mapping'!$AA:$AA,143)</f>
        <v>214587.9</v>
      </c>
      <c r="G112" s="1773">
        <f>$F112*IFERROR(INDEX(Lists!$AD:$AD,MATCH($E112,Lists!$AC:$AC,0)),1)</f>
        <v>214587.9</v>
      </c>
    </row>
    <row r="113">
      <c r="B113" s="1530" t="str">
        <f>INDEX('REVIEW - Complete Role Mapping'!$B:$B,144)</f>
        <v>Kellie Gathergood</v>
      </c>
      <c r="C113" s="1530" t="str">
        <f>INDEX('REVIEW - Complete Role Mapping'!$C:$C,144)</f>
        <v>Lead Quality Assurance</v>
      </c>
      <c r="D113" s="1530" t="str">
        <f>INDEX('REVIEW - Complete Role Mapping'!$AK:$AK,144)</f>
        <v>Filled</v>
      </c>
      <c r="E113" s="1547" t="inlineStr">
        <is>
          <t>Filled</t>
        </is>
      </c>
      <c r="F113" s="1773">
        <f>INDEX('REVIEW - Complete Role Mapping'!$AA:$AA,144)</f>
        <v>257788.5</v>
      </c>
      <c r="G113" s="1773">
        <f>$F113*IFERROR(INDEX(Lists!$AD:$AD,MATCH($E113,Lists!$AC:$AC,0)),1)</f>
        <v>257788.5</v>
      </c>
    </row>
    <row r="114">
      <c r="B114" s="1530" t="str">
        <f>INDEX('REVIEW - Complete Role Mapping'!$B:$B,146)</f>
        <v>Kishore Ganesan</v>
      </c>
      <c r="C114" s="1530" t="str">
        <f>INDEX('REVIEW - Complete Role Mapping'!$C:$C,146)</f>
        <v>Intermediate Quality Assurance</v>
      </c>
      <c r="D114" s="1530" t="str">
        <f>INDEX('REVIEW - Complete Role Mapping'!$AK:$AK,146)</f>
        <v>Filled</v>
      </c>
      <c r="E114" s="1547" t="inlineStr">
        <is>
          <t>Filled</t>
        </is>
      </c>
      <c r="F114" s="1773">
        <f>INDEX('REVIEW - Complete Role Mapping'!$AA:$AA,146)</f>
        <v>202853.25</v>
      </c>
      <c r="G114" s="1773">
        <f>$F114*IFERROR(INDEX(Lists!$AD:$AD,MATCH($E114,Lists!$AC:$AC,0)),1)</f>
        <v>202853.25</v>
      </c>
    </row>
    <row r="115">
      <c r="B115" s="1530" t="str">
        <f>INDEX('REVIEW - Complete Role Mapping'!$B:$B,151)</f>
        <v>Megan Rodgers</v>
      </c>
      <c r="C115" s="1530" t="str">
        <f>INDEX('REVIEW - Complete Role Mapping'!$C:$C,151)</f>
        <v>Business Analyst</v>
      </c>
      <c r="D115" s="1530" t="str">
        <f>INDEX('REVIEW - Complete Role Mapping'!$AK:$AK,151)</f>
        <v>Filled</v>
      </c>
      <c r="E115" s="1547" t="inlineStr">
        <is>
          <t>Filled</t>
        </is>
      </c>
      <c r="F115" s="1773">
        <f>INDEX('REVIEW - Complete Role Mapping'!$AA:$AA,151)</f>
        <v>138702</v>
      </c>
      <c r="G115" s="1773">
        <f>$F115*IFERROR(INDEX(Lists!$AD:$AD,MATCH($E115,Lists!$AC:$AC,0)),1)</f>
        <v>138702</v>
      </c>
    </row>
    <row r="116">
      <c r="B116" s="1530" t="str">
        <f>INDEX('REVIEW - Complete Role Mapping'!$B:$B,153)</f>
        <v>Nimi Rose</v>
      </c>
      <c r="C116" s="1530" t="str">
        <f>INDEX('REVIEW - Complete Role Mapping'!$C:$C,153)</f>
        <v>Marketing Technology Lead</v>
      </c>
      <c r="D116" s="1530" t="str">
        <f>INDEX('REVIEW - Complete Role Mapping'!$AK:$AK,153)</f>
        <v>Filled</v>
      </c>
      <c r="E116" s="1547" t="inlineStr">
        <is>
          <t>Filled</t>
        </is>
      </c>
      <c r="F116" s="1773">
        <f>INDEX('REVIEW - Complete Role Mapping'!$AA:$AA,153)</f>
        <v>197993.85</v>
      </c>
      <c r="G116" s="1773">
        <f>$F116*IFERROR(INDEX(Lists!$AD:$AD,MATCH($E116,Lists!$AC:$AC,0)),1)</f>
        <v>197993.85</v>
      </c>
    </row>
    <row r="117">
      <c r="B117" s="1530" t="str">
        <f>INDEX('REVIEW - Complete Role Mapping'!$B:$B,164)</f>
        <v>Scott Cullen</v>
      </c>
      <c r="C117" s="1530" t="str">
        <f>INDEX('REVIEW - Complete Role Mapping'!$C:$C,164)</f>
        <v>Engineer, Dev Ops</v>
      </c>
      <c r="D117" s="1530" t="str">
        <f>INDEX('REVIEW - Complete Role Mapping'!$AK:$AK,164)</f>
        <v>Filled</v>
      </c>
      <c r="E117" s="1547" t="inlineStr">
        <is>
          <t>Filled</t>
        </is>
      </c>
      <c r="F117" s="1773">
        <f>INDEX('REVIEW - Complete Role Mapping'!$AA:$AA,164)</f>
        <v>220275</v>
      </c>
      <c r="G117" s="1773">
        <f>$F117*IFERROR(INDEX(Lists!$AD:$AD,MATCH($E117,Lists!$AC:$AC,0)),1)</f>
        <v>220275</v>
      </c>
    </row>
    <row r="118">
      <c r="B118" s="1530" t="str">
        <f>INDEX('REVIEW - Complete Role Mapping'!$B:$B,167)</f>
        <v>Shinal Chamberlain</v>
      </c>
      <c r="C118" s="1530" t="str">
        <f>INDEX('REVIEW - Complete Role Mapping'!$C:$C,167)</f>
        <v>Business Analyst</v>
      </c>
      <c r="D118" s="1530" t="str">
        <f>INDEX('REVIEW - Complete Role Mapping'!$AK:$AK,167)</f>
        <v>Filled</v>
      </c>
      <c r="E118" s="1547" t="inlineStr">
        <is>
          <t>Filled</t>
        </is>
      </c>
      <c r="F118" s="1773">
        <f>INDEX('REVIEW - Complete Role Mapping'!$AA:$AA,167)</f>
        <v>274311.472</v>
      </c>
      <c r="G118" s="1773">
        <f>$F118*IFERROR(INDEX(Lists!$AD:$AD,MATCH($E118,Lists!$AC:$AC,0)),1)</f>
        <v>274311.472</v>
      </c>
    </row>
    <row r="119">
      <c r="B119" s="1530" t="str">
        <f>INDEX('REVIEW - Complete Role Mapping'!$B:$B,188)</f>
        <v>Yash Thakkar</v>
      </c>
      <c r="C119" s="1530" t="str">
        <f>INDEX('REVIEW - Complete Role Mapping'!$C:$C,188)</f>
        <v>Martech Specialist</v>
      </c>
      <c r="D119" s="1530" t="str">
        <f>INDEX('REVIEW - Complete Role Mapping'!$AK:$AK,188)</f>
        <v>Filled</v>
      </c>
      <c r="E119" s="1547" t="inlineStr">
        <is>
          <t>Filled</t>
        </is>
      </c>
      <c r="F119" s="1773">
        <f>INDEX('REVIEW - Complete Role Mapping'!$AA:$AA,188)</f>
        <v>202853.25</v>
      </c>
      <c r="G119" s="1773">
        <f>$F119*IFERROR(INDEX(Lists!$AD:$AD,MATCH($E119,Lists!$AC:$AC,0)),1)</f>
        <v>202853.25</v>
      </c>
    </row>
    <row r="120">
      <c r="B120" s="1545" t="inlineStr">
        <is>
          <t>Head of Technology</t>
        </is>
      </c>
      <c r="C120" s="1545" t="str">
        <f>COUNTA($B$121:$B$122)&amp;IF(COUNTA($B$121:$B$122)=1," role"," roles")</f>
        <v>2 roles</v>
      </c>
      <c r="D120" s="1545" t="n"/>
      <c r="E120" s="1545" t="n"/>
      <c r="F120" s="1785">
        <f>SUM(F121:F122)</f>
        <v>536015.1</v>
      </c>
      <c r="G120" s="1785">
        <f>SUM(G121:G122)</f>
        <v>536015.1</v>
      </c>
    </row>
    <row r="121">
      <c r="B121" s="1530" t="str">
        <f>INDEX('REVIEW - Complete Role Mapping'!$B:$B,113)</f>
        <v>Andy Stewart</v>
      </c>
      <c r="C121" s="1530" t="str">
        <f>INDEX('REVIEW - Complete Role Mapping'!$C:$C,113)</f>
        <v>Head of Technology, Loyalty &amp; Martech</v>
      </c>
      <c r="D121" s="1530" t="str">
        <f>INDEX('REVIEW - Complete Role Mapping'!$AK:$AK,113)</f>
        <v>Filled</v>
      </c>
      <c r="E121" s="1547" t="inlineStr">
        <is>
          <t>Filled</t>
        </is>
      </c>
      <c r="F121" s="1773">
        <f>INDEX('REVIEW - Complete Role Mapping'!$AA:$AA,113)</f>
        <v>260204.85</v>
      </c>
      <c r="G121" s="1773">
        <f>$F121*IFERROR(INDEX(Lists!$AD:$AD,MATCH($E121,Lists!$AC:$AC,0)),1)</f>
        <v>260204.85</v>
      </c>
    </row>
    <row r="122">
      <c r="B122" s="1530" t="str">
        <f>INDEX('REVIEW - Complete Role Mapping'!$B:$B,168)</f>
        <v>Shona Paul</v>
      </c>
      <c r="C122" s="1530" t="str">
        <f>INDEX('REVIEW - Complete Role Mapping'!$C:$C,168)</f>
        <v>Head of Technology - Digital</v>
      </c>
      <c r="D122" s="1530" t="str">
        <f>INDEX('REVIEW - Complete Role Mapping'!$AK:$AK,168)</f>
        <v>Filled</v>
      </c>
      <c r="E122" s="1547" t="inlineStr">
        <is>
          <t>Filled</t>
        </is>
      </c>
      <c r="F122" s="1773">
        <f>INDEX('REVIEW - Complete Role Mapping'!$AA:$AA,168)</f>
        <v>275810.25</v>
      </c>
      <c r="G122" s="1773">
        <f>$F122*IFERROR(INDEX(Lists!$AD:$AD,MATCH($E122,Lists!$AC:$AC,0)),1)</f>
        <v>275810.25</v>
      </c>
    </row>
    <row r="123">
      <c r="B123" s="1545" t="inlineStr">
        <is>
          <t>Delivery Manager</t>
        </is>
      </c>
      <c r="C123" s="1545" t="str">
        <f>COUNTA($B$124:$B$125)&amp;IF(COUNTA($B$124:$B$125)=1," role"," roles")</f>
        <v>2 roles</v>
      </c>
      <c r="D123" s="1545" t="n"/>
      <c r="E123" s="1545" t="n"/>
      <c r="F123" s="1785">
        <f>SUM(F124:F125)</f>
        <v>420872.1</v>
      </c>
      <c r="G123" s="1785">
        <f>SUM(G124:G125)</f>
        <v>420872.1</v>
      </c>
    </row>
    <row r="124">
      <c r="B124" s="1530" t="str">
        <f>INDEX('REVIEW - Complete Role Mapping'!$B:$B,110)</f>
        <v>Adriel Jeyanandhan</v>
      </c>
      <c r="C124" s="1530" t="str">
        <f>INDEX('REVIEW - Complete Role Mapping'!$C:$C,110)</f>
        <v>Delivery Manager</v>
      </c>
      <c r="D124" s="1530" t="str">
        <f>INDEX('REVIEW - Complete Role Mapping'!$AK:$AK,110)</f>
        <v>Filled</v>
      </c>
      <c r="E124" s="1547" t="inlineStr">
        <is>
          <t>Filled</t>
        </is>
      </c>
      <c r="F124" s="1773">
        <f>INDEX('REVIEW - Complete Role Mapping'!$AA:$AA,110)</f>
        <v>218018.85</v>
      </c>
      <c r="G124" s="1773">
        <f>$F124*IFERROR(INDEX(Lists!$AD:$AD,MATCH($E124,Lists!$AC:$AC,0)),1)</f>
        <v>218018.85</v>
      </c>
    </row>
    <row r="125">
      <c r="B125" s="1530" t="str">
        <f>INDEX('REVIEW - Complete Role Mapping'!$B:$B,139)</f>
        <v>Jill Martin</v>
      </c>
      <c r="C125" s="1530" t="str">
        <f>INDEX('REVIEW - Complete Role Mapping'!$C:$C,139)</f>
        <v>Delivery Manager</v>
      </c>
      <c r="D125" s="1530" t="str">
        <f>INDEX('REVIEW - Complete Role Mapping'!$AK:$AK,139)</f>
        <v>Filled</v>
      </c>
      <c r="E125" s="1547" t="inlineStr">
        <is>
          <t>Filled</t>
        </is>
      </c>
      <c r="F125" s="1773">
        <f>INDEX('REVIEW - Complete Role Mapping'!$AA:$AA,139)</f>
        <v>202853.25</v>
      </c>
      <c r="G125" s="1773">
        <f>$F125*IFERROR(INDEX(Lists!$AD:$AD,MATCH($E125,Lists!$AC:$AC,0)),1)</f>
        <v>202853.25</v>
      </c>
    </row>
    <row r="126">
      <c r="B126" s="1545" t="inlineStr">
        <is>
          <t>Technology Manager</t>
        </is>
      </c>
      <c r="C126" s="1545" t="str">
        <f>COUNTA($B$127:$B$130)&amp;IF(COUNTA($B$127:$B$130)=1," role"," roles")</f>
        <v>4 roles</v>
      </c>
      <c r="D126" s="1545" t="n"/>
      <c r="E126" s="1545" t="n"/>
      <c r="F126" s="1785">
        <f>SUM(F127:F130)</f>
        <v>816085.638</v>
      </c>
      <c r="G126" s="1785">
        <f>SUM(G127:G130)</f>
        <v>816085.638</v>
      </c>
    </row>
    <row r="127">
      <c r="B127" s="1530" t="str">
        <f>INDEX('REVIEW - Complete Role Mapping'!$B:$B,147)</f>
        <v>Kris Hamilton</v>
      </c>
      <c r="C127" s="1530" t="str">
        <f>INDEX('REVIEW - Complete Role Mapping'!$C:$C,147)</f>
        <v>Technology Manager - Loyalty &amp; Martech</v>
      </c>
      <c r="D127" s="1530" t="str">
        <f>INDEX('REVIEW - Complete Role Mapping'!$AK:$AK,147)</f>
        <v>Filled</v>
      </c>
      <c r="E127" s="1547" t="inlineStr">
        <is>
          <t>Filled</t>
        </is>
      </c>
      <c r="F127" s="1773">
        <f>INDEX('REVIEW - Complete Role Mapping'!$AA:$AA,147)</f>
        <v>202853.25</v>
      </c>
      <c r="G127" s="1773">
        <f>$F127*IFERROR(INDEX(Lists!$AD:$AD,MATCH($E127,Lists!$AC:$AC,0)),1)</f>
        <v>202853.25</v>
      </c>
    </row>
    <row r="128">
      <c r="B128" s="1530" t="str">
        <f>INDEX('REVIEW - Complete Role Mapping'!$B:$B,152)</f>
        <v>Mitesh Shah</v>
      </c>
      <c r="C128" s="1530" t="str">
        <f>INDEX('REVIEW - Complete Role Mapping'!$C:$C,152)</f>
        <v>Technology Manager - Digital</v>
      </c>
      <c r="D128" s="1530" t="str">
        <f>INDEX('REVIEW - Complete Role Mapping'!$AK:$AK,152)</f>
        <v>Filled</v>
      </c>
      <c r="E128" s="1547" t="inlineStr">
        <is>
          <t>Filled</t>
        </is>
      </c>
      <c r="F128" s="1773">
        <f>INDEX('REVIEW - Complete Role Mapping'!$AA:$AA,152)</f>
        <v>223946.25</v>
      </c>
      <c r="G128" s="1773">
        <f>$F128*IFERROR(INDEX(Lists!$AD:$AD,MATCH($E128,Lists!$AC:$AC,0)),1)</f>
        <v>223946.25</v>
      </c>
    </row>
    <row r="129">
      <c r="B129" s="1530" t="str">
        <f>INDEX('REVIEW - Complete Role Mapping'!$B:$B,176)</f>
        <v>Vacant</v>
      </c>
      <c r="C129" s="1530" t="str">
        <f>INDEX('REVIEW - Complete Role Mapping'!$C:$C,176)</f>
        <v>Technology Manager, Engineering</v>
      </c>
      <c r="D129" s="1530" t="str">
        <f>INDEX('REVIEW - Complete Role Mapping'!$AK:$AK,176)</f>
        <v>Vacant</v>
      </c>
      <c r="E129" s="1547" t="inlineStr">
        <is>
          <t>Hire</t>
        </is>
      </c>
      <c r="F129" s="1773">
        <f>INDEX('REVIEW - Complete Role Mapping'!$AA:$AA,176)</f>
        <v>186432.888</v>
      </c>
      <c r="G129" s="1773">
        <f>$F129*IFERROR(INDEX(Lists!$AD:$AD,MATCH($E129,Lists!$AC:$AC,0)),1)</f>
        <v>186432.888</v>
      </c>
    </row>
    <row r="130">
      <c r="B130" s="1530" t="str">
        <f>INDEX('REVIEW - Complete Role Mapping'!$B:$B,189)</f>
        <v>Zoe Udy</v>
      </c>
      <c r="C130" s="1530" t="str">
        <f>INDEX('REVIEW - Complete Role Mapping'!$C:$C,189)</f>
        <v>Technology Manager - Data &amp; Engineering</v>
      </c>
      <c r="D130" s="1530" t="str">
        <f>INDEX('REVIEW - Complete Role Mapping'!$AK:$AK,189)</f>
        <v>Filled</v>
      </c>
      <c r="E130" s="1547" t="inlineStr">
        <is>
          <t>Filled</t>
        </is>
      </c>
      <c r="F130" s="1773">
        <f>INDEX('REVIEW - Complete Role Mapping'!$AA:$AA,189)</f>
        <v>202853.25</v>
      </c>
      <c r="G130" s="1773">
        <f>$F130*IFERROR(INDEX(Lists!$AD:$AD,MATCH($E130,Lists!$AC:$AC,0)),1)</f>
        <v>202853.25</v>
      </c>
    </row>
  </sheetData>
  <autoFilter ref="B24:G108">
    <sortState ref="B25:G108">
      <sortCondition ref="A25:A108" customList=""/>
    </sortState>
  </autoFilter>
  <dataValidations count="1">
    <dataValidation sqref="E37 E38 E39 E40 E41 E42 E43 E44 E45 E46 E47 E48 E49 E50 E52 E53 E54 E55 E56 E57 E58 E59 E60 E62 E63 E64 E65 E66 E67 E68 E69 E70 E72 E73 E75 E76 E77 E78 E79 E80 E81 E83 E84 E85 E86 E87 E88 E89 E90 E91 E92 E94 E95 E96 E97 E98 E100 E101 E102 E103 E104 E106 E107 E108 E109 E110 E111 E112 E113 E114 E115 E116 E117 E118 E119 E121 E122 E124 E125 E127 E128 E129 E13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62"/>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Platforms</t>
        </is>
      </c>
      <c r="C7" s="1530" t="str">
        <f>IFERROR(INDEX('1.3 Enterprise Data'!$C$25:$C$38,MATCH($B7,'1.3 Enterprise Data'!$B$25:$B$38,0)),"Not on the 1.x tab")</f>
        <v>Enterprise Data and Insights</v>
      </c>
      <c r="D7" s="1530" t="str">
        <f>IFERROR(IF(INDEX('1.3 Enterprise Data'!$D$25:$D$38,MATCH($B7,'1.3 Enterprise Data'!$B$25:$B$38,0))="","-",INDEX('1.3 Enterprise Data'!$D$25:$D$38,MATCH($B7,'1.3 Enterprise Data'!$B$25:$B$38,0))),"-")</f>
        <v>M</v>
      </c>
      <c r="E7" s="1782">
        <f>IFERROR(INDEX('0.3 Squad Archetypes'!$F$5:$F$23,MATCH($C7&amp;"|"&amp;$D7,'0.3 Squad Archetypes'!$A$5:$A$23,0)),"-")</f>
        <v>7.5</v>
      </c>
      <c r="F7" s="1773">
        <f>COUNTA($B$31:$B$39)</f>
        <v>9</v>
      </c>
      <c r="G7" s="1773">
        <f>COUNTIFS($D$31:$D$39,"Filled")</f>
        <v>3</v>
      </c>
      <c r="H7" s="1773">
        <f>COUNTIFS($D$31:$D$39,"Vacant")</f>
        <v>6</v>
      </c>
      <c r="I7" s="1773">
        <f>COUNTIFS($D$31:$D$39,"Vacant",$E$31:$E$39,"Hire")</f>
        <v>6</v>
      </c>
      <c r="J7" s="1773">
        <f>COUNTIFS($E$31:$E$39,"Offshore")</f>
        <v>0</v>
      </c>
      <c r="K7" s="1773">
        <f>COUNTIFS($E$31:$E$39,"Hold")</f>
        <v>0</v>
      </c>
      <c r="L7" s="1773">
        <f>$F7-$K7</f>
        <v>9</v>
      </c>
      <c r="M7" s="1772">
        <f>IFERROR(IF(INDEX('1.3 Enterprise Data'!$E$25:$E$38,MATCH($B7,'1.3 Enterprise Data'!$B$25:$B$38,0))="Offshore",INDEX('0.3 Squad Archetypes'!$H$5:$H$23,MATCH($C7&amp;"|"&amp;$D7,'0.3 Squad Archetypes'!$A$5:$A$23,0)),INDEX('0.3 Squad Archetypes'!$G$5:$G$23,MATCH($C7&amp;"|"&amp;$D7,'0.3 Squad Archetypes'!$A$5:$A$23,0))),"-")</f>
        <v>1.7</v>
      </c>
      <c r="N7" s="1772">
        <f>SUMIFS('REVIEW - Complete Role Mapping'!$AA$2:$AA$528,'REVIEW - Complete Role Mapping'!$AJ$2:$AJ$528,$C$3,'REVIEW - Complete Role Mapping'!$AT$2:$AT$528,$B7)/1000000</f>
        <v>1.786160296</v>
      </c>
      <c r="O7" s="1772">
        <f>IFERROR(ROUND($N7-$M7,6),"-")</f>
        <v>0.08616</v>
      </c>
      <c r="P7" s="1772">
        <f>SUM($G$31:$G$39)/1000000</f>
        <v>1.786160296</v>
      </c>
      <c r="Q7" s="1772">
        <f>IFERROR(ROUND($P7-$M7,6),"-")</f>
        <v>0.08616</v>
      </c>
    </row>
    <row r="8">
      <c r="B8" s="1530" t="inlineStr">
        <is>
          <t>Data Science</t>
        </is>
      </c>
      <c r="C8" s="1530" t="str">
        <f>IFERROR(INDEX('1.3 Enterprise Data'!$C$25:$C$38,MATCH($B8,'1.3 Enterprise Data'!$B$25:$B$38,0)),"Not on the 1.x tab")</f>
        <v>Enterprise Data and Insights</v>
      </c>
      <c r="D8" s="1530" t="str">
        <f>IFERROR(IF(INDEX('1.3 Enterprise Data'!$D$25:$D$38,MATCH($B8,'1.3 Enterprise Data'!$B$25:$B$38,0))="","-",INDEX('1.3 Enterprise Data'!$D$25:$D$38,MATCH($B8,'1.3 Enterprise Data'!$B$25:$B$38,0))),"-")</f>
        <v>S</v>
      </c>
      <c r="E8" s="1782">
        <f>IFERROR(INDEX('0.3 Squad Archetypes'!$F$5:$F$23,MATCH($C8&amp;"|"&amp;$D8,'0.3 Squad Archetypes'!$A$5:$A$23,0)),"-")</f>
        <v>4</v>
      </c>
      <c r="F8" s="1773">
        <f>COUNTA($B$41:$B$44)</f>
        <v>4</v>
      </c>
      <c r="G8" s="1773">
        <f>COUNTIFS($D$41:$D$44,"Filled")</f>
        <v>4</v>
      </c>
      <c r="H8" s="1773">
        <f>COUNTIFS($D$41:$D$44,"Vacant")</f>
        <v>0</v>
      </c>
      <c r="I8" s="1773">
        <f>COUNTIFS($D$41:$D$44,"Vacant",$E$41:$E$44,"Hire")</f>
        <v>0</v>
      </c>
      <c r="J8" s="1773">
        <f>COUNTIFS($E$41:$E$44,"Offshore")</f>
        <v>0</v>
      </c>
      <c r="K8" s="1773">
        <f>COUNTIFS($E$41:$E$44,"Hold")</f>
        <v>0</v>
      </c>
      <c r="L8" s="1773">
        <f>$F8-$K8</f>
        <v>4</v>
      </c>
      <c r="M8" s="1772">
        <f>IFERROR(IF(INDEX('1.3 Enterprise Data'!$E$25:$E$38,MATCH($B8,'1.3 Enterprise Data'!$B$25:$B$38,0))="Offshore",INDEX('0.3 Squad Archetypes'!$H$5:$H$23,MATCH($C8&amp;"|"&amp;$D8,'0.3 Squad Archetypes'!$A$5:$A$23,0)),INDEX('0.3 Squad Archetypes'!$G$5:$G$23,MATCH($C8&amp;"|"&amp;$D8,'0.3 Squad Archetypes'!$A$5:$A$23,0))),"-")</f>
        <v>0.9</v>
      </c>
      <c r="N8" s="1772">
        <f>SUMIFS('REVIEW - Complete Role Mapping'!$AA$2:$AA$528,'REVIEW - Complete Role Mapping'!$AJ$2:$AJ$528,$C$3,'REVIEW - Complete Role Mapping'!$AT$2:$AT$528,$B8)/1000000</f>
        <v>0.80639733</v>
      </c>
      <c r="O8" s="1772">
        <f>IFERROR(ROUND($N8-$M8,6),"-")</f>
        <v>-0.093603</v>
      </c>
      <c r="P8" s="1772">
        <f>SUM($G$41:$G$44)/1000000</f>
        <v>0.80639733</v>
      </c>
      <c r="Q8" s="1772">
        <f>IFERROR(ROUND($P8-$M8,6),"-")</f>
        <v>-0.093603</v>
      </c>
    </row>
    <row r="9">
      <c r="B9" s="1530" t="inlineStr">
        <is>
          <t>Reporting &amp; Analytics</t>
        </is>
      </c>
      <c r="C9" s="1530" t="str">
        <f>IFERROR(INDEX('1.3 Enterprise Data'!$C$25:$C$38,MATCH($B9,'1.3 Enterprise Data'!$B$25:$B$38,0)),"Not on the 1.x tab")</f>
        <v>Enterprise Data and Insights</v>
      </c>
      <c r="D9" s="1530" t="str">
        <f>IFERROR(IF(INDEX('1.3 Enterprise Data'!$D$25:$D$38,MATCH($B9,'1.3 Enterprise Data'!$B$25:$B$38,0))="","-",INDEX('1.3 Enterprise Data'!$D$25:$D$38,MATCH($B9,'1.3 Enterprise Data'!$B$25:$B$38,0))),"-")</f>
        <v>M</v>
      </c>
      <c r="E9" s="1782">
        <f>IFERROR(INDEX('0.3 Squad Archetypes'!$F$5:$F$23,MATCH($C9&amp;"|"&amp;$D9,'0.3 Squad Archetypes'!$A$5:$A$23,0)),"-")</f>
        <v>7.5</v>
      </c>
      <c r="F9" s="1773">
        <f>COUNTA($B$46:$B$57)</f>
        <v>12</v>
      </c>
      <c r="G9" s="1773">
        <f>COUNTIFS($D$46:$D$57,"Filled")</f>
        <v>9</v>
      </c>
      <c r="H9" s="1773">
        <f>COUNTIFS($D$46:$D$57,"Vacant")</f>
        <v>3</v>
      </c>
      <c r="I9" s="1773">
        <f>COUNTIFS($D$46:$D$57,"Vacant",$E$46:$E$57,"Hire")</f>
        <v>3</v>
      </c>
      <c r="J9" s="1773">
        <f>COUNTIFS($E$46:$E$57,"Offshore")</f>
        <v>0</v>
      </c>
      <c r="K9" s="1773">
        <f>COUNTIFS($E$46:$E$57,"Hold")</f>
        <v>0</v>
      </c>
      <c r="L9" s="1773">
        <f>$F9-$K9</f>
        <v>12</v>
      </c>
      <c r="M9" s="1772">
        <f>IFERROR(IF(INDEX('1.3 Enterprise Data'!$E$25:$E$38,MATCH($B9,'1.3 Enterprise Data'!$B$25:$B$38,0))="Offshore",INDEX('0.3 Squad Archetypes'!$H$5:$H$23,MATCH($C9&amp;"|"&amp;$D9,'0.3 Squad Archetypes'!$A$5:$A$23,0)),INDEX('0.3 Squad Archetypes'!$G$5:$G$23,MATCH($C9&amp;"|"&amp;$D9,'0.3 Squad Archetypes'!$A$5:$A$23,0))),"-")</f>
        <v>1.7</v>
      </c>
      <c r="N9" s="1772">
        <f>SUMIFS('REVIEW - Complete Role Mapping'!$AA$2:$AA$528,'REVIEW - Complete Role Mapping'!$AJ$2:$AJ$528,$C$3,'REVIEW - Complete Role Mapping'!$AT$2:$AT$528,$B9)/1000000</f>
        <v>2.7648117</v>
      </c>
      <c r="O9" s="1772">
        <f>IFERROR(ROUND($N9-$M9,6),"-")</f>
        <v>1.064812</v>
      </c>
      <c r="P9" s="1772">
        <f>SUM($G$46:$G$57)/1000000</f>
        <v>2.7648117</v>
      </c>
      <c r="Q9" s="1772">
        <f>IFERROR(ROUND($P9-$M9,6),"-")</f>
        <v>1.064812</v>
      </c>
    </row>
    <row r="10">
      <c r="B10" s="1534" t="inlineStr">
        <is>
          <t>Squads priced by an archetype</t>
        </is>
      </c>
      <c r="C10" s="1534" t="n"/>
      <c r="D10" s="1534" t="n"/>
      <c r="E10" s="1783">
        <f>SUM(E7:E9)</f>
        <v>19</v>
      </c>
      <c r="F10" s="1775">
        <f>SUM(F7:F9)</f>
        <v>25</v>
      </c>
      <c r="G10" s="1775">
        <f>SUM(G7:G9)</f>
        <v>16</v>
      </c>
      <c r="H10" s="1775">
        <f>SUM(H7:H9)</f>
        <v>9</v>
      </c>
      <c r="I10" s="1775">
        <f>SUM(I7:I9)</f>
        <v>9</v>
      </c>
      <c r="J10" s="1775">
        <f>SUM(J7:J9)</f>
        <v>0</v>
      </c>
      <c r="K10" s="1775">
        <f>SUM(K7:K9)</f>
        <v>0</v>
      </c>
      <c r="L10" s="1775">
        <f>SUM(L7:L9)</f>
        <v>25</v>
      </c>
      <c r="M10" s="1774">
        <f>SUM(M7:M9)</f>
        <v>4.3</v>
      </c>
      <c r="N10" s="1774">
        <f>SUM(N7:N9)</f>
        <v>5.357369326</v>
      </c>
      <c r="O10" s="1774">
        <f>SUM(O7:O9)</f>
        <v>1.057369</v>
      </c>
      <c r="P10" s="1774">
        <f>SUM(P7:P9)</f>
        <v>5.357369326</v>
      </c>
      <c r="Q10" s="1774">
        <f>SUM(Q7:Q9)</f>
        <v>1.057369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COUNTA($B$59:$B$59)</f>
        <v>1</v>
      </c>
      <c r="G19" s="1773">
        <f>COUNTIFS($D$59:$D$59,"Filled")</f>
        <v>1</v>
      </c>
      <c r="H19" s="1773">
        <f>COUNTIFS($D$59:$D$59,"Vacant")</f>
        <v>0</v>
      </c>
      <c r="I19" s="1773">
        <f>COUNTIFS($D$59:$D$59,"Vacant",$E$59:$E$59,"Hire")</f>
        <v>0</v>
      </c>
      <c r="J19" s="1773">
        <f>COUNTIFS($E$59:$E$59,"Offshore")</f>
        <v>0</v>
      </c>
      <c r="K19" s="1773">
        <f>COUNTIFS($E$59:$E$59,"Hold")</f>
        <v>0</v>
      </c>
      <c r="L19" s="1773">
        <f>$F19-$K19</f>
        <v>1</v>
      </c>
      <c r="M19" s="1538" t="str">
        <f>"-"</f>
        <v>-</v>
      </c>
      <c r="N19" s="1772">
        <f>SUMIFS('REVIEW - Complete Role Mapping'!$AA$2:$AA$528,'REVIEW - Complete Role Mapping'!$AJ$2:$AJ$528,$C$3,'REVIEW - Complete Role Mapping'!$AT$2:$AT$528,$B19)/1000000</f>
        <v>0.4097557</v>
      </c>
      <c r="O19" s="1538" t="str">
        <f>"-"</f>
        <v>-</v>
      </c>
      <c r="P19" s="1772">
        <f>SUM($G$59:$G$59)/1000000</f>
        <v>0.4097557</v>
      </c>
      <c r="Q19" s="1538" t="str">
        <f>"-"</f>
        <v>-</v>
      </c>
    </row>
    <row r="20">
      <c r="B20" s="1530" t="inlineStr">
        <is>
          <t>Technology Manager</t>
        </is>
      </c>
      <c r="C20" s="1530" t="str">
        <f>"-"</f>
        <v>-</v>
      </c>
      <c r="D20" s="1530" t="str">
        <f>"-"</f>
        <v>-</v>
      </c>
      <c r="E20" s="1538" t="str">
        <f>"-"</f>
        <v>-</v>
      </c>
      <c r="F20" s="1773">
        <f>COUNTA($B$61:$B$62)</f>
        <v>2</v>
      </c>
      <c r="G20" s="1773">
        <f>COUNTIFS($D$61:$D$62,"Filled")</f>
        <v>2</v>
      </c>
      <c r="H20" s="1773">
        <f>COUNTIFS($D$61:$D$62,"Vacant")</f>
        <v>0</v>
      </c>
      <c r="I20" s="1773">
        <f>COUNTIFS($D$61:$D$62,"Vacant",$E$61:$E$62,"Hire")</f>
        <v>0</v>
      </c>
      <c r="J20" s="1773">
        <f>COUNTIFS($E$61:$E$62,"Offshore")</f>
        <v>0</v>
      </c>
      <c r="K20" s="1773">
        <f>COUNTIFS($E$61:$E$62,"Hold")</f>
        <v>0</v>
      </c>
      <c r="L20" s="1773">
        <f>$F20-$K20</f>
        <v>2</v>
      </c>
      <c r="M20" s="1538" t="str">
        <f>"-"</f>
        <v>-</v>
      </c>
      <c r="N20" s="1772">
        <f>SUMIFS('REVIEW - Complete Role Mapping'!$AA$2:$AA$528,'REVIEW - Complete Role Mapping'!$AJ$2:$AJ$528,$C$3,'REVIEW - Complete Role Mapping'!$AT$2:$AT$528,$B20)/1000000</f>
        <v>0.65127875</v>
      </c>
      <c r="O20" s="1538" t="str">
        <f>"-"</f>
        <v>-</v>
      </c>
      <c r="P20" s="1772">
        <f>SUM($G$61:$G$62)/1000000</f>
        <v>0.65127875</v>
      </c>
      <c r="Q20" s="1538" t="str">
        <f>"-"</f>
        <v>-</v>
      </c>
    </row>
    <row r="21">
      <c r="B21" s="1534" t="inlineStr">
        <is>
          <t>Overhead roles total</t>
        </is>
      </c>
      <c r="C21" s="1534" t="n"/>
      <c r="D21" s="1534" t="n"/>
      <c r="E21" s="1783">
        <f>SUM(E19:E20)</f>
        <v>0</v>
      </c>
      <c r="F21" s="1775">
        <f>SUM(F19:F20)</f>
        <v>3</v>
      </c>
      <c r="G21" s="1775">
        <f>SUM(G19:G20)</f>
        <v>3</v>
      </c>
      <c r="H21" s="1775">
        <f>SUM(H19:H20)</f>
        <v>0</v>
      </c>
      <c r="I21" s="1775">
        <f>SUM(I19:I20)</f>
        <v>0</v>
      </c>
      <c r="J21" s="1775">
        <f>SUM(J19:J20)</f>
        <v>0</v>
      </c>
      <c r="K21" s="1775">
        <f>SUM(K19:K20)</f>
        <v>0</v>
      </c>
      <c r="L21" s="1775">
        <f>SUM(L19:L20)</f>
        <v>3</v>
      </c>
      <c r="M21" s="1774">
        <f>SUM(M19:M20)</f>
        <v>0</v>
      </c>
      <c r="N21" s="1774">
        <f>SUM(N19:N20)</f>
        <v>1.06103445</v>
      </c>
      <c r="O21" s="1774">
        <f>SUM(O19:O20)</f>
        <v>0</v>
      </c>
      <c r="P21" s="1774">
        <f>SUM(P19:P20)</f>
        <v>1.06103445</v>
      </c>
      <c r="Q21" s="1774">
        <f>SUM(Q19:Q20)</f>
        <v>0</v>
      </c>
    </row>
    <row r="22"/>
    <row r="23">
      <c r="B23" s="1539" t="inlineStr">
        <is>
          <t>Total portfolio</t>
        </is>
      </c>
      <c r="C23" s="1539" t="n"/>
      <c r="D23" s="1539" t="n"/>
      <c r="E23" s="1784">
        <f>N(E10)+N(E15)+N(E21)</f>
        <v>19</v>
      </c>
      <c r="F23" s="1777">
        <f>N(F10)+N(F15)+N(F21)</f>
        <v>28</v>
      </c>
      <c r="G23" s="1777">
        <f>N(G10)+N(G15)+N(G21)</f>
        <v>19</v>
      </c>
      <c r="H23" s="1777">
        <f>N(H10)+N(H15)+N(H21)</f>
        <v>9</v>
      </c>
      <c r="I23" s="1777">
        <f>N(I10)+N(I15)+N(I21)</f>
        <v>9</v>
      </c>
      <c r="J23" s="1777">
        <f>N(J10)+N(J15)+N(J21)</f>
        <v>0</v>
      </c>
      <c r="K23" s="1777">
        <f>N(K10)+N(K15)+N(K21)</f>
        <v>0</v>
      </c>
      <c r="L23" s="1777">
        <f>N(L10)+N(L15)+N(L21)</f>
        <v>28</v>
      </c>
      <c r="M23" s="1776">
        <f>N(M10)+N(M15)+N(M21)</f>
        <v>4.3</v>
      </c>
      <c r="N23" s="1776">
        <f>N(N10)+N(N15)+N(N21)</f>
        <v>6.418403776</v>
      </c>
      <c r="O23" s="1776">
        <f>N(O10)+N(O15)+N(O21)</f>
        <v>1.057369</v>
      </c>
      <c r="P23" s="1776">
        <f>N(P10)+N(P15)+N(P21)</f>
        <v>6.418403776</v>
      </c>
      <c r="Q23" s="1776">
        <f>N(Q10)+N(Q15)+N(Q21)</f>
        <v>1.057369</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Enterprise Data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Data Platforms</t>
        </is>
      </c>
      <c r="C30" s="1545" t="str">
        <f>COUNTA($B$31:$B$39)&amp;IF(COUNTA($B$31:$B$39)=1," role"," roles")</f>
        <v>9 roles</v>
      </c>
      <c r="D30" s="1545" t="n"/>
      <c r="E30" s="1545" t="n"/>
      <c r="F30" s="1785">
        <f>SUM(F31:F39)</f>
        <v>1786160.296</v>
      </c>
      <c r="G30" s="1785">
        <f>SUM(G31:G39)</f>
        <v>1786160.296</v>
      </c>
    </row>
    <row r="31">
      <c r="B31" s="1530" t="str">
        <f>INDEX('REVIEW - Complete Role Mapping'!$B:$B,284)</f>
        <v>Dinesh Chandrasekaran</v>
      </c>
      <c r="C31" s="1530" t="str">
        <f>INDEX('REVIEW - Complete Role Mapping'!$C:$C,284)</f>
        <v>Lead Engineer (Snowflake)</v>
      </c>
      <c r="D31" s="1530" t="str">
        <f>INDEX('REVIEW - Complete Role Mapping'!$AK:$AK,284)</f>
        <v>Filled</v>
      </c>
      <c r="E31" s="1547" t="inlineStr">
        <is>
          <t>Filled</t>
        </is>
      </c>
      <c r="F31" s="1773">
        <f>INDEX('REVIEW - Complete Role Mapping'!$AA:$AA,284)</f>
        <v>243984.6</v>
      </c>
      <c r="G31" s="1773">
        <f>$F31*IFERROR(INDEX(Lists!$AD:$AD,MATCH($E31,Lists!$AC:$AC,0)),1)</f>
        <v>243984.6</v>
      </c>
    </row>
    <row r="32">
      <c r="B32" s="1530" t="str">
        <f>INDEX('REVIEW - Complete Role Mapping'!$B:$B,307)</f>
        <v>Roozbeh Shahbazirad</v>
      </c>
      <c r="C32" s="1530" t="str">
        <f>INDEX('REVIEW - Complete Role Mapping'!$C:$C,307)</f>
        <v>Lead Engineer</v>
      </c>
      <c r="D32" s="1530" t="str">
        <f>INDEX('REVIEW - Complete Role Mapping'!$AK:$AK,307)</f>
        <v>Filled</v>
      </c>
      <c r="E32" s="1547" t="inlineStr">
        <is>
          <t>Filled</t>
        </is>
      </c>
      <c r="F32" s="1773">
        <f>INDEX('REVIEW - Complete Role Mapping'!$AA:$AA,307)</f>
        <v>204006.636</v>
      </c>
      <c r="G32" s="1773">
        <f>$F32*IFERROR(INDEX(Lists!$AD:$AD,MATCH($E32,Lists!$AC:$AC,0)),1)</f>
        <v>204006.636</v>
      </c>
    </row>
    <row r="33">
      <c r="B33" s="1530" t="str">
        <f>INDEX('REVIEW - Complete Role Mapping'!$B:$B,312)</f>
        <v>Tim Snedden</v>
      </c>
      <c r="C33" s="1530" t="str">
        <f>INDEX('REVIEW - Complete Role Mapping'!$C:$C,312)</f>
        <v>Delivery Lead</v>
      </c>
      <c r="D33" s="1530" t="str">
        <f>INDEX('REVIEW - Complete Role Mapping'!$AK:$AK,312)</f>
        <v>Filled</v>
      </c>
      <c r="E33" s="1547" t="inlineStr">
        <is>
          <t>Filled</t>
        </is>
      </c>
      <c r="F33" s="1773">
        <f>INDEX('REVIEW - Complete Role Mapping'!$AA:$AA,312)</f>
        <v>185776.56</v>
      </c>
      <c r="G33" s="1773">
        <f>$F33*IFERROR(INDEX(Lists!$AD:$AD,MATCH($E33,Lists!$AC:$AC,0)),1)</f>
        <v>185776.56</v>
      </c>
    </row>
    <row r="34">
      <c r="B34" s="1530" t="str">
        <f>INDEX('REVIEW - Complete Role Mapping'!$B:$B,314)</f>
        <v>Vacant</v>
      </c>
      <c r="C34" s="1530" t="str">
        <f>INDEX('REVIEW - Complete Role Mapping'!$C:$C,314)</f>
        <v>Engineer Data  </v>
      </c>
      <c r="D34" s="1530" t="str">
        <f>INDEX('REVIEW - Complete Role Mapping'!$AK:$AK,314)</f>
        <v>Vacant</v>
      </c>
      <c r="E34" s="1547" t="inlineStr">
        <is>
          <t>Hire</t>
        </is>
      </c>
      <c r="F34" s="1773">
        <f>INDEX('REVIEW - Complete Role Mapping'!$AA:$AA,314)</f>
        <v>202853.25</v>
      </c>
      <c r="G34" s="1773">
        <f>$F34*IFERROR(INDEX(Lists!$AD:$AD,MATCH($E34,Lists!$AC:$AC,0)),1)</f>
        <v>202853.25</v>
      </c>
    </row>
    <row r="35">
      <c r="B35" s="1530" t="str">
        <f>INDEX('REVIEW - Complete Role Mapping'!$B:$B,315)</f>
        <v>Vacant</v>
      </c>
      <c r="C35" s="1530" t="str">
        <f>INDEX('REVIEW - Complete Role Mapping'!$C:$C,315)</f>
        <v>Quality Assurance</v>
      </c>
      <c r="D35" s="1530" t="str">
        <f>INDEX('REVIEW - Complete Role Mapping'!$AK:$AK,315)</f>
        <v>Vacant</v>
      </c>
      <c r="E35" s="1547" t="inlineStr">
        <is>
          <t>Hire</t>
        </is>
      </c>
      <c r="F35" s="1773">
        <f>INDEX('REVIEW - Complete Role Mapping'!$AA:$AA,315)</f>
        <v>170489.75</v>
      </c>
      <c r="G35" s="1773">
        <f>$F35*IFERROR(INDEX(Lists!$AD:$AD,MATCH($E35,Lists!$AC:$AC,0)),1)</f>
        <v>170489.75</v>
      </c>
    </row>
    <row r="36">
      <c r="B36" s="1530" t="str">
        <f>INDEX('REVIEW - Complete Role Mapping'!$B:$B,316)</f>
        <v>Vacant</v>
      </c>
      <c r="C36" s="1530" t="str">
        <f>INDEX('REVIEW - Complete Role Mapping'!$C:$C,316)</f>
        <v>Engineer - DevOps</v>
      </c>
      <c r="D36" s="1530" t="str">
        <f>INDEX('REVIEW - Complete Role Mapping'!$AK:$AK,316)</f>
        <v>Vacant</v>
      </c>
      <c r="E36" s="1547" t="inlineStr">
        <is>
          <t>Hire</t>
        </is>
      </c>
      <c r="F36" s="1773">
        <f>INDEX('REVIEW - Complete Role Mapping'!$AA:$AA,316)</f>
        <v>202853.25</v>
      </c>
      <c r="G36" s="1773">
        <f>$F36*IFERROR(INDEX(Lists!$AD:$AD,MATCH($E36,Lists!$AC:$AC,0)),1)</f>
        <v>202853.25</v>
      </c>
    </row>
    <row r="37">
      <c r="B37" s="1530" t="str">
        <f>INDEX('REVIEW - Complete Role Mapping'!$B:$B,317)</f>
        <v>Vacant</v>
      </c>
      <c r="C37" s="1530" t="str">
        <f>INDEX('REVIEW - Complete Role Mapping'!$C:$C,317)</f>
        <v>Business Analyst</v>
      </c>
      <c r="D37" s="1530" t="str">
        <f>INDEX('REVIEW - Complete Role Mapping'!$AK:$AK,317)</f>
        <v>Vacant</v>
      </c>
      <c r="E37" s="1547" t="inlineStr">
        <is>
          <t>Hire</t>
        </is>
      </c>
      <c r="F37" s="1773">
        <f>INDEX('REVIEW - Complete Role Mapping'!$AA:$AA,317)</f>
        <v>202853.25</v>
      </c>
      <c r="G37" s="1773">
        <f>$F37*IFERROR(INDEX(Lists!$AD:$AD,MATCH($E37,Lists!$AC:$AC,0)),1)</f>
        <v>202853.25</v>
      </c>
    </row>
    <row r="38">
      <c r="B38" s="1530" t="str">
        <f>INDEX('REVIEW - Complete Role Mapping'!$B:$B,319)</f>
        <v>Vacant</v>
      </c>
      <c r="C38" s="1530" t="str">
        <f>INDEX('REVIEW - Complete Role Mapping'!$C:$C,319)</f>
        <v>Engineer - Data</v>
      </c>
      <c r="D38" s="1530" t="str">
        <f>INDEX('REVIEW - Complete Role Mapping'!$AK:$AK,319)</f>
        <v>Vacant</v>
      </c>
      <c r="E38" s="1547" t="inlineStr">
        <is>
          <t>Hire</t>
        </is>
      </c>
      <c r="F38" s="1773">
        <f>INDEX('REVIEW - Complete Role Mapping'!$AA:$AA,319)</f>
        <v>202853.25</v>
      </c>
      <c r="G38" s="1773">
        <f>$F38*IFERROR(INDEX(Lists!$AD:$AD,MATCH($E38,Lists!$AC:$AC,0)),1)</f>
        <v>202853.25</v>
      </c>
    </row>
    <row r="39">
      <c r="B39" s="1530" t="str">
        <f>INDEX('REVIEW - Complete Role Mapping'!$B:$B,320)</f>
        <v>Vacant</v>
      </c>
      <c r="C39" s="1530" t="str">
        <f>INDEX('REVIEW - Complete Role Mapping'!$C:$C,320)</f>
        <v>Quality Assurance</v>
      </c>
      <c r="D39" s="1530" t="str">
        <f>INDEX('REVIEW - Complete Role Mapping'!$AK:$AK,320)</f>
        <v>Vacant</v>
      </c>
      <c r="E39" s="1547" t="inlineStr">
        <is>
          <t>Hire</t>
        </is>
      </c>
      <c r="F39" s="1773">
        <f>INDEX('REVIEW - Complete Role Mapping'!$AA:$AA,320)</f>
        <v>170489.75</v>
      </c>
      <c r="G39" s="1773">
        <f>$F39*IFERROR(INDEX(Lists!$AD:$AD,MATCH($E39,Lists!$AC:$AC,0)),1)</f>
        <v>170489.75</v>
      </c>
    </row>
    <row r="40">
      <c r="B40" s="1545" t="inlineStr">
        <is>
          <t>Data Science</t>
        </is>
      </c>
      <c r="C40" s="1545" t="str">
        <f>COUNTA($B$41:$B$44)&amp;IF(COUNTA($B$41:$B$44)=1," role"," roles")</f>
        <v>4 roles</v>
      </c>
      <c r="D40" s="1545" t="n"/>
      <c r="E40" s="1545" t="n"/>
      <c r="F40" s="1785">
        <f>SUM(F41:F44)</f>
        <v>806397.33</v>
      </c>
      <c r="G40" s="1785">
        <f>SUM(G41:G44)</f>
        <v>806397.33</v>
      </c>
    </row>
    <row r="41">
      <c r="B41" s="1530" t="str">
        <f>INDEX('REVIEW - Complete Role Mapping'!$B:$B,281)</f>
        <v>Carol Kuang</v>
      </c>
      <c r="C41" s="1530" t="str">
        <f>INDEX('REVIEW - Complete Role Mapping'!$C:$C,281)</f>
        <v>Senior Data Scientist</v>
      </c>
      <c r="D41" s="1530" t="str">
        <f>INDEX('REVIEW - Complete Role Mapping'!$AK:$AK,281)</f>
        <v>Filled</v>
      </c>
      <c r="E41" s="1547" t="inlineStr">
        <is>
          <t>Filled</t>
        </is>
      </c>
      <c r="F41" s="1773">
        <f>INDEX('REVIEW - Complete Role Mapping'!$AA:$AA,281)</f>
        <v>184871.28</v>
      </c>
      <c r="G41" s="1773">
        <f>$F41*IFERROR(INDEX(Lists!$AD:$AD,MATCH($E41,Lists!$AC:$AC,0)),1)</f>
        <v>184871.28</v>
      </c>
    </row>
    <row r="42">
      <c r="B42" s="1530" t="str">
        <f>INDEX('REVIEW - Complete Role Mapping'!$B:$B,295)</f>
        <v>Om Singh</v>
      </c>
      <c r="C42" s="1530" t="str">
        <f>INDEX('REVIEW - Complete Role Mapping'!$C:$C,295)</f>
        <v>Data Scientist</v>
      </c>
      <c r="D42" s="1530" t="str">
        <f>INDEX('REVIEW - Complete Role Mapping'!$AK:$AK,295)</f>
        <v>Filled</v>
      </c>
      <c r="E42" s="1547" t="inlineStr">
        <is>
          <t>Filled</t>
        </is>
      </c>
      <c r="F42" s="1773">
        <f>INDEX('REVIEW - Complete Role Mapping'!$AA:$AA,295)</f>
        <v>181470</v>
      </c>
      <c r="G42" s="1773">
        <f>$F42*IFERROR(INDEX(Lists!$AD:$AD,MATCH($E42,Lists!$AC:$AC,0)),1)</f>
        <v>181470</v>
      </c>
    </row>
    <row r="43">
      <c r="B43" s="1530" t="str">
        <f>INDEX('REVIEW - Complete Role Mapping'!$B:$B,296)</f>
        <v>Prashant Tataskar</v>
      </c>
      <c r="C43" s="1530" t="str">
        <f>INDEX('REVIEW - Complete Role Mapping'!$C:$C,296)</f>
        <v>Data Scientist</v>
      </c>
      <c r="D43" s="1530" t="str">
        <f>INDEX('REVIEW - Complete Role Mapping'!$AK:$AK,296)</f>
        <v>Filled</v>
      </c>
      <c r="E43" s="1547" t="inlineStr">
        <is>
          <t>Filled</t>
        </is>
      </c>
      <c r="F43" s="1773">
        <f>INDEX('REVIEW - Complete Role Mapping'!$AA:$AA,296)</f>
        <v>208473.6</v>
      </c>
      <c r="G43" s="1773">
        <f>$F43*IFERROR(INDEX(Lists!$AD:$AD,MATCH($E43,Lists!$AC:$AC,0)),1)</f>
        <v>208473.6</v>
      </c>
    </row>
    <row r="44">
      <c r="B44" s="1530" t="str">
        <f>INDEX('REVIEW - Complete Role Mapping'!$B:$B,332)</f>
        <v>Yu Chen</v>
      </c>
      <c r="C44" s="1530" t="str">
        <f>INDEX('REVIEW - Complete Role Mapping'!$C:$C,332)</f>
        <v>Senior Data Scientist</v>
      </c>
      <c r="D44" s="1530" t="str">
        <f>INDEX('REVIEW - Complete Role Mapping'!$AK:$AK,332)</f>
        <v>Filled</v>
      </c>
      <c r="E44" s="1547" t="inlineStr">
        <is>
          <t>Filled</t>
        </is>
      </c>
      <c r="F44" s="1773">
        <f>INDEX('REVIEW - Complete Role Mapping'!$AA:$AA,332)</f>
        <v>231582.45</v>
      </c>
      <c r="G44" s="1773">
        <f>$F44*IFERROR(INDEX(Lists!$AD:$AD,MATCH($E44,Lists!$AC:$AC,0)),1)</f>
        <v>231582.45</v>
      </c>
    </row>
    <row r="45">
      <c r="B45" s="1545" t="inlineStr">
        <is>
          <t>Reporting &amp; Analytics</t>
        </is>
      </c>
      <c r="C45" s="1545" t="str">
        <f>COUNTA($B$46:$B$57)&amp;IF(COUNTA($B$46:$B$57)=1," role"," roles")</f>
        <v>12 roles</v>
      </c>
      <c r="D45" s="1545" t="n"/>
      <c r="E45" s="1545" t="n"/>
      <c r="F45" s="1785">
        <f>SUM(F46:F57)</f>
        <v>2764811.7</v>
      </c>
      <c r="G45" s="1785">
        <f>SUM(G46:G57)</f>
        <v>2764811.7</v>
      </c>
    </row>
    <row r="46">
      <c r="B46" s="1530" t="str">
        <f>INDEX('REVIEW - Complete Role Mapping'!$B:$B,279)</f>
        <v>Abdul Ghaffar</v>
      </c>
      <c r="C46" s="1530" t="str">
        <f>INDEX('REVIEW - Complete Role Mapping'!$C:$C,279)</f>
        <v>Applications Specialist - Demand Planning</v>
      </c>
      <c r="D46" s="1530" t="str">
        <f>INDEX('REVIEW - Complete Role Mapping'!$AK:$AK,279)</f>
        <v>Filled</v>
      </c>
      <c r="E46" s="1547" t="inlineStr">
        <is>
          <t>Filled</t>
        </is>
      </c>
      <c r="F46" s="1773">
        <f>INDEX('REVIEW - Complete Role Mapping'!$AA:$AA,279)</f>
        <v>240300</v>
      </c>
      <c r="G46" s="1773">
        <f>$F46*IFERROR(INDEX(Lists!$AD:$AD,MATCH($E46,Lists!$AC:$AC,0)),1)</f>
        <v>240300</v>
      </c>
    </row>
    <row r="47">
      <c r="B47" s="1530" t="str">
        <f>INDEX('REVIEW - Complete Role Mapping'!$B:$B,280)</f>
        <v>Bobby Mason</v>
      </c>
      <c r="C47" s="1530" t="str">
        <f>INDEX('REVIEW - Complete Role Mapping'!$C:$C,280)</f>
        <v>Reporting Analyst</v>
      </c>
      <c r="D47" s="1530" t="str">
        <f>INDEX('REVIEW - Complete Role Mapping'!$AK:$AK,280)</f>
        <v>Filled</v>
      </c>
      <c r="E47" s="1547" t="inlineStr">
        <is>
          <t>Filled</t>
        </is>
      </c>
      <c r="F47" s="1773">
        <f>INDEX('REVIEW - Complete Role Mapping'!$AA:$AA,280)</f>
        <v>222357.6</v>
      </c>
      <c r="G47" s="1773">
        <f>$F47*IFERROR(INDEX(Lists!$AD:$AD,MATCH($E47,Lists!$AC:$AC,0)),1)</f>
        <v>222357.6</v>
      </c>
    </row>
    <row r="48">
      <c r="B48" s="1530" t="str">
        <f>INDEX('REVIEW - Complete Role Mapping'!$B:$B,290)</f>
        <v>Kina Birkby</v>
      </c>
      <c r="C48" s="1530" t="str">
        <f>INDEX('REVIEW - Complete Role Mapping'!$C:$C,290)</f>
        <v>Delivery Lead</v>
      </c>
      <c r="D48" s="1530" t="str">
        <f>INDEX('REVIEW - Complete Role Mapping'!$AK:$AK,290)</f>
        <v>Filled</v>
      </c>
      <c r="E48" s="1547" t="inlineStr">
        <is>
          <t>Filled</t>
        </is>
      </c>
      <c r="F48" s="1773">
        <f>INDEX('REVIEW - Complete Role Mapping'!$AA:$AA,290)</f>
        <v>263235.3</v>
      </c>
      <c r="G48" s="1773">
        <f>$F48*IFERROR(INDEX(Lists!$AD:$AD,MATCH($E48,Lists!$AC:$AC,0)),1)</f>
        <v>263235.3</v>
      </c>
    </row>
    <row r="49">
      <c r="B49" s="1530" t="str">
        <f>INDEX('REVIEW - Complete Role Mapping'!$B:$B,297)</f>
        <v>Prashanth Krishnankutty</v>
      </c>
      <c r="C49" s="1530" t="str">
        <f>INDEX('REVIEW - Complete Role Mapping'!$C:$C,297)</f>
        <v>Lead Reporting &amp; Insights</v>
      </c>
      <c r="D49" s="1530" t="str">
        <f>INDEX('REVIEW - Complete Role Mapping'!$AK:$AK,297)</f>
        <v>Filled</v>
      </c>
      <c r="E49" s="1547" t="inlineStr">
        <is>
          <t>Filled</t>
        </is>
      </c>
      <c r="F49" s="1773">
        <f>INDEX('REVIEW - Complete Role Mapping'!$AA:$AA,297)</f>
        <v>255372.15</v>
      </c>
      <c r="G49" s="1773">
        <f>$F49*IFERROR(INDEX(Lists!$AD:$AD,MATCH($E49,Lists!$AC:$AC,0)),1)</f>
        <v>255372.15</v>
      </c>
    </row>
    <row r="50">
      <c r="B50" s="1530" t="str">
        <f>INDEX('REVIEW - Complete Role Mapping'!$B:$B,298)</f>
        <v>Rakshit Kaul</v>
      </c>
      <c r="C50" s="1530" t="str">
        <f>INDEX('REVIEW - Complete Role Mapping'!$C:$C,298)</f>
        <v>Applications Specialist</v>
      </c>
      <c r="D50" s="1530" t="str">
        <f>INDEX('REVIEW - Complete Role Mapping'!$AK:$AK,298)</f>
        <v>Filled</v>
      </c>
      <c r="E50" s="1547" t="inlineStr">
        <is>
          <t>Filled</t>
        </is>
      </c>
      <c r="F50" s="1773">
        <f>INDEX('REVIEW - Complete Role Mapping'!$AA:$AA,298)</f>
        <v>237763.5</v>
      </c>
      <c r="G50" s="1773">
        <f>$F50*IFERROR(INDEX(Lists!$AD:$AD,MATCH($E50,Lists!$AC:$AC,0)),1)</f>
        <v>237763.5</v>
      </c>
    </row>
    <row r="51">
      <c r="B51" s="1530" t="str">
        <f>INDEX('REVIEW - Complete Role Mapping'!$B:$B,308)</f>
        <v>Sai Konka</v>
      </c>
      <c r="C51" s="1530" t="str">
        <f>INDEX('REVIEW - Complete Role Mapping'!$C:$C,308)</f>
        <v>Application &amp; Analytics Manager</v>
      </c>
      <c r="D51" s="1530" t="str">
        <f>INDEX('REVIEW - Complete Role Mapping'!$AK:$AK,308)</f>
        <v>Filled</v>
      </c>
      <c r="E51" s="1547" t="inlineStr">
        <is>
          <t>Filled</t>
        </is>
      </c>
      <c r="F51" s="1773">
        <f>INDEX('REVIEW - Complete Role Mapping'!$AA:$AA,308)</f>
        <v>263635.8</v>
      </c>
      <c r="G51" s="1773">
        <f>$F51*IFERROR(INDEX(Lists!$AD:$AD,MATCH($E51,Lists!$AC:$AC,0)),1)</f>
        <v>263635.8</v>
      </c>
    </row>
    <row r="52">
      <c r="B52" s="1530" t="str">
        <f>INDEX('REVIEW - Complete Role Mapping'!$B:$B,310)</f>
        <v>Steve Murray</v>
      </c>
      <c r="C52" s="1530" t="str">
        <f>INDEX('REVIEW - Complete Role Mapping'!$C:$C,310)</f>
        <v>Applications Specialist</v>
      </c>
      <c r="D52" s="1530" t="str">
        <f>INDEX('REVIEW - Complete Role Mapping'!$AK:$AK,310)</f>
        <v>Filled</v>
      </c>
      <c r="E52" s="1547" t="inlineStr">
        <is>
          <t>Filled</t>
        </is>
      </c>
      <c r="F52" s="1773">
        <f>INDEX('REVIEW - Complete Role Mapping'!$AA:$AA,310)</f>
        <v>242970</v>
      </c>
      <c r="G52" s="1773">
        <f>$F52*IFERROR(INDEX(Lists!$AD:$AD,MATCH($E52,Lists!$AC:$AC,0)),1)</f>
        <v>242970</v>
      </c>
    </row>
    <row r="53">
      <c r="B53" s="1530" t="str">
        <f>INDEX('REVIEW - Complete Role Mapping'!$B:$B,311)</f>
        <v>Sumathi Manikkampichai</v>
      </c>
      <c r="C53" s="1530" t="str">
        <f>INDEX('REVIEW - Complete Role Mapping'!$C:$C,311)</f>
        <v>Data Architect</v>
      </c>
      <c r="D53" s="1530" t="str">
        <f>INDEX('REVIEW - Complete Role Mapping'!$AK:$AK,311)</f>
        <v>Filled</v>
      </c>
      <c r="E53" s="1547" t="inlineStr">
        <is>
          <t>Filled</t>
        </is>
      </c>
      <c r="F53" s="1773">
        <f>INDEX('REVIEW - Complete Role Mapping'!$AA:$AA,311)</f>
        <v>250993.35</v>
      </c>
      <c r="G53" s="1773">
        <f>$F53*IFERROR(INDEX(Lists!$AD:$AD,MATCH($E53,Lists!$AC:$AC,0)),1)</f>
        <v>250993.35</v>
      </c>
    </row>
    <row r="54">
      <c r="B54" s="1530" t="str">
        <f>INDEX('REVIEW - Complete Role Mapping'!$B:$B,318)</f>
        <v>Vacant</v>
      </c>
      <c r="C54" s="1530" t="str">
        <f>INDEX('REVIEW - Complete Role Mapping'!$C:$C,318)</f>
        <v>Business Analyst</v>
      </c>
      <c r="D54" s="1530" t="str">
        <f>INDEX('REVIEW - Complete Role Mapping'!$AK:$AK,318)</f>
        <v>Vacant</v>
      </c>
      <c r="E54" s="1547" t="inlineStr">
        <is>
          <t>Hire</t>
        </is>
      </c>
      <c r="F54" s="1773">
        <f>INDEX('REVIEW - Complete Role Mapping'!$AA:$AA,318)</f>
        <v>202853.25</v>
      </c>
      <c r="G54" s="1773">
        <f>$F54*IFERROR(INDEX(Lists!$AD:$AD,MATCH($E54,Lists!$AC:$AC,0)),1)</f>
        <v>202853.25</v>
      </c>
    </row>
    <row r="55">
      <c r="B55" s="1530" t="str">
        <f>INDEX('REVIEW - Complete Role Mapping'!$B:$B,329)</f>
        <v>Vacant</v>
      </c>
      <c r="C55" s="1530" t="str">
        <f>INDEX('REVIEW - Complete Role Mapping'!$C:$C,329)</f>
        <v>Applications Specialist - Strategic Programs</v>
      </c>
      <c r="D55" s="1530" t="str">
        <f>INDEX('REVIEW - Complete Role Mapping'!$AK:$AK,329)</f>
        <v>Vacant</v>
      </c>
      <c r="E55" s="1547" t="inlineStr">
        <is>
          <t>Hire</t>
        </is>
      </c>
      <c r="F55" s="1773">
        <f>INDEX('REVIEW - Complete Role Mapping'!$AA:$AA,329)</f>
        <v>202853.25</v>
      </c>
      <c r="G55" s="1773">
        <f>$F55*IFERROR(INDEX(Lists!$AD:$AD,MATCH($E55,Lists!$AC:$AC,0)),1)</f>
        <v>202853.25</v>
      </c>
    </row>
    <row r="56">
      <c r="B56" s="1530" t="str">
        <f>INDEX('REVIEW - Complete Role Mapping'!$B:$B,330)</f>
        <v>Vacant</v>
      </c>
      <c r="C56" s="1530" t="str">
        <f>INDEX('REVIEW - Complete Role Mapping'!$C:$C,330)</f>
        <v>Reporting analysts - Strategic Programs</v>
      </c>
      <c r="D56" s="1530" t="str">
        <f>INDEX('REVIEW - Complete Role Mapping'!$AK:$AK,330)</f>
        <v>Vacant</v>
      </c>
      <c r="E56" s="1547" t="inlineStr">
        <is>
          <t>Hire</t>
        </is>
      </c>
      <c r="F56" s="1773">
        <f>INDEX('REVIEW - Complete Role Mapping'!$AA:$AA,330)</f>
        <v>202853.25</v>
      </c>
      <c r="G56" s="1773">
        <f>$F56*IFERROR(INDEX(Lists!$AD:$AD,MATCH($E56,Lists!$AC:$AC,0)),1)</f>
        <v>202853.25</v>
      </c>
    </row>
    <row r="57">
      <c r="B57" s="1530" t="str">
        <f>INDEX('REVIEW - Complete Role Mapping'!$B:$B,331)</f>
        <v>Vincent Lu</v>
      </c>
      <c r="C57" s="1530" t="str">
        <f>INDEX('REVIEW - Complete Role Mapping'!$C:$C,331)</f>
        <v>Reporting Analyst</v>
      </c>
      <c r="D57" s="1530" t="str">
        <f>INDEX('REVIEW - Complete Role Mapping'!$AK:$AK,331)</f>
        <v>Filled</v>
      </c>
      <c r="E57" s="1547" t="inlineStr">
        <is>
          <t>Filled</t>
        </is>
      </c>
      <c r="F57" s="1773">
        <f>INDEX('REVIEW - Complete Role Mapping'!$AA:$AA,331)</f>
        <v>179624.25</v>
      </c>
      <c r="G57" s="1773">
        <f>$F57*IFERROR(INDEX(Lists!$AD:$AD,MATCH($E57,Lists!$AC:$AC,0)),1)</f>
        <v>179624.25</v>
      </c>
    </row>
    <row r="58">
      <c r="B58" s="1545" t="inlineStr">
        <is>
          <t>Head of Technology</t>
        </is>
      </c>
      <c r="C58" s="1545" t="str">
        <f>COUNTA($B$59:$B$59)&amp;IF(COUNTA($B$59:$B$59)=1," role"," roles")</f>
        <v>1 role</v>
      </c>
      <c r="D58" s="1545" t="n"/>
      <c r="E58" s="1545" t="n"/>
      <c r="F58" s="1785">
        <f>SUM(F59:F59)</f>
        <v>409755.7</v>
      </c>
      <c r="G58" s="1785">
        <f>SUM(G59:G59)</f>
        <v>409755.7</v>
      </c>
    </row>
    <row r="59">
      <c r="B59" s="1530" t="str">
        <f>INDEX('REVIEW - Complete Role Mapping'!$B:$B,285)</f>
        <v>James Holgate</v>
      </c>
      <c r="C59" s="1530" t="str">
        <f>INDEX('REVIEW - Complete Role Mapping'!$C:$C,285)</f>
        <v>Head of Technology,  Group Data</v>
      </c>
      <c r="D59" s="1530" t="str">
        <f>INDEX('REVIEW - Complete Role Mapping'!$AK:$AK,285)</f>
        <v>Filled</v>
      </c>
      <c r="E59" s="1547" t="inlineStr">
        <is>
          <t>Filled</t>
        </is>
      </c>
      <c r="F59" s="1773">
        <f>INDEX('REVIEW - Complete Role Mapping'!$AA:$AA,285)</f>
        <v>409755.7</v>
      </c>
      <c r="G59" s="1773">
        <f>$F59*IFERROR(INDEX(Lists!$AD:$AD,MATCH($E59,Lists!$AC:$AC,0)),1)</f>
        <v>409755.7</v>
      </c>
    </row>
    <row r="60">
      <c r="B60" s="1545" t="inlineStr">
        <is>
          <t>Technology Manager</t>
        </is>
      </c>
      <c r="C60" s="1545" t="str">
        <f>COUNTA($B$61:$B$62)&amp;IF(COUNTA($B$61:$B$62)=1," role"," roles")</f>
        <v>2 roles</v>
      </c>
      <c r="D60" s="1545" t="n"/>
      <c r="E60" s="1545" t="n"/>
      <c r="F60" s="1785">
        <f>SUM(F61:F62)</f>
        <v>651278.75</v>
      </c>
      <c r="G60" s="1785">
        <f>SUM(G61:G62)</f>
        <v>651278.75</v>
      </c>
    </row>
    <row r="61">
      <c r="B61" s="1530" t="str">
        <f>INDEX('REVIEW - Complete Role Mapping'!$B:$B,286)</f>
        <v>Jason Gleason</v>
      </c>
      <c r="C61" s="1530" t="str">
        <f>INDEX('REVIEW - Complete Role Mapping'!$C:$C,286)</f>
        <v>Technology Manager, Data Engineering &amp; Platforms</v>
      </c>
      <c r="D61" s="1530" t="str">
        <f>INDEX('REVIEW - Complete Role Mapping'!$AK:$AK,286)</f>
        <v>Filled</v>
      </c>
      <c r="E61" s="1547" t="inlineStr">
        <is>
          <t>Filled</t>
        </is>
      </c>
      <c r="F61" s="1773">
        <f>INDEX('REVIEW - Complete Role Mapping'!$AA:$AA,286)</f>
        <v>320862</v>
      </c>
      <c r="G61" s="1773">
        <f>$F61*IFERROR(INDEX(Lists!$AD:$AD,MATCH($E61,Lists!$AC:$AC,0)),1)</f>
        <v>320862</v>
      </c>
    </row>
    <row r="62">
      <c r="B62" s="1530" t="str">
        <f>INDEX('REVIEW - Complete Role Mapping'!$B:$B,289)</f>
        <v>Jonathan Robinson</v>
      </c>
      <c r="C62" s="1530" t="str">
        <f>INDEX('REVIEW - Complete Role Mapping'!$C:$C,289)</f>
        <v>Technology Manager  Data Science</v>
      </c>
      <c r="D62" s="1530" t="str">
        <f>INDEX('REVIEW - Complete Role Mapping'!$AK:$AK,289)</f>
        <v>Filled</v>
      </c>
      <c r="E62" s="1547" t="inlineStr">
        <is>
          <t>Filled</t>
        </is>
      </c>
      <c r="F62" s="1773">
        <f>INDEX('REVIEW - Complete Role Mapping'!$AA:$AA,289)</f>
        <v>330416.75</v>
      </c>
      <c r="G62" s="1773">
        <f>$F62*IFERROR(INDEX(Lists!$AD:$AD,MATCH($E62,Lists!$AC:$AC,0)),1)</f>
        <v>330416.75</v>
      </c>
    </row>
  </sheetData>
  <dataValidations count="1">
    <dataValidation sqref="E31 E32 E33 E34 E35 E36 E37 E38 E39 E41 E42 E43 E44 E46 E47 E48 E49 E50 E51 E52 E53 E54 E55 E56 E57 E59 E61 E6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5"/>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Cloud, Network &amp; Infra Ops</t>
        </is>
      </c>
      <c r="C7" s="1530" t="str">
        <f>IFERROR(INDEX('1.4 TDD Group Functions'!$C$19:$C$31,MATCH($B7,'1.4 TDD Group Functions'!$B$19:$B$31,0)),"Not on the 1.x tab")</f>
        <v>Operations</v>
      </c>
      <c r="D7" s="1530" t="str">
        <f>IFERROR(IF(INDEX('1.4 TDD Group Functions'!$D$19:$D$31,MATCH($B7,'1.4 TDD Group Functions'!$B$19:$B$31,0))="","-",INDEX('1.4 TDD Group Functions'!$D$19:$D$31,MATCH($B7,'1.4 TDD Group Functions'!$B$19:$B$31,0))),"-")</f>
        <v>M</v>
      </c>
      <c r="E7" s="1782">
        <f>IFERROR(INDEX('0.3 Squad Archetypes'!$F$5:$F$23,MATCH($C7&amp;"|"&amp;$D7,'0.3 Squad Archetypes'!$A$5:$A$23,0)),"-")</f>
        <v>6</v>
      </c>
      <c r="F7" s="1773">
        <f>COUNTA($B$33:$B$44)</f>
        <v>12</v>
      </c>
      <c r="G7" s="1773">
        <f>COUNTIFS($D$33:$D$44,"Filled")</f>
        <v>11</v>
      </c>
      <c r="H7" s="1773">
        <f>COUNTIFS($D$33:$D$44,"Vacant")</f>
        <v>1</v>
      </c>
      <c r="I7" s="1773">
        <f>COUNTIFS($D$33:$D$44,"Vacant",$E$33:$E$44,"Hire")</f>
        <v>1</v>
      </c>
      <c r="J7" s="1773">
        <f>COUNTIFS($E$33:$E$44,"Offshore")</f>
        <v>0</v>
      </c>
      <c r="K7" s="1773">
        <f>COUNTIFS($E$33:$E$44,"Hold")</f>
        <v>0</v>
      </c>
      <c r="L7" s="1773">
        <f>$F7-$K7</f>
        <v>12</v>
      </c>
      <c r="M7" s="1772">
        <f>IFERROR(IF(INDEX('1.4 TDD Group Functions'!$E$19:$E$31,MATCH($B7,'1.4 TDD Group Functions'!$B$19:$B$31,0))="Offshore",INDEX('0.3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2.8267209564</v>
      </c>
      <c r="O7" s="1772">
        <f>IFERROR(ROUND($N7-$M7,6),"-")</f>
        <v>1.426721</v>
      </c>
      <c r="P7" s="1772">
        <f>SUM($G$33:$G$44)/1000000</f>
        <v>2.8267209564</v>
      </c>
      <c r="Q7" s="1772">
        <f>IFERROR(ROUND($P7-$M7,6),"-")</f>
        <v>1.426721</v>
      </c>
    </row>
    <row r="8">
      <c r="B8" s="1530" t="inlineStr">
        <is>
          <t>DevOps &amp; QE</t>
        </is>
      </c>
      <c r="C8" s="1530" t="str">
        <f>IFERROR(INDEX('1.4 TDD Group Functions'!$C$19:$C$31,MATCH($B8,'1.4 TDD Group Functions'!$B$19:$B$31,0)),"Not on the 1.x tab")</f>
        <v>Engineering</v>
      </c>
      <c r="D8" s="1530" t="str">
        <f>IFERROR(IF(INDEX('1.4 TDD Group Functions'!$D$19:$D$31,MATCH($B8,'1.4 TDD Group Functions'!$B$19:$B$31,0))="","-",INDEX('1.4 TDD Group Functions'!$D$19:$D$31,MATCH($B8,'1.4 TDD Group Functions'!$B$19:$B$31,0))),"-")</f>
        <v>S</v>
      </c>
      <c r="E8" s="1782">
        <f>IFERROR(INDEX('0.3 Squad Archetypes'!$F$5:$F$23,MATCH($C8&amp;"|"&amp;$D8,'0.3 Squad Archetypes'!$A$5:$A$23,0)),"-")</f>
        <v>4.5</v>
      </c>
      <c r="F8" s="1773">
        <f>COUNTA($B$46:$B$53)</f>
        <v>8</v>
      </c>
      <c r="G8" s="1773">
        <f>COUNTIFS($D$46:$D$53,"Filled")</f>
        <v>4</v>
      </c>
      <c r="H8" s="1773">
        <f>COUNTIFS($D$46:$D$53,"Vacant")</f>
        <v>4</v>
      </c>
      <c r="I8" s="1773">
        <f>COUNTIFS($D$46:$D$53,"Vacant",$E$46:$E$53,"Hire")</f>
        <v>4</v>
      </c>
      <c r="J8" s="1773">
        <f>COUNTIFS($E$46:$E$53,"Offshore")</f>
        <v>0</v>
      </c>
      <c r="K8" s="1773">
        <f>COUNTIFS($E$46:$E$53,"Hold")</f>
        <v>0</v>
      </c>
      <c r="L8" s="1773">
        <f>$F8-$K8</f>
        <v>8</v>
      </c>
      <c r="M8" s="1772">
        <f>IFERROR(IF(INDEX('1.4 TDD Group Functions'!$E$19:$E$31,MATCH($B8,'1.4 TDD Group Functions'!$B$19:$B$31,0))="Offshore",INDEX('0.3 Squad Archetypes'!$H$5:$H$23,MATCH($C8&amp;"|"&amp;$D8,'0.3 Squad Archetypes'!$A$5:$A$23,0)),INDEX('0.3 Squad Archetypes'!$G$5:$G$23,MATCH($C8&amp;"|"&amp;$D8,'0.3 Squad Archetypes'!$A$5:$A$23,0))),"-")</f>
        <v>0.8</v>
      </c>
      <c r="N8" s="1772">
        <f>SUMIFS('REVIEW - Complete Role Mapping'!$AA$2:$AA$528,'REVIEW - Complete Role Mapping'!$AJ$2:$AJ$528,$C$3,'REVIEW - Complete Role Mapping'!$AT$2:$AT$528,$B8)/1000000</f>
        <v>1.581591798</v>
      </c>
      <c r="O8" s="1772">
        <f>IFERROR(ROUND($N8-$M8,6),"-")</f>
        <v>0.781592</v>
      </c>
      <c r="P8" s="1772">
        <f>SUM($G$46:$G$53)/1000000</f>
        <v>1.581591798</v>
      </c>
      <c r="Q8" s="1772">
        <f>IFERROR(ROUND($P8-$M8,6),"-")</f>
        <v>0.781592</v>
      </c>
    </row>
    <row r="9">
      <c r="B9" s="1530" t="inlineStr">
        <is>
          <t>Integration &amp; Process Automation</t>
        </is>
      </c>
      <c r="C9" s="1530" t="str">
        <f>IFERROR(INDEX('1.4 TDD Group Functions'!$C$19:$C$31,MATCH($B9,'1.4 TDD Group Functions'!$B$19:$B$31,0)),"Not on the 1.x tab")</f>
        <v>Configuration / Integration</v>
      </c>
      <c r="D9" s="1530" t="str">
        <f>IFERROR(IF(INDEX('1.4 TDD Group Functions'!$D$19:$D$31,MATCH($B9,'1.4 TDD Group Functions'!$B$19:$B$31,0))="","-",INDEX('1.4 TDD Group Functions'!$D$19:$D$31,MATCH($B9,'1.4 TDD Group Functions'!$B$19:$B$31,0))),"-")</f>
        <v>M</v>
      </c>
      <c r="E9" s="1782">
        <f>IFERROR(INDEX('0.3 Squad Archetypes'!$F$5:$F$23,MATCH($C9&amp;"|"&amp;$D9,'0.3 Squad Archetypes'!$A$5:$A$23,0)),"-")</f>
        <v>9</v>
      </c>
      <c r="F9" s="1773">
        <f>COUNTA($B$60:$B$69)</f>
        <v>10</v>
      </c>
      <c r="G9" s="1773">
        <f>COUNTIFS($D$60:$D$69,"Filled")</f>
        <v>8</v>
      </c>
      <c r="H9" s="1773">
        <f>COUNTIFS($D$60:$D$69,"Vacant")</f>
        <v>2</v>
      </c>
      <c r="I9" s="1773">
        <f>COUNTIFS($D$60:$D$69,"Vacant",$E$60:$E$69,"Hire")</f>
        <v>2</v>
      </c>
      <c r="J9" s="1773">
        <f>COUNTIFS($E$60:$E$69,"Offshore")</f>
        <v>0</v>
      </c>
      <c r="K9" s="1773">
        <f>COUNTIFS($E$60:$E$69,"Hold")</f>
        <v>0</v>
      </c>
      <c r="L9" s="1773">
        <f>$F9-$K9</f>
        <v>10</v>
      </c>
      <c r="M9" s="1772">
        <f>IFERROR(IF(INDEX('1.4 TDD Group Functions'!$E$19:$E$31,MATCH($B9,'1.4 TDD Group Functions'!$B$19:$B$31,0))="Offshore",INDEX('0.3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1.815247746</v>
      </c>
      <c r="O9" s="1772">
        <f>IFERROR(ROUND($N9-$M9,6),"-")</f>
        <v>-0.284752</v>
      </c>
      <c r="P9" s="1772">
        <f>SUM($G$60:$G$69)/1000000</f>
        <v>1.815247746</v>
      </c>
      <c r="Q9" s="1772">
        <f>IFERROR(ROUND($P9-$M9,6),"-")</f>
        <v>-0.284752</v>
      </c>
    </row>
    <row r="10">
      <c r="B10" s="1530" t="inlineStr">
        <is>
          <t>Workplace &amp; Enterprise Tooling</t>
        </is>
      </c>
      <c r="C10" s="1530" t="str">
        <f>IFERROR(INDEX('1.4 TDD Group Functions'!$C$19:$C$31,MATCH($B10,'1.4 TDD Group Functions'!$B$19:$B$31,0)),"Not on the 1.x tab")</f>
        <v>Configuration / Integration</v>
      </c>
      <c r="D10" s="1530" t="str">
        <f>IFERROR(IF(INDEX('1.4 TDD Group Functions'!$D$19:$D$31,MATCH($B10,'1.4 TDD Group Functions'!$B$19:$B$31,0))="","-",INDEX('1.4 TDD Group Functions'!$D$19:$D$31,MATCH($B10,'1.4 TDD Group Functions'!$B$19:$B$31,0))),"-")</f>
        <v>S</v>
      </c>
      <c r="E10" s="1782">
        <f>IFERROR(INDEX('0.3 Squad Archetypes'!$F$5:$F$23,MATCH($C10&amp;"|"&amp;$D10,'0.3 Squad Archetypes'!$A$5:$A$23,0)),"-")</f>
        <v>6</v>
      </c>
      <c r="F10" s="1773">
        <f>COUNTA($B$71:$B$76)</f>
        <v>6</v>
      </c>
      <c r="G10" s="1773">
        <f>COUNTIFS($D$71:$D$76,"Filled")</f>
        <v>4</v>
      </c>
      <c r="H10" s="1773">
        <f>COUNTIFS($D$71:$D$76,"Vacant")</f>
        <v>2</v>
      </c>
      <c r="I10" s="1773">
        <f>COUNTIFS($D$71:$D$76,"Vacant",$E$71:$E$76,"Hire")</f>
        <v>2</v>
      </c>
      <c r="J10" s="1773">
        <f>COUNTIFS($E$71:$E$76,"Offshore")</f>
        <v>0</v>
      </c>
      <c r="K10" s="1773">
        <f>COUNTIFS($E$71:$E$76,"Hold")</f>
        <v>0</v>
      </c>
      <c r="L10" s="1773">
        <f>$F10-$K10</f>
        <v>6</v>
      </c>
      <c r="M10" s="1772">
        <f>IFERROR(IF(INDEX('1.4 TDD Group Functions'!$E$19:$E$31,MATCH($B10,'1.4 TDD Group Functions'!$B$19:$B$31,0))="Offshore",INDEX('0.3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1.117329222</v>
      </c>
      <c r="O10" s="1772">
        <f>IFERROR(ROUND($N10-$M10,6),"-")</f>
        <v>-0.282671</v>
      </c>
      <c r="P10" s="1772">
        <f>SUM($G$71:$G$76)/1000000</f>
        <v>1.117329222</v>
      </c>
      <c r="Q10" s="1772">
        <f>IFERROR(ROUND($P10-$M10,6),"-")</f>
        <v>-0.282671</v>
      </c>
    </row>
    <row r="11">
      <c r="B11" s="1534" t="inlineStr">
        <is>
          <t>Squads priced by an archetype</t>
        </is>
      </c>
      <c r="C11" s="1534" t="n"/>
      <c r="D11" s="1534" t="n"/>
      <c r="E11" s="1783">
        <f>SUM(E7:E10)</f>
        <v>25.5</v>
      </c>
      <c r="F11" s="1775">
        <f>SUM(F7:F10)</f>
        <v>36</v>
      </c>
      <c r="G11" s="1775">
        <f>SUM(G7:G10)</f>
        <v>27</v>
      </c>
      <c r="H11" s="1775">
        <f>SUM(H7:H10)</f>
        <v>9</v>
      </c>
      <c r="I11" s="1775">
        <f>SUM(I7:I10)</f>
        <v>9</v>
      </c>
      <c r="J11" s="1775">
        <f>SUM(J7:J10)</f>
        <v>0</v>
      </c>
      <c r="K11" s="1775">
        <f>SUM(K7:K10)</f>
        <v>0</v>
      </c>
      <c r="L11" s="1775">
        <f>SUM(L7:L10)</f>
        <v>36</v>
      </c>
      <c r="M11" s="1774">
        <f>SUM(M7:M10)</f>
        <v>5.7</v>
      </c>
      <c r="N11" s="1774">
        <f>SUM(N7:N10)</f>
        <v>7.3408897224</v>
      </c>
      <c r="O11" s="1774">
        <f>SUM(O7:O10)</f>
        <v>1.64089</v>
      </c>
      <c r="P11" s="1774">
        <f>SUM(P7:P10)</f>
        <v>7.3408897224</v>
      </c>
      <c r="Q11" s="1774">
        <f>SUM(Q7:Q10)</f>
        <v>1.64089</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EGI TDD</t>
        </is>
      </c>
      <c r="C15" s="1530" t="str">
        <f>IFERROR(INDEX('1.4 TDD Group Functions'!$C$19:$C$31,MATCH($B15,'1.4 TDD Group Functions'!$B$19:$B$31,0)),"Not on the 1.x tab")</f>
        <v>Strategic Programs</v>
      </c>
      <c r="D15" s="1530" t="str">
        <f>IFERROR(IF(INDEX('1.4 TDD Group Functions'!$D$19:$D$31,MATCH($B15,'1.4 TDD Group Functions'!$B$19:$B$31,0))="","-",INDEX('1.4 TDD Group Functions'!$D$19:$D$31,MATCH($B15,'1.4 TDD Group Functions'!$B$19:$B$31,0))),"-")</f>
        <v>-</v>
      </c>
      <c r="E15" s="1782" t="str">
        <f>"-"</f>
        <v>-</v>
      </c>
      <c r="F15" s="1773">
        <f>COUNTA($B$55:$B$58)</f>
        <v>4</v>
      </c>
      <c r="G15" s="1773">
        <f>COUNTIFS($D$55:$D$58,"Filled")</f>
        <v>4</v>
      </c>
      <c r="H15" s="1773">
        <f>COUNTIFS($D$55:$D$58,"Vacant")</f>
        <v>0</v>
      </c>
      <c r="I15" s="1773">
        <f>COUNTIFS($D$55:$D$58,"Vacant",$E$55:$E$58,"Hire")</f>
        <v>0</v>
      </c>
      <c r="J15" s="1773">
        <f>COUNTIFS($E$55:$E$58,"Offshore")</f>
        <v>0</v>
      </c>
      <c r="K15" s="1773">
        <f>COUNTIFS($E$55:$E$58,"Hold")</f>
        <v>0</v>
      </c>
      <c r="L15" s="1773">
        <f>$F15-$K15</f>
        <v>4</v>
      </c>
      <c r="M15" s="1772">
        <f>$N15</f>
        <v>1.02484851</v>
      </c>
      <c r="N15" s="1772">
        <f>SUMIFS('REVIEW - Complete Role Mapping'!$AA$2:$AA$528,'REVIEW - Complete Role Mapping'!$AJ$2:$AJ$528,$C$3,'REVIEW - Complete Role Mapping'!$AT$2:$AT$528,$B15)/1000000</f>
        <v>1.02484851</v>
      </c>
      <c r="O15" s="1772">
        <f>IFERROR(ROUND($N15-$M15,6),"-")</f>
        <v>0</v>
      </c>
      <c r="P15" s="1772">
        <f>SUM($G$55:$G$58)/1000000</f>
        <v>1.02484851</v>
      </c>
      <c r="Q15" s="1772">
        <f>IFERROR(ROUND($P15-$M15,6),"-")</f>
        <v>0</v>
      </c>
    </row>
    <row r="16">
      <c r="B16" s="1534" t="inlineStr">
        <is>
          <t>Directly funded total</t>
        </is>
      </c>
      <c r="C16" s="1534" t="n"/>
      <c r="D16" s="1534" t="n"/>
      <c r="E16" s="1783">
        <f>SUM(E15:E15)</f>
        <v>0</v>
      </c>
      <c r="F16" s="1775">
        <f>SUM(F15:F15)</f>
        <v>4</v>
      </c>
      <c r="G16" s="1775">
        <f>SUM(G15:G15)</f>
        <v>4</v>
      </c>
      <c r="H16" s="1775">
        <f>SUM(H15:H15)</f>
        <v>0</v>
      </c>
      <c r="I16" s="1775">
        <f>SUM(I15:I15)</f>
        <v>0</v>
      </c>
      <c r="J16" s="1775">
        <f>SUM(J15:J15)</f>
        <v>0</v>
      </c>
      <c r="K16" s="1775">
        <f>SUM(K15:K15)</f>
        <v>0</v>
      </c>
      <c r="L16" s="1775">
        <f>SUM(L15:L15)</f>
        <v>4</v>
      </c>
      <c r="M16" s="1774">
        <f>SUM(M15:M15)</f>
        <v>1.02484851</v>
      </c>
      <c r="N16" s="1774">
        <f>SUM(N15:N15)</f>
        <v>1.02484851</v>
      </c>
      <c r="O16" s="1774">
        <f>SUM(O15:O15)</f>
        <v>0</v>
      </c>
      <c r="P16" s="1774">
        <f>SUM(P15:P15)</f>
        <v>1.02484851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COUNTA($B$78:$B$78)</f>
        <v>1</v>
      </c>
      <c r="G20" s="1773">
        <f>COUNTIFS($D$78:$D$78,"Filled")</f>
        <v>0</v>
      </c>
      <c r="H20" s="1773">
        <f>COUNTIFS($D$78:$D$78,"Vacant")</f>
        <v>1</v>
      </c>
      <c r="I20" s="1773">
        <f>COUNTIFS($D$78:$D$78,"Vacant",$E$78:$E$78,"Hire")</f>
        <v>1</v>
      </c>
      <c r="J20" s="1773">
        <f>COUNTIFS($E$78:$E$78,"Offshore")</f>
        <v>0</v>
      </c>
      <c r="K20" s="1773">
        <f>COUNTIFS($E$78:$E$78,"Hold")</f>
        <v>0</v>
      </c>
      <c r="L20" s="1773">
        <f>$F20-$K20</f>
        <v>1</v>
      </c>
      <c r="M20" s="1538" t="str">
        <f>"-"</f>
        <v>-</v>
      </c>
      <c r="N20" s="1772">
        <f>SUMIFS('REVIEW - Complete Role Mapping'!$AA$2:$AA$528,'REVIEW - Complete Role Mapping'!$AJ$2:$AJ$528,$C$3,'REVIEW - Complete Role Mapping'!$AT$2:$AT$528,$B20)/1000000</f>
        <v>0.33302025</v>
      </c>
      <c r="O20" s="1538" t="str">
        <f>"-"</f>
        <v>-</v>
      </c>
      <c r="P20" s="1772">
        <f>SUM($G$78:$G$78)/1000000</f>
        <v>0.33302025</v>
      </c>
      <c r="Q20" s="1538" t="str">
        <f>"-"</f>
        <v>-</v>
      </c>
    </row>
    <row r="21">
      <c r="B21" s="1530" t="inlineStr">
        <is>
          <t>Delivery Manager</t>
        </is>
      </c>
      <c r="C21" s="1530" t="str">
        <f>"-"</f>
        <v>-</v>
      </c>
      <c r="D21" s="1530" t="str">
        <f>"-"</f>
        <v>-</v>
      </c>
      <c r="E21" s="1538" t="str">
        <f>"-"</f>
        <v>-</v>
      </c>
      <c r="F21" s="1773">
        <f>COUNTA($B$80:$B$80)</f>
        <v>1</v>
      </c>
      <c r="G21" s="1773">
        <f>COUNTIFS($D$80:$D$80,"Filled")</f>
        <v>0</v>
      </c>
      <c r="H21" s="1773">
        <f>COUNTIFS($D$80:$D$80,"Vacant")</f>
        <v>1</v>
      </c>
      <c r="I21" s="1773">
        <f>COUNTIFS($D$80:$D$80,"Vacant",$E$80:$E$80,"Hire")</f>
        <v>1</v>
      </c>
      <c r="J21" s="1773">
        <f>COUNTIFS($E$80:$E$80,"Offshore")</f>
        <v>0</v>
      </c>
      <c r="K21" s="1773">
        <f>COUNTIFS($E$80:$E$80,"Hold")</f>
        <v>0</v>
      </c>
      <c r="L21" s="1773">
        <f>$F21-$K21</f>
        <v>1</v>
      </c>
      <c r="M21" s="1538" t="str">
        <f>"-"</f>
        <v>-</v>
      </c>
      <c r="N21" s="1772">
        <f>SUMIFS('REVIEW - Complete Role Mapping'!$AA$2:$AA$528,'REVIEW - Complete Role Mapping'!$AJ$2:$AJ$528,$C$3,'REVIEW - Complete Role Mapping'!$AT$2:$AT$528,$B21)/1000000</f>
        <v>0.27581025</v>
      </c>
      <c r="O21" s="1538" t="str">
        <f>"-"</f>
        <v>-</v>
      </c>
      <c r="P21" s="1772">
        <f>SUM($G$80:$G$80)/1000000</f>
        <v>0.27581025</v>
      </c>
      <c r="Q21" s="1538" t="str">
        <f>"-"</f>
        <v>-</v>
      </c>
    </row>
    <row r="22">
      <c r="B22" s="1530" t="inlineStr">
        <is>
          <t>Technology Manager</t>
        </is>
      </c>
      <c r="C22" s="1530" t="str">
        <f>"-"</f>
        <v>-</v>
      </c>
      <c r="D22" s="1530" t="str">
        <f>"-"</f>
        <v>-</v>
      </c>
      <c r="E22" s="1538" t="str">
        <f>"-"</f>
        <v>-</v>
      </c>
      <c r="F22" s="1773">
        <f>COUNTA($B$82:$B$85)</f>
        <v>4</v>
      </c>
      <c r="G22" s="1773">
        <f>COUNTIFS($D$82:$D$85,"Filled")</f>
        <v>1</v>
      </c>
      <c r="H22" s="1773">
        <f>COUNTIFS($D$82:$D$85,"Vacant")</f>
        <v>3</v>
      </c>
      <c r="I22" s="1773">
        <f>COUNTIFS($D$82:$D$85,"Vacant",$E$82:$E$85,"Hire")</f>
        <v>3</v>
      </c>
      <c r="J22" s="1773">
        <f>COUNTIFS($E$82:$E$85,"Offshore")</f>
        <v>0</v>
      </c>
      <c r="K22" s="1773">
        <f>COUNTIFS($E$82:$E$85,"Hold")</f>
        <v>0</v>
      </c>
      <c r="L22" s="1773">
        <f>$F22-$K22</f>
        <v>4</v>
      </c>
      <c r="M22" s="1538" t="str">
        <f>"-"</f>
        <v>-</v>
      </c>
      <c r="N22" s="1772">
        <f>SUMIFS('REVIEW - Complete Role Mapping'!$AA$2:$AA$528,'REVIEW - Complete Role Mapping'!$AJ$2:$AJ$528,$C$3,'REVIEW - Complete Role Mapping'!$AT$2:$AT$528,$B22)/1000000</f>
        <v>1.05666075</v>
      </c>
      <c r="O22" s="1538" t="str">
        <f>"-"</f>
        <v>-</v>
      </c>
      <c r="P22" s="1772">
        <f>SUM($G$82:$G$85)/1000000</f>
        <v>1.05666075</v>
      </c>
      <c r="Q22" s="1538" t="str">
        <f>"-"</f>
        <v>-</v>
      </c>
    </row>
    <row r="23">
      <c r="B23" s="1534" t="inlineStr">
        <is>
          <t>Overhead roles total</t>
        </is>
      </c>
      <c r="C23" s="1534" t="n"/>
      <c r="D23" s="1534" t="n"/>
      <c r="E23" s="1783">
        <f>SUM(E20:E22)</f>
        <v>0</v>
      </c>
      <c r="F23" s="1775">
        <f>SUM(F20:F22)</f>
        <v>6</v>
      </c>
      <c r="G23" s="1775">
        <f>SUM(G20:G22)</f>
        <v>1</v>
      </c>
      <c r="H23" s="1775">
        <f>SUM(H20:H22)</f>
        <v>5</v>
      </c>
      <c r="I23" s="1775">
        <f>SUM(I20:I22)</f>
        <v>5</v>
      </c>
      <c r="J23" s="1775">
        <f>SUM(J20:J22)</f>
        <v>0</v>
      </c>
      <c r="K23" s="1775">
        <f>SUM(K20:K22)</f>
        <v>0</v>
      </c>
      <c r="L23" s="1775">
        <f>SUM(L20:L22)</f>
        <v>6</v>
      </c>
      <c r="M23" s="1774">
        <f>SUM(M20:M22)</f>
        <v>0</v>
      </c>
      <c r="N23" s="1774">
        <f>SUM(N20:N22)</f>
        <v>1.66549125</v>
      </c>
      <c r="O23" s="1774">
        <f>SUM(O20:O22)</f>
        <v>0</v>
      </c>
      <c r="P23" s="1774">
        <f>SUM(P20:P22)</f>
        <v>1.66549125</v>
      </c>
      <c r="Q23" s="1774">
        <f>SUM(Q20:Q22)</f>
        <v>0</v>
      </c>
    </row>
    <row r="24"/>
    <row r="25">
      <c r="B25" s="1539" t="inlineStr">
        <is>
          <t>Total portfolio</t>
        </is>
      </c>
      <c r="C25" s="1539" t="n"/>
      <c r="D25" s="1539" t="n"/>
      <c r="E25" s="1784">
        <f>N(E11)+N(E16)+N(E23)</f>
        <v>25.5</v>
      </c>
      <c r="F25" s="1777">
        <f>N(F11)+N(F16)+N(F23)</f>
        <v>46</v>
      </c>
      <c r="G25" s="1777">
        <f>N(G11)+N(G16)+N(G23)</f>
        <v>32</v>
      </c>
      <c r="H25" s="1777">
        <f>N(H11)+N(H16)+N(H23)</f>
        <v>14</v>
      </c>
      <c r="I25" s="1777">
        <f>N(I11)+N(I16)+N(I23)</f>
        <v>14</v>
      </c>
      <c r="J25" s="1777">
        <f>N(J11)+N(J16)+N(J23)</f>
        <v>0</v>
      </c>
      <c r="K25" s="1777">
        <f>N(K11)+N(K16)+N(K23)</f>
        <v>0</v>
      </c>
      <c r="L25" s="1777">
        <f>N(L11)+N(L16)+N(L23)</f>
        <v>46</v>
      </c>
      <c r="M25" s="1776">
        <f>N(M11)+N(M16)+N(M23)</f>
        <v>6.72484851</v>
      </c>
      <c r="N25" s="1776">
        <f>N(N11)+N(N16)+N(N23)</f>
        <v>10.0312294824</v>
      </c>
      <c r="O25" s="1776">
        <f>N(O11)+N(O16)+N(O23)</f>
        <v>1.64089</v>
      </c>
      <c r="P25" s="1776">
        <f>N(P11)+N(P16)+N(P23)</f>
        <v>10.0312294824</v>
      </c>
      <c r="Q25" s="1776">
        <f>N(Q11)+N(Q16)+N(Q23)</f>
        <v>1.64089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TDD Group Functions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Cloud, Network &amp; Infra Ops</t>
        </is>
      </c>
      <c r="C32" s="1545" t="str">
        <f>COUNTA($B$33:$B$44)&amp;IF(COUNTA($B$33:$B$44)=1," role"," roles")</f>
        <v>12 roles</v>
      </c>
      <c r="D32" s="1545" t="n"/>
      <c r="E32" s="1545" t="n"/>
      <c r="F32" s="1785">
        <f>SUM(F33:F44)</f>
        <v>2826720.9564</v>
      </c>
      <c r="G32" s="1785">
        <f>SUM(G33:G44)</f>
        <v>2826720.9564</v>
      </c>
    </row>
    <row r="33">
      <c r="B33" s="1530" t="str">
        <f>INDEX('REVIEW - Complete Role Mapping'!$B:$B,468)</f>
        <v>C K Lau</v>
      </c>
      <c r="C33" s="1530" t="str">
        <f>INDEX('REVIEW - Complete Role Mapping'!$C:$C,468)</f>
        <v>Delivery Lead (Cloud &amp; Network)</v>
      </c>
      <c r="D33" s="1530" t="str">
        <f>INDEX('REVIEW - Complete Role Mapping'!$AK:$AK,468)</f>
        <v>Filled</v>
      </c>
      <c r="E33" s="1547" t="inlineStr">
        <is>
          <t>Filled</t>
        </is>
      </c>
      <c r="F33" s="1773">
        <f>INDEX('REVIEW - Complete Role Mapping'!$AA:$AA,468)</f>
        <v>249164.4</v>
      </c>
      <c r="G33" s="1773">
        <f>$F33*IFERROR(INDEX(Lists!$AD:$AD,MATCH($E33,Lists!$AC:$AC,0)),1)</f>
        <v>249164.4</v>
      </c>
    </row>
    <row r="34">
      <c r="B34" s="1530" t="str">
        <f>INDEX('REVIEW - Complete Role Mapping'!$B:$B,469)</f>
        <v>Fan Zhang</v>
      </c>
      <c r="C34" s="1530" t="str">
        <f>INDEX('REVIEW - Complete Role Mapping'!$C:$C,469)</f>
        <v>Infrastructure Engineer</v>
      </c>
      <c r="D34" s="1530" t="str">
        <f>INDEX('REVIEW - Complete Role Mapping'!$AK:$AK,469)</f>
        <v>Filled</v>
      </c>
      <c r="E34" s="1547" t="inlineStr">
        <is>
          <t>Filled</t>
        </is>
      </c>
      <c r="F34" s="1773">
        <f>INDEX('REVIEW - Complete Role Mapping'!$AA:$AA,469)</f>
        <v>133812.3564</v>
      </c>
      <c r="G34" s="1773">
        <f>$F34*IFERROR(INDEX(Lists!$AD:$AD,MATCH($E34,Lists!$AC:$AC,0)),1)</f>
        <v>133812.3564</v>
      </c>
    </row>
    <row r="35">
      <c r="B35" s="1530" t="str">
        <f>INDEX('REVIEW - Complete Role Mapping'!$B:$B,470)</f>
        <v>Jason Satoso</v>
      </c>
      <c r="C35" s="1530" t="str">
        <f>INDEX('REVIEW - Complete Role Mapping'!$C:$C,470)</f>
        <v>Cloud Operations Engineer</v>
      </c>
      <c r="D35" s="1530" t="str">
        <f>INDEX('REVIEW - Complete Role Mapping'!$AK:$AK,470)</f>
        <v>Filled</v>
      </c>
      <c r="E35" s="1547" t="inlineStr">
        <is>
          <t>Filled</t>
        </is>
      </c>
      <c r="F35" s="1773">
        <f>INDEX('REVIEW - Complete Role Mapping'!$AA:$AA,470)</f>
        <v>206190.75</v>
      </c>
      <c r="G35" s="1773">
        <f>$F35*IFERROR(INDEX(Lists!$AD:$AD,MATCH($E35,Lists!$AC:$AC,0)),1)</f>
        <v>206190.75</v>
      </c>
    </row>
    <row r="36">
      <c r="B36" s="1530" t="str">
        <f>INDEX('REVIEW - Complete Role Mapping'!$B:$B,471)</f>
        <v>John McCormack</v>
      </c>
      <c r="C36" s="1530" t="str">
        <f>INDEX('REVIEW - Complete Role Mapping'!$C:$C,471)</f>
        <v>Manager - Infrastructure Operations</v>
      </c>
      <c r="D36" s="1530" t="str">
        <f>INDEX('REVIEW - Complete Role Mapping'!$AK:$AK,471)</f>
        <v>Filled</v>
      </c>
      <c r="E36" s="1547" t="inlineStr">
        <is>
          <t>Filled</t>
        </is>
      </c>
      <c r="F36" s="1773">
        <f>INDEX('REVIEW - Complete Role Mapping'!$AA:$AA,471)</f>
        <v>246494.4</v>
      </c>
      <c r="G36" s="1773">
        <f>$F36*IFERROR(INDEX(Lists!$AD:$AD,MATCH($E36,Lists!$AC:$AC,0)),1)</f>
        <v>246494.4</v>
      </c>
    </row>
    <row r="37">
      <c r="B37" s="1530" t="str">
        <f>INDEX('REVIEW - Complete Role Mapping'!$B:$B,472)</f>
        <v>Muhammad Abubaker</v>
      </c>
      <c r="C37" s="1530" t="str">
        <f>INDEX('REVIEW - Complete Role Mapping'!$C:$C,472)</f>
        <v>Network Operations Engineer</v>
      </c>
      <c r="D37" s="1530" t="str">
        <f>INDEX('REVIEW - Complete Role Mapping'!$AK:$AK,472)</f>
        <v>Filled</v>
      </c>
      <c r="E37" s="1547" t="inlineStr">
        <is>
          <t>Filled</t>
        </is>
      </c>
      <c r="F37" s="1773">
        <f>INDEX('REVIEW - Complete Role Mapping'!$AA:$AA,472)</f>
        <v>217658.4</v>
      </c>
      <c r="G37" s="1773">
        <f>$F37*IFERROR(INDEX(Lists!$AD:$AD,MATCH($E37,Lists!$AC:$AC,0)),1)</f>
        <v>217658.4</v>
      </c>
    </row>
    <row r="38">
      <c r="B38" s="1530" t="str">
        <f>INDEX('REVIEW - Complete Role Mapping'!$B:$B,473)</f>
        <v>Ring fenced selection</v>
      </c>
      <c r="C38" s="1530" t="str">
        <f>INDEX('REVIEW - Complete Role Mapping'!$C:$C,473)</f>
        <v>Cloud Solutions Architect</v>
      </c>
      <c r="D38" s="1530" t="str">
        <f>INDEX('REVIEW - Complete Role Mapping'!$AK:$AK,473)</f>
        <v>Filled</v>
      </c>
      <c r="E38" s="1547" t="inlineStr">
        <is>
          <t>Filled</t>
        </is>
      </c>
      <c r="F38" s="1773">
        <f>INDEX('REVIEW - Complete Role Mapping'!$AA:$AA,473)</f>
        <v>267000</v>
      </c>
      <c r="G38" s="1773">
        <f>$F38*IFERROR(INDEX(Lists!$AD:$AD,MATCH($E38,Lists!$AC:$AC,0)),1)</f>
        <v>267000</v>
      </c>
    </row>
    <row r="39">
      <c r="B39" s="1530" t="str">
        <f>INDEX('REVIEW - Complete Role Mapping'!$B:$B,474)</f>
        <v>Ring fenced selection</v>
      </c>
      <c r="C39" s="1530" t="str">
        <f>INDEX('REVIEW - Complete Role Mapping'!$C:$C,474)</f>
        <v>Cloud Solutions Architect</v>
      </c>
      <c r="D39" s="1530" t="str">
        <f>INDEX('REVIEW - Complete Role Mapping'!$AK:$AK,474)</f>
        <v>Filled</v>
      </c>
      <c r="E39" s="1547" t="inlineStr">
        <is>
          <t>Filled</t>
        </is>
      </c>
      <c r="F39" s="1773">
        <f>INDEX('REVIEW - Complete Role Mapping'!$AA:$AA,474)</f>
        <v>267000</v>
      </c>
      <c r="G39" s="1773">
        <f>$F39*IFERROR(INDEX(Lists!$AD:$AD,MATCH($E39,Lists!$AC:$AC,0)),1)</f>
        <v>267000</v>
      </c>
    </row>
    <row r="40">
      <c r="B40" s="1530" t="str">
        <f>INDEX('REVIEW - Complete Role Mapping'!$B:$B,475)</f>
        <v>Ring fenced selection</v>
      </c>
      <c r="C40" s="1530" t="str">
        <f>INDEX('REVIEW - Complete Role Mapping'!$C:$C,475)</f>
        <v>Cloud Solutions Architect</v>
      </c>
      <c r="D40" s="1530" t="str">
        <f>INDEX('REVIEW - Complete Role Mapping'!$AK:$AK,475)</f>
        <v>Filled</v>
      </c>
      <c r="E40" s="1547" t="inlineStr">
        <is>
          <t>Filled</t>
        </is>
      </c>
      <c r="F40" s="1773">
        <f>INDEX('REVIEW - Complete Role Mapping'!$AA:$AA,475)</f>
        <v>267000</v>
      </c>
      <c r="G40" s="1773">
        <f>$F40*IFERROR(INDEX(Lists!$AD:$AD,MATCH($E40,Lists!$AC:$AC,0)),1)</f>
        <v>267000</v>
      </c>
    </row>
    <row r="41">
      <c r="B41" s="1530" t="str">
        <f>INDEX('REVIEW - Complete Role Mapping'!$B:$B,476)</f>
        <v>Ring fenced selection</v>
      </c>
      <c r="C41" s="1530" t="str">
        <f>INDEX('REVIEW - Complete Role Mapping'!$C:$C,476)</f>
        <v>Cloud Solutions Architect</v>
      </c>
      <c r="D41" s="1530" t="str">
        <f>INDEX('REVIEW - Complete Role Mapping'!$AK:$AK,476)</f>
        <v>Filled</v>
      </c>
      <c r="E41" s="1547" t="inlineStr">
        <is>
          <t>Filled</t>
        </is>
      </c>
      <c r="F41" s="1773">
        <f>INDEX('REVIEW - Complete Role Mapping'!$AA:$AA,476)</f>
        <v>267000</v>
      </c>
      <c r="G41" s="1773">
        <f>$F41*IFERROR(INDEX(Lists!$AD:$AD,MATCH($E41,Lists!$AC:$AC,0)),1)</f>
        <v>267000</v>
      </c>
    </row>
    <row r="42">
      <c r="B42" s="1530" t="str">
        <f>INDEX('REVIEW - Complete Role Mapping'!$B:$B,477)</f>
        <v>Satish Chowdhary</v>
      </c>
      <c r="C42" s="1530" t="str">
        <f>INDEX('REVIEW - Complete Role Mapping'!$C:$C,477)</f>
        <v>Nework Architect</v>
      </c>
      <c r="D42" s="1530" t="str">
        <f>INDEX('REVIEW - Complete Role Mapping'!$AK:$AK,477)</f>
        <v>Filled</v>
      </c>
      <c r="E42" s="1547" t="inlineStr">
        <is>
          <t>Filled</t>
        </is>
      </c>
      <c r="F42" s="1773">
        <f>INDEX('REVIEW - Complete Role Mapping'!$AA:$AA,477)</f>
        <v>259123.5</v>
      </c>
      <c r="G42" s="1773">
        <f>$F42*IFERROR(INDEX(Lists!$AD:$AD,MATCH($E42,Lists!$AC:$AC,0)),1)</f>
        <v>259123.5</v>
      </c>
    </row>
    <row r="43">
      <c r="B43" s="1530" t="str">
        <f>INDEX('REVIEW - Complete Role Mapping'!$B:$B,478)</f>
        <v>Steven Yong</v>
      </c>
      <c r="C43" s="1530" t="str">
        <f>INDEX('REVIEW - Complete Role Mapping'!$C:$C,478)</f>
        <v>Nework Architect</v>
      </c>
      <c r="D43" s="1530" t="str">
        <f>INDEX('REVIEW - Complete Role Mapping'!$AK:$AK,478)</f>
        <v>Filled</v>
      </c>
      <c r="E43" s="1547" t="inlineStr">
        <is>
          <t>Filled</t>
        </is>
      </c>
      <c r="F43" s="1773">
        <f>INDEX('REVIEW - Complete Role Mapping'!$AA:$AA,478)</f>
        <v>243423.9</v>
      </c>
      <c r="G43" s="1773">
        <f>$F43*IFERROR(INDEX(Lists!$AD:$AD,MATCH($E43,Lists!$AC:$AC,0)),1)</f>
        <v>243423.9</v>
      </c>
    </row>
    <row r="44">
      <c r="B44" s="1530" t="str">
        <f>INDEX('REVIEW - Complete Role Mapping'!$B:$B,513)</f>
        <v>Vacant</v>
      </c>
      <c r="C44" s="1530" t="str">
        <f>INDEX('REVIEW - Complete Role Mapping'!$C:$C,513)</f>
        <v>Infrastructure Operations Lead</v>
      </c>
      <c r="D44" s="1530" t="str">
        <f>INDEX('REVIEW - Complete Role Mapping'!$AK:$AK,513)</f>
        <v>Vacant</v>
      </c>
      <c r="E44" s="1547" t="inlineStr">
        <is>
          <t>Hire</t>
        </is>
      </c>
      <c r="F44" s="1773">
        <f>INDEX('REVIEW - Complete Role Mapping'!$AA:$AA,513)</f>
        <v>202853.25</v>
      </c>
      <c r="G44" s="1773">
        <f>$F44*IFERROR(INDEX(Lists!$AD:$AD,MATCH($E44,Lists!$AC:$AC,0)),1)</f>
        <v>202853.25</v>
      </c>
    </row>
    <row r="45">
      <c r="B45" s="1545" t="inlineStr">
        <is>
          <t>DevOps &amp; QE</t>
        </is>
      </c>
      <c r="C45" s="1545" t="str">
        <f>COUNTA($B$46:$B$53)&amp;IF(COUNTA($B$46:$B$53)=1," role"," roles")</f>
        <v>8 roles</v>
      </c>
      <c r="D45" s="1545" t="n"/>
      <c r="E45" s="1545" t="n"/>
      <c r="F45" s="1785">
        <f>SUM(F46:F53)</f>
        <v>1581591.798</v>
      </c>
      <c r="G45" s="1785">
        <f>SUM(G46:G53)</f>
        <v>1581591.798</v>
      </c>
    </row>
    <row r="46">
      <c r="B46" s="1530" t="str">
        <f>INDEX('REVIEW - Complete Role Mapping'!$B:$B,479)</f>
        <v>Lucas Wang</v>
      </c>
      <c r="C46" s="1530" t="str">
        <f>INDEX('REVIEW - Complete Role Mapping'!$C:$C,479)</f>
        <v>Senior Engineer (Automation Test)</v>
      </c>
      <c r="D46" s="1530" t="str">
        <f>INDEX('REVIEW - Complete Role Mapping'!$AK:$AK,479)</f>
        <v>Filled</v>
      </c>
      <c r="E46" s="1547" t="inlineStr">
        <is>
          <t>Filled</t>
        </is>
      </c>
      <c r="F46" s="1773">
        <f>INDEX('REVIEW - Complete Role Mapping'!$AA:$AA,479)</f>
        <v>194522.85</v>
      </c>
      <c r="G46" s="1773">
        <f>$F46*IFERROR(INDEX(Lists!$AD:$AD,MATCH($E46,Lists!$AC:$AC,0)),1)</f>
        <v>194522.85</v>
      </c>
    </row>
    <row r="47">
      <c r="B47" s="1530" t="str">
        <f>INDEX('REVIEW - Complete Role Mapping'!$B:$B,480)</f>
        <v>Luke Hamer</v>
      </c>
      <c r="C47" s="1530" t="str">
        <f>INDEX('REVIEW - Complete Role Mapping'!$C:$C,480)</f>
        <v>Lead Engineer - Devops</v>
      </c>
      <c r="D47" s="1530" t="str">
        <f>INDEX('REVIEW - Complete Role Mapping'!$AK:$AK,480)</f>
        <v>Filled</v>
      </c>
      <c r="E47" s="1547" t="inlineStr">
        <is>
          <t>Filled</t>
        </is>
      </c>
      <c r="F47" s="1773">
        <f>INDEX('REVIEW - Complete Role Mapping'!$AA:$AA,480)</f>
        <v>183060.72</v>
      </c>
      <c r="G47" s="1773">
        <f>$F47*IFERROR(INDEX(Lists!$AD:$AD,MATCH($E47,Lists!$AC:$AC,0)),1)</f>
        <v>183060.72</v>
      </c>
    </row>
    <row r="48">
      <c r="B48" s="1530" t="str">
        <f>INDEX('REVIEW - Complete Role Mapping'!$B:$B,481)</f>
        <v>Mike Lealamanu</v>
      </c>
      <c r="C48" s="1530" t="str">
        <f>INDEX('REVIEW - Complete Role Mapping'!$C:$C,481)</f>
        <v>Quality Assurance</v>
      </c>
      <c r="D48" s="1530" t="str">
        <f>INDEX('REVIEW - Complete Role Mapping'!$AK:$AK,481)</f>
        <v>Filled</v>
      </c>
      <c r="E48" s="1547" t="inlineStr">
        <is>
          <t>Filled</t>
        </is>
      </c>
      <c r="F48" s="1773">
        <f>INDEX('REVIEW - Complete Role Mapping'!$AA:$AA,481)</f>
        <v>133983.228</v>
      </c>
      <c r="G48" s="1773">
        <f>$F48*IFERROR(INDEX(Lists!$AD:$AD,MATCH($E48,Lists!$AC:$AC,0)),1)</f>
        <v>133983.228</v>
      </c>
    </row>
    <row r="49">
      <c r="B49" s="1530" t="str">
        <f>INDEX('REVIEW - Complete Role Mapping'!$B:$B,482)</f>
        <v>Sunny Arya</v>
      </c>
      <c r="C49" s="1530" t="str">
        <f>INDEX('REVIEW - Complete Role Mapping'!$C:$C,482)</f>
        <v>Lead Engineer, Devops</v>
      </c>
      <c r="D49" s="1530" t="str">
        <f>INDEX('REVIEW - Complete Role Mapping'!$AK:$AK,482)</f>
        <v>Filled</v>
      </c>
      <c r="E49" s="1547" t="inlineStr">
        <is>
          <t>Filled</t>
        </is>
      </c>
      <c r="F49" s="1773">
        <f>INDEX('REVIEW - Complete Role Mapping'!$AA:$AA,482)</f>
        <v>200940</v>
      </c>
      <c r="G49" s="1773">
        <f>$F49*IFERROR(INDEX(Lists!$AD:$AD,MATCH($E49,Lists!$AC:$AC,0)),1)</f>
        <v>200940</v>
      </c>
    </row>
    <row r="50">
      <c r="B50" s="1530" t="str">
        <f>INDEX('REVIEW - Complete Role Mapping'!$B:$B,515)</f>
        <v>Vacant</v>
      </c>
      <c r="C50" s="1530" t="str">
        <f>INDEX('REVIEW - Complete Role Mapping'!$C:$C,515)</f>
        <v>Senior Engineer (Automation Test)</v>
      </c>
      <c r="D50" s="1530" t="str">
        <f>INDEX('REVIEW - Complete Role Mapping'!$AK:$AK,515)</f>
        <v>Vacant</v>
      </c>
      <c r="E50" s="1547" t="inlineStr">
        <is>
          <t>Hire</t>
        </is>
      </c>
      <c r="F50" s="1773">
        <f>INDEX('REVIEW - Complete Role Mapping'!$AA:$AA,515)</f>
        <v>202853.25</v>
      </c>
      <c r="G50" s="1773">
        <f>$F50*IFERROR(INDEX(Lists!$AD:$AD,MATCH($E50,Lists!$AC:$AC,0)),1)</f>
        <v>202853.25</v>
      </c>
    </row>
    <row r="51">
      <c r="B51" s="1530" t="str">
        <f>INDEX('REVIEW - Complete Role Mapping'!$B:$B,520)</f>
        <v>Vacant</v>
      </c>
      <c r="C51" s="1530" t="str">
        <f>INDEX('REVIEW - Complete Role Mapping'!$C:$C,520)</f>
        <v>Environments and Test Data Manager</v>
      </c>
      <c r="D51" s="1530" t="str">
        <f>INDEX('REVIEW - Complete Role Mapping'!$AK:$AK,520)</f>
        <v>Vacant</v>
      </c>
      <c r="E51" s="1547" t="inlineStr">
        <is>
          <t>Hire</t>
        </is>
      </c>
      <c r="F51" s="1773">
        <f>INDEX('REVIEW - Complete Role Mapping'!$AA:$AA,520)</f>
        <v>202853.25</v>
      </c>
      <c r="G51" s="1773">
        <f>$F51*IFERROR(INDEX(Lists!$AD:$AD,MATCH($E51,Lists!$AC:$AC,0)),1)</f>
        <v>202853.25</v>
      </c>
    </row>
    <row r="52">
      <c r="B52" s="1530" t="str">
        <f>INDEX('REVIEW - Complete Role Mapping'!$B:$B,521)</f>
        <v>Vacant</v>
      </c>
      <c r="C52" s="1530" t="str">
        <f>INDEX('REVIEW - Complete Role Mapping'!$C:$C,521)</f>
        <v>Lead Engineer (Automation Test)</v>
      </c>
      <c r="D52" s="1530" t="str">
        <f>INDEX('REVIEW - Complete Role Mapping'!$AK:$AK,521)</f>
        <v>Vacant</v>
      </c>
      <c r="E52" s="1547" t="inlineStr">
        <is>
          <t>Hire</t>
        </is>
      </c>
      <c r="F52" s="1773">
        <f>INDEX('REVIEW - Complete Role Mapping'!$AA:$AA,521)</f>
        <v>231689.25</v>
      </c>
      <c r="G52" s="1773">
        <f>$F52*IFERROR(INDEX(Lists!$AD:$AD,MATCH($E52,Lists!$AC:$AC,0)),1)</f>
        <v>231689.25</v>
      </c>
    </row>
    <row r="53">
      <c r="B53" s="1530" t="str">
        <f>INDEX('REVIEW - Complete Role Mapping'!$B:$B,522)</f>
        <v>Vacant</v>
      </c>
      <c r="C53" s="1530" t="str">
        <f>INDEX('REVIEW - Complete Role Mapping'!$C:$C,522)</f>
        <v>Lead Engineer Software</v>
      </c>
      <c r="D53" s="1530" t="str">
        <f>INDEX('REVIEW - Complete Role Mapping'!$AK:$AK,522)</f>
        <v>Vacant</v>
      </c>
      <c r="E53" s="1547" t="inlineStr">
        <is>
          <t>Hire</t>
        </is>
      </c>
      <c r="F53" s="1773">
        <f>INDEX('REVIEW - Complete Role Mapping'!$AA:$AA,522)</f>
        <v>231689.25</v>
      </c>
      <c r="G53" s="1773">
        <f>$F53*IFERROR(INDEX(Lists!$AD:$AD,MATCH($E53,Lists!$AC:$AC,0)),1)</f>
        <v>231689.25</v>
      </c>
    </row>
    <row r="54">
      <c r="B54" s="1545" t="inlineStr">
        <is>
          <t>EGI TDD</t>
        </is>
      </c>
      <c r="C54" s="1545" t="str">
        <f>COUNTA($B$55:$B$58)&amp;IF(COUNTA($B$55:$B$58)=1," role"," roles")</f>
        <v>4 roles</v>
      </c>
      <c r="D54" s="1545" t="n"/>
      <c r="E54" s="1545" t="n"/>
      <c r="F54" s="1785">
        <f>SUM(F55:F58)</f>
        <v>1024848.51</v>
      </c>
      <c r="G54" s="1785">
        <f>SUM(G55:G58)</f>
        <v>1024848.51</v>
      </c>
    </row>
    <row r="55">
      <c r="B55" s="1530" t="str">
        <f>INDEX('REVIEW - Complete Role Mapping'!$B:$B,449)</f>
        <v>Anjali Patra</v>
      </c>
      <c r="C55" s="1530" t="str">
        <f>INDEX('REVIEW - Complete Role Mapping'!$C:$C,449)</f>
        <v>Delivery Lead - EGI</v>
      </c>
      <c r="D55" s="1530" t="str">
        <f>INDEX('REVIEW - Complete Role Mapping'!$AK:$AK,449)</f>
        <v>Filled</v>
      </c>
      <c r="E55" s="1547" t="inlineStr">
        <is>
          <t>Filled</t>
        </is>
      </c>
      <c r="F55" s="1773">
        <f>INDEX('REVIEW - Complete Role Mapping'!$AA:$AA,449)</f>
        <v>210996.75</v>
      </c>
      <c r="G55" s="1773">
        <f>$F55*IFERROR(INDEX(Lists!$AD:$AD,MATCH($E55,Lists!$AC:$AC,0)),1)</f>
        <v>210996.75</v>
      </c>
    </row>
    <row r="56">
      <c r="B56" s="1530" t="str">
        <f>INDEX('REVIEW - Complete Role Mapping'!$B:$B,450)</f>
        <v>Arun Tahlan</v>
      </c>
      <c r="C56" s="1530" t="str">
        <f>INDEX('REVIEW - Complete Role Mapping'!$C:$C,450)</f>
        <v>Integration Architect (C) - Boomi</v>
      </c>
      <c r="D56" s="1530" t="str">
        <f>INDEX('REVIEW - Complete Role Mapping'!$AK:$AK,450)</f>
        <v>Filled</v>
      </c>
      <c r="E56" s="1547" t="inlineStr">
        <is>
          <t>Filled</t>
        </is>
      </c>
      <c r="F56" s="1773">
        <f>INDEX('REVIEW - Complete Role Mapping'!$AA:$AA,450)</f>
        <v>348096</v>
      </c>
      <c r="G56" s="1773">
        <f>$F56*IFERROR(INDEX(Lists!$AD:$AD,MATCH($E56,Lists!$AC:$AC,0)),1)</f>
        <v>348096</v>
      </c>
    </row>
    <row r="57">
      <c r="B57" s="1530" t="str">
        <f>INDEX('REVIEW - Complete Role Mapping'!$B:$B,451)</f>
        <v>Shobhit Mittal</v>
      </c>
      <c r="C57" s="1530" t="str">
        <f>INDEX('REVIEW - Complete Role Mapping'!$C:$C,451)</f>
        <v>Lead Engineer - Automation Test</v>
      </c>
      <c r="D57" s="1530" t="str">
        <f>INDEX('REVIEW - Complete Role Mapping'!$AK:$AK,451)</f>
        <v>Filled</v>
      </c>
      <c r="E57" s="1547" t="inlineStr">
        <is>
          <t>Filled</t>
        </is>
      </c>
      <c r="F57" s="1773">
        <f>INDEX('REVIEW - Complete Role Mapping'!$AA:$AA,451)</f>
        <v>199355.76</v>
      </c>
      <c r="G57" s="1773">
        <f>$F57*IFERROR(INDEX(Lists!$AD:$AD,MATCH($E57,Lists!$AC:$AC,0)),1)</f>
        <v>199355.76</v>
      </c>
    </row>
    <row r="58">
      <c r="B58" s="1530" t="str">
        <f>INDEX('REVIEW - Complete Role Mapping'!$B:$B,452)</f>
        <v>Kris Thornley</v>
      </c>
      <c r="C58" s="1530" t="str">
        <f>INDEX('REVIEW - Complete Role Mapping'!$C:$C,452)</f>
        <v>Integration Architect (C)</v>
      </c>
      <c r="D58" s="1530" t="str">
        <f>INDEX('REVIEW - Complete Role Mapping'!$AK:$AK,452)</f>
        <v>Filled</v>
      </c>
      <c r="E58" s="1547" t="inlineStr">
        <is>
          <t>Filled</t>
        </is>
      </c>
      <c r="F58" s="1773">
        <f>INDEX('REVIEW - Complete Role Mapping'!$AA:$AA,452)</f>
        <v>266400</v>
      </c>
      <c r="G58" s="1773">
        <f>$F58*IFERROR(INDEX(Lists!$AD:$AD,MATCH($E58,Lists!$AC:$AC,0)),1)</f>
        <v>266400</v>
      </c>
    </row>
    <row r="59">
      <c r="B59" s="1545" t="inlineStr">
        <is>
          <t>Integration &amp; Process Automation</t>
        </is>
      </c>
      <c r="C59" s="1545" t="str">
        <f>COUNTA($B$60:$B$69)&amp;IF(COUNTA($B$60:$B$69)=1," role"," roles")</f>
        <v>10 roles</v>
      </c>
      <c r="D59" s="1545" t="n"/>
      <c r="E59" s="1545" t="n"/>
      <c r="F59" s="1785">
        <f>SUM(F60:F69)</f>
        <v>1815247.746</v>
      </c>
      <c r="G59" s="1785">
        <f>SUM(G60:G69)</f>
        <v>1815247.746</v>
      </c>
    </row>
    <row r="60">
      <c r="B60" s="1530" t="str">
        <f>INDEX('REVIEW - Complete Role Mapping'!$B:$B,483)</f>
        <v>Archana Chetiwal</v>
      </c>
      <c r="C60" s="1530" t="str">
        <f>INDEX('REVIEW - Complete Role Mapping'!$C:$C,483)</f>
        <v>Snr Engineer</v>
      </c>
      <c r="D60" s="1530" t="str">
        <f>INDEX('REVIEW - Complete Role Mapping'!$AK:$AK,483)</f>
        <v>Filled</v>
      </c>
      <c r="E60" s="1547" t="inlineStr">
        <is>
          <t>Filled</t>
        </is>
      </c>
      <c r="F60" s="1773">
        <f>INDEX('REVIEW - Complete Role Mapping'!$AA:$AA,483)</f>
        <v>186900</v>
      </c>
      <c r="G60" s="1773">
        <f>$F60*IFERROR(INDEX(Lists!$AD:$AD,MATCH($E60,Lists!$AC:$AC,0)),1)</f>
        <v>186900</v>
      </c>
    </row>
    <row r="61">
      <c r="B61" s="1530" t="str">
        <f>INDEX('REVIEW - Complete Role Mapping'!$B:$B,484)</f>
        <v>Bala Thiruvadi</v>
      </c>
      <c r="C61" s="1530" t="str">
        <f>INDEX('REVIEW - Complete Role Mapping'!$C:$C,484)</f>
        <v>Integration Architect - Boomi</v>
      </c>
      <c r="D61" s="1530" t="str">
        <f>INDEX('REVIEW - Complete Role Mapping'!$AK:$AK,484)</f>
        <v>Filled</v>
      </c>
      <c r="E61" s="1547" t="inlineStr">
        <is>
          <t>Filled</t>
        </is>
      </c>
      <c r="F61" s="1773">
        <f>INDEX('REVIEW - Complete Role Mapping'!$AA:$AA,484)</f>
        <v>271902.12</v>
      </c>
      <c r="G61" s="1773">
        <f>$F61*IFERROR(INDEX(Lists!$AD:$AD,MATCH($E61,Lists!$AC:$AC,0)),1)</f>
        <v>271902.12</v>
      </c>
    </row>
    <row r="62">
      <c r="B62" s="1530" t="str">
        <f>INDEX('REVIEW - Complete Role Mapping'!$B:$B,485)</f>
        <v>Joel Krijnen</v>
      </c>
      <c r="C62" s="1530" t="str">
        <f>INDEX('REVIEW - Complete Role Mapping'!$C:$C,485)</f>
        <v>Lead Engineer Software</v>
      </c>
      <c r="D62" s="1530" t="str">
        <f>INDEX('REVIEW - Complete Role Mapping'!$AK:$AK,485)</f>
        <v>Filled</v>
      </c>
      <c r="E62" s="1547" t="inlineStr">
        <is>
          <t>Filled</t>
        </is>
      </c>
      <c r="F62" s="1773">
        <f>INDEX('REVIEW - Complete Role Mapping'!$AA:$AA,485)</f>
        <v>178115.628</v>
      </c>
      <c r="G62" s="1773">
        <f>$F62*IFERROR(INDEX(Lists!$AD:$AD,MATCH($E62,Lists!$AC:$AC,0)),1)</f>
        <v>178115.628</v>
      </c>
    </row>
    <row r="63">
      <c r="B63" s="1530" t="str">
        <f>INDEX('REVIEW - Complete Role Mapping'!$B:$B,486)</f>
        <v>Lisa Rademakers</v>
      </c>
      <c r="C63" s="1530" t="str">
        <f>INDEX('REVIEW - Complete Role Mapping'!$C:$C,486)</f>
        <v>Delivery Lead (Integrations)</v>
      </c>
      <c r="D63" s="1530" t="str">
        <f>INDEX('REVIEW - Complete Role Mapping'!$AK:$AK,486)</f>
        <v>Filled</v>
      </c>
      <c r="E63" s="1547" t="inlineStr">
        <is>
          <t>Filled</t>
        </is>
      </c>
      <c r="F63" s="1773">
        <f>INDEX('REVIEW - Complete Role Mapping'!$AA:$AA,486)</f>
        <v>202320.552</v>
      </c>
      <c r="G63" s="1773">
        <f>$F63*IFERROR(INDEX(Lists!$AD:$AD,MATCH($E63,Lists!$AC:$AC,0)),1)</f>
        <v>202320.552</v>
      </c>
    </row>
    <row r="64">
      <c r="B64" s="1530" t="str">
        <f>INDEX('REVIEW - Complete Role Mapping'!$B:$B,487)</f>
        <v>Michael Weng</v>
      </c>
      <c r="C64" s="1530" t="str">
        <f>INDEX('REVIEW - Complete Role Mapping'!$C:$C,487)</f>
        <v>Solution Architect</v>
      </c>
      <c r="D64" s="1530" t="str">
        <f>INDEX('REVIEW - Complete Role Mapping'!$AK:$AK,487)</f>
        <v>Filled</v>
      </c>
      <c r="E64" s="1547" t="inlineStr">
        <is>
          <t>Filled</t>
        </is>
      </c>
      <c r="F64" s="1773">
        <f>INDEX('REVIEW - Complete Role Mapping'!$AA:$AA,487)</f>
        <v>216227.916</v>
      </c>
      <c r="G64" s="1773">
        <f>$F64*IFERROR(INDEX(Lists!$AD:$AD,MATCH($E64,Lists!$AC:$AC,0)),1)</f>
        <v>216227.916</v>
      </c>
    </row>
    <row r="65">
      <c r="B65" s="1530" t="str">
        <f>INDEX('REVIEW - Complete Role Mapping'!$B:$B,489)</f>
        <v>Noel Morris</v>
      </c>
      <c r="C65" s="1530" t="str">
        <f>INDEX('REVIEW - Complete Role Mapping'!$C:$C,489)</f>
        <v>Snr Engineer</v>
      </c>
      <c r="D65" s="1530" t="str">
        <f>INDEX('REVIEW - Complete Role Mapping'!$AK:$AK,489)</f>
        <v>Filled</v>
      </c>
      <c r="E65" s="1547" t="inlineStr">
        <is>
          <t>Filled</t>
        </is>
      </c>
      <c r="F65" s="1773">
        <f>INDEX('REVIEW - Complete Role Mapping'!$AA:$AA,489)</f>
        <v>139607.28</v>
      </c>
      <c r="G65" s="1773">
        <f>$F65*IFERROR(INDEX(Lists!$AD:$AD,MATCH($E65,Lists!$AC:$AC,0)),1)</f>
        <v>139607.28</v>
      </c>
    </row>
    <row r="66">
      <c r="B66" s="1530" t="str">
        <f>INDEX('REVIEW - Complete Role Mapping'!$B:$B,490)</f>
        <v>Thandava Krishna Kakarala</v>
      </c>
      <c r="C66" s="1530" t="str">
        <f>INDEX('REVIEW - Complete Role Mapping'!$C:$C,490)</f>
        <v>Snr Engineer - Boomi</v>
      </c>
      <c r="D66" s="1530" t="str">
        <f>INDEX('REVIEW - Complete Role Mapping'!$AK:$AK,490)</f>
        <v>Filled</v>
      </c>
      <c r="E66" s="1547" t="inlineStr">
        <is>
          <t>Filled</t>
        </is>
      </c>
      <c r="F66" s="1773">
        <f>INDEX('REVIEW - Complete Role Mapping'!$AA:$AA,490)</f>
        <v>186900</v>
      </c>
      <c r="G66" s="1773">
        <f>$F66*IFERROR(INDEX(Lists!$AD:$AD,MATCH($E66,Lists!$AC:$AC,0)),1)</f>
        <v>186900</v>
      </c>
    </row>
    <row r="67">
      <c r="B67" s="1530" t="str">
        <f>INDEX('REVIEW - Complete Role Mapping'!$B:$B,491)</f>
        <v>Nidhi Aggarwal</v>
      </c>
      <c r="C67" s="1530" t="str">
        <f>INDEX('REVIEW - Complete Role Mapping'!$C:$C,491)</f>
        <v>Snr Engineer - Boomi</v>
      </c>
      <c r="D67" s="1530" t="str">
        <f>INDEX('REVIEW - Complete Role Mapping'!$AK:$AK,491)</f>
        <v>Filled</v>
      </c>
      <c r="E67" s="1547" t="inlineStr">
        <is>
          <t>Filled</t>
        </is>
      </c>
      <c r="F67" s="1773">
        <f>INDEX('REVIEW - Complete Role Mapping'!$AA:$AA,491)</f>
        <v>0</v>
      </c>
      <c r="G67" s="1773">
        <f>$F67*IFERROR(INDEX(Lists!$AD:$AD,MATCH($E67,Lists!$AC:$AC,0)),1)</f>
        <v>0</v>
      </c>
    </row>
    <row r="68">
      <c r="B68" s="1530" t="str">
        <f>INDEX('REVIEW - Complete Role Mapping'!$B:$B,514)</f>
        <v>Vacant</v>
      </c>
      <c r="C68" s="1530" t="str">
        <f>INDEX('REVIEW - Complete Role Mapping'!$C:$C,514)</f>
        <v>RPA Lead</v>
      </c>
      <c r="D68" s="1530" t="str">
        <f>INDEX('REVIEW - Complete Role Mapping'!$AK:$AK,514)</f>
        <v>Vacant</v>
      </c>
      <c r="E68" s="1547" t="inlineStr">
        <is>
          <t>Hire</t>
        </is>
      </c>
      <c r="F68" s="1773">
        <f>INDEX('REVIEW - Complete Role Mapping'!$AA:$AA,514)</f>
        <v>231689.25</v>
      </c>
      <c r="G68" s="1773">
        <f>$F68*IFERROR(INDEX(Lists!$AD:$AD,MATCH($E68,Lists!$AC:$AC,0)),1)</f>
        <v>231689.25</v>
      </c>
    </row>
    <row r="69">
      <c r="B69" s="1530" t="str">
        <f>INDEX('REVIEW - Complete Role Mapping'!$B:$B,516)</f>
        <v>Vacant</v>
      </c>
      <c r="C69" s="1530" t="str">
        <f>INDEX('REVIEW - Complete Role Mapping'!$C:$C,516)</f>
        <v>Business Analyst (Integrations)</v>
      </c>
      <c r="D69" s="1530" t="str">
        <f>INDEX('REVIEW - Complete Role Mapping'!$AK:$AK,516)</f>
        <v>Vacant</v>
      </c>
      <c r="E69" s="1547" t="inlineStr">
        <is>
          <t>Hire</t>
        </is>
      </c>
      <c r="F69" s="1773">
        <f>INDEX('REVIEW - Complete Role Mapping'!$AA:$AA,516)</f>
        <v>201585</v>
      </c>
      <c r="G69" s="1773">
        <f>$F69*IFERROR(INDEX(Lists!$AD:$AD,MATCH($E69,Lists!$AC:$AC,0)),1)</f>
        <v>201585</v>
      </c>
    </row>
    <row r="70">
      <c r="B70" s="1545" t="inlineStr">
        <is>
          <t>Workplace &amp; Enterprise Tooling</t>
        </is>
      </c>
      <c r="C70" s="1545" t="str">
        <f>COUNTA($B$71:$B$76)&amp;IF(COUNTA($B$71:$B$76)=1," role"," roles")</f>
        <v>6 roles</v>
      </c>
      <c r="D70" s="1545" t="n"/>
      <c r="E70" s="1545" t="n"/>
      <c r="F70" s="1785">
        <f>SUM(F71:F76)</f>
        <v>1117329.222</v>
      </c>
      <c r="G70" s="1785">
        <f>SUM(G71:G76)</f>
        <v>1117329.222</v>
      </c>
    </row>
    <row r="71">
      <c r="B71" s="1530" t="str">
        <f>INDEX('REVIEW - Complete Role Mapping'!$B:$B,492)</f>
        <v>Billie Connolly</v>
      </c>
      <c r="C71" s="1530" t="str">
        <f>INDEX('REVIEW - Complete Role Mapping'!$C:$C,492)</f>
        <v>Engineer - Modern Workplaces</v>
      </c>
      <c r="D71" s="1530" t="str">
        <f>INDEX('REVIEW - Complete Role Mapping'!$AK:$AK,492)</f>
        <v>Filled</v>
      </c>
      <c r="E71" s="1547" t="inlineStr">
        <is>
          <t>Filled</t>
        </is>
      </c>
      <c r="F71" s="1773">
        <f>INDEX('REVIEW - Complete Role Mapping'!$AA:$AA,492)</f>
        <v>135906.948</v>
      </c>
      <c r="G71" s="1773">
        <f>$F71*IFERROR(INDEX(Lists!$AD:$AD,MATCH($E71,Lists!$AC:$AC,0)),1)</f>
        <v>135906.948</v>
      </c>
    </row>
    <row r="72">
      <c r="B72" s="1530" t="str">
        <f>INDEX('REVIEW - Complete Role Mapping'!$B:$B,493)</f>
        <v>Ken Thomson</v>
      </c>
      <c r="C72" s="1530" t="str">
        <f>INDEX('REVIEW - Complete Role Mapping'!$C:$C,493)</f>
        <v>Servicenow Platform Specialist</v>
      </c>
      <c r="D72" s="1530" t="str">
        <f>INDEX('REVIEW - Complete Role Mapping'!$AK:$AK,493)</f>
        <v>Filled</v>
      </c>
      <c r="E72" s="1547" t="inlineStr">
        <is>
          <t>Filled</t>
        </is>
      </c>
      <c r="F72" s="1773">
        <f>INDEX('REVIEW - Complete Role Mapping'!$AA:$AA,493)</f>
        <v>220875.75</v>
      </c>
      <c r="G72" s="1773">
        <f>$F72*IFERROR(INDEX(Lists!$AD:$AD,MATCH($E72,Lists!$AC:$AC,0)),1)</f>
        <v>220875.75</v>
      </c>
    </row>
    <row r="73">
      <c r="B73" s="1530" t="str">
        <f>INDEX('REVIEW - Complete Role Mapping'!$B:$B,494)</f>
        <v>Nicholas McKay</v>
      </c>
      <c r="C73" s="1530" t="str">
        <f>INDEX('REVIEW - Complete Role Mapping'!$C:$C,494)</f>
        <v>Workplace Tooling Specialist</v>
      </c>
      <c r="D73" s="1530" t="str">
        <f>INDEX('REVIEW - Complete Role Mapping'!$AK:$AK,494)</f>
        <v>Filled</v>
      </c>
      <c r="E73" s="1547" t="inlineStr">
        <is>
          <t>Filled</t>
        </is>
      </c>
      <c r="F73" s="1773">
        <f>INDEX('REVIEW - Complete Role Mapping'!$AA:$AA,494)</f>
        <v>212438.55</v>
      </c>
      <c r="G73" s="1773">
        <f>$F73*IFERROR(INDEX(Lists!$AD:$AD,MATCH($E73,Lists!$AC:$AC,0)),1)</f>
        <v>212438.55</v>
      </c>
    </row>
    <row r="74">
      <c r="B74" s="1530" t="str">
        <f>INDEX('REVIEW - Complete Role Mapping'!$B:$B,517)</f>
        <v>Vacant</v>
      </c>
      <c r="C74" s="1530" t="str">
        <f>INDEX('REVIEW - Complete Role Mapping'!$C:$C,517)</f>
        <v>Business Analyst (Workplace &amp; Enterprise Tooling)</v>
      </c>
      <c r="D74" s="1530" t="str">
        <f>INDEX('REVIEW - Complete Role Mapping'!$AK:$AK,517)</f>
        <v>Vacant</v>
      </c>
      <c r="E74" s="1547" t="inlineStr">
        <is>
          <t>Hire</t>
        </is>
      </c>
      <c r="F74" s="1773">
        <f>INDEX('REVIEW - Complete Role Mapping'!$AA:$AA,517)</f>
        <v>201585</v>
      </c>
      <c r="G74" s="1773">
        <f>$F74*IFERROR(INDEX(Lists!$AD:$AD,MATCH($E74,Lists!$AC:$AC,0)),1)</f>
        <v>201585</v>
      </c>
    </row>
    <row r="75">
      <c r="B75" s="1530" t="str">
        <f>INDEX('REVIEW - Complete Role Mapping'!$B:$B,519)</f>
        <v>Vacant</v>
      </c>
      <c r="C75" s="1530" t="str">
        <f>INDEX('REVIEW - Complete Role Mapping'!$C:$C,519)</f>
        <v>Enterprise Systems Specialist</v>
      </c>
      <c r="D75" s="1530" t="str">
        <f>INDEX('REVIEW - Complete Role Mapping'!$AK:$AK,519)</f>
        <v>Vacant</v>
      </c>
      <c r="E75" s="1547" t="inlineStr">
        <is>
          <t>Hire</t>
        </is>
      </c>
      <c r="F75" s="1773">
        <f>INDEX('REVIEW - Complete Role Mapping'!$AA:$AA,519)</f>
        <v>202853.25</v>
      </c>
      <c r="G75" s="1773">
        <f>$F75*IFERROR(INDEX(Lists!$AD:$AD,MATCH($E75,Lists!$AC:$AC,0)),1)</f>
        <v>202853.25</v>
      </c>
    </row>
    <row r="76">
      <c r="B76" s="1530" t="str">
        <f>INDEX('REVIEW - Complete Role Mapping'!$B:$B,527)</f>
        <v>Rob Struthers</v>
      </c>
      <c r="C76" s="1530" t="str">
        <f>INDEX('REVIEW - Complete Role Mapping'!$C:$C,527)</f>
        <v>Engineer - Modern Workplaces</v>
      </c>
      <c r="D76" s="1530" t="str">
        <f>INDEX('REVIEW - Complete Role Mapping'!$AK:$AK,527)</f>
        <v>Filled</v>
      </c>
      <c r="E76" s="1547" t="inlineStr">
        <is>
          <t>Filled</t>
        </is>
      </c>
      <c r="F76" s="1773">
        <f>INDEX('REVIEW - Complete Role Mapping'!$AA:$AA,527)</f>
        <v>143669.724</v>
      </c>
      <c r="G76" s="1773">
        <f>$F76*IFERROR(INDEX(Lists!$AD:$AD,MATCH($E76,Lists!$AC:$AC,0)),1)</f>
        <v>143669.724</v>
      </c>
    </row>
    <row r="77">
      <c r="B77" s="1545" t="inlineStr">
        <is>
          <t>Head of Technology</t>
        </is>
      </c>
      <c r="C77" s="1545" t="str">
        <f>COUNTA($B$78:$B$78)&amp;IF(COUNTA($B$78:$B$78)=1," role"," roles")</f>
        <v>1 role</v>
      </c>
      <c r="D77" s="1545" t="n"/>
      <c r="E77" s="1545" t="n"/>
      <c r="F77" s="1785">
        <f>SUM(F78:F78)</f>
        <v>333020.25</v>
      </c>
      <c r="G77" s="1785">
        <f>SUM(G78:G78)</f>
        <v>333020.25</v>
      </c>
    </row>
    <row r="78">
      <c r="B78" s="1530" t="str">
        <f>INDEX('REVIEW - Complete Role Mapping'!$B:$B,512)</f>
        <v>Vacant</v>
      </c>
      <c r="C78" s="1530" t="str">
        <f>INDEX('REVIEW - Complete Role Mapping'!$C:$C,512)</f>
        <v>Head of Technology - TDD &amp; Engineering Capability Lead</v>
      </c>
      <c r="D78" s="1530" t="str">
        <f>INDEX('REVIEW - Complete Role Mapping'!$AK:$AK,512)</f>
        <v>Vacant</v>
      </c>
      <c r="E78" s="1547" t="inlineStr">
        <is>
          <t>Hire</t>
        </is>
      </c>
      <c r="F78" s="1773">
        <f>INDEX('REVIEW - Complete Role Mapping'!$AA:$AA,512)</f>
        <v>333020.25</v>
      </c>
      <c r="G78" s="1773">
        <f>$F78*IFERROR(INDEX(Lists!$AD:$AD,MATCH($E78,Lists!$AC:$AC,0)),1)</f>
        <v>333020.25</v>
      </c>
    </row>
    <row r="79">
      <c r="B79" s="1545" t="inlineStr">
        <is>
          <t>Delivery Manager</t>
        </is>
      </c>
      <c r="C79" s="1545" t="str">
        <f>COUNTA($B$80:$B$80)&amp;IF(COUNTA($B$80:$B$80)=1," role"," roles")</f>
        <v>1 role</v>
      </c>
      <c r="D79" s="1545" t="n"/>
      <c r="E79" s="1545" t="n"/>
      <c r="F79" s="1785">
        <f>SUM(F80:F80)</f>
        <v>275810.25</v>
      </c>
      <c r="G79" s="1785">
        <f>SUM(G80:G80)</f>
        <v>275810.25</v>
      </c>
    </row>
    <row r="80">
      <c r="B80" s="1530" t="str">
        <f>INDEX('REVIEW - Complete Role Mapping'!$B:$B,518)</f>
        <v>Vacant</v>
      </c>
      <c r="C80" s="1530" t="str">
        <f>INDEX('REVIEW - Complete Role Mapping'!$C:$C,518)</f>
        <v>Delivery Manager</v>
      </c>
      <c r="D80" s="1530" t="str">
        <f>INDEX('REVIEW - Complete Role Mapping'!$AK:$AK,518)</f>
        <v>Vacant</v>
      </c>
      <c r="E80" s="1547" t="inlineStr">
        <is>
          <t>Hire</t>
        </is>
      </c>
      <c r="F80" s="1773">
        <f>INDEX('REVIEW - Complete Role Mapping'!$AA:$AA,518)</f>
        <v>275810.25</v>
      </c>
      <c r="G80" s="1773">
        <f>$F80*IFERROR(INDEX(Lists!$AD:$AD,MATCH($E80,Lists!$AC:$AC,0)),1)</f>
        <v>275810.25</v>
      </c>
    </row>
    <row r="81">
      <c r="B81" s="1545" t="inlineStr">
        <is>
          <t>Technology Manager</t>
        </is>
      </c>
      <c r="C81" s="1545" t="str">
        <f>COUNTA($B$82:$B$85)&amp;IF(COUNTA($B$82:$B$85)=1," role"," roles")</f>
        <v>4 roles</v>
      </c>
      <c r="D81" s="1545" t="n"/>
      <c r="E81" s="1545" t="n"/>
      <c r="F81" s="1785">
        <f>SUM(F82:F85)</f>
        <v>1056660.75</v>
      </c>
      <c r="G81" s="1785">
        <f>SUM(G82:G85)</f>
        <v>1056660.75</v>
      </c>
    </row>
    <row r="82">
      <c r="B82" s="1530" t="str">
        <f>INDEX('REVIEW - Complete Role Mapping'!$B:$B,488)</f>
        <v>Mike Seales</v>
      </c>
      <c r="C82" s="1530" t="str">
        <f>INDEX('REVIEW - Complete Role Mapping'!$C:$C,488)</f>
        <v>Technology Manager, Integration &amp; Process Automation</v>
      </c>
      <c r="D82" s="1530" t="str">
        <f>INDEX('REVIEW - Complete Role Mapping'!$AK:$AK,488)</f>
        <v>Filled</v>
      </c>
      <c r="E82" s="1547" t="inlineStr">
        <is>
          <t>Filled</t>
        </is>
      </c>
      <c r="F82" s="1773">
        <f>INDEX('REVIEW - Complete Role Mapping'!$AA:$AA,488)</f>
        <v>229230</v>
      </c>
      <c r="G82" s="1773">
        <f>$F82*IFERROR(INDEX(Lists!$AD:$AD,MATCH($E82,Lists!$AC:$AC,0)),1)</f>
        <v>229230</v>
      </c>
    </row>
    <row r="83">
      <c r="B83" s="1530" t="str">
        <f>INDEX('REVIEW - Complete Role Mapping'!$B:$B,523)</f>
        <v>Vacant</v>
      </c>
      <c r="C83" s="1530" t="str">
        <f>INDEX('REVIEW - Complete Role Mapping'!$C:$C,523)</f>
        <v>Technology Manager - Cloud, Network and Infrastructure Operations</v>
      </c>
      <c r="D83" s="1530" t="str">
        <f>INDEX('REVIEW - Complete Role Mapping'!$AK:$AK,523)</f>
        <v>Vacant</v>
      </c>
      <c r="E83" s="1547" t="inlineStr">
        <is>
          <t>Hire</t>
        </is>
      </c>
      <c r="F83" s="1773">
        <f>INDEX('REVIEW - Complete Role Mapping'!$AA:$AA,523)</f>
        <v>275810.25</v>
      </c>
      <c r="G83" s="1773">
        <f>$F83*IFERROR(INDEX(Lists!$AD:$AD,MATCH($E83,Lists!$AC:$AC,0)),1)</f>
        <v>275810.25</v>
      </c>
    </row>
    <row r="84">
      <c r="B84" s="1530" t="str">
        <f>INDEX('REVIEW - Complete Role Mapping'!$B:$B,524)</f>
        <v>Vacant</v>
      </c>
      <c r="C84" s="1530" t="str">
        <f>INDEX('REVIEW - Complete Role Mapping'!$C:$C,524)</f>
        <v>Technology Manager - DevOps and Quality Engineering</v>
      </c>
      <c r="D84" s="1530" t="str">
        <f>INDEX('REVIEW - Complete Role Mapping'!$AK:$AK,524)</f>
        <v>Vacant</v>
      </c>
      <c r="E84" s="1547" t="inlineStr">
        <is>
          <t>Hire</t>
        </is>
      </c>
      <c r="F84" s="1773">
        <f>INDEX('REVIEW - Complete Role Mapping'!$AA:$AA,524)</f>
        <v>275810.25</v>
      </c>
      <c r="G84" s="1773">
        <f>$F84*IFERROR(INDEX(Lists!$AD:$AD,MATCH($E84,Lists!$AC:$AC,0)),1)</f>
        <v>275810.25</v>
      </c>
    </row>
    <row r="85">
      <c r="B85" s="1530" t="str">
        <f>INDEX('REVIEW - Complete Role Mapping'!$B:$B,525)</f>
        <v>Vacant</v>
      </c>
      <c r="C85" s="1530" t="str">
        <f>INDEX('REVIEW - Complete Role Mapping'!$C:$C,525)</f>
        <v>Technology Manager, Enterprise Tooling</v>
      </c>
      <c r="D85" s="1530" t="str">
        <f>INDEX('REVIEW - Complete Role Mapping'!$AK:$AK,525)</f>
        <v>Vacant</v>
      </c>
      <c r="E85" s="1547" t="inlineStr">
        <is>
          <t>Hire</t>
        </is>
      </c>
      <c r="F85" s="1773">
        <f>INDEX('REVIEW - Complete Role Mapping'!$AA:$AA,525)</f>
        <v>275810.25</v>
      </c>
      <c r="G85" s="1773">
        <f>$F85*IFERROR(INDEX(Lists!$AD:$AD,MATCH($E85,Lists!$AC:$AC,0)),1)</f>
        <v>275810.25</v>
      </c>
    </row>
  </sheetData>
  <dataValidations count="1">
    <dataValidation sqref="E33 E34 E35 E36 E37 E38 E39 E40 E41 E42 E43 E44 E46 E47 E48 E49 E50 E51 E52 E53 E55 E56 E57 E58 E60 E61 E62 E63 E64 E65 E66 E67 E68 E69 E71 E72 E73 E74 E75 E76 E78 E80 E82 E83 E84 E8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53"/>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P&amp;C - working copy</t>
        </is>
      </c>
    </row>
    <row r="3">
      <c r="B3" s="1525" t="inlineStr">
        <is>
          <t>Portfolio</t>
        </is>
      </c>
      <c r="C3" s="1526" t="inlineStr">
        <is>
          <t>P&amp;C</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P&amp;C</t>
        </is>
      </c>
      <c r="C7" s="1530" t="str">
        <f>IFERROR(INDEX('1.5 P&amp;C'!$C$23:$C$33,MATCH($B7,'1.5 P&amp;C'!$B$23:$B$33,0)),"Not on the 1.x tab")</f>
        <v>Configuration / Integration</v>
      </c>
      <c r="D7" s="1530" t="str">
        <f>IFERROR(IF(INDEX('1.5 P&amp;C'!$D$23:$D$33,MATCH($B7,'1.5 P&amp;C'!$B$23:$B$33,0))="","-",INDEX('1.5 P&amp;C'!$D$23:$D$33,MATCH($B7,'1.5 P&amp;C'!$B$23:$B$33,0))),"-")</f>
        <v>M</v>
      </c>
      <c r="E7" s="1782">
        <f>IFERROR(INDEX('0.3 Squad Archetypes'!$F$5:$F$23,MATCH($C7&amp;"|"&amp;$D7,'0.3 Squad Archetypes'!$A$5:$A$23,0)),"-")</f>
        <v>9</v>
      </c>
      <c r="F7" s="1773">
        <f>COUNTA($B$33:$B$40)</f>
        <v>8</v>
      </c>
      <c r="G7" s="1773">
        <f>COUNTIFS($D$33:$D$40,"Filled")</f>
        <v>5</v>
      </c>
      <c r="H7" s="1773">
        <f>COUNTIFS($D$33:$D$40,"Vacant")</f>
        <v>3</v>
      </c>
      <c r="I7" s="1773">
        <f>COUNTIFS($D$33:$D$40,"Vacant",$E$33:$E$40,"Hire")</f>
        <v>3</v>
      </c>
      <c r="J7" s="1773">
        <f>COUNTIFS($E$33:$E$40,"Offshore")</f>
        <v>0</v>
      </c>
      <c r="K7" s="1773">
        <f>COUNTIFS($E$33:$E$40,"Hold")</f>
        <v>0</v>
      </c>
      <c r="L7" s="1773">
        <f>$F7-$K7</f>
        <v>8</v>
      </c>
      <c r="M7" s="1772">
        <f>IFERROR(IF(INDEX('1.5 P&amp;C'!$E$23:$E$33,MATCH($B7,'1.5 P&amp;C'!$B$23:$B$33,0))="Offshore",INDEX('0.3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1.76551793</v>
      </c>
      <c r="O7" s="1772">
        <f>IFERROR(ROUND($N7-$M7,6),"-")</f>
        <v>-0.334482</v>
      </c>
      <c r="P7" s="1772">
        <f>SUM($G$33:$G$40)/1000000</f>
        <v>1.76551793</v>
      </c>
      <c r="Q7" s="1772">
        <f>IFERROR(ROUND($P7-$M7,6),"-")</f>
        <v>-0.334482</v>
      </c>
    </row>
    <row r="8">
      <c r="B8" s="1530" t="inlineStr">
        <is>
          <t>P&amp;C RTA</t>
        </is>
      </c>
      <c r="C8" s="1530" t="str">
        <f>IFERROR(INDEX('1.5 P&amp;C'!$C$23:$C$33,MATCH($B8,'1.5 P&amp;C'!$B$23:$B$33,0)),"Not on the 1.x tab")</f>
        <v>Configuration / Integration</v>
      </c>
      <c r="D8" s="1530" t="str">
        <f>IFERROR(IF(INDEX('1.5 P&amp;C'!$D$23:$D$33,MATCH($B8,'1.5 P&amp;C'!$B$23:$B$33,0))="","-",INDEX('1.5 P&amp;C'!$D$23:$D$33,MATCH($B8,'1.5 P&amp;C'!$B$23:$B$33,0))),"-")</f>
        <v>S</v>
      </c>
      <c r="E8" s="1782">
        <f>IFERROR(INDEX('0.3 Squad Archetypes'!$F$5:$F$23,MATCH($C8&amp;"|"&amp;$D8,'0.3 Squad Archetypes'!$A$5:$A$23,0)),"-")</f>
        <v>6</v>
      </c>
      <c r="F8" s="1773">
        <f>COUNTA($B$42:$B$47)</f>
        <v>6</v>
      </c>
      <c r="G8" s="1773">
        <f>COUNTIFS($D$42:$D$47,"Filled")</f>
        <v>1</v>
      </c>
      <c r="H8" s="1773">
        <f>COUNTIFS($D$42:$D$47,"Vacant")</f>
        <v>5</v>
      </c>
      <c r="I8" s="1773">
        <f>COUNTIFS($D$42:$D$47,"Vacant",$E$42:$E$47,"Hire")</f>
        <v>5</v>
      </c>
      <c r="J8" s="1773">
        <f>COUNTIFS($E$42:$E$47,"Offshore")</f>
        <v>0</v>
      </c>
      <c r="K8" s="1773">
        <f>COUNTIFS($E$42:$E$47,"Hold")</f>
        <v>0</v>
      </c>
      <c r="L8" s="1773">
        <f>$F8-$K8</f>
        <v>6</v>
      </c>
      <c r="M8" s="1772">
        <f>IFERROR(IF(INDEX('1.5 P&amp;C'!$E$23:$E$33,MATCH($B8,'1.5 P&amp;C'!$B$23:$B$33,0))="Offshore",INDEX('0.3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1.26408815</v>
      </c>
      <c r="O8" s="1772">
        <f>IFERROR(ROUND($N8-$M8,6),"-")</f>
        <v>-0.135912</v>
      </c>
      <c r="P8" s="1772">
        <f>SUM($G$42:$G$47)/1000000</f>
        <v>1.26408815</v>
      </c>
      <c r="Q8" s="1772">
        <f>IFERROR(ROUND($P8-$M8,6),"-")</f>
        <v>-0.135912</v>
      </c>
    </row>
    <row r="9">
      <c r="B9" s="1534" t="inlineStr">
        <is>
          <t>Squads priced by an archetype</t>
        </is>
      </c>
      <c r="C9" s="1534" t="n"/>
      <c r="D9" s="1534" t="n"/>
      <c r="E9" s="1783">
        <f>SUM(E7:E8)</f>
        <v>15</v>
      </c>
      <c r="F9" s="1775">
        <f>SUM(F7:F8)</f>
        <v>14</v>
      </c>
      <c r="G9" s="1775">
        <f>SUM(G7:G8)</f>
        <v>6</v>
      </c>
      <c r="H9" s="1775">
        <f>SUM(H7:H8)</f>
        <v>8</v>
      </c>
      <c r="I9" s="1775">
        <f>SUM(I7:I8)</f>
        <v>8</v>
      </c>
      <c r="J9" s="1775">
        <f>SUM(J7:J8)</f>
        <v>0</v>
      </c>
      <c r="K9" s="1775">
        <f>SUM(K7:K8)</f>
        <v>0</v>
      </c>
      <c r="L9" s="1775">
        <f>SUM(L7:L8)</f>
        <v>14</v>
      </c>
      <c r="M9" s="1774">
        <f>SUM(M7:M8)</f>
        <v>3.5</v>
      </c>
      <c r="N9" s="1774">
        <f>SUM(N7:N8)</f>
        <v>3.02960608</v>
      </c>
      <c r="O9" s="1774">
        <f>SUM(O7:O8)</f>
        <v>-0.470394</v>
      </c>
      <c r="P9" s="1774">
        <f>SUM(P7:P8)</f>
        <v>3.02960608</v>
      </c>
      <c r="Q9" s="1774">
        <f>SUM(Q7:Q8)</f>
        <v>-0.470394</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P&amp;C</t>
        </is>
      </c>
      <c r="C13" s="1530" t="str">
        <f>IFERROR(INDEX('1.5 P&amp;C'!$C$23:$C$33,MATCH($B13,'1.5 P&amp;C'!$B$23:$B$33,0)),"Not on the 1.x tab")</f>
        <v>Strategic Programs</v>
      </c>
      <c r="D13" s="1530" t="str">
        <f>IFERROR(IF(INDEX('1.5 P&amp;C'!$D$23:$D$33,MATCH($B13,'1.5 P&amp;C'!$B$23:$B$33,0))="","-",INDEX('1.5 P&amp;C'!$D$23:$D$33,MATCH($B13,'1.5 P&amp;C'!$B$23:$B$33,0))),"-")</f>
        <v>-</v>
      </c>
      <c r="E13" s="1782" t="str">
        <f>"-"</f>
        <v>-</v>
      </c>
      <c r="F13" s="1773">
        <f>COUNTA($B$31:$B$31)</f>
        <v>1</v>
      </c>
      <c r="G13" s="1773">
        <f>COUNTIFS($D$31:$D$31,"Filled")</f>
        <v>1</v>
      </c>
      <c r="H13" s="1773">
        <f>COUNTIFS($D$31:$D$31,"Vacant")</f>
        <v>0</v>
      </c>
      <c r="I13" s="1773">
        <f>COUNTIFS($D$31:$D$31,"Vacant",$E$31:$E$31,"Hire")</f>
        <v>0</v>
      </c>
      <c r="J13" s="1773">
        <f>COUNTIFS($E$31:$E$31,"Offshore")</f>
        <v>0</v>
      </c>
      <c r="K13" s="1773">
        <f>COUNTIFS($E$31:$E$31,"Hold")</f>
        <v>0</v>
      </c>
      <c r="L13" s="1773">
        <f>$F13-$K13</f>
        <v>1</v>
      </c>
      <c r="M13" s="1772">
        <f>$N13</f>
        <v>0.238965</v>
      </c>
      <c r="N13" s="1772">
        <f>SUMIFS('REVIEW - Complete Role Mapping'!$AA$2:$AA$528,'REVIEW - Complete Role Mapping'!$AJ$2:$AJ$528,$C$3,'REVIEW - Complete Role Mapping'!$AT$2:$AT$528,$B13)/1000000</f>
        <v>0.238965</v>
      </c>
      <c r="O13" s="1772">
        <f>IFERROR(ROUND($N13-$M13,6),"-")</f>
        <v>0</v>
      </c>
      <c r="P13" s="1772">
        <f>SUM($G$31:$G$31)/1000000</f>
        <v>0.238965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0.238965</v>
      </c>
      <c r="N14" s="1774">
        <f>SUM(N13:N13)</f>
        <v>0.238965</v>
      </c>
      <c r="O14" s="1774">
        <f>SUM(O13:O13)</f>
        <v>0</v>
      </c>
      <c r="P14" s="1774">
        <f>SUM(P13:P13)</f>
        <v>0.238965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Head of Technology</t>
        </is>
      </c>
      <c r="C18" s="1530" t="str">
        <f>"-"</f>
        <v>-</v>
      </c>
      <c r="D18" s="1530" t="str">
        <f>"-"</f>
        <v>-</v>
      </c>
      <c r="E18" s="1538" t="str">
        <f>"-"</f>
        <v>-</v>
      </c>
      <c r="F18" s="1773">
        <f>COUNTA($B$49:$B$49)</f>
        <v>1</v>
      </c>
      <c r="G18" s="1773">
        <f>COUNTIFS($D$49:$D$49,"Filled")</f>
        <v>1</v>
      </c>
      <c r="H18" s="1773">
        <f>COUNTIFS($D$49:$D$49,"Vacant")</f>
        <v>0</v>
      </c>
      <c r="I18" s="1773">
        <f>COUNTIFS($D$49:$D$49,"Vacant",$E$49:$E$49,"Hire")</f>
        <v>0</v>
      </c>
      <c r="J18" s="1773">
        <f>COUNTIFS($E$49:$E$49,"Offshore")</f>
        <v>0</v>
      </c>
      <c r="K18" s="1773">
        <f>COUNTIFS($E$49:$E$49,"Hold")</f>
        <v>0</v>
      </c>
      <c r="L18" s="1773">
        <f>$F18-$K18</f>
        <v>1</v>
      </c>
      <c r="M18" s="1538" t="str">
        <f>"-"</f>
        <v>-</v>
      </c>
      <c r="N18" s="1772">
        <f>SUMIFS('REVIEW - Complete Role Mapping'!$AA$2:$AA$528,'REVIEW - Complete Role Mapping'!$AJ$2:$AJ$528,$C$3,'REVIEW - Complete Role Mapping'!$AT$2:$AT$528,$B18)/1000000</f>
        <v>0.3642493</v>
      </c>
      <c r="O18" s="1538" t="str">
        <f>"-"</f>
        <v>-</v>
      </c>
      <c r="P18" s="1772">
        <f>SUM($G$49:$G$49)/1000000</f>
        <v>0.3642493</v>
      </c>
      <c r="Q18" s="1538" t="str">
        <f>"-"</f>
        <v>-</v>
      </c>
    </row>
    <row r="19">
      <c r="B19" s="1530" t="inlineStr">
        <is>
          <t>Delivery Manager</t>
        </is>
      </c>
      <c r="C19" s="1530" t="str">
        <f>"-"</f>
        <v>-</v>
      </c>
      <c r="D19" s="1530" t="str">
        <f>"-"</f>
        <v>-</v>
      </c>
      <c r="E19" s="1538" t="str">
        <f>"-"</f>
        <v>-</v>
      </c>
      <c r="F19" s="1773">
        <f>COUNTA($B$51:$B$51)</f>
        <v>1</v>
      </c>
      <c r="G19" s="1773">
        <f>COUNTIFS($D$51:$D$51,"Filled")</f>
        <v>0</v>
      </c>
      <c r="H19" s="1773">
        <f>COUNTIFS($D$51:$D$51,"Vacant")</f>
        <v>1</v>
      </c>
      <c r="I19" s="1773">
        <f>COUNTIFS($D$51:$D$51,"Vacant",$E$51:$E$51,"Hire")</f>
        <v>1</v>
      </c>
      <c r="J19" s="1773">
        <f>COUNTIFS($E$51:$E$51,"Offshore")</f>
        <v>0</v>
      </c>
      <c r="K19" s="1773">
        <f>COUNTIFS($E$51:$E$51,"Hold")</f>
        <v>0</v>
      </c>
      <c r="L19" s="1773">
        <f>$F19-$K19</f>
        <v>1</v>
      </c>
      <c r="M19" s="1538" t="str">
        <f>"-"</f>
        <v>-</v>
      </c>
      <c r="N19" s="1772">
        <f>SUMIFS('REVIEW - Complete Role Mapping'!$AA$2:$AA$528,'REVIEW - Complete Role Mapping'!$AJ$2:$AJ$528,$C$3,'REVIEW - Complete Role Mapping'!$AT$2:$AT$528,$B19)/1000000</f>
        <v>0.27581025</v>
      </c>
      <c r="O19" s="1538" t="str">
        <f>"-"</f>
        <v>-</v>
      </c>
      <c r="P19" s="1772">
        <f>SUM($G$51:$G$51)/1000000</f>
        <v>0.27581025</v>
      </c>
      <c r="Q19" s="1538" t="str">
        <f>"-"</f>
        <v>-</v>
      </c>
    </row>
    <row r="20">
      <c r="B20" s="1530" t="inlineStr">
        <is>
          <t>Technology Manager</t>
        </is>
      </c>
      <c r="C20" s="1530" t="str">
        <f>"-"</f>
        <v>-</v>
      </c>
      <c r="D20" s="1530" t="str">
        <f>"-"</f>
        <v>-</v>
      </c>
      <c r="E20" s="1538" t="str">
        <f>"-"</f>
        <v>-</v>
      </c>
      <c r="F20" s="1773">
        <f>COUNTA($B$53:$B$53)</f>
        <v>1</v>
      </c>
      <c r="G20" s="1773">
        <f>COUNTIFS($D$53:$D$53,"Filled")</f>
        <v>0</v>
      </c>
      <c r="H20" s="1773">
        <f>COUNTIFS($D$53:$D$53,"Vacant")</f>
        <v>1</v>
      </c>
      <c r="I20" s="1773">
        <f>COUNTIFS($D$53:$D$53,"Vacant",$E$53:$E$53,"Hire")</f>
        <v>1</v>
      </c>
      <c r="J20" s="1773">
        <f>COUNTIFS($E$53:$E$53,"Offshore")</f>
        <v>0</v>
      </c>
      <c r="K20" s="1773">
        <f>COUNTIFS($E$53:$E$53,"Hold")</f>
        <v>0</v>
      </c>
      <c r="L20" s="1773">
        <f>$F20-$K20</f>
        <v>1</v>
      </c>
      <c r="M20" s="1538" t="str">
        <f>"-"</f>
        <v>-</v>
      </c>
      <c r="N20" s="1772">
        <f>SUMIFS('REVIEW - Complete Role Mapping'!$AA$2:$AA$528,'REVIEW - Complete Role Mapping'!$AJ$2:$AJ$528,$C$3,'REVIEW - Complete Role Mapping'!$AT$2:$AT$528,$B20)/1000000</f>
        <v>0.27581025</v>
      </c>
      <c r="O20" s="1538" t="str">
        <f>"-"</f>
        <v>-</v>
      </c>
      <c r="P20" s="1772">
        <f>SUM($G$53:$G$53)/1000000</f>
        <v>0.27581025</v>
      </c>
      <c r="Q20" s="1538" t="str">
        <f>"-"</f>
        <v>-</v>
      </c>
    </row>
    <row r="21">
      <c r="B21" s="1534" t="inlineStr">
        <is>
          <t>Overhead roles total</t>
        </is>
      </c>
      <c r="C21" s="1534" t="n"/>
      <c r="D21" s="1534" t="n"/>
      <c r="E21" s="1783">
        <f>SUM(E18:E20)</f>
        <v>0</v>
      </c>
      <c r="F21" s="1775">
        <f>SUM(F18:F20)</f>
        <v>3</v>
      </c>
      <c r="G21" s="1775">
        <f>SUM(G18:G20)</f>
        <v>1</v>
      </c>
      <c r="H21" s="1775">
        <f>SUM(H18:H20)</f>
        <v>2</v>
      </c>
      <c r="I21" s="1775">
        <f>SUM(I18:I20)</f>
        <v>2</v>
      </c>
      <c r="J21" s="1775">
        <f>SUM(J18:J20)</f>
        <v>0</v>
      </c>
      <c r="K21" s="1775">
        <f>SUM(K18:K20)</f>
        <v>0</v>
      </c>
      <c r="L21" s="1775">
        <f>SUM(L18:L20)</f>
        <v>3</v>
      </c>
      <c r="M21" s="1774">
        <f>SUM(M18:M20)</f>
        <v>0</v>
      </c>
      <c r="N21" s="1774">
        <f>SUM(N18:N20)</f>
        <v>0.9158698</v>
      </c>
      <c r="O21" s="1774">
        <f>SUM(O18:O20)</f>
        <v>0</v>
      </c>
      <c r="P21" s="1774">
        <f>SUM(P18:P20)</f>
        <v>0.9158698</v>
      </c>
      <c r="Q21" s="1774">
        <f>SUM(Q18:Q20)</f>
        <v>0</v>
      </c>
    </row>
    <row r="22"/>
    <row r="23">
      <c r="B23" s="1539" t="inlineStr">
        <is>
          <t>Total portfolio</t>
        </is>
      </c>
      <c r="C23" s="1539" t="n"/>
      <c r="D23" s="1539" t="n"/>
      <c r="E23" s="1784">
        <f>N(E9)+N(E14)+N(E21)</f>
        <v>15</v>
      </c>
      <c r="F23" s="1777">
        <f>N(F9)+N(F14)+N(F21)</f>
        <v>18</v>
      </c>
      <c r="G23" s="1777">
        <f>N(G9)+N(G14)+N(G21)</f>
        <v>8</v>
      </c>
      <c r="H23" s="1777">
        <f>N(H9)+N(H14)+N(H21)</f>
        <v>10</v>
      </c>
      <c r="I23" s="1777">
        <f>N(I9)+N(I14)+N(I21)</f>
        <v>10</v>
      </c>
      <c r="J23" s="1777">
        <f>N(J9)+N(J14)+N(J21)</f>
        <v>0</v>
      </c>
      <c r="K23" s="1777">
        <f>N(K9)+N(K14)+N(K21)</f>
        <v>0</v>
      </c>
      <c r="L23" s="1777">
        <f>N(L9)+N(L14)+N(L21)</f>
        <v>18</v>
      </c>
      <c r="M23" s="1776">
        <f>N(M9)+N(M14)+N(M21)</f>
        <v>3.738965</v>
      </c>
      <c r="N23" s="1776">
        <f>N(N9)+N(N14)+N(N21)</f>
        <v>4.18444088</v>
      </c>
      <c r="O23" s="1776">
        <f>N(O9)+N(O14)+N(O21)</f>
        <v>-0.470394</v>
      </c>
      <c r="P23" s="1776">
        <f>N(P9)+N(P14)+N(P21)</f>
        <v>4.18444088</v>
      </c>
      <c r="Q23" s="1776">
        <f>N(Q9)+N(Q14)+N(Q21)</f>
        <v>-0.470394</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P&amp;C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EGI P&amp;C</t>
        </is>
      </c>
      <c r="C30" s="1545" t="str">
        <f>COUNTA($B$31:$B$31)&amp;IF(COUNTA($B$31:$B$31)=1," role"," roles")</f>
        <v>1 role</v>
      </c>
      <c r="D30" s="1545" t="n"/>
      <c r="E30" s="1545" t="n"/>
      <c r="F30" s="1785">
        <f>SUM(F31:F31)</f>
        <v>238965</v>
      </c>
      <c r="G30" s="1785">
        <f>SUM(G31:G31)</f>
        <v>238965</v>
      </c>
    </row>
    <row r="31">
      <c r="B31" s="1530" t="str">
        <f>INDEX('REVIEW - Complete Role Mapping'!$B:$B,448)</f>
        <v>Vikram Chhahira</v>
      </c>
      <c r="C31" s="1530" t="str">
        <f>INDEX('REVIEW - Complete Role Mapping'!$C:$C,448)</f>
        <v>Delivery Lead, EGI</v>
      </c>
      <c r="D31" s="1530" t="str">
        <f>INDEX('REVIEW - Complete Role Mapping'!$AK:$AK,448)</f>
        <v>Filled</v>
      </c>
      <c r="E31" s="1547" t="inlineStr">
        <is>
          <t>Filled</t>
        </is>
      </c>
      <c r="F31" s="1773">
        <f>INDEX('REVIEW - Complete Role Mapping'!$AA:$AA,448)</f>
        <v>238965</v>
      </c>
      <c r="G31" s="1773">
        <f>$F31*IFERROR(INDEX(Lists!$AD:$AD,MATCH($E31,Lists!$AC:$AC,0)),1)</f>
        <v>238965</v>
      </c>
    </row>
    <row r="32">
      <c r="B32" s="1545" t="inlineStr">
        <is>
          <t>P&amp;C</t>
        </is>
      </c>
      <c r="C32" s="1545" t="str">
        <f>COUNTA($B$33:$B$40)&amp;IF(COUNTA($B$33:$B$40)=1," role"," roles")</f>
        <v>8 roles</v>
      </c>
      <c r="D32" s="1545" t="n"/>
      <c r="E32" s="1545" t="n"/>
      <c r="F32" s="1785">
        <f>SUM(F33:F40)</f>
        <v>1765517.93</v>
      </c>
      <c r="G32" s="1785">
        <f>SUM(G33:G40)</f>
        <v>1765517.93</v>
      </c>
    </row>
    <row r="33">
      <c r="B33" s="1530" t="str">
        <f>INDEX('REVIEW - Complete Role Mapping'!$B:$B,460)</f>
        <v>Grace Hadiwijaya</v>
      </c>
      <c r="C33" s="1530" t="str">
        <f>INDEX('REVIEW - Complete Role Mapping'!$C:$C,460)</f>
        <v>Lead P&amp;C Platforms</v>
      </c>
      <c r="D33" s="1530" t="str">
        <f>INDEX('REVIEW - Complete Role Mapping'!$AK:$AK,460)</f>
        <v>Filled</v>
      </c>
      <c r="E33" s="1547" t="inlineStr">
        <is>
          <t>Filled</t>
        </is>
      </c>
      <c r="F33" s="1773">
        <f>INDEX('REVIEW - Complete Role Mapping'!$AA:$AA,460)</f>
        <v>237963.75</v>
      </c>
      <c r="G33" s="1773">
        <f>$F33*IFERROR(INDEX(Lists!$AD:$AD,MATCH($E33,Lists!$AC:$AC,0)),1)</f>
        <v>237963.75</v>
      </c>
    </row>
    <row r="34">
      <c r="B34" s="1530" t="str">
        <f>INDEX('REVIEW - Complete Role Mapping'!$B:$B,461)</f>
        <v>Maadhu Suresh</v>
      </c>
      <c r="C34" s="1530" t="str">
        <f>INDEX('REVIEW - Complete Role Mapping'!$C:$C,461)</f>
        <v>Solution Architect</v>
      </c>
      <c r="D34" s="1530" t="str">
        <f>INDEX('REVIEW - Complete Role Mapping'!$AK:$AK,461)</f>
        <v>Filled</v>
      </c>
      <c r="E34" s="1547" t="inlineStr">
        <is>
          <t>Filled</t>
        </is>
      </c>
      <c r="F34" s="1773">
        <f>INDEX('REVIEW - Complete Role Mapping'!$AA:$AA,461)</f>
        <v>272340</v>
      </c>
      <c r="G34" s="1773">
        <f>$F34*IFERROR(INDEX(Lists!$AD:$AD,MATCH($E34,Lists!$AC:$AC,0)),1)</f>
        <v>272340</v>
      </c>
    </row>
    <row r="35">
      <c r="B35" s="1530" t="str">
        <f>INDEX('REVIEW - Complete Role Mapping'!$B:$B,462)</f>
        <v>Michael Pollock</v>
      </c>
      <c r="C35" s="1530" t="str">
        <f>INDEX('REVIEW - Complete Role Mapping'!$C:$C,462)</f>
        <v>Lead Business Analyst</v>
      </c>
      <c r="D35" s="1530" t="str">
        <f>INDEX('REVIEW - Complete Role Mapping'!$AK:$AK,462)</f>
        <v>Filled</v>
      </c>
      <c r="E35" s="1547" t="inlineStr">
        <is>
          <t>Filled</t>
        </is>
      </c>
      <c r="F35" s="1773">
        <f>INDEX('REVIEW - Complete Role Mapping'!$AA:$AA,462)</f>
        <v>193358.28</v>
      </c>
      <c r="G35" s="1773">
        <f>$F35*IFERROR(INDEX(Lists!$AD:$AD,MATCH($E35,Lists!$AC:$AC,0)),1)</f>
        <v>193358.28</v>
      </c>
    </row>
    <row r="36">
      <c r="B36" s="1530" t="str">
        <f>INDEX('REVIEW - Complete Role Mapping'!$B:$B,463)</f>
        <v>Prerna Sharma</v>
      </c>
      <c r="C36" s="1530" t="str">
        <f>INDEX('REVIEW - Complete Role Mapping'!$C:$C,463)</f>
        <v>SAP HR Specialist</v>
      </c>
      <c r="D36" s="1530" t="str">
        <f>INDEX('REVIEW - Complete Role Mapping'!$AK:$AK,463)</f>
        <v>Filled</v>
      </c>
      <c r="E36" s="1547" t="inlineStr">
        <is>
          <t>Filled</t>
        </is>
      </c>
      <c r="F36" s="1773">
        <f>INDEX('REVIEW - Complete Role Mapping'!$AA:$AA,463)</f>
        <v>234172.35</v>
      </c>
      <c r="G36" s="1773">
        <f>$F36*IFERROR(INDEX(Lists!$AD:$AD,MATCH($E36,Lists!$AC:$AC,0)),1)</f>
        <v>234172.35</v>
      </c>
    </row>
    <row r="37">
      <c r="B37" s="1530" t="str">
        <f>INDEX('REVIEW - Complete Role Mapping'!$B:$B,464)</f>
        <v>Thai Pung</v>
      </c>
      <c r="C37" s="1530" t="str">
        <f>INDEX('REVIEW - Complete Role Mapping'!$C:$C,464)</f>
        <v>Delivery Lead - (P&amp;C)</v>
      </c>
      <c r="D37" s="1530" t="str">
        <f>INDEX('REVIEW - Complete Role Mapping'!$AK:$AK,464)</f>
        <v>Filled</v>
      </c>
      <c r="E37" s="1547" t="inlineStr">
        <is>
          <t>Filled</t>
        </is>
      </c>
      <c r="F37" s="1773">
        <f>INDEX('REVIEW - Complete Role Mapping'!$AA:$AA,464)</f>
        <v>251487.3</v>
      </c>
      <c r="G37" s="1773">
        <f>$F37*IFERROR(INDEX(Lists!$AD:$AD,MATCH($E37,Lists!$AC:$AC,0)),1)</f>
        <v>251487.3</v>
      </c>
    </row>
    <row r="38">
      <c r="B38" s="1530" t="str">
        <f>INDEX('REVIEW - Complete Role Mapping'!$B:$B,504)</f>
        <v>Vacant</v>
      </c>
      <c r="C38" s="1530" t="str">
        <f>INDEX('REVIEW - Complete Role Mapping'!$C:$C,504)</f>
        <v>Engineer</v>
      </c>
      <c r="D38" s="1530" t="str">
        <f>INDEX('REVIEW - Complete Role Mapping'!$AK:$AK,504)</f>
        <v>Vacant</v>
      </c>
      <c r="E38" s="1547" t="inlineStr">
        <is>
          <t>Hire</t>
        </is>
      </c>
      <c r="F38" s="1773">
        <f>INDEX('REVIEW - Complete Role Mapping'!$AA:$AA,504)</f>
        <v>202853.25</v>
      </c>
      <c r="G38" s="1773">
        <f>$F38*IFERROR(INDEX(Lists!$AD:$AD,MATCH($E38,Lists!$AC:$AC,0)),1)</f>
        <v>202853.25</v>
      </c>
    </row>
    <row r="39">
      <c r="B39" s="1530" t="str">
        <f>INDEX('REVIEW - Complete Role Mapping'!$B:$B,505)</f>
        <v>Vacant</v>
      </c>
      <c r="C39" s="1530" t="str">
        <f>INDEX('REVIEW - Complete Role Mapping'!$C:$C,505)</f>
        <v>Engineer</v>
      </c>
      <c r="D39" s="1530" t="str">
        <f>INDEX('REVIEW - Complete Role Mapping'!$AK:$AK,505)</f>
        <v>Vacant</v>
      </c>
      <c r="E39" s="1547" t="inlineStr">
        <is>
          <t>Hire</t>
        </is>
      </c>
      <c r="F39" s="1773">
        <f>INDEX('REVIEW - Complete Role Mapping'!$AA:$AA,505)</f>
        <v>202853.25</v>
      </c>
      <c r="G39" s="1773">
        <f>$F39*IFERROR(INDEX(Lists!$AD:$AD,MATCH($E39,Lists!$AC:$AC,0)),1)</f>
        <v>202853.25</v>
      </c>
    </row>
    <row r="40">
      <c r="B40" s="1530" t="str">
        <f>INDEX('REVIEW - Complete Role Mapping'!$B:$B,507)</f>
        <v>Vacant</v>
      </c>
      <c r="C40" s="1530" t="str">
        <f>INDEX('REVIEW - Complete Role Mapping'!$C:$C,507)</f>
        <v>Quality Assurance</v>
      </c>
      <c r="D40" s="1530" t="str">
        <f>INDEX('REVIEW - Complete Role Mapping'!$AK:$AK,507)</f>
        <v>Vacant</v>
      </c>
      <c r="E40" s="1547" t="inlineStr">
        <is>
          <t>Hire</t>
        </is>
      </c>
      <c r="F40" s="1773">
        <f>INDEX('REVIEW - Complete Role Mapping'!$AA:$AA,507)</f>
        <v>170489.75</v>
      </c>
      <c r="G40" s="1773">
        <f>$F40*IFERROR(INDEX(Lists!$AD:$AD,MATCH($E40,Lists!$AC:$AC,0)),1)</f>
        <v>170489.75</v>
      </c>
    </row>
    <row r="41">
      <c r="B41" s="1545" t="inlineStr">
        <is>
          <t>P&amp;C RTA</t>
        </is>
      </c>
      <c r="C41" s="1545" t="str">
        <f>COUNTA($B$42:$B$47)&amp;IF(COUNTA($B$42:$B$47)=1," role"," roles")</f>
        <v>6 roles</v>
      </c>
      <c r="D41" s="1545" t="n"/>
      <c r="E41" s="1545" t="n"/>
      <c r="F41" s="1785">
        <f>SUM(F42:F47)</f>
        <v>1264088.15</v>
      </c>
      <c r="G41" s="1785">
        <f>SUM(G42:G47)</f>
        <v>1264088.15</v>
      </c>
    </row>
    <row r="42">
      <c r="B42" s="1530" t="str">
        <f>INDEX('REVIEW - Complete Role Mapping'!$B:$B,465)</f>
        <v>Kurniaty Widjaya</v>
      </c>
      <c r="C42" s="1530" t="str">
        <f>INDEX('REVIEW - Complete Role Mapping'!$C:$C,465)</f>
        <v>ERP HR Pay Functional Lead</v>
      </c>
      <c r="D42" s="1530" t="str">
        <f>INDEX('REVIEW - Complete Role Mapping'!$AK:$AK,465)</f>
        <v>Filled</v>
      </c>
      <c r="E42" s="1547" t="inlineStr">
        <is>
          <t>Filled</t>
        </is>
      </c>
      <c r="F42" s="1773">
        <f>INDEX('REVIEW - Complete Role Mapping'!$AA:$AA,465)</f>
        <v>277500</v>
      </c>
      <c r="G42" s="1773">
        <f>$F42*IFERROR(INDEX(Lists!$AD:$AD,MATCH($E42,Lists!$AC:$AC,0)),1)</f>
        <v>277500</v>
      </c>
    </row>
    <row r="43">
      <c r="B43" s="1530" t="str">
        <f>INDEX('REVIEW - Complete Role Mapping'!$B:$B,502)</f>
        <v>Vacant</v>
      </c>
      <c r="C43" s="1530" t="str">
        <f>INDEX('REVIEW - Complete Role Mapping'!$C:$C,502)</f>
        <v>Business Analyst (P&amp;C RTA)</v>
      </c>
      <c r="D43" s="1530" t="str">
        <f>INDEX('REVIEW - Complete Role Mapping'!$AK:$AK,502)</f>
        <v>Vacant</v>
      </c>
      <c r="E43" s="1547" t="inlineStr">
        <is>
          <t>Hire</t>
        </is>
      </c>
      <c r="F43" s="1773">
        <f>INDEX('REVIEW - Complete Role Mapping'!$AA:$AA,502)</f>
        <v>201585</v>
      </c>
      <c r="G43" s="1773">
        <f>$F43*IFERROR(INDEX(Lists!$AD:$AD,MATCH($E43,Lists!$AC:$AC,0)),1)</f>
        <v>201585</v>
      </c>
    </row>
    <row r="44">
      <c r="B44" s="1530" t="str">
        <f>INDEX('REVIEW - Complete Role Mapping'!$B:$B,503)</f>
        <v>Vacant</v>
      </c>
      <c r="C44" s="1530" t="str">
        <f>INDEX('REVIEW - Complete Role Mapping'!$C:$C,503)</f>
        <v>Delivery Lead (RTA)</v>
      </c>
      <c r="D44" s="1530" t="str">
        <f>INDEX('REVIEW - Complete Role Mapping'!$AK:$AK,503)</f>
        <v>Vacant</v>
      </c>
      <c r="E44" s="1547" t="inlineStr">
        <is>
          <t>Hire</t>
        </is>
      </c>
      <c r="F44" s="1773">
        <f>INDEX('REVIEW - Complete Role Mapping'!$AA:$AA,503)</f>
        <v>231689.25</v>
      </c>
      <c r="G44" s="1773">
        <f>$F44*IFERROR(INDEX(Lists!$AD:$AD,MATCH($E44,Lists!$AC:$AC,0)),1)</f>
        <v>231689.25</v>
      </c>
    </row>
    <row r="45">
      <c r="B45" s="1530" t="str">
        <f>INDEX('REVIEW - Complete Role Mapping'!$B:$B,506)</f>
        <v>Vacant</v>
      </c>
      <c r="C45" s="1530" t="str">
        <f>INDEX('REVIEW - Complete Role Mapping'!$C:$C,506)</f>
        <v>Engineer</v>
      </c>
      <c r="D45" s="1530" t="str">
        <f>INDEX('REVIEW - Complete Role Mapping'!$AK:$AK,506)</f>
        <v>Vacant</v>
      </c>
      <c r="E45" s="1547" t="inlineStr">
        <is>
          <t>Hire</t>
        </is>
      </c>
      <c r="F45" s="1773">
        <f>INDEX('REVIEW - Complete Role Mapping'!$AA:$AA,506)</f>
        <v>202853.25</v>
      </c>
      <c r="G45" s="1773">
        <f>$F45*IFERROR(INDEX(Lists!$AD:$AD,MATCH($E45,Lists!$AC:$AC,0)),1)</f>
        <v>202853.25</v>
      </c>
    </row>
    <row r="46">
      <c r="B46" s="1530" t="str">
        <f>INDEX('REVIEW - Complete Role Mapping'!$B:$B,508)</f>
        <v>Vacant</v>
      </c>
      <c r="C46" s="1530" t="str">
        <f>INDEX('REVIEW - Complete Role Mapping'!$C:$C,508)</f>
        <v>Quality Assurance</v>
      </c>
      <c r="D46" s="1530" t="str">
        <f>INDEX('REVIEW - Complete Role Mapping'!$AK:$AK,508)</f>
        <v>Vacant</v>
      </c>
      <c r="E46" s="1547" t="inlineStr">
        <is>
          <t>Hire</t>
        </is>
      </c>
      <c r="F46" s="1773">
        <f>INDEX('REVIEW - Complete Role Mapping'!$AA:$AA,508)</f>
        <v>170489.75</v>
      </c>
      <c r="G46" s="1773">
        <f>$F46*IFERROR(INDEX(Lists!$AD:$AD,MATCH($E46,Lists!$AC:$AC,0)),1)</f>
        <v>170489.75</v>
      </c>
    </row>
    <row r="47">
      <c r="B47" s="1530" t="str">
        <f>INDEX('REVIEW - Complete Role Mapping'!$B:$B,509)</f>
        <v>Vacant</v>
      </c>
      <c r="C47" s="1530" t="str">
        <f>INDEX('REVIEW - Complete Role Mapping'!$C:$C,509)</f>
        <v>Systems Specialist</v>
      </c>
      <c r="D47" s="1530" t="str">
        <f>INDEX('REVIEW - Complete Role Mapping'!$AK:$AK,509)</f>
        <v>Vacant</v>
      </c>
      <c r="E47" s="1547" t="inlineStr">
        <is>
          <t>Hire</t>
        </is>
      </c>
      <c r="F47" s="1773">
        <f>INDEX('REVIEW - Complete Role Mapping'!$AA:$AA,509)</f>
        <v>179970.9</v>
      </c>
      <c r="G47" s="1773">
        <f>$F47*IFERROR(INDEX(Lists!$AD:$AD,MATCH($E47,Lists!$AC:$AC,0)),1)</f>
        <v>179970.9</v>
      </c>
    </row>
    <row r="48">
      <c r="B48" s="1545" t="inlineStr">
        <is>
          <t>Head of Technology</t>
        </is>
      </c>
      <c r="C48" s="1545" t="str">
        <f>COUNTA($B$49:$B$49)&amp;IF(COUNTA($B$49:$B$49)=1," role"," roles")</f>
        <v>1 role</v>
      </c>
      <c r="D48" s="1545" t="n"/>
      <c r="E48" s="1545" t="n"/>
      <c r="F48" s="1785">
        <f>SUM(F49:F49)</f>
        <v>364249.3</v>
      </c>
      <c r="G48" s="1785">
        <f>SUM(G49:G49)</f>
        <v>364249.3</v>
      </c>
    </row>
    <row r="49">
      <c r="B49" s="1530" t="str">
        <f>INDEX('REVIEW - Complete Role Mapping'!$B:$B,466)</f>
        <v>Vaso Vukovic</v>
      </c>
      <c r="C49" s="1530" t="str">
        <f>INDEX('REVIEW - Complete Role Mapping'!$C:$C,466)</f>
        <v>Head of Technology - P&amp;C, Finance &amp; Legal</v>
      </c>
      <c r="D49" s="1530" t="str">
        <f>INDEX('REVIEW - Complete Role Mapping'!$AK:$AK,466)</f>
        <v>Filled</v>
      </c>
      <c r="E49" s="1547" t="inlineStr">
        <is>
          <t>Filled</t>
        </is>
      </c>
      <c r="F49" s="1773">
        <f>INDEX('REVIEW - Complete Role Mapping'!$AA:$AA,466)</f>
        <v>364249.3</v>
      </c>
      <c r="G49" s="1773">
        <f>$F49*IFERROR(INDEX(Lists!$AD:$AD,MATCH($E49,Lists!$AC:$AC,0)),1)</f>
        <v>364249.3</v>
      </c>
    </row>
    <row r="50">
      <c r="B50" s="1545" t="inlineStr">
        <is>
          <t>Delivery Manager</t>
        </is>
      </c>
      <c r="C50" s="1545" t="str">
        <f>COUNTA($B$51:$B$51)&amp;IF(COUNTA($B$51:$B$51)=1," role"," roles")</f>
        <v>1 role</v>
      </c>
      <c r="D50" s="1545" t="n"/>
      <c r="E50" s="1545" t="n"/>
      <c r="F50" s="1785">
        <f>SUM(F51:F51)</f>
        <v>275810.25</v>
      </c>
      <c r="G50" s="1785">
        <f>SUM(G51:G51)</f>
        <v>275810.25</v>
      </c>
    </row>
    <row r="51">
      <c r="B51" s="1530" t="str">
        <f>INDEX('REVIEW - Complete Role Mapping'!$B:$B,511)</f>
        <v>Vacant</v>
      </c>
      <c r="C51" s="1530" t="str">
        <f>INDEX('REVIEW - Complete Role Mapping'!$C:$C,511)</f>
        <v>Delivery Manager</v>
      </c>
      <c r="D51" s="1530" t="str">
        <f>INDEX('REVIEW - Complete Role Mapping'!$AK:$AK,511)</f>
        <v>Vacant</v>
      </c>
      <c r="E51" s="1547" t="inlineStr">
        <is>
          <t>Hire</t>
        </is>
      </c>
      <c r="F51" s="1773">
        <f>INDEX('REVIEW - Complete Role Mapping'!$AA:$AA,511)</f>
        <v>275810.25</v>
      </c>
      <c r="G51" s="1773">
        <f>$F51*IFERROR(INDEX(Lists!$AD:$AD,MATCH($E51,Lists!$AC:$AC,0)),1)</f>
        <v>275810.25</v>
      </c>
    </row>
    <row r="52">
      <c r="B52" s="1545" t="inlineStr">
        <is>
          <t>Technology Manager</t>
        </is>
      </c>
      <c r="C52" s="1545" t="str">
        <f>COUNTA($B$53:$B$53)&amp;IF(COUNTA($B$53:$B$53)=1," role"," roles")</f>
        <v>1 role</v>
      </c>
      <c r="D52" s="1545" t="n"/>
      <c r="E52" s="1545" t="n"/>
      <c r="F52" s="1785">
        <f>SUM(F53:F53)</f>
        <v>275810.25</v>
      </c>
      <c r="G52" s="1785">
        <f>SUM(G53:G53)</f>
        <v>275810.25</v>
      </c>
    </row>
    <row r="53">
      <c r="B53" s="1530" t="str">
        <f>INDEX('REVIEW - Complete Role Mapping'!$B:$B,510)</f>
        <v>Vacant</v>
      </c>
      <c r="C53" s="1530" t="str">
        <f>INDEX('REVIEW - Complete Role Mapping'!$C:$C,510)</f>
        <v>Technology Manager - P&amp;C Platforms</v>
      </c>
      <c r="D53" s="1530" t="str">
        <f>INDEX('REVIEW - Complete Role Mapping'!$AK:$AK,510)</f>
        <v>Vacant</v>
      </c>
      <c r="E53" s="1547" t="inlineStr">
        <is>
          <t>Hire</t>
        </is>
      </c>
      <c r="F53" s="1773">
        <f>INDEX('REVIEW - Complete Role Mapping'!$AA:$AA,510)</f>
        <v>275810.25</v>
      </c>
      <c r="G53" s="1773">
        <f>$F53*IFERROR(INDEX(Lists!$AD:$AD,MATCH($E53,Lists!$AC:$AC,0)),1)</f>
        <v>275810.25</v>
      </c>
    </row>
  </sheetData>
  <dataValidations count="1">
    <dataValidation sqref="E31 E33 E34 E35 E36 E37 E38 E39 E40 E42 E43 E44 E45 E46 E47 E49 E51 E5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8"/>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Finance - working copy</t>
        </is>
      </c>
    </row>
    <row r="3">
      <c r="B3" s="1525" t="inlineStr">
        <is>
          <t>Portfolio</t>
        </is>
      </c>
      <c r="C3" s="1526" t="inlineStr">
        <is>
          <t>Finance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NZ Finance</t>
        </is>
      </c>
      <c r="C7" s="1530" t="str">
        <f>IFERROR(INDEX('1.6 Finance'!$C$24:$C$34,MATCH($B7,'1.6 Finance'!$B$24:$B$34,0)),"Not on the 1.x tab")</f>
        <v>Configuration / Integration</v>
      </c>
      <c r="D7" s="1530" t="str">
        <f>IFERROR(IF(INDEX('1.6 Finance'!$D$24:$D$34,MATCH($B7,'1.6 Finance'!$B$24:$B$34,0))="","-",INDEX('1.6 Finance'!$D$24:$D$34,MATCH($B7,'1.6 Finance'!$B$24:$B$34,0))),"-")</f>
        <v>S</v>
      </c>
      <c r="E7" s="1782">
        <f>IFERROR(INDEX('0.3 Squad Archetypes'!$F$5:$F$23,MATCH($C7&amp;"|"&amp;$D7,'0.3 Squad Archetypes'!$A$5:$A$23,0)),"-")</f>
        <v>6</v>
      </c>
      <c r="F7" s="1773">
        <f>COUNTA($B$31:$B$35)</f>
        <v>5</v>
      </c>
      <c r="G7" s="1773">
        <f>COUNTIFS($D$31:$D$35,"Filled")</f>
        <v>4</v>
      </c>
      <c r="H7" s="1773">
        <f>COUNTIFS($D$31:$D$35,"Vacant")</f>
        <v>1</v>
      </c>
      <c r="I7" s="1773">
        <f>COUNTIFS($D$31:$D$35,"Vacant",$E$31:$E$35,"Hire")</f>
        <v>1</v>
      </c>
      <c r="J7" s="1773">
        <f>COUNTIFS($E$31:$E$35,"Offshore")</f>
        <v>0</v>
      </c>
      <c r="K7" s="1773">
        <f>COUNTIFS($E$31:$E$35,"Hold")</f>
        <v>0</v>
      </c>
      <c r="L7" s="1773">
        <f>$F7-$K7</f>
        <v>5</v>
      </c>
      <c r="M7" s="1772">
        <f>IFERROR(IF(INDEX('1.6 Finance'!$E$24:$E$34,MATCH($B7,'1.6 Finance'!$B$24:$B$34,0))="Offshore",INDEX('0.3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0.905141646</v>
      </c>
      <c r="O7" s="1772">
        <f>IFERROR(ROUND($N7-$M7,6),"-")</f>
        <v>-0.494858</v>
      </c>
      <c r="P7" s="1772">
        <f>SUM($G$31:$G$35)/1000000</f>
        <v>0.905141646</v>
      </c>
      <c r="Q7" s="1772">
        <f>IFERROR(ROUND($P7-$M7,6),"-")</f>
        <v>-0.494858</v>
      </c>
    </row>
    <row r="8">
      <c r="B8" s="1530" t="inlineStr">
        <is>
          <t>SAP ERP</t>
        </is>
      </c>
      <c r="C8" s="1530" t="str">
        <f>IFERROR(INDEX('1.6 Finance'!$C$24:$C$34,MATCH($B8,'1.6 Finance'!$B$24:$B$34,0)),"Not on the 1.x tab")</f>
        <v>Configuration / Integration</v>
      </c>
      <c r="D8" s="1530" t="str">
        <f>IFERROR(IF(INDEX('1.6 Finance'!$D$24:$D$34,MATCH($B8,'1.6 Finance'!$B$24:$B$34,0))="","-",INDEX('1.6 Finance'!$D$24:$D$34,MATCH($B8,'1.6 Finance'!$B$24:$B$34,0))),"-")</f>
        <v>S</v>
      </c>
      <c r="E8" s="1782">
        <f>IFERROR(INDEX('0.3 Squad Archetypes'!$F$5:$F$23,MATCH($C8&amp;"|"&amp;$D8,'0.3 Squad Archetypes'!$A$5:$A$23,0)),"-")</f>
        <v>6</v>
      </c>
      <c r="F8" s="1773">
        <f>COUNTA($B$37:$B$46)</f>
        <v>10</v>
      </c>
      <c r="G8" s="1773">
        <f>COUNTIFS($D$37:$D$46,"Filled")</f>
        <v>3</v>
      </c>
      <c r="H8" s="1773">
        <f>COUNTIFS($D$37:$D$46,"Vacant")</f>
        <v>7</v>
      </c>
      <c r="I8" s="1773">
        <f>COUNTIFS($D$37:$D$46,"Vacant",$E$37:$E$46,"Hire")</f>
        <v>7</v>
      </c>
      <c r="J8" s="1773">
        <f>COUNTIFS($E$37:$E$46,"Offshore")</f>
        <v>0</v>
      </c>
      <c r="K8" s="1773">
        <f>COUNTIFS($E$37:$E$46,"Hold")</f>
        <v>0</v>
      </c>
      <c r="L8" s="1773">
        <f>$F8-$K8</f>
        <v>10</v>
      </c>
      <c r="M8" s="1772">
        <f>IFERROR(IF(INDEX('1.6 Finance'!$E$24:$E$34,MATCH($B8,'1.6 Finance'!$B$24:$B$34,0))="Offshore",INDEX('0.3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2.37418557</v>
      </c>
      <c r="O8" s="1772">
        <f>IFERROR(ROUND($N8-$M8,6),"-")</f>
        <v>0.974186</v>
      </c>
      <c r="P8" s="1772">
        <f>SUM($G$37:$G$46)/1000000</f>
        <v>2.37418557</v>
      </c>
      <c r="Q8" s="1772">
        <f>IFERROR(ROUND($P8-$M8,6),"-")</f>
        <v>0.974186</v>
      </c>
    </row>
    <row r="9">
      <c r="B9" s="1534" t="inlineStr">
        <is>
          <t>Squads priced by an archetype</t>
        </is>
      </c>
      <c r="C9" s="1534" t="n"/>
      <c r="D9" s="1534" t="n"/>
      <c r="E9" s="1783">
        <f>SUM(E7:E8)</f>
        <v>12</v>
      </c>
      <c r="F9" s="1775">
        <f>SUM(F7:F8)</f>
        <v>15</v>
      </c>
      <c r="G9" s="1775">
        <f>SUM(G7:G8)</f>
        <v>7</v>
      </c>
      <c r="H9" s="1775">
        <f>SUM(H7:H8)</f>
        <v>8</v>
      </c>
      <c r="I9" s="1775">
        <f>SUM(I7:I8)</f>
        <v>8</v>
      </c>
      <c r="J9" s="1775">
        <f>SUM(J7:J8)</f>
        <v>0</v>
      </c>
      <c r="K9" s="1775">
        <f>SUM(K7:K8)</f>
        <v>0</v>
      </c>
      <c r="L9" s="1775">
        <f>SUM(L7:L8)</f>
        <v>15</v>
      </c>
      <c r="M9" s="1774">
        <f>SUM(M7:M8)</f>
        <v>2.8</v>
      </c>
      <c r="N9" s="1774">
        <f>SUM(N7:N8)</f>
        <v>3.279327216</v>
      </c>
      <c r="O9" s="1774">
        <f>SUM(O7:O8)</f>
        <v>0.479328</v>
      </c>
      <c r="P9" s="1774">
        <f>SUM(P7:P8)</f>
        <v>3.279327216</v>
      </c>
      <c r="Q9" s="1774">
        <f>SUM(Q7:Q8)</f>
        <v>0.479328</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Finance</t>
        </is>
      </c>
      <c r="C13" s="1530" t="str">
        <f>IFERROR(INDEX('1.6 Finance'!$C$24:$C$34,MATCH($B13,'1.6 Finance'!$B$24:$B$34,0)),"Not on the 1.x tab")</f>
        <v>Strategic Programs</v>
      </c>
      <c r="D13" s="1530" t="str">
        <f>IFERROR(IF(INDEX('1.6 Finance'!$D$24:$D$34,MATCH($B13,'1.6 Finance'!$B$24:$B$34,0))="","-",INDEX('1.6 Finance'!$D$24:$D$34,MATCH($B13,'1.6 Finance'!$B$24:$B$34,0))),"-")</f>
        <v>-</v>
      </c>
      <c r="E13" s="1782" t="str">
        <f>"-"</f>
        <v>-</v>
      </c>
      <c r="F13" s="1773">
        <f>COUNTA($B$29:$B$29)</f>
        <v>1</v>
      </c>
      <c r="G13" s="1773">
        <f>COUNTIFS($D$29:$D$29,"Filled")</f>
        <v>1</v>
      </c>
      <c r="H13" s="1773">
        <f>COUNTIFS($D$29:$D$29,"Vacant")</f>
        <v>0</v>
      </c>
      <c r="I13" s="1773">
        <f>COUNTIFS($D$29:$D$29,"Vacant",$E$29:$E$29,"Hire")</f>
        <v>0</v>
      </c>
      <c r="J13" s="1773">
        <f>COUNTIFS($E$29:$E$29,"Offshore")</f>
        <v>0</v>
      </c>
      <c r="K13" s="1773">
        <f>COUNTIFS($E$29:$E$29,"Hold")</f>
        <v>0</v>
      </c>
      <c r="L13" s="1773">
        <f>$F13-$K13</f>
        <v>1</v>
      </c>
      <c r="M13" s="1772">
        <f>$N13</f>
        <v>0.24172845</v>
      </c>
      <c r="N13" s="1772">
        <f>SUMIFS('REVIEW - Complete Role Mapping'!$AA$2:$AA$528,'REVIEW - Complete Role Mapping'!$AJ$2:$AJ$528,$C$3,'REVIEW - Complete Role Mapping'!$AT$2:$AT$528,$B13)/1000000</f>
        <v>0.24172845</v>
      </c>
      <c r="O13" s="1772">
        <f>IFERROR(ROUND($N13-$M13,6),"-")</f>
        <v>0</v>
      </c>
      <c r="P13" s="1772">
        <f>SUM($G$29:$G$29)/1000000</f>
        <v>0.24172845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0.24172845</v>
      </c>
      <c r="N14" s="1774">
        <f>SUM(N13:N13)</f>
        <v>0.24172845</v>
      </c>
      <c r="O14" s="1774">
        <f>SUM(O13:O13)</f>
        <v>0</v>
      </c>
      <c r="P14" s="1774">
        <f>SUM(P13:P13)</f>
        <v>0.24172845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Technology Manager</t>
        </is>
      </c>
      <c r="C18" s="1530" t="str">
        <f>"-"</f>
        <v>-</v>
      </c>
      <c r="D18" s="1530" t="str">
        <f>"-"</f>
        <v>-</v>
      </c>
      <c r="E18" s="1538" t="str">
        <f>"-"</f>
        <v>-</v>
      </c>
      <c r="F18" s="1773">
        <f>COUNTA($B$48:$B$48)</f>
        <v>1</v>
      </c>
      <c r="G18" s="1773">
        <f>COUNTIFS($D$48:$D$48,"Filled")</f>
        <v>1</v>
      </c>
      <c r="H18" s="1773">
        <f>COUNTIFS($D$48:$D$48,"Vacant")</f>
        <v>0</v>
      </c>
      <c r="I18" s="1773">
        <f>COUNTIFS($D$48:$D$48,"Vacant",$E$48:$E$48,"Hire")</f>
        <v>0</v>
      </c>
      <c r="J18" s="1773">
        <f>COUNTIFS($E$48:$E$48,"Offshore")</f>
        <v>0</v>
      </c>
      <c r="K18" s="1773">
        <f>COUNTIFS($E$48:$E$48,"Hold")</f>
        <v>0</v>
      </c>
      <c r="L18" s="1773">
        <f>$F18-$K18</f>
        <v>1</v>
      </c>
      <c r="M18" s="1538" t="str">
        <f>"-"</f>
        <v>-</v>
      </c>
      <c r="N18" s="1772">
        <f>SUMIFS('REVIEW - Complete Role Mapping'!$AA$2:$AA$528,'REVIEW - Complete Role Mapping'!$AJ$2:$AJ$528,$C$3,'REVIEW - Complete Role Mapping'!$AT$2:$AT$528,$B18)/1000000</f>
        <v>0.32356045</v>
      </c>
      <c r="O18" s="1538" t="str">
        <f>"-"</f>
        <v>-</v>
      </c>
      <c r="P18" s="1772">
        <f>SUM($G$48:$G$48)/1000000</f>
        <v>0.32356045</v>
      </c>
      <c r="Q18" s="1538" t="str">
        <f>"-"</f>
        <v>-</v>
      </c>
    </row>
    <row r="19">
      <c r="B19" s="1534" t="inlineStr">
        <is>
          <t>Overhead roles total</t>
        </is>
      </c>
      <c r="C19" s="1534" t="n"/>
      <c r="D19" s="1534" t="n"/>
      <c r="E19" s="1783">
        <f>SUM(E18:E18)</f>
        <v>0</v>
      </c>
      <c r="F19" s="1775">
        <f>SUM(F18:F18)</f>
        <v>1</v>
      </c>
      <c r="G19" s="1775">
        <f>SUM(G18:G18)</f>
        <v>1</v>
      </c>
      <c r="H19" s="1775">
        <f>SUM(H18:H18)</f>
        <v>0</v>
      </c>
      <c r="I19" s="1775">
        <f>SUM(I18:I18)</f>
        <v>0</v>
      </c>
      <c r="J19" s="1775">
        <f>SUM(J18:J18)</f>
        <v>0</v>
      </c>
      <c r="K19" s="1775">
        <f>SUM(K18:K18)</f>
        <v>0</v>
      </c>
      <c r="L19" s="1775">
        <f>SUM(L18:L18)</f>
        <v>1</v>
      </c>
      <c r="M19" s="1774">
        <f>SUM(M18:M18)</f>
        <v>0</v>
      </c>
      <c r="N19" s="1774">
        <f>SUM(N18:N18)</f>
        <v>0.32356045</v>
      </c>
      <c r="O19" s="1774">
        <f>SUM(O18:O18)</f>
        <v>0</v>
      </c>
      <c r="P19" s="1774">
        <f>SUM(P18:P18)</f>
        <v>0.32356045</v>
      </c>
      <c r="Q19" s="1774">
        <f>SUM(Q18:Q18)</f>
        <v>0</v>
      </c>
    </row>
    <row r="20"/>
    <row r="21">
      <c r="B21" s="1539" t="inlineStr">
        <is>
          <t>Total portfolio</t>
        </is>
      </c>
      <c r="C21" s="1539" t="n"/>
      <c r="D21" s="1539" t="n"/>
      <c r="E21" s="1784">
        <f>N(E9)+N(E14)+N(E19)</f>
        <v>12</v>
      </c>
      <c r="F21" s="1777">
        <f>N(F9)+N(F14)+N(F19)</f>
        <v>17</v>
      </c>
      <c r="G21" s="1777">
        <f>N(G9)+N(G14)+N(G19)</f>
        <v>9</v>
      </c>
      <c r="H21" s="1777">
        <f>N(H9)+N(H14)+N(H19)</f>
        <v>8</v>
      </c>
      <c r="I21" s="1777">
        <f>N(I9)+N(I14)+N(I19)</f>
        <v>8</v>
      </c>
      <c r="J21" s="1777">
        <f>N(J9)+N(J14)+N(J19)</f>
        <v>0</v>
      </c>
      <c r="K21" s="1777">
        <f>N(K9)+N(K14)+N(K19)</f>
        <v>0</v>
      </c>
      <c r="L21" s="1777">
        <f>N(L9)+N(L14)+N(L19)</f>
        <v>17</v>
      </c>
      <c r="M21" s="1776">
        <f>N(M9)+N(M14)+N(M19)</f>
        <v>3.04172845</v>
      </c>
      <c r="N21" s="1776">
        <f>N(N9)+N(N14)+N(N19)</f>
        <v>3.844616116</v>
      </c>
      <c r="O21" s="1776">
        <f>N(O9)+N(O14)+N(O19)</f>
        <v>0.479328</v>
      </c>
      <c r="P21" s="1776">
        <f>N(P9)+N(P14)+N(P19)</f>
        <v>3.844616116</v>
      </c>
      <c r="Q21" s="1776">
        <f>N(Q9)+N(Q14)+N(Q19)</f>
        <v>0.479328</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Finance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45" t="inlineStr">
        <is>
          <t>EGI Finance</t>
        </is>
      </c>
      <c r="C28" s="1545" t="str">
        <f>COUNTA($B$29:$B$29)&amp;IF(COUNTA($B$29:$B$29)=1," role"," roles")</f>
        <v>1 role</v>
      </c>
      <c r="D28" s="1545" t="n"/>
      <c r="E28" s="1545" t="n"/>
      <c r="F28" s="1785">
        <f>SUM(F29:F29)</f>
        <v>241728.45</v>
      </c>
      <c r="G28" s="1785">
        <f>SUM(G29:G29)</f>
        <v>241728.45</v>
      </c>
    </row>
    <row r="29">
      <c r="B29" s="1530" t="str">
        <f>INDEX('REVIEW - Complete Role Mapping'!$B:$B,447)</f>
        <v>Ee Lynn Yap</v>
      </c>
      <c r="C29" s="1530" t="str">
        <f>INDEX('REVIEW - Complete Role Mapping'!$C:$C,447)</f>
        <v>SAP ERP Application Lead</v>
      </c>
      <c r="D29" s="1530" t="str">
        <f>INDEX('REVIEW - Complete Role Mapping'!$AK:$AK,447)</f>
        <v>Filled</v>
      </c>
      <c r="E29" s="1547" t="inlineStr">
        <is>
          <t>Filled</t>
        </is>
      </c>
      <c r="F29" s="1773">
        <f>INDEX('REVIEW - Complete Role Mapping'!$AA:$AA,447)</f>
        <v>241728.45</v>
      </c>
      <c r="G29" s="1773">
        <f>$F29*IFERROR(INDEX(Lists!$AD:$AD,MATCH($E29,Lists!$AC:$AC,0)),1)</f>
        <v>241728.45</v>
      </c>
    </row>
    <row r="30">
      <c r="B30" s="1545" t="inlineStr">
        <is>
          <t>NZ Finance</t>
        </is>
      </c>
      <c r="C30" s="1545" t="str">
        <f>COUNTA($B$31:$B$35)&amp;IF(COUNTA($B$31:$B$35)=1," role"," roles")</f>
        <v>5 roles</v>
      </c>
      <c r="D30" s="1545" t="n"/>
      <c r="E30" s="1545" t="n"/>
      <c r="F30" s="1785">
        <f>SUM(F31:F35)</f>
        <v>905141.646</v>
      </c>
      <c r="G30" s="1785">
        <f>SUM(G31:G35)</f>
        <v>905141.646</v>
      </c>
    </row>
    <row r="31">
      <c r="B31" s="1530" t="str">
        <f>INDEX('REVIEW - Complete Role Mapping'!$B:$B,456)</f>
        <v>Leilanie Avilla</v>
      </c>
      <c r="C31" s="1530" t="str">
        <f>INDEX('REVIEW - Complete Role Mapping'!$C:$C,456)</f>
        <v>JDE Systems Specialist</v>
      </c>
      <c r="D31" s="1530" t="str">
        <f>INDEX('REVIEW - Complete Role Mapping'!$AK:$AK,456)</f>
        <v>Filled</v>
      </c>
      <c r="E31" s="1547" t="inlineStr">
        <is>
          <t>Filled</t>
        </is>
      </c>
      <c r="F31" s="1773">
        <f>INDEX('REVIEW - Complete Role Mapping'!$AA:$AA,456)</f>
        <v>107420.712</v>
      </c>
      <c r="G31" s="1773">
        <f>$F31*IFERROR(INDEX(Lists!$AD:$AD,MATCH($E31,Lists!$AC:$AC,0)),1)</f>
        <v>107420.712</v>
      </c>
    </row>
    <row r="32">
      <c r="B32" s="1530" t="str">
        <f>INDEX('REVIEW - Complete Role Mapping'!$B:$B,457)</f>
        <v>Lydia Pritchard</v>
      </c>
      <c r="C32" s="1530" t="str">
        <f>INDEX('REVIEW - Complete Role Mapping'!$C:$C,457)</f>
        <v>Lead JDE Systems Specialist</v>
      </c>
      <c r="D32" s="1530" t="str">
        <f>INDEX('REVIEW - Complete Role Mapping'!$AK:$AK,457)</f>
        <v>Filled</v>
      </c>
      <c r="E32" s="1547" t="inlineStr">
        <is>
          <t>Filled</t>
        </is>
      </c>
      <c r="F32" s="1773">
        <f>INDEX('REVIEW - Complete Role Mapping'!$AA:$AA,457)</f>
        <v>198099.684</v>
      </c>
      <c r="G32" s="1773">
        <f>$F32*IFERROR(INDEX(Lists!$AD:$AD,MATCH($E32,Lists!$AC:$AC,0)),1)</f>
        <v>198099.684</v>
      </c>
    </row>
    <row r="33">
      <c r="B33" s="1530" t="str">
        <f>INDEX('REVIEW - Complete Role Mapping'!$B:$B,458)</f>
        <v>Ring fenced</v>
      </c>
      <c r="C33" s="1530" t="str">
        <f>INDEX('REVIEW - Complete Role Mapping'!$C:$C,458)</f>
        <v>JDE Senior Systems Specialist</v>
      </c>
      <c r="D33" s="1530" t="str">
        <f>INDEX('REVIEW - Complete Role Mapping'!$AK:$AK,458)</f>
        <v>Filled</v>
      </c>
      <c r="E33" s="1547" t="inlineStr">
        <is>
          <t>Filled</t>
        </is>
      </c>
      <c r="F33" s="1773">
        <f>INDEX('REVIEW - Complete Role Mapping'!$AA:$AA,458)</f>
        <v>183966</v>
      </c>
      <c r="G33" s="1773">
        <f>$F33*IFERROR(INDEX(Lists!$AD:$AD,MATCH($E33,Lists!$AC:$AC,0)),1)</f>
        <v>183966</v>
      </c>
    </row>
    <row r="34">
      <c r="B34" s="1530" t="str">
        <f>INDEX('REVIEW - Complete Role Mapping'!$B:$B,459)</f>
        <v>Ring fenced</v>
      </c>
      <c r="C34" s="1530" t="str">
        <f>INDEX('REVIEW - Complete Role Mapping'!$C:$C,459)</f>
        <v>JDE Senior Systems Specialist</v>
      </c>
      <c r="D34" s="1530" t="str">
        <f>INDEX('REVIEW - Complete Role Mapping'!$AK:$AK,459)</f>
        <v>Filled</v>
      </c>
      <c r="E34" s="1547" t="inlineStr">
        <is>
          <t>Filled</t>
        </is>
      </c>
      <c r="F34" s="1773">
        <f>INDEX('REVIEW - Complete Role Mapping'!$AA:$AA,459)</f>
        <v>183966</v>
      </c>
      <c r="G34" s="1773">
        <f>$F34*IFERROR(INDEX(Lists!$AD:$AD,MATCH($E34,Lists!$AC:$AC,0)),1)</f>
        <v>183966</v>
      </c>
    </row>
    <row r="35">
      <c r="B35" s="1530" t="str">
        <f>INDEX('REVIEW - Complete Role Mapping'!$B:$B,500)</f>
        <v>Vacant</v>
      </c>
      <c r="C35" s="1530" t="str">
        <f>INDEX('REVIEW - Complete Role Mapping'!$C:$C,500)</f>
        <v>Delivery Lead (JDE)</v>
      </c>
      <c r="D35" s="1530" t="str">
        <f>INDEX('REVIEW - Complete Role Mapping'!$AK:$AK,500)</f>
        <v>Vacant</v>
      </c>
      <c r="E35" s="1547" t="inlineStr">
        <is>
          <t>Hire</t>
        </is>
      </c>
      <c r="F35" s="1773">
        <f>INDEX('REVIEW - Complete Role Mapping'!$AA:$AA,500)</f>
        <v>231689.25</v>
      </c>
      <c r="G35" s="1773">
        <f>$F35*IFERROR(INDEX(Lists!$AD:$AD,MATCH($E35,Lists!$AC:$AC,0)),1)</f>
        <v>231689.25</v>
      </c>
    </row>
    <row r="36">
      <c r="B36" s="1545" t="inlineStr">
        <is>
          <t>SAP ERP</t>
        </is>
      </c>
      <c r="C36" s="1545" t="str">
        <f>COUNTA($B$37:$B$46)&amp;IF(COUNTA($B$37:$B$46)=1," role"," roles")</f>
        <v>10 roles</v>
      </c>
      <c r="D36" s="1545" t="n"/>
      <c r="E36" s="1545" t="n"/>
      <c r="F36" s="1785">
        <f>SUM(F37:F46)</f>
        <v>2374185.57</v>
      </c>
      <c r="G36" s="1785">
        <f>SUM(G37:G46)</f>
        <v>2374185.57</v>
      </c>
    </row>
    <row r="37">
      <c r="B37" s="1530" t="str">
        <f>INDEX('REVIEW - Complete Role Mapping'!$B:$B,453)</f>
        <v>Julma Bhagwani</v>
      </c>
      <c r="C37" s="1530" t="str">
        <f>INDEX('REVIEW - Complete Role Mapping'!$C:$C,453)</f>
        <v>SAP ERP Application Lead</v>
      </c>
      <c r="D37" s="1530" t="str">
        <f>INDEX('REVIEW - Complete Role Mapping'!$AK:$AK,453)</f>
        <v>Filled</v>
      </c>
      <c r="E37" s="1547" t="inlineStr">
        <is>
          <t>Filled</t>
        </is>
      </c>
      <c r="F37" s="1773">
        <f>INDEX('REVIEW - Complete Role Mapping'!$AA:$AA,453)</f>
        <v>239899.5</v>
      </c>
      <c r="G37" s="1773">
        <f>$F37*IFERROR(INDEX(Lists!$AD:$AD,MATCH($E37,Lists!$AC:$AC,0)),1)</f>
        <v>239899.5</v>
      </c>
    </row>
    <row r="38">
      <c r="B38" s="1530" t="str">
        <f>INDEX('REVIEW - Complete Role Mapping'!$B:$B,454)</f>
        <v>Maudud Chaudhury</v>
      </c>
      <c r="C38" s="1530" t="str">
        <f>INDEX('REVIEW - Complete Role Mapping'!$C:$C,454)</f>
        <v>SAP ERP Application Lead</v>
      </c>
      <c r="D38" s="1530" t="str">
        <f>INDEX('REVIEW - Complete Role Mapping'!$AK:$AK,454)</f>
        <v>Filled</v>
      </c>
      <c r="E38" s="1547" t="inlineStr">
        <is>
          <t>Filled</t>
        </is>
      </c>
      <c r="F38" s="1773">
        <f>INDEX('REVIEW - Complete Role Mapping'!$AA:$AA,454)</f>
        <v>214093.95</v>
      </c>
      <c r="G38" s="1773">
        <f>$F38*IFERROR(INDEX(Lists!$AD:$AD,MATCH($E38,Lists!$AC:$AC,0)),1)</f>
        <v>214093.95</v>
      </c>
    </row>
    <row r="39">
      <c r="B39" s="1530" t="str">
        <f>INDEX('REVIEW - Complete Role Mapping'!$B:$B,495)</f>
        <v>Vacant</v>
      </c>
      <c r="C39" s="1530" t="str">
        <f>INDEX('REVIEW - Complete Role Mapping'!$C:$C,495)</f>
        <v>SAP Functional Specialist</v>
      </c>
      <c r="D39" s="1530" t="str">
        <f>INDEX('REVIEW - Complete Role Mapping'!$AK:$AK,495)</f>
        <v>Vacant</v>
      </c>
      <c r="E39" s="1547" t="inlineStr">
        <is>
          <t>Hire</t>
        </is>
      </c>
      <c r="F39" s="1773">
        <f>INDEX('REVIEW - Complete Role Mapping'!$AA:$AA,495)</f>
        <v>231689.25</v>
      </c>
      <c r="G39" s="1773">
        <f>$F39*IFERROR(INDEX(Lists!$AD:$AD,MATCH($E39,Lists!$AC:$AC,0)),1)</f>
        <v>231689.25</v>
      </c>
    </row>
    <row r="40">
      <c r="B40" s="1530" t="str">
        <f>INDEX('REVIEW - Complete Role Mapping'!$B:$B,496)</f>
        <v>Vacant</v>
      </c>
      <c r="C40" s="1530" t="str">
        <f>INDEX('REVIEW - Complete Role Mapping'!$C:$C,496)</f>
        <v>SAP Functional Specialist</v>
      </c>
      <c r="D40" s="1530" t="str">
        <f>INDEX('REVIEW - Complete Role Mapping'!$AK:$AK,496)</f>
        <v>Vacant</v>
      </c>
      <c r="E40" s="1547" t="inlineStr">
        <is>
          <t>Hire</t>
        </is>
      </c>
      <c r="F40" s="1773">
        <f>INDEX('REVIEW - Complete Role Mapping'!$AA:$AA,496)</f>
        <v>231689.25</v>
      </c>
      <c r="G40" s="1773">
        <f>$F40*IFERROR(INDEX(Lists!$AD:$AD,MATCH($E40,Lists!$AC:$AC,0)),1)</f>
        <v>231689.25</v>
      </c>
    </row>
    <row r="41">
      <c r="B41" s="1530" t="str">
        <f>INDEX('REVIEW - Complete Role Mapping'!$B:$B,497)</f>
        <v>Vacant</v>
      </c>
      <c r="C41" s="1530" t="str">
        <f>INDEX('REVIEW - Complete Role Mapping'!$C:$C,497)</f>
        <v>SAP Functional Specialist</v>
      </c>
      <c r="D41" s="1530" t="str">
        <f>INDEX('REVIEW - Complete Role Mapping'!$AK:$AK,497)</f>
        <v>Vacant</v>
      </c>
      <c r="E41" s="1547" t="inlineStr">
        <is>
          <t>Hire</t>
        </is>
      </c>
      <c r="F41" s="1773">
        <f>INDEX('REVIEW - Complete Role Mapping'!$AA:$AA,497)</f>
        <v>231689.25</v>
      </c>
      <c r="G41" s="1773">
        <f>$F41*IFERROR(INDEX(Lists!$AD:$AD,MATCH($E41,Lists!$AC:$AC,0)),1)</f>
        <v>231689.25</v>
      </c>
    </row>
    <row r="42">
      <c r="B42" s="1530" t="str">
        <f>INDEX('REVIEW - Complete Role Mapping'!$B:$B,498)</f>
        <v>Vacant</v>
      </c>
      <c r="C42" s="1530" t="str">
        <f>INDEX('REVIEW - Complete Role Mapping'!$C:$C,498)</f>
        <v>SAP Functional Specialist</v>
      </c>
      <c r="D42" s="1530" t="str">
        <f>INDEX('REVIEW - Complete Role Mapping'!$AK:$AK,498)</f>
        <v>Vacant</v>
      </c>
      <c r="E42" s="1547" t="inlineStr">
        <is>
          <t>Hire</t>
        </is>
      </c>
      <c r="F42" s="1773">
        <f>INDEX('REVIEW - Complete Role Mapping'!$AA:$AA,498)</f>
        <v>231689.25</v>
      </c>
      <c r="G42" s="1773">
        <f>$F42*IFERROR(INDEX(Lists!$AD:$AD,MATCH($E42,Lists!$AC:$AC,0)),1)</f>
        <v>231689.25</v>
      </c>
    </row>
    <row r="43">
      <c r="B43" s="1530" t="str">
        <f>INDEX('REVIEW - Complete Role Mapping'!$B:$B,499)</f>
        <v>Vacant</v>
      </c>
      <c r="C43" s="1530" t="str">
        <f>INDEX('REVIEW - Complete Role Mapping'!$C:$C,499)</f>
        <v>Solution Architect - Finance</v>
      </c>
      <c r="D43" s="1530" t="str">
        <f>INDEX('REVIEW - Complete Role Mapping'!$AK:$AK,499)</f>
        <v>Vacant</v>
      </c>
      <c r="E43" s="1547" t="inlineStr">
        <is>
          <t>Hire</t>
        </is>
      </c>
      <c r="F43" s="1773">
        <f>INDEX('REVIEW - Complete Role Mapping'!$AA:$AA,499)</f>
        <v>231689.25</v>
      </c>
      <c r="G43" s="1773">
        <f>$F43*IFERROR(INDEX(Lists!$AD:$AD,MATCH($E43,Lists!$AC:$AC,0)),1)</f>
        <v>231689.25</v>
      </c>
    </row>
    <row r="44">
      <c r="B44" s="1530" t="str">
        <f>INDEX('REVIEW - Complete Role Mapping'!$B:$B,501)</f>
        <v>Vacant</v>
      </c>
      <c r="C44" s="1530" t="str">
        <f>INDEX('REVIEW - Complete Role Mapping'!$C:$C,501)</f>
        <v>Delivery Lead (SAP)</v>
      </c>
      <c r="D44" s="1530" t="str">
        <f>INDEX('REVIEW - Complete Role Mapping'!$AK:$AK,501)</f>
        <v>Vacant</v>
      </c>
      <c r="E44" s="1547" t="inlineStr">
        <is>
          <t>Hire</t>
        </is>
      </c>
      <c r="F44" s="1773">
        <f>INDEX('REVIEW - Complete Role Mapping'!$AA:$AA,501)</f>
        <v>231689.25</v>
      </c>
      <c r="G44" s="1773">
        <f>$F44*IFERROR(INDEX(Lists!$AD:$AD,MATCH($E44,Lists!$AC:$AC,0)),1)</f>
        <v>231689.25</v>
      </c>
    </row>
    <row r="45">
      <c r="B45" s="1530" t="str">
        <f>INDEX('REVIEW - Complete Role Mapping'!$B:$B,526)</f>
        <v>Vacant</v>
      </c>
      <c r="C45" s="1530" t="str">
        <f>INDEX('REVIEW - Complete Role Mapping'!$C:$C,526)</f>
        <v>Integration Specialist (ASAPIO CTRM)</v>
      </c>
      <c r="D45" s="1530" t="str">
        <f>INDEX('REVIEW - Complete Role Mapping'!$AK:$AK,526)</f>
        <v>Vacant</v>
      </c>
      <c r="E45" s="1547" t="inlineStr">
        <is>
          <t>Hire</t>
        </is>
      </c>
      <c r="F45" s="1773">
        <f>INDEX('REVIEW - Complete Role Mapping'!$AA:$AA,526)</f>
        <v>174856.62</v>
      </c>
      <c r="G45" s="1773">
        <f>$F45*IFERROR(INDEX(Lists!$AD:$AD,MATCH($E45,Lists!$AC:$AC,0)),1)</f>
        <v>174856.62</v>
      </c>
    </row>
    <row r="46">
      <c r="B46" s="1530" t="str">
        <f>INDEX('REVIEW - Complete Role Mapping'!$B:$B,528)</f>
        <v>Jens Tom</v>
      </c>
      <c r="C46" s="1530" t="str">
        <f>INDEX('REVIEW - Complete Role Mapping'!$C:$C,528)</f>
        <v>SAP Solution Architect</v>
      </c>
      <c r="D46" s="1530" t="str">
        <f>INDEX('REVIEW - Complete Role Mapping'!$AK:$AK,528)</f>
        <v>Filled</v>
      </c>
      <c r="E46" s="1547" t="inlineStr">
        <is>
          <t>Filled</t>
        </is>
      </c>
      <c r="F46" s="1773">
        <f>INDEX('REVIEW - Complete Role Mapping'!$AA:$AA,528)</f>
        <v>355200</v>
      </c>
      <c r="G46" s="1773">
        <f>$F46*IFERROR(INDEX(Lists!$AD:$AD,MATCH($E46,Lists!$AC:$AC,0)),1)</f>
        <v>355200</v>
      </c>
    </row>
    <row r="47">
      <c r="B47" s="1545" t="inlineStr">
        <is>
          <t>Technology Manager</t>
        </is>
      </c>
      <c r="C47" s="1545" t="str">
        <f>COUNTA($B$48:$B$48)&amp;IF(COUNTA($B$48:$B$48)=1," role"," roles")</f>
        <v>1 role</v>
      </c>
      <c r="D47" s="1545" t="n"/>
      <c r="E47" s="1545" t="n"/>
      <c r="F47" s="1785">
        <f>SUM(F48:F48)</f>
        <v>323560.45</v>
      </c>
      <c r="G47" s="1785">
        <f>SUM(G48:G48)</f>
        <v>323560.45</v>
      </c>
    </row>
    <row r="48">
      <c r="B48" s="1530" t="str">
        <f>INDEX('REVIEW - Complete Role Mapping'!$B:$B,455)</f>
        <v>Shane Ker</v>
      </c>
      <c r="C48" s="1530" t="str">
        <f>INDEX('REVIEW - Complete Role Mapping'!$C:$C,455)</f>
        <v>Technology Manger - Finance Platfoms</v>
      </c>
      <c r="D48" s="1530" t="str">
        <f>INDEX('REVIEW - Complete Role Mapping'!$AK:$AK,455)</f>
        <v>Filled</v>
      </c>
      <c r="E48" s="1547" t="inlineStr">
        <is>
          <t>Filled</t>
        </is>
      </c>
      <c r="F48" s="1773">
        <f>INDEX('REVIEW - Complete Role Mapping'!$AA:$AA,455)</f>
        <v>323560.45</v>
      </c>
      <c r="G48" s="1773">
        <f>$F48*IFERROR(INDEX(Lists!$AD:$AD,MATCH($E48,Lists!$AC:$AC,0)),1)</f>
        <v>323560.45</v>
      </c>
    </row>
  </sheetData>
  <dataValidations count="1">
    <dataValidation sqref="E29 E31 E32 E33 E34 E35 E37 E38 E39 E40 E41 E42 E43 E44 E45 E46 E4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&amp; Insights</t>
        </is>
      </c>
      <c r="C7" s="1530" t="str">
        <f>IFERROR(INDEX('1.7 Infrastructure'!$C$24:$C$41,MATCH($B7,'1.7 Infrastructure'!$B$24:$B$41,0)),"Not on the 1.x tab")</f>
        <v>Configuration / Integration</v>
      </c>
      <c r="D7" s="1530" t="str">
        <f>IFERROR(IF(INDEX('1.7 Infrastructure'!$D$24:$D$41,MATCH($B7,'1.7 Infrastructure'!$B$24:$B$41,0))="","-",INDEX('1.7 Infrastructure'!$D$24:$D$41,MATCH($B7,'1.7 Infrastructure'!$B$24:$B$41,0))),"-")</f>
        <v>S</v>
      </c>
      <c r="E7" s="1782">
        <f>IFERROR(INDEX('0.3 Squad Archetypes'!$F$5:$F$23,MATCH($C7&amp;"|"&amp;$D7,'0.3 Squad Archetypes'!$A$5:$A$23,0)),"-")</f>
        <v>6</v>
      </c>
      <c r="F7" s="1773">
        <f>COUNTA($B$33:$B$39)</f>
        <v>7</v>
      </c>
      <c r="G7" s="1773">
        <f>COUNTIFS($D$33:$D$39,"Filled")</f>
        <v>2</v>
      </c>
      <c r="H7" s="1773">
        <f>COUNTIFS($D$33:$D$39,"Vacant")</f>
        <v>5</v>
      </c>
      <c r="I7" s="1773">
        <f>COUNTIFS($D$33:$D$39,"Vacant",$E$33:$E$39,"Hire")</f>
        <v>5</v>
      </c>
      <c r="J7" s="1773">
        <f>COUNTIFS($E$33:$E$39,"Offshore")</f>
        <v>0</v>
      </c>
      <c r="K7" s="1773">
        <f>COUNTIFS($E$33:$E$39,"Hold")</f>
        <v>0</v>
      </c>
      <c r="L7" s="1773">
        <f>$F7-$K7</f>
        <v>7</v>
      </c>
      <c r="M7" s="1772">
        <f>IFERROR(IF(INDEX('1.7 Infrastructure'!$E$24:$E$41,MATCH($B7,'1.7 Infrastructure'!$B$24:$B$41,0))="Offshore",INDEX('0.3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1.51725675</v>
      </c>
      <c r="O7" s="1772">
        <f>IFERROR(ROUND($N7-$M7,6),"-")</f>
        <v>0.117257</v>
      </c>
      <c r="P7" s="1772">
        <f>SUM($G$33:$G$39)/1000000</f>
        <v>1.51725675</v>
      </c>
      <c r="Q7" s="1772">
        <f>IFERROR(ROUND($P7-$M7,6),"-")</f>
        <v>0.117257</v>
      </c>
    </row>
    <row r="8">
      <c r="B8" s="1530" t="inlineStr">
        <is>
          <t>Distribution, Sales &amp; Services</t>
        </is>
      </c>
      <c r="C8" s="1530" t="str">
        <f>IFERROR(INDEX('1.7 Infrastructure'!$C$24:$C$41,MATCH($B8,'1.7 Infrastructure'!$B$24:$B$41,0)),"Not on the 1.x tab")</f>
        <v>Configuration / Integration</v>
      </c>
      <c r="D8" s="1530" t="str">
        <f>IFERROR(IF(INDEX('1.7 Infrastructure'!$D$24:$D$41,MATCH($B8,'1.7 Infrastructure'!$B$24:$B$41,0))="","-",INDEX('1.7 Infrastructure'!$D$24:$D$41,MATCH($B8,'1.7 Infrastructure'!$B$24:$B$41,0))),"-")</f>
        <v>M</v>
      </c>
      <c r="E8" s="1782">
        <f>IFERROR(INDEX('0.3 Squad Archetypes'!$F$5:$F$23,MATCH($C8&amp;"|"&amp;$D8,'0.3 Squad Archetypes'!$A$5:$A$23,0)),"-")</f>
        <v>9</v>
      </c>
      <c r="F8" s="1773">
        <f>COUNTA($B$41:$B$50)</f>
        <v>10</v>
      </c>
      <c r="G8" s="1773">
        <f>COUNTIFS($D$41:$D$50,"Filled")</f>
        <v>8</v>
      </c>
      <c r="H8" s="1773">
        <f>COUNTIFS($D$41:$D$50,"Vacant")</f>
        <v>2</v>
      </c>
      <c r="I8" s="1773">
        <f>COUNTIFS($D$41:$D$50,"Vacant",$E$41:$E$50,"Hire")</f>
        <v>2</v>
      </c>
      <c r="J8" s="1773">
        <f>COUNTIFS($E$41:$E$50,"Offshore")</f>
        <v>0</v>
      </c>
      <c r="K8" s="1773">
        <f>COUNTIFS($E$41:$E$50,"Hold")</f>
        <v>0</v>
      </c>
      <c r="L8" s="1773">
        <f>$F8-$K8</f>
        <v>10</v>
      </c>
      <c r="M8" s="1772">
        <f>IFERROR(IF(INDEX('1.7 Infrastructure'!$E$24:$E$41,MATCH($B8,'1.7 Infrastructure'!$B$24:$B$41,0))="Offshore",INDEX('0.3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2.12727365</v>
      </c>
      <c r="O8" s="1772">
        <f>IFERROR(ROUND($N8-$M8,6),"-")</f>
        <v>0.027274</v>
      </c>
      <c r="P8" s="1772">
        <f>SUM($G$41:$G$50)/1000000</f>
        <v>2.12727365</v>
      </c>
      <c r="Q8" s="1772">
        <f>IFERROR(ROUND($P8-$M8,6),"-")</f>
        <v>0.027274</v>
      </c>
    </row>
    <row r="9">
      <c r="B9" s="1530" t="inlineStr">
        <is>
          <t>Manufacturing Group Projects</t>
        </is>
      </c>
      <c r="C9" s="1530" t="str">
        <f>IFERROR(INDEX('1.7 Infrastructure'!$C$24:$C$41,MATCH($B9,'1.7 Infrastructure'!$B$24:$B$41,0)),"Not on the 1.x tab")</f>
        <v>Configuration / Integration</v>
      </c>
      <c r="D9" s="1530" t="str">
        <f>IFERROR(IF(INDEX('1.7 Infrastructure'!$D$24:$D$41,MATCH($B9,'1.7 Infrastructure'!$B$24:$B$41,0))="","-",INDEX('1.7 Infrastructure'!$D$24:$D$41,MATCH($B9,'1.7 Infrastructure'!$B$24:$B$41,0))),"-")</f>
        <v>M</v>
      </c>
      <c r="E9" s="1782">
        <f>IFERROR(INDEX('0.3 Squad Archetypes'!$F$5:$F$23,MATCH($C9&amp;"|"&amp;$D9,'0.3 Squad Archetypes'!$A$5:$A$23,0)),"-")</f>
        <v>9</v>
      </c>
      <c r="F9" s="1773">
        <f>COUNTA($B$54:$B$62)</f>
        <v>9</v>
      </c>
      <c r="G9" s="1773">
        <f>COUNTIFS($D$54:$D$62,"Filled")</f>
        <v>7</v>
      </c>
      <c r="H9" s="1773">
        <f>COUNTIFS($D$54:$D$62,"Vacant")</f>
        <v>2</v>
      </c>
      <c r="I9" s="1773">
        <f>COUNTIFS($D$54:$D$62,"Vacant",$E$54:$E$62,"Hire")</f>
        <v>2</v>
      </c>
      <c r="J9" s="1773">
        <f>COUNTIFS($E$54:$E$62,"Offshore")</f>
        <v>0</v>
      </c>
      <c r="K9" s="1773">
        <f>COUNTIFS($E$54:$E$62,"Hold")</f>
        <v>0</v>
      </c>
      <c r="L9" s="1773">
        <f>$F9-$K9</f>
        <v>9</v>
      </c>
      <c r="M9" s="1772">
        <f>IFERROR(IF(INDEX('1.7 Infrastructure'!$E$24:$E$41,MATCH($B9,'1.7 Infrastructure'!$B$24:$B$41,0))="Offshore",INDEX('0.3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1.9147733</v>
      </c>
      <c r="O9" s="1772">
        <f>IFERROR(ROUND($N9-$M9,6),"-")</f>
        <v>-0.185227</v>
      </c>
      <c r="P9" s="1772">
        <f>SUM($G$54:$G$62)/1000000</f>
        <v>1.9147733</v>
      </c>
      <c r="Q9" s="1772">
        <f>IFERROR(ROUND($P9-$M9,6),"-")</f>
        <v>-0.185227</v>
      </c>
    </row>
    <row r="10">
      <c r="B10" s="1530" t="inlineStr">
        <is>
          <t>Technology Support</t>
        </is>
      </c>
      <c r="C10" s="1530" t="str">
        <f>IFERROR(INDEX('1.7 Infrastructure'!$C$24:$C$41,MATCH($B10,'1.7 Infrastructure'!$B$24:$B$41,0)),"Not on the 1.x tab")</f>
        <v>Operations</v>
      </c>
      <c r="D10" s="1530" t="str">
        <f>IFERROR(IF(INDEX('1.7 Infrastructure'!$D$24:$D$41,MATCH($B10,'1.7 Infrastructure'!$B$24:$B$41,0))="","-",INDEX('1.7 Infrastructure'!$D$24:$D$41,MATCH($B10,'1.7 Infrastructure'!$B$24:$B$41,0))),"-")</f>
        <v>S</v>
      </c>
      <c r="E10" s="1782">
        <f>IFERROR(INDEX('0.3 Squad Archetypes'!$F$5:$F$23,MATCH($C10&amp;"|"&amp;$D10,'0.3 Squad Archetypes'!$A$5:$A$23,0)),"-")</f>
        <v>4</v>
      </c>
      <c r="F10" s="1773">
        <f>COUNTA($B$64:$B$68)</f>
        <v>5</v>
      </c>
      <c r="G10" s="1773">
        <f>COUNTIFS($D$64:$D$68,"Filled")</f>
        <v>5</v>
      </c>
      <c r="H10" s="1773">
        <f>COUNTIFS($D$64:$D$68,"Vacant")</f>
        <v>0</v>
      </c>
      <c r="I10" s="1773">
        <f>COUNTIFS($D$64:$D$68,"Vacant",$E$64:$E$68,"Hire")</f>
        <v>0</v>
      </c>
      <c r="J10" s="1773">
        <f>COUNTIFS($E$64:$E$68,"Offshore")</f>
        <v>0</v>
      </c>
      <c r="K10" s="1773">
        <f>COUNTIFS($E$64:$E$68,"Hold")</f>
        <v>0</v>
      </c>
      <c r="L10" s="1773">
        <f>$F10-$K10</f>
        <v>5</v>
      </c>
      <c r="M10" s="1772">
        <f>IFERROR(IF(INDEX('1.7 Infrastructure'!$E$24:$E$41,MATCH($B10,'1.7 Infrastructure'!$B$24:$B$41,0))="Offshore",INDEX('0.3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0.74133529</v>
      </c>
      <c r="O10" s="1772">
        <f>IFERROR(ROUND($N10-$M10,6),"-")</f>
        <v>-0.058665</v>
      </c>
      <c r="P10" s="1772">
        <f>SUM($G$64:$G$68)/1000000</f>
        <v>0.74133529</v>
      </c>
      <c r="Q10" s="1772">
        <f>IFERROR(ROUND($P10-$M10,6),"-")</f>
        <v>-0.058665</v>
      </c>
    </row>
    <row r="11">
      <c r="B11" s="1534" t="inlineStr">
        <is>
          <t>Squads priced by an archetype</t>
        </is>
      </c>
      <c r="C11" s="1534" t="n"/>
      <c r="D11" s="1534" t="n"/>
      <c r="E11" s="1783">
        <f>SUM(E7:E10)</f>
        <v>28</v>
      </c>
      <c r="F11" s="1775">
        <f>SUM(F7:F10)</f>
        <v>31</v>
      </c>
      <c r="G11" s="1775">
        <f>SUM(G7:G10)</f>
        <v>22</v>
      </c>
      <c r="H11" s="1775">
        <f>SUM(H7:H10)</f>
        <v>9</v>
      </c>
      <c r="I11" s="1775">
        <f>SUM(I7:I10)</f>
        <v>9</v>
      </c>
      <c r="J11" s="1775">
        <f>SUM(J7:J10)</f>
        <v>0</v>
      </c>
      <c r="K11" s="1775">
        <f>SUM(K7:K10)</f>
        <v>0</v>
      </c>
      <c r="L11" s="1775">
        <f>SUM(L7:L10)</f>
        <v>31</v>
      </c>
      <c r="M11" s="1774">
        <f>SUM(M7:M10)</f>
        <v>6.4</v>
      </c>
      <c r="N11" s="1774">
        <f>SUM(N7:N10)</f>
        <v>6.30063899</v>
      </c>
      <c r="O11" s="1774">
        <f>SUM(O7:O10)</f>
        <v>-0.099361</v>
      </c>
      <c r="P11" s="1774">
        <f>SUM(P7:P10)</f>
        <v>6.30063899</v>
      </c>
      <c r="Q11" s="1774">
        <f>SUM(Q7:Q10)</f>
        <v>-0.099361</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Leadership</t>
        </is>
      </c>
      <c r="C15" s="1530" t="str">
        <f>IFERROR(INDEX('1.7 Infrastructure'!$C$24:$C$41,MATCH($B15,'1.7 Infrastructure'!$B$24:$B$41,0)),"Not on the 1.x tab")</f>
        <v>Not on the 1.x tab</v>
      </c>
      <c r="D15" s="1530" t="str">
        <f>IFERROR(IF(INDEX('1.7 Infrastructure'!$D$24:$D$41,MATCH($B15,'1.7 Infrastructure'!$B$24:$B$41,0))="","-",INDEX('1.7 Infrastructure'!$D$24:$D$41,MATCH($B15,'1.7 Infrastructure'!$B$24:$B$41,0))),"-")</f>
        <v>-</v>
      </c>
      <c r="E15" s="1782" t="str">
        <f>"-"</f>
        <v>-</v>
      </c>
      <c r="F15" s="1773">
        <f>COUNTA($B$52:$B$52)</f>
        <v>1</v>
      </c>
      <c r="G15" s="1773">
        <f>COUNTIFS($D$52:$D$52,"Filled")</f>
        <v>1</v>
      </c>
      <c r="H15" s="1773">
        <f>COUNTIFS($D$52:$D$52,"Vacant")</f>
        <v>0</v>
      </c>
      <c r="I15" s="1773">
        <f>COUNTIFS($D$52:$D$52,"Vacant",$E$52:$E$52,"Hire")</f>
        <v>0</v>
      </c>
      <c r="J15" s="1773">
        <f>COUNTIFS($E$52:$E$52,"Offshore")</f>
        <v>0</v>
      </c>
      <c r="K15" s="1773">
        <f>COUNTIFS($E$52:$E$52,"Hold")</f>
        <v>0</v>
      </c>
      <c r="L15" s="1773">
        <f>$F15-$K15</f>
        <v>1</v>
      </c>
      <c r="M15" s="1772" t="str">
        <f>IFERROR(INDEX('1.7 Infrastructure'!$H$24:$H$41,MATCH($B15,'1.7 Infrastructure'!$B$24:$B$41,0)),"-")</f>
        <v>-</v>
      </c>
      <c r="N15" s="1772">
        <f>SUMIFS('REVIEW - Complete Role Mapping'!$AA$2:$AA$528,'REVIEW - Complete Role Mapping'!$AJ$2:$AJ$528,$C$3,'REVIEW - Complete Role Mapping'!$AT$2:$AT$528,$B15)/1000000</f>
        <v>0.2566671</v>
      </c>
      <c r="O15" s="1772" t="str">
        <f>IFERROR(ROUND($N15-$M15,6),"-")</f>
        <v>-</v>
      </c>
      <c r="P15" s="1772">
        <f>SUM($G$52:$G$52)/1000000</f>
        <v>0.2566671</v>
      </c>
      <c r="Q15" s="1772" t="str">
        <f>IFERROR(ROUND($P15-$M15,6),"-")</f>
        <v>-</v>
      </c>
    </row>
    <row r="16">
      <c r="B16" s="1534" t="inlineStr">
        <is>
          <t>Directly funded total</t>
        </is>
      </c>
      <c r="C16" s="1534" t="n"/>
      <c r="D16" s="1534" t="n"/>
      <c r="E16" s="1783">
        <f>SUM(E15:E15)</f>
        <v>0</v>
      </c>
      <c r="F16" s="1775">
        <f>SUM(F15:F15)</f>
        <v>1</v>
      </c>
      <c r="G16" s="1775">
        <f>SUM(G15:G15)</f>
        <v>1</v>
      </c>
      <c r="H16" s="1775">
        <f>SUM(H15:H15)</f>
        <v>0</v>
      </c>
      <c r="I16" s="1775">
        <f>SUM(I15:I15)</f>
        <v>0</v>
      </c>
      <c r="J16" s="1775">
        <f>SUM(J15:J15)</f>
        <v>0</v>
      </c>
      <c r="K16" s="1775">
        <f>SUM(K15:K15)</f>
        <v>0</v>
      </c>
      <c r="L16" s="1775">
        <f>SUM(L15:L15)</f>
        <v>1</v>
      </c>
      <c r="M16" s="1774">
        <f>SUM(M15:M15)</f>
        <v>0</v>
      </c>
      <c r="N16" s="1774">
        <f>SUM(N15:N15)</f>
        <v>0.2566671</v>
      </c>
      <c r="O16" s="1774">
        <f>SUM(O15:O15)</f>
        <v>0</v>
      </c>
      <c r="P16" s="1774">
        <f>SUM(P15:P15)</f>
        <v>0.2566671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COUNTA($B$70:$B$70)</f>
        <v>1</v>
      </c>
      <c r="G20" s="1773">
        <f>COUNTIFS($D$70:$D$70,"Filled")</f>
        <v>1</v>
      </c>
      <c r="H20" s="1773">
        <f>COUNTIFS($D$70:$D$70,"Vacant")</f>
        <v>0</v>
      </c>
      <c r="I20" s="1773">
        <f>COUNTIFS($D$70:$D$70,"Vacant",$E$70:$E$70,"Hire")</f>
        <v>0</v>
      </c>
      <c r="J20" s="1773">
        <f>COUNTIFS($E$70:$E$70,"Offshore")</f>
        <v>0</v>
      </c>
      <c r="K20" s="1773">
        <f>COUNTIFS($E$70:$E$70,"Hold")</f>
        <v>0</v>
      </c>
      <c r="L20" s="1773">
        <f>$F20-$K20</f>
        <v>1</v>
      </c>
      <c r="M20" s="1538" t="str">
        <f>"-"</f>
        <v>-</v>
      </c>
      <c r="N20" s="1772">
        <f>SUMIFS('REVIEW - Complete Role Mapping'!$AA$2:$AA$528,'REVIEW - Complete Role Mapping'!$AJ$2:$AJ$528,$C$3,'REVIEW - Complete Role Mapping'!$AT$2:$AT$528,$B20)/1000000</f>
        <v>0.3636267</v>
      </c>
      <c r="O20" s="1538" t="str">
        <f>"-"</f>
        <v>-</v>
      </c>
      <c r="P20" s="1772">
        <f>SUM($G$70:$G$70)/1000000</f>
        <v>0.3636267</v>
      </c>
      <c r="Q20" s="1538" t="str">
        <f>"-"</f>
        <v>-</v>
      </c>
    </row>
    <row r="21">
      <c r="B21" s="1530" t="inlineStr">
        <is>
          <t>Delivery Manager</t>
        </is>
      </c>
      <c r="C21" s="1530" t="str">
        <f>"-"</f>
        <v>-</v>
      </c>
      <c r="D21" s="1530" t="str">
        <f>"-"</f>
        <v>-</v>
      </c>
      <c r="E21" s="1538" t="str">
        <f>"-"</f>
        <v>-</v>
      </c>
      <c r="F21" s="1773">
        <f>COUNTA($B$72:$B$72)</f>
        <v>1</v>
      </c>
      <c r="G21" s="1773">
        <f>COUNTIFS($D$72:$D$72,"Filled")</f>
        <v>0</v>
      </c>
      <c r="H21" s="1773">
        <f>COUNTIFS($D$72:$D$72,"Vacant")</f>
        <v>1</v>
      </c>
      <c r="I21" s="1773">
        <f>COUNTIFS($D$72:$D$72,"Vacant",$E$72:$E$72,"Hire")</f>
        <v>1</v>
      </c>
      <c r="J21" s="1773">
        <f>COUNTIFS($E$72:$E$72,"Offshore")</f>
        <v>0</v>
      </c>
      <c r="K21" s="1773">
        <f>COUNTIFS($E$72:$E$72,"Hold")</f>
        <v>0</v>
      </c>
      <c r="L21" s="1773">
        <f>$F21-$K21</f>
        <v>1</v>
      </c>
      <c r="M21" s="1538" t="str">
        <f>"-"</f>
        <v>-</v>
      </c>
      <c r="N21" s="1772">
        <f>SUMIFS('REVIEW - Complete Role Mapping'!$AA$2:$AA$528,'REVIEW - Complete Role Mapping'!$AJ$2:$AJ$528,$C$3,'REVIEW - Complete Role Mapping'!$AT$2:$AT$528,$B21)/1000000</f>
        <v>0.27581025</v>
      </c>
      <c r="O21" s="1538" t="str">
        <f>"-"</f>
        <v>-</v>
      </c>
      <c r="P21" s="1772">
        <f>SUM($G$72:$G$72)/1000000</f>
        <v>0.27581025</v>
      </c>
      <c r="Q21" s="1538" t="str">
        <f>"-"</f>
        <v>-</v>
      </c>
    </row>
    <row r="22">
      <c r="B22" s="1530" t="inlineStr">
        <is>
          <t>Technology Manager</t>
        </is>
      </c>
      <c r="C22" s="1530" t="str">
        <f>"-"</f>
        <v>-</v>
      </c>
      <c r="D22" s="1530" t="str">
        <f>"-"</f>
        <v>-</v>
      </c>
      <c r="E22" s="1538" t="str">
        <f>"-"</f>
        <v>-</v>
      </c>
      <c r="F22" s="1773">
        <f>COUNTA($B$74:$B$75)</f>
        <v>2</v>
      </c>
      <c r="G22" s="1773">
        <f>COUNTIFS($D$74:$D$75,"Filled")</f>
        <v>0</v>
      </c>
      <c r="H22" s="1773">
        <f>COUNTIFS($D$74:$D$75,"Vacant")</f>
        <v>2</v>
      </c>
      <c r="I22" s="1773">
        <f>COUNTIFS($D$74:$D$75,"Vacant",$E$74:$E$75,"Hire")</f>
        <v>2</v>
      </c>
      <c r="J22" s="1773">
        <f>COUNTIFS($E$74:$E$75,"Offshore")</f>
        <v>0</v>
      </c>
      <c r="K22" s="1773">
        <f>COUNTIFS($E$74:$E$75,"Hold")</f>
        <v>0</v>
      </c>
      <c r="L22" s="1773">
        <f>$F22-$K22</f>
        <v>2</v>
      </c>
      <c r="M22" s="1538" t="str">
        <f>"-"</f>
        <v>-</v>
      </c>
      <c r="N22" s="1772">
        <f>SUMIFS('REVIEW - Complete Role Mapping'!$AA$2:$AA$528,'REVIEW - Complete Role Mapping'!$AJ$2:$AJ$528,$C$3,'REVIEW - Complete Role Mapping'!$AT$2:$AT$528,$B22)/1000000</f>
        <v>0.5516205</v>
      </c>
      <c r="O22" s="1538" t="str">
        <f>"-"</f>
        <v>-</v>
      </c>
      <c r="P22" s="1772">
        <f>SUM($G$74:$G$75)/1000000</f>
        <v>0.5516205</v>
      </c>
      <c r="Q22" s="1538" t="str">
        <f>"-"</f>
        <v>-</v>
      </c>
    </row>
    <row r="23">
      <c r="B23" s="1534" t="inlineStr">
        <is>
          <t>Overhead roles total</t>
        </is>
      </c>
      <c r="C23" s="1534" t="n"/>
      <c r="D23" s="1534" t="n"/>
      <c r="E23" s="1783">
        <f>SUM(E20:E22)</f>
        <v>0</v>
      </c>
      <c r="F23" s="1775">
        <f>SUM(F20:F22)</f>
        <v>4</v>
      </c>
      <c r="G23" s="1775">
        <f>SUM(G20:G22)</f>
        <v>1</v>
      </c>
      <c r="H23" s="1775">
        <f>SUM(H20:H22)</f>
        <v>3</v>
      </c>
      <c r="I23" s="1775">
        <f>SUM(I20:I22)</f>
        <v>3</v>
      </c>
      <c r="J23" s="1775">
        <f>SUM(J20:J22)</f>
        <v>0</v>
      </c>
      <c r="K23" s="1775">
        <f>SUM(K20:K22)</f>
        <v>0</v>
      </c>
      <c r="L23" s="1775">
        <f>SUM(L20:L22)</f>
        <v>4</v>
      </c>
      <c r="M23" s="1774">
        <f>SUM(M20:M22)</f>
        <v>0</v>
      </c>
      <c r="N23" s="1774">
        <f>SUM(N20:N22)</f>
        <v>1.19105745</v>
      </c>
      <c r="O23" s="1774">
        <f>SUM(O20:O22)</f>
        <v>0</v>
      </c>
      <c r="P23" s="1774">
        <f>SUM(P20:P22)</f>
        <v>1.19105745</v>
      </c>
      <c r="Q23" s="1774">
        <f>SUM(Q20:Q22)</f>
        <v>0</v>
      </c>
    </row>
    <row r="24"/>
    <row r="25">
      <c r="B25" s="1539" t="inlineStr">
        <is>
          <t>Total portfolio</t>
        </is>
      </c>
      <c r="C25" s="1539" t="n"/>
      <c r="D25" s="1539" t="n"/>
      <c r="E25" s="1784">
        <f>N(E11)+N(E16)+N(E23)</f>
        <v>28</v>
      </c>
      <c r="F25" s="1777">
        <f>N(F11)+N(F16)+N(F23)</f>
        <v>36</v>
      </c>
      <c r="G25" s="1777">
        <f>N(G11)+N(G16)+N(G23)</f>
        <v>24</v>
      </c>
      <c r="H25" s="1777">
        <f>N(H11)+N(H16)+N(H23)</f>
        <v>12</v>
      </c>
      <c r="I25" s="1777">
        <f>N(I11)+N(I16)+N(I23)</f>
        <v>12</v>
      </c>
      <c r="J25" s="1777">
        <f>N(J11)+N(J16)+N(J23)</f>
        <v>0</v>
      </c>
      <c r="K25" s="1777">
        <f>N(K11)+N(K16)+N(K23)</f>
        <v>0</v>
      </c>
      <c r="L25" s="1777">
        <f>N(L11)+N(L16)+N(L23)</f>
        <v>36</v>
      </c>
      <c r="M25" s="1776">
        <f>N(M11)+N(M16)+N(M23)</f>
        <v>6.4</v>
      </c>
      <c r="N25" s="1776">
        <f>N(N11)+N(N16)+N(N23)</f>
        <v>7.74836354</v>
      </c>
      <c r="O25" s="1776">
        <f>N(O11)+N(O16)+N(O23)</f>
        <v>-0.099361</v>
      </c>
      <c r="P25" s="1776">
        <f>N(P11)+N(P16)+N(P23)</f>
        <v>7.74836354</v>
      </c>
      <c r="Q25" s="1776">
        <f>N(Q11)+N(Q16)+N(Q23)</f>
        <v>-0.099361</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Infrastructure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&amp; Insights</t>
        </is>
      </c>
      <c r="C32" s="1545" t="str">
        <f>COUNTA($B$33:$B$39)&amp;IF(COUNTA($B$33:$B$39)=1," role"," roles")</f>
        <v>7 roles</v>
      </c>
      <c r="D32" s="1545" t="n"/>
      <c r="E32" s="1545" t="n"/>
      <c r="F32" s="1785">
        <f>SUM(F33:F39)</f>
        <v>1517256.75</v>
      </c>
      <c r="G32" s="1785">
        <f>SUM(G33:G39)</f>
        <v>1517256.75</v>
      </c>
    </row>
    <row r="33">
      <c r="B33" s="1530" t="str">
        <f>INDEX('REVIEW - Complete Role Mapping'!$B:$B,403)</f>
        <v>Simrat Singh</v>
      </c>
      <c r="C33" s="1530" t="str">
        <f>INDEX('REVIEW - Complete Role Mapping'!$C:$C,403)</f>
        <v>Reporting Analyst</v>
      </c>
      <c r="D33" s="1530" t="str">
        <f>INDEX('REVIEW - Complete Role Mapping'!$AK:$AK,403)</f>
        <v>Filled</v>
      </c>
      <c r="E33" s="1547" t="inlineStr">
        <is>
          <t>Filled</t>
        </is>
      </c>
      <c r="F33" s="1773">
        <f>INDEX('REVIEW - Complete Role Mapping'!$AA:$AA,403)</f>
        <v>197580</v>
      </c>
      <c r="G33" s="1773">
        <f>$F33*IFERROR(INDEX(Lists!$AD:$AD,MATCH($E33,Lists!$AC:$AC,0)),1)</f>
        <v>197580</v>
      </c>
    </row>
    <row r="34">
      <c r="B34" s="1530" t="str">
        <f>INDEX('REVIEW - Complete Role Mapping'!$B:$B,407)</f>
        <v>Stevani Kho</v>
      </c>
      <c r="C34" s="1530" t="str">
        <f>INDEX('REVIEW - Complete Role Mapping'!$C:$C,407)</f>
        <v>Delivery Lead</v>
      </c>
      <c r="D34" s="1530" t="str">
        <f>INDEX('REVIEW - Complete Role Mapping'!$AK:$AK,407)</f>
        <v>Filled</v>
      </c>
      <c r="E34" s="1547" t="inlineStr">
        <is>
          <t>Filled</t>
        </is>
      </c>
      <c r="F34" s="1773">
        <f>INDEX('REVIEW - Complete Role Mapping'!$AA:$AA,407)</f>
        <v>277842.75</v>
      </c>
      <c r="G34" s="1773">
        <f>$F34*IFERROR(INDEX(Lists!$AD:$AD,MATCH($E34,Lists!$AC:$AC,0)),1)</f>
        <v>277842.75</v>
      </c>
    </row>
    <row r="35">
      <c r="B35" s="1530" t="str">
        <f>INDEX('REVIEW - Complete Role Mapping'!$B:$B,433)</f>
        <v>Vacant</v>
      </c>
      <c r="C35" s="1530" t="str">
        <f>INDEX('REVIEW - Complete Role Mapping'!$C:$C,433)</f>
        <v>Data Analyst</v>
      </c>
      <c r="D35" s="1530" t="str">
        <f>INDEX('REVIEW - Complete Role Mapping'!$AK:$AK,433)</f>
        <v>Vacant</v>
      </c>
      <c r="E35" s="1547" t="inlineStr">
        <is>
          <t>Hire</t>
        </is>
      </c>
      <c r="F35" s="1773">
        <f>INDEX('REVIEW - Complete Role Mapping'!$AA:$AA,433)</f>
        <v>201585</v>
      </c>
      <c r="G35" s="1773">
        <f>$F35*IFERROR(INDEX(Lists!$AD:$AD,MATCH($E35,Lists!$AC:$AC,0)),1)</f>
        <v>201585</v>
      </c>
    </row>
    <row r="36">
      <c r="B36" s="1530" t="str">
        <f>INDEX('REVIEW - Complete Role Mapping'!$B:$B,434)</f>
        <v>Vacant</v>
      </c>
      <c r="C36" s="1530" t="str">
        <f>INDEX('REVIEW - Complete Role Mapping'!$C:$C,434)</f>
        <v>Engineer Data</v>
      </c>
      <c r="D36" s="1530" t="str">
        <f>INDEX('REVIEW - Complete Role Mapping'!$AK:$AK,434)</f>
        <v>Vacant</v>
      </c>
      <c r="E36" s="1547" t="inlineStr">
        <is>
          <t>Hire</t>
        </is>
      </c>
      <c r="F36" s="1773">
        <f>INDEX('REVIEW - Complete Role Mapping'!$AA:$AA,434)</f>
        <v>202853.25</v>
      </c>
      <c r="G36" s="1773">
        <f>$F36*IFERROR(INDEX(Lists!$AD:$AD,MATCH($E36,Lists!$AC:$AC,0)),1)</f>
        <v>202853.25</v>
      </c>
    </row>
    <row r="37">
      <c r="B37" s="1530" t="str">
        <f>INDEX('REVIEW - Complete Role Mapping'!$B:$B,435)</f>
        <v>Vacant</v>
      </c>
      <c r="C37" s="1530" t="str">
        <f>INDEX('REVIEW - Complete Role Mapping'!$C:$C,435)</f>
        <v>Lead Data Analyst</v>
      </c>
      <c r="D37" s="1530" t="str">
        <f>INDEX('REVIEW - Complete Role Mapping'!$AK:$AK,435)</f>
        <v>Vacant</v>
      </c>
      <c r="E37" s="1547" t="inlineStr">
        <is>
          <t>Hire</t>
        </is>
      </c>
      <c r="F37" s="1773">
        <f>INDEX('REVIEW - Complete Role Mapping'!$AA:$AA,435)</f>
        <v>231689.25</v>
      </c>
      <c r="G37" s="1773">
        <f>$F37*IFERROR(INDEX(Lists!$AD:$AD,MATCH($E37,Lists!$AC:$AC,0)),1)</f>
        <v>231689.25</v>
      </c>
    </row>
    <row r="38">
      <c r="B38" s="1530" t="str">
        <f>INDEX('REVIEW - Complete Role Mapping'!$B:$B,436)</f>
        <v>Vacant</v>
      </c>
      <c r="C38" s="1530" t="str">
        <f>INDEX('REVIEW - Complete Role Mapping'!$C:$C,436)</f>
        <v>Reporting Analyst</v>
      </c>
      <c r="D38" s="1530" t="str">
        <f>INDEX('REVIEW - Complete Role Mapping'!$AK:$AK,436)</f>
        <v>Vacant</v>
      </c>
      <c r="E38" s="1547" t="inlineStr">
        <is>
          <t>Hire</t>
        </is>
      </c>
      <c r="F38" s="1773">
        <f>INDEX('REVIEW - Complete Role Mapping'!$AA:$AA,436)</f>
        <v>202853.25</v>
      </c>
      <c r="G38" s="1773">
        <f>$F38*IFERROR(INDEX(Lists!$AD:$AD,MATCH($E38,Lists!$AC:$AC,0)),1)</f>
        <v>202853.25</v>
      </c>
    </row>
    <row r="39">
      <c r="B39" s="1530" t="str">
        <f>INDEX('REVIEW - Complete Role Mapping'!$B:$B,437)</f>
        <v>Vacant</v>
      </c>
      <c r="C39" s="1530" t="str">
        <f>INDEX('REVIEW - Complete Role Mapping'!$C:$C,437)</f>
        <v>Senior Engineer Data</v>
      </c>
      <c r="D39" s="1530" t="str">
        <f>INDEX('REVIEW - Complete Role Mapping'!$AK:$AK,437)</f>
        <v>Vacant</v>
      </c>
      <c r="E39" s="1547" t="inlineStr">
        <is>
          <t>Hire</t>
        </is>
      </c>
      <c r="F39" s="1773">
        <f>INDEX('REVIEW - Complete Role Mapping'!$AA:$AA,437)</f>
        <v>202853.25</v>
      </c>
      <c r="G39" s="1773">
        <f>$F39*IFERROR(INDEX(Lists!$AD:$AD,MATCH($E39,Lists!$AC:$AC,0)),1)</f>
        <v>202853.25</v>
      </c>
    </row>
    <row r="40">
      <c r="B40" s="1545" t="inlineStr">
        <is>
          <t>Distribution, Sales &amp; Services</t>
        </is>
      </c>
      <c r="C40" s="1545" t="str">
        <f>COUNTA($B$41:$B$50)&amp;IF(COUNTA($B$41:$B$50)=1," role"," roles")</f>
        <v>10 roles</v>
      </c>
      <c r="D40" s="1545" t="n"/>
      <c r="E40" s="1545" t="n"/>
      <c r="F40" s="1785">
        <f>SUM(F41:F50)</f>
        <v>2127273.65</v>
      </c>
      <c r="G40" s="1785">
        <f>SUM(G41:G50)</f>
        <v>2127273.65</v>
      </c>
    </row>
    <row r="41">
      <c r="B41" s="1530" t="str">
        <f>INDEX('REVIEW - Complete Role Mapping'!$B:$B,341)</f>
        <v>Angus Gibson</v>
      </c>
      <c r="C41" s="1530" t="str">
        <f>INDEX('REVIEW - Complete Role Mapping'!$C:$C,341)</f>
        <v>Senior Systems Analyst</v>
      </c>
      <c r="D41" s="1530" t="str">
        <f>INDEX('REVIEW - Complete Role Mapping'!$AK:$AK,341)</f>
        <v>Filled</v>
      </c>
      <c r="E41" s="1547" t="inlineStr">
        <is>
          <t>Filled</t>
        </is>
      </c>
      <c r="F41" s="1773">
        <f>INDEX('REVIEW - Complete Role Mapping'!$AA:$AA,341)</f>
        <v>235494</v>
      </c>
      <c r="G41" s="1773">
        <f>$F41*IFERROR(INDEX(Lists!$AD:$AD,MATCH($E41,Lists!$AC:$AC,0)),1)</f>
        <v>235494</v>
      </c>
    </row>
    <row r="42">
      <c r="B42" s="1530" t="str">
        <f>INDEX('REVIEW - Complete Role Mapping'!$B:$B,345)</f>
        <v>Anvitha Kurra</v>
      </c>
      <c r="C42" s="1530" t="str">
        <f>INDEX('REVIEW - Complete Role Mapping'!$C:$C,345)</f>
        <v>Senior Systems Analyst</v>
      </c>
      <c r="D42" s="1530" t="str">
        <f>INDEX('REVIEW - Complete Role Mapping'!$AK:$AK,345)</f>
        <v>Filled</v>
      </c>
      <c r="E42" s="1547" t="inlineStr">
        <is>
          <t>Filled</t>
        </is>
      </c>
      <c r="F42" s="1773">
        <f>INDEX('REVIEW - Complete Role Mapping'!$AA:$AA,345)</f>
        <v>215388.9</v>
      </c>
      <c r="G42" s="1773">
        <f>$F42*IFERROR(INDEX(Lists!$AD:$AD,MATCH($E42,Lists!$AC:$AC,0)),1)</f>
        <v>215388.9</v>
      </c>
    </row>
    <row r="43">
      <c r="B43" s="1530" t="str">
        <f>INDEX('REVIEW - Complete Role Mapping'!$B:$B,349)</f>
        <v>Breanna Hua</v>
      </c>
      <c r="C43" s="1530" t="str">
        <f>INDEX('REVIEW - Complete Role Mapping'!$C:$C,349)</f>
        <v>Systems Analyst</v>
      </c>
      <c r="D43" s="1530" t="str">
        <f>INDEX('REVIEW - Complete Role Mapping'!$AK:$AK,349)</f>
        <v>Filled</v>
      </c>
      <c r="E43" s="1547" t="inlineStr">
        <is>
          <t>Filled</t>
        </is>
      </c>
      <c r="F43" s="1773">
        <f>INDEX('REVIEW - Complete Role Mapping'!$AA:$AA,349)</f>
        <v>167149.65</v>
      </c>
      <c r="G43" s="1773">
        <f>$F43*IFERROR(INDEX(Lists!$AD:$AD,MATCH($E43,Lists!$AC:$AC,0)),1)</f>
        <v>167149.65</v>
      </c>
    </row>
    <row r="44">
      <c r="B44" s="1530" t="str">
        <f>INDEX('REVIEW - Complete Role Mapping'!$B:$B,375)</f>
        <v>Jodi Higgins</v>
      </c>
      <c r="C44" s="1530" t="str">
        <f>INDEX('REVIEW - Complete Role Mapping'!$C:$C,375)</f>
        <v>Delivery Lead</v>
      </c>
      <c r="D44" s="1530" t="str">
        <f>INDEX('REVIEW - Complete Role Mapping'!$AK:$AK,375)</f>
        <v>Filled</v>
      </c>
      <c r="E44" s="1547" t="inlineStr">
        <is>
          <t>Filled</t>
        </is>
      </c>
      <c r="F44" s="1773">
        <f>INDEX('REVIEW - Complete Role Mapping'!$AA:$AA,375)</f>
        <v>257481.45</v>
      </c>
      <c r="G44" s="1773">
        <f>$F44*IFERROR(INDEX(Lists!$AD:$AD,MATCH($E44,Lists!$AC:$AC,0)),1)</f>
        <v>257481.45</v>
      </c>
    </row>
    <row r="45">
      <c r="B45" s="1530" t="str">
        <f>INDEX('REVIEW - Complete Role Mapping'!$B:$B,397)</f>
        <v>Rebecca Estepa</v>
      </c>
      <c r="C45" s="1530" t="str">
        <f>INDEX('REVIEW - Complete Role Mapping'!$C:$C,397)</f>
        <v>Snr Business Analyst</v>
      </c>
      <c r="D45" s="1530" t="str">
        <f>INDEX('REVIEW - Complete Role Mapping'!$AK:$AK,397)</f>
        <v>Filled</v>
      </c>
      <c r="E45" s="1547" t="inlineStr">
        <is>
          <t>Filled</t>
        </is>
      </c>
      <c r="F45" s="1773">
        <f>INDEX('REVIEW - Complete Role Mapping'!$AA:$AA,397)</f>
        <v>233331.3</v>
      </c>
      <c r="G45" s="1773">
        <f>$F45*IFERROR(INDEX(Lists!$AD:$AD,MATCH($E45,Lists!$AC:$AC,0)),1)</f>
        <v>233331.3</v>
      </c>
    </row>
    <row r="46">
      <c r="B46" s="1530" t="str">
        <f>INDEX('REVIEW - Complete Role Mapping'!$B:$B,400)</f>
        <v>Rohan Patel</v>
      </c>
      <c r="C46" s="1530" t="str">
        <f>INDEX('REVIEW - Complete Role Mapping'!$C:$C,400)</f>
        <v>Senior Systems Analyst</v>
      </c>
      <c r="D46" s="1530" t="str">
        <f>INDEX('REVIEW - Complete Role Mapping'!$AK:$AK,400)</f>
        <v>Filled</v>
      </c>
      <c r="E46" s="1547" t="inlineStr">
        <is>
          <t>Filled</t>
        </is>
      </c>
      <c r="F46" s="1773">
        <f>INDEX('REVIEW - Complete Role Mapping'!$AA:$AA,400)</f>
        <v>209394.75</v>
      </c>
      <c r="G46" s="1773">
        <f>$F46*IFERROR(INDEX(Lists!$AD:$AD,MATCH($E46,Lists!$AC:$AC,0)),1)</f>
        <v>209394.75</v>
      </c>
    </row>
    <row r="47">
      <c r="B47" s="1530" t="str">
        <f>INDEX('REVIEW - Complete Role Mapping'!$B:$B,404)</f>
        <v>Siva Chimmani</v>
      </c>
      <c r="C47" s="1530" t="str">
        <f>INDEX('REVIEW - Complete Role Mapping'!$C:$C,404)</f>
        <v>Senior Engineer</v>
      </c>
      <c r="D47" s="1530" t="str">
        <f>INDEX('REVIEW - Complete Role Mapping'!$AK:$AK,404)</f>
        <v>Filled</v>
      </c>
      <c r="E47" s="1547" t="inlineStr">
        <is>
          <t>Filled</t>
        </is>
      </c>
      <c r="F47" s="1773">
        <f>INDEX('REVIEW - Complete Role Mapping'!$AA:$AA,404)</f>
        <v>213600</v>
      </c>
      <c r="G47" s="1773">
        <f>$F47*IFERROR(INDEX(Lists!$AD:$AD,MATCH($E47,Lists!$AC:$AC,0)),1)</f>
        <v>213600</v>
      </c>
    </row>
    <row r="48">
      <c r="B48" s="1530" t="str">
        <f>INDEX('REVIEW - Complete Role Mapping'!$B:$B,406)</f>
        <v>Sriramani Deyyala</v>
      </c>
      <c r="C48" s="1530" t="str">
        <f>INDEX('REVIEW - Complete Role Mapping'!$C:$C,406)</f>
        <v>Systems Analyst</v>
      </c>
      <c r="D48" s="1530" t="str">
        <f>INDEX('REVIEW - Complete Role Mapping'!$AK:$AK,406)</f>
        <v>Filled</v>
      </c>
      <c r="E48" s="1547" t="inlineStr">
        <is>
          <t>Filled</t>
        </is>
      </c>
      <c r="F48" s="1773">
        <f>INDEX('REVIEW - Complete Role Mapping'!$AA:$AA,406)</f>
        <v>222090.6</v>
      </c>
      <c r="G48" s="1773">
        <f>$F48*IFERROR(INDEX(Lists!$AD:$AD,MATCH($E48,Lists!$AC:$AC,0)),1)</f>
        <v>222090.6</v>
      </c>
    </row>
    <row r="49">
      <c r="B49" s="1530" t="str">
        <f>INDEX('REVIEW - Complete Role Mapping'!$B:$B,431)</f>
        <v>Vacant</v>
      </c>
      <c r="C49" s="1530" t="str">
        <f>INDEX('REVIEW - Complete Role Mapping'!$C:$C,431)</f>
        <v>Quality Assurance</v>
      </c>
      <c r="D49" s="1530" t="str">
        <f>INDEX('REVIEW - Complete Role Mapping'!$AK:$AK,431)</f>
        <v>Vacant</v>
      </c>
      <c r="E49" s="1547" t="inlineStr">
        <is>
          <t>Hire</t>
        </is>
      </c>
      <c r="F49" s="1773">
        <f>INDEX('REVIEW - Complete Role Mapping'!$AA:$AA,431)</f>
        <v>170489.75</v>
      </c>
      <c r="G49" s="1773">
        <f>$F49*IFERROR(INDEX(Lists!$AD:$AD,MATCH($E49,Lists!$AC:$AC,0)),1)</f>
        <v>170489.75</v>
      </c>
    </row>
    <row r="50">
      <c r="B50" s="1530" t="str">
        <f>INDEX('REVIEW - Complete Role Mapping'!$B:$B,432)</f>
        <v>Vacant</v>
      </c>
      <c r="C50" s="1530" t="str">
        <f>INDEX('REVIEW - Complete Role Mapping'!$C:$C,432)</f>
        <v>Business Analyst</v>
      </c>
      <c r="D50" s="1530" t="str">
        <f>INDEX('REVIEW - Complete Role Mapping'!$AK:$AK,432)</f>
        <v>Vacant</v>
      </c>
      <c r="E50" s="1547" t="inlineStr">
        <is>
          <t>Hire</t>
        </is>
      </c>
      <c r="F50" s="1773">
        <f>INDEX('REVIEW - Complete Role Mapping'!$AA:$AA,432)</f>
        <v>202853.25</v>
      </c>
      <c r="G50" s="1773">
        <f>$F50*IFERROR(INDEX(Lists!$AD:$AD,MATCH($E50,Lists!$AC:$AC,0)),1)</f>
        <v>202853.25</v>
      </c>
    </row>
    <row r="51">
      <c r="B51" s="1545" t="inlineStr">
        <is>
          <t>Leadership</t>
        </is>
      </c>
      <c r="C51" s="1545" t="str">
        <f>COUNTA($B$52:$B$52)&amp;IF(COUNTA($B$52:$B$52)=1," role"," roles")</f>
        <v>1 role</v>
      </c>
      <c r="D51" s="1545" t="n"/>
      <c r="E51" s="1545" t="n"/>
      <c r="F51" s="1785">
        <f>SUM(F52:F52)</f>
        <v>256667.1</v>
      </c>
      <c r="G51" s="1785">
        <f>SUM(G52:G52)</f>
        <v>256667.1</v>
      </c>
    </row>
    <row r="52">
      <c r="B52" s="1530" t="str">
        <f>INDEX('REVIEW - Complete Role Mapping'!$B:$B,364)</f>
        <v>George Moun</v>
      </c>
      <c r="C52" s="1530" t="str">
        <f>INDEX('REVIEW - Complete Role Mapping'!$C:$C,364)</f>
        <v>Solution Architect</v>
      </c>
      <c r="D52" s="1530" t="str">
        <f>INDEX('REVIEW - Complete Role Mapping'!$AK:$AK,364)</f>
        <v>Filled</v>
      </c>
      <c r="E52" s="1547" t="inlineStr">
        <is>
          <t>Filled</t>
        </is>
      </c>
      <c r="F52" s="1773">
        <f>INDEX('REVIEW - Complete Role Mapping'!$AA:$AA,364)</f>
        <v>256667.1</v>
      </c>
      <c r="G52" s="1773">
        <f>$F52*IFERROR(INDEX(Lists!$AD:$AD,MATCH($E52,Lists!$AC:$AC,0)),1)</f>
        <v>256667.1</v>
      </c>
    </row>
    <row r="53">
      <c r="B53" s="1545" t="inlineStr">
        <is>
          <t>Manufacturing Group Projects</t>
        </is>
      </c>
      <c r="C53" s="1545" t="str">
        <f>COUNTA($B$54:$B$62)&amp;IF(COUNTA($B$54:$B$62)=1," role"," roles")</f>
        <v>9 roles</v>
      </c>
      <c r="D53" s="1545" t="n"/>
      <c r="E53" s="1545" t="n"/>
      <c r="F53" s="1785">
        <f>SUM(F54:F62)</f>
        <v>1914773.3</v>
      </c>
      <c r="G53" s="1785">
        <f>SUM(G54:G62)</f>
        <v>1914773.3</v>
      </c>
    </row>
    <row r="54">
      <c r="B54" s="1530" t="str">
        <f>INDEX('REVIEW - Complete Role Mapping'!$B:$B,333)</f>
        <v>Akhil Sriram</v>
      </c>
      <c r="C54" s="1530" t="str">
        <f>INDEX('REVIEW - Complete Role Mapping'!$C:$C,333)</f>
        <v>Snr Business Analyst</v>
      </c>
      <c r="D54" s="1530" t="str">
        <f>INDEX('REVIEW - Complete Role Mapping'!$AK:$AK,333)</f>
        <v>Filled</v>
      </c>
      <c r="E54" s="1547" t="inlineStr">
        <is>
          <t>Filled</t>
        </is>
      </c>
      <c r="F54" s="1773">
        <f>INDEX('REVIEW - Complete Role Mapping'!$AA:$AA,333)</f>
        <v>221796.9</v>
      </c>
      <c r="G54" s="1773">
        <f>$F54*IFERROR(INDEX(Lists!$AD:$AD,MATCH($E54,Lists!$AC:$AC,0)),1)</f>
        <v>221796.9</v>
      </c>
    </row>
    <row r="55">
      <c r="B55" s="1530" t="str">
        <f>INDEX('REVIEW - Complete Role Mapping'!$B:$B,356)</f>
        <v>Chris Camacho</v>
      </c>
      <c r="C55" s="1530" t="str">
        <f>INDEX('REVIEW - Complete Role Mapping'!$C:$C,356)</f>
        <v>Senior Systems Analyst</v>
      </c>
      <c r="D55" s="1530" t="str">
        <f>INDEX('REVIEW - Complete Role Mapping'!$AK:$AK,356)</f>
        <v>Filled</v>
      </c>
      <c r="E55" s="1547" t="inlineStr">
        <is>
          <t>Filled</t>
        </is>
      </c>
      <c r="F55" s="1773">
        <f>INDEX('REVIEW - Complete Role Mapping'!$AA:$AA,356)</f>
        <v>225051.95</v>
      </c>
      <c r="G55" s="1773">
        <f>$F55*IFERROR(INDEX(Lists!$AD:$AD,MATCH($E55,Lists!$AC:$AC,0)),1)</f>
        <v>225051.95</v>
      </c>
    </row>
    <row r="56">
      <c r="B56" s="1530" t="str">
        <f>INDEX('REVIEW - Complete Role Mapping'!$B:$B,361)</f>
        <v>Fabian Moreno Cortes</v>
      </c>
      <c r="C56" s="1530" t="str">
        <f>INDEX('REVIEW - Complete Role Mapping'!$C:$C,361)</f>
        <v>Engineer - Software</v>
      </c>
      <c r="D56" s="1530" t="str">
        <f>INDEX('REVIEW - Complete Role Mapping'!$AK:$AK,361)</f>
        <v>Filled</v>
      </c>
      <c r="E56" s="1547" t="inlineStr">
        <is>
          <t>Filled</t>
        </is>
      </c>
      <c r="F56" s="1773">
        <f>INDEX('REVIEW - Complete Role Mapping'!$AA:$AA,361)</f>
        <v>193575</v>
      </c>
      <c r="G56" s="1773">
        <f>$F56*IFERROR(INDEX(Lists!$AD:$AD,MATCH($E56,Lists!$AC:$AC,0)),1)</f>
        <v>193575</v>
      </c>
    </row>
    <row r="57">
      <c r="B57" s="1530" t="str">
        <f>INDEX('REVIEW - Complete Role Mapping'!$B:$B,372)</f>
        <v>Jaya Ganasan</v>
      </c>
      <c r="C57" s="1530" t="str">
        <f>INDEX('REVIEW - Complete Role Mapping'!$C:$C,372)</f>
        <v>B2B &amp; Energy+B452:I452</v>
      </c>
      <c r="D57" s="1530" t="str">
        <f>INDEX('REVIEW - Complete Role Mapping'!$AK:$AK,372)</f>
        <v>Filled</v>
      </c>
      <c r="E57" s="1547" t="inlineStr">
        <is>
          <t>Filled</t>
        </is>
      </c>
      <c r="F57" s="1773">
        <f>INDEX('REVIEW - Complete Role Mapping'!$AA:$AA,372)</f>
        <v>257693.9</v>
      </c>
      <c r="G57" s="1773">
        <f>$F57*IFERROR(INDEX(Lists!$AD:$AD,MATCH($E57,Lists!$AC:$AC,0)),1)</f>
        <v>257693.9</v>
      </c>
    </row>
    <row r="58">
      <c r="B58" s="1530" t="str">
        <f>INDEX('REVIEW - Complete Role Mapping'!$B:$B,387)</f>
        <v>Louis Ballington</v>
      </c>
      <c r="C58" s="1530" t="str">
        <f>INDEX('REVIEW - Complete Role Mapping'!$C:$C,387)</f>
        <v>Delivery Lead</v>
      </c>
      <c r="D58" s="1530" t="str">
        <f>INDEX('REVIEW - Complete Role Mapping'!$AK:$AK,387)</f>
        <v>Filled</v>
      </c>
      <c r="E58" s="1547" t="inlineStr">
        <is>
          <t>Filled</t>
        </is>
      </c>
      <c r="F58" s="1773">
        <f>INDEX('REVIEW - Complete Role Mapping'!$AA:$AA,387)</f>
        <v>256466.85</v>
      </c>
      <c r="G58" s="1773">
        <f>$F58*IFERROR(INDEX(Lists!$AD:$AD,MATCH($E58,Lists!$AC:$AC,0)),1)</f>
        <v>256466.85</v>
      </c>
    </row>
    <row r="59">
      <c r="B59" s="1530" t="str">
        <f>INDEX('REVIEW - Complete Role Mapping'!$B:$B,411)</f>
        <v>Tyler Meggs</v>
      </c>
      <c r="C59" s="1530" t="str">
        <f>INDEX('REVIEW - Complete Role Mapping'!$C:$C,411)</f>
        <v>System Analyst</v>
      </c>
      <c r="D59" s="1530" t="str">
        <f>INDEX('REVIEW - Complete Role Mapping'!$AK:$AK,411)</f>
        <v>Filled</v>
      </c>
      <c r="E59" s="1547" t="inlineStr">
        <is>
          <t>Filled</t>
        </is>
      </c>
      <c r="F59" s="1773">
        <f>INDEX('REVIEW - Complete Role Mapping'!$AA:$AA,411)</f>
        <v>144650</v>
      </c>
      <c r="G59" s="1773">
        <f>$F59*IFERROR(INDEX(Lists!$AD:$AD,MATCH($E59,Lists!$AC:$AC,0)),1)</f>
        <v>144650</v>
      </c>
    </row>
    <row r="60">
      <c r="B60" s="1530" t="str">
        <f>INDEX('REVIEW - Complete Role Mapping'!$B:$B,429)</f>
        <v>Vacant</v>
      </c>
      <c r="C60" s="1530" t="str">
        <f>INDEX('REVIEW - Complete Role Mapping'!$C:$C,429)</f>
        <v>Quality Assurance</v>
      </c>
      <c r="D60" s="1530" t="str">
        <f>INDEX('REVIEW - Complete Role Mapping'!$AK:$AK,429)</f>
        <v>Vacant</v>
      </c>
      <c r="E60" s="1547" t="inlineStr">
        <is>
          <t>Hire</t>
        </is>
      </c>
      <c r="F60" s="1773">
        <f>INDEX('REVIEW - Complete Role Mapping'!$AA:$AA,429)</f>
        <v>170489.75</v>
      </c>
      <c r="G60" s="1773">
        <f>$F60*IFERROR(INDEX(Lists!$AD:$AD,MATCH($E60,Lists!$AC:$AC,0)),1)</f>
        <v>170489.75</v>
      </c>
    </row>
    <row r="61">
      <c r="B61" s="1530" t="str">
        <f>INDEX('REVIEW - Complete Role Mapping'!$B:$B,430)</f>
        <v>Vacant</v>
      </c>
      <c r="C61" s="1530" t="str">
        <f>INDEX('REVIEW - Complete Role Mapping'!$C:$C,430)</f>
        <v>Solution Architect</v>
      </c>
      <c r="D61" s="1530" t="str">
        <f>INDEX('REVIEW - Complete Role Mapping'!$AK:$AK,430)</f>
        <v>Vacant</v>
      </c>
      <c r="E61" s="1547" t="inlineStr">
        <is>
          <t>Hire</t>
        </is>
      </c>
      <c r="F61" s="1773">
        <f>INDEX('REVIEW - Complete Role Mapping'!$AA:$AA,430)</f>
        <v>231689.25</v>
      </c>
      <c r="G61" s="1773">
        <f>$F61*IFERROR(INDEX(Lists!$AD:$AD,MATCH($E61,Lists!$AC:$AC,0)),1)</f>
        <v>231689.25</v>
      </c>
    </row>
    <row r="62">
      <c r="B62" s="1530" t="str">
        <f>INDEX('REVIEW - Complete Role Mapping'!$B:$B,443)</f>
        <v>Victor Olasanoye</v>
      </c>
      <c r="C62" s="1530" t="str">
        <f>INDEX('REVIEW - Complete Role Mapping'!$C:$C,443)</f>
        <v>Senior Systems Analyst</v>
      </c>
      <c r="D62" s="1530" t="str">
        <f>INDEX('REVIEW - Complete Role Mapping'!$AK:$AK,443)</f>
        <v>Filled</v>
      </c>
      <c r="E62" s="1547" t="inlineStr">
        <is>
          <t>Filled</t>
        </is>
      </c>
      <c r="F62" s="1773">
        <f>INDEX('REVIEW - Complete Role Mapping'!$AA:$AA,443)</f>
        <v>213359.7</v>
      </c>
      <c r="G62" s="1773">
        <f>$F62*IFERROR(INDEX(Lists!$AD:$AD,MATCH($E62,Lists!$AC:$AC,0)),1)</f>
        <v>213359.7</v>
      </c>
    </row>
    <row r="63">
      <c r="B63" s="1545" t="inlineStr">
        <is>
          <t>Technology Support</t>
        </is>
      </c>
      <c r="C63" s="1545" t="str">
        <f>COUNTA($B$64:$B$68)&amp;IF(COUNTA($B$64:$B$68)=1," role"," roles")</f>
        <v>5 roles</v>
      </c>
      <c r="D63" s="1545" t="n"/>
      <c r="E63" s="1545" t="n"/>
      <c r="F63" s="1785">
        <f>SUM(F64:F68)</f>
        <v>741335.29</v>
      </c>
      <c r="G63" s="1785">
        <f>SUM(G64:G68)</f>
        <v>741335.29</v>
      </c>
    </row>
    <row r="64">
      <c r="B64" s="1530" t="str">
        <f>INDEX('REVIEW - Complete Role Mapping'!$B:$B,335)</f>
        <v>Alison Rosier</v>
      </c>
      <c r="C64" s="1530" t="str">
        <f>INDEX('REVIEW - Complete Role Mapping'!$C:$C,335)</f>
        <v>Technology Support Engineer - Infrastructure</v>
      </c>
      <c r="D64" s="1530" t="str">
        <f>INDEX('REVIEW - Complete Role Mapping'!$AK:$AK,335)</f>
        <v>Filled</v>
      </c>
      <c r="E64" s="1547" t="inlineStr">
        <is>
          <t>Filled</t>
        </is>
      </c>
      <c r="F64" s="1773">
        <f>INDEX('REVIEW - Complete Role Mapping'!$AA:$AA,335)</f>
        <v>162936.39</v>
      </c>
      <c r="G64" s="1773">
        <f>$F64*IFERROR(INDEX(Lists!$AD:$AD,MATCH($E64,Lists!$AC:$AC,0)),1)</f>
        <v>162936.39</v>
      </c>
    </row>
    <row r="65">
      <c r="B65" s="1530" t="str">
        <f>INDEX('REVIEW - Complete Role Mapping'!$B:$B,365)</f>
        <v>Glenn Earl</v>
      </c>
      <c r="C65" s="1530" t="str">
        <f>INDEX('REVIEW - Complete Role Mapping'!$C:$C,365)</f>
        <v>Lead Technology Support - Infrastructure</v>
      </c>
      <c r="D65" s="1530" t="str">
        <f>INDEX('REVIEW - Complete Role Mapping'!$AK:$AK,365)</f>
        <v>Filled</v>
      </c>
      <c r="E65" s="1547" t="inlineStr">
        <is>
          <t>Filled</t>
        </is>
      </c>
      <c r="F65" s="1773">
        <f>INDEX('REVIEW - Complete Role Mapping'!$AA:$AA,365)</f>
        <v>171291.9</v>
      </c>
      <c r="G65" s="1773">
        <f>$F65*IFERROR(INDEX(Lists!$AD:$AD,MATCH($E65,Lists!$AC:$AC,0)),1)</f>
        <v>171291.9</v>
      </c>
    </row>
    <row r="66">
      <c r="B66" s="1530" t="str">
        <f>INDEX('REVIEW - Complete Role Mapping'!$B:$B,396)</f>
        <v>Radek Rybar</v>
      </c>
      <c r="C66" s="1530" t="str">
        <f>INDEX('REVIEW - Complete Role Mapping'!$C:$C,396)</f>
        <v>Technology Support Engineer - Infrastructure</v>
      </c>
      <c r="D66" s="1530" t="str">
        <f>INDEX('REVIEW - Complete Role Mapping'!$AK:$AK,396)</f>
        <v>Filled</v>
      </c>
      <c r="E66" s="1547" t="inlineStr">
        <is>
          <t>Filled</t>
        </is>
      </c>
      <c r="F66" s="1773">
        <f>INDEX('REVIEW - Complete Role Mapping'!$AA:$AA,396)</f>
        <v>153697.2</v>
      </c>
      <c r="G66" s="1773">
        <f>$F66*IFERROR(INDEX(Lists!$AD:$AD,MATCH($E66,Lists!$AC:$AC,0)),1)</f>
        <v>153697.2</v>
      </c>
    </row>
    <row r="67">
      <c r="B67" s="1530" t="str">
        <f>INDEX('REVIEW - Complete Role Mapping'!$B:$B,401)</f>
        <v>Scott Hasson</v>
      </c>
      <c r="C67" s="1530" t="str">
        <f>INDEX('REVIEW - Complete Role Mapping'!$C:$C,401)</f>
        <v>Technology Support Engineer - Infrastructure</v>
      </c>
      <c r="D67" s="1530" t="str">
        <f>INDEX('REVIEW - Complete Role Mapping'!$AK:$AK,401)</f>
        <v>Filled</v>
      </c>
      <c r="E67" s="1547" t="inlineStr">
        <is>
          <t>Filled</t>
        </is>
      </c>
      <c r="F67" s="1773">
        <f>INDEX('REVIEW - Complete Role Mapping'!$AA:$AA,401)</f>
        <v>146727.7</v>
      </c>
      <c r="G67" s="1773">
        <f>$F67*IFERROR(INDEX(Lists!$AD:$AD,MATCH($E67,Lists!$AC:$AC,0)),1)</f>
        <v>146727.7</v>
      </c>
    </row>
    <row r="68">
      <c r="B68" s="1530" t="str">
        <f>INDEX('REVIEW - Complete Role Mapping'!$B:$B,409)</f>
        <v>Tom Moore</v>
      </c>
      <c r="C68" s="1530" t="str">
        <f>INDEX('REVIEW - Complete Role Mapping'!$C:$C,409)</f>
        <v>Technology Support Engineer - Infrastructure</v>
      </c>
      <c r="D68" s="1530" t="str">
        <f>INDEX('REVIEW - Complete Role Mapping'!$AK:$AK,409)</f>
        <v>Filled</v>
      </c>
      <c r="E68" s="1547" t="inlineStr">
        <is>
          <t>Filled</t>
        </is>
      </c>
      <c r="F68" s="1773">
        <f>INDEX('REVIEW - Complete Role Mapping'!$AA:$AA,409)</f>
        <v>106682.1</v>
      </c>
      <c r="G68" s="1773">
        <f>$F68*IFERROR(INDEX(Lists!$AD:$AD,MATCH($E68,Lists!$AC:$AC,0)),1)</f>
        <v>106682.1</v>
      </c>
    </row>
    <row r="69">
      <c r="B69" s="1545" t="inlineStr">
        <is>
          <t>Head of Technology</t>
        </is>
      </c>
      <c r="C69" s="1545" t="str">
        <f>COUNTA($B$70:$B$70)&amp;IF(COUNTA($B$70:$B$70)=1," role"," roles")</f>
        <v>1 role</v>
      </c>
      <c r="D69" s="1545" t="n"/>
      <c r="E69" s="1545" t="n"/>
      <c r="F69" s="1785">
        <f>SUM(F70:F70)</f>
        <v>363626.7</v>
      </c>
      <c r="G69" s="1785">
        <f>SUM(G70:G70)</f>
        <v>363626.7</v>
      </c>
    </row>
    <row r="70">
      <c r="B70" s="1530" t="str">
        <f>INDEX('REVIEW - Complete Role Mapping'!$B:$B,339)</f>
        <v>Amish Pandit</v>
      </c>
      <c r="C70" s="1530" t="str">
        <f>INDEX('REVIEW - Complete Role Mapping'!$C:$C,339)</f>
        <v>Head of Technology, Fuel Infrastructure</v>
      </c>
      <c r="D70" s="1530" t="str">
        <f>INDEX('REVIEW - Complete Role Mapping'!$AK:$AK,339)</f>
        <v>Filled</v>
      </c>
      <c r="E70" s="1547" t="inlineStr">
        <is>
          <t>Filled</t>
        </is>
      </c>
      <c r="F70" s="1773">
        <f>INDEX('REVIEW - Complete Role Mapping'!$AA:$AA,339)</f>
        <v>363626.7</v>
      </c>
      <c r="G70" s="1773">
        <f>$F70*IFERROR(INDEX(Lists!$AD:$AD,MATCH($E70,Lists!$AC:$AC,0)),1)</f>
        <v>363626.7</v>
      </c>
    </row>
    <row r="71">
      <c r="B71" s="1545" t="inlineStr">
        <is>
          <t>Delivery Manager</t>
        </is>
      </c>
      <c r="C71" s="1545" t="str">
        <f>COUNTA($B$72:$B$72)&amp;IF(COUNTA($B$72:$B$72)=1," role"," roles")</f>
        <v>1 role</v>
      </c>
      <c r="D71" s="1545" t="n"/>
      <c r="E71" s="1545" t="n"/>
      <c r="F71" s="1785">
        <f>SUM(F72:F72)</f>
        <v>275810.25</v>
      </c>
      <c r="G71" s="1785">
        <f>SUM(G72:G72)</f>
        <v>275810.25</v>
      </c>
    </row>
    <row r="72">
      <c r="B72" s="1530" t="str">
        <f>INDEX('REVIEW - Complete Role Mapping'!$B:$B,426)</f>
        <v>Vacant</v>
      </c>
      <c r="C72" s="1530" t="str">
        <f>INDEX('REVIEW - Complete Role Mapping'!$C:$C,426)</f>
        <v>Delivery manager</v>
      </c>
      <c r="D72" s="1530" t="str">
        <f>INDEX('REVIEW - Complete Role Mapping'!$AK:$AK,426)</f>
        <v>Vacant</v>
      </c>
      <c r="E72" s="1547" t="inlineStr">
        <is>
          <t>Hire</t>
        </is>
      </c>
      <c r="F72" s="1773">
        <f>INDEX('REVIEW - Complete Role Mapping'!$AA:$AA,426)</f>
        <v>275810.25</v>
      </c>
      <c r="G72" s="1773">
        <f>$F72*IFERROR(INDEX(Lists!$AD:$AD,MATCH($E72,Lists!$AC:$AC,0)),1)</f>
        <v>275810.25</v>
      </c>
    </row>
    <row r="73">
      <c r="B73" s="1545" t="inlineStr">
        <is>
          <t>Technology Manager</t>
        </is>
      </c>
      <c r="C73" s="1545" t="str">
        <f>COUNTA($B$74:$B$75)&amp;IF(COUNTA($B$74:$B$75)=1," role"," roles")</f>
        <v>2 roles</v>
      </c>
      <c r="D73" s="1545" t="n"/>
      <c r="E73" s="1545" t="n"/>
      <c r="F73" s="1785">
        <f>SUM(F74:F75)</f>
        <v>551620.5</v>
      </c>
      <c r="G73" s="1785">
        <f>SUM(G74:G75)</f>
        <v>551620.5</v>
      </c>
    </row>
    <row r="74">
      <c r="B74" s="1530" t="str">
        <f>INDEX('REVIEW - Complete Role Mapping'!$B:$B,427)</f>
        <v>Vacant</v>
      </c>
      <c r="C74" s="1530" t="str">
        <f>INDEX('REVIEW - Complete Role Mapping'!$C:$C,427)</f>
        <v>Technology Manager Data</v>
      </c>
      <c r="D74" s="1530" t="str">
        <f>INDEX('REVIEW - Complete Role Mapping'!$AK:$AK,427)</f>
        <v>Vacant</v>
      </c>
      <c r="E74" s="1547" t="inlineStr">
        <is>
          <t>Hire</t>
        </is>
      </c>
      <c r="F74" s="1773">
        <f>INDEX('REVIEW - Complete Role Mapping'!$AA:$AA,427)</f>
        <v>275810.25</v>
      </c>
      <c r="G74" s="1773">
        <f>$F74*IFERROR(INDEX(Lists!$AD:$AD,MATCH($E74,Lists!$AC:$AC,0)),1)</f>
        <v>275810.25</v>
      </c>
    </row>
    <row r="75">
      <c r="B75" s="1530" t="str">
        <f>INDEX('REVIEW - Complete Role Mapping'!$B:$B,428)</f>
        <v>Vacant</v>
      </c>
      <c r="C75" s="1530" t="str">
        <f>INDEX('REVIEW - Complete Role Mapping'!$C:$C,428)</f>
        <v>Technology Manager, Future Infrastructure </v>
      </c>
      <c r="D75" s="1530" t="str">
        <f>INDEX('REVIEW - Complete Role Mapping'!$AK:$AK,428)</f>
        <v>Vacant</v>
      </c>
      <c r="E75" s="1547" t="inlineStr">
        <is>
          <t>Hire</t>
        </is>
      </c>
      <c r="F75" s="1773">
        <f>INDEX('REVIEW - Complete Role Mapping'!$AA:$AA,428)</f>
        <v>275810.25</v>
      </c>
      <c r="G75" s="1773">
        <f>$F75*IFERROR(INDEX(Lists!$AD:$AD,MATCH($E75,Lists!$AC:$AC,0)),1)</f>
        <v>275810.25</v>
      </c>
    </row>
  </sheetData>
  <dataValidations count="1">
    <dataValidation sqref="E33 E34 E35 E36 E37 E38 E39 E41 E42 E43 E44 E45 E46 E47 E48 E49 E50 E52 E54 E55 E56 E57 E58 E59 E60 E61 E62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B2B</t>
        </is>
      </c>
      <c r="C7" s="1530" t="str">
        <f>IFERROR(INDEX('1.8 Energy Solutions &amp; B2B'!$C$26:$C$37,MATCH($B7,'1.8 Energy Solutions &amp; B2B'!$B$26:$B$37,0)),"Not on the 1.x tab")</f>
        <v>Configuration / Integration</v>
      </c>
      <c r="D7" s="1530" t="str">
        <f>IFERROR(IF(INDEX('1.8 Energy Solutions &amp; B2B'!$D$26:$D$37,MATCH($B7,'1.8 Energy Solutions &amp; B2B'!$B$26:$B$37,0))="","-",INDEX('1.8 Energy Solutions &amp; B2B'!$D$26:$D$37,MATCH($B7,'1.8 Energy Solutions &amp; B2B'!$B$26:$B$37,0))),"-")</f>
        <v>L</v>
      </c>
      <c r="E7" s="1782">
        <f>IFERROR(INDEX('0.3 Squad Archetypes'!$F$5:$F$23,MATCH($C7&amp;"|"&amp;$D7,'0.3 Squad Archetypes'!$A$5:$A$23,0)),"-")</f>
        <v>14</v>
      </c>
      <c r="F7" s="1773">
        <f>COUNTA($B$32:$B$45)</f>
        <v>14</v>
      </c>
      <c r="G7" s="1773">
        <f>COUNTIFS($D$32:$D$45,"Filled")</f>
        <v>11</v>
      </c>
      <c r="H7" s="1773">
        <f>COUNTIFS($D$32:$D$45,"Vacant")</f>
        <v>3</v>
      </c>
      <c r="I7" s="1773">
        <f>COUNTIFS($D$32:$D$45,"Vacant",$E$32:$E$45,"Hire")</f>
        <v>3</v>
      </c>
      <c r="J7" s="1773">
        <f>COUNTIFS($E$32:$E$45,"Offshore")</f>
        <v>0</v>
      </c>
      <c r="K7" s="1773">
        <f>COUNTIFS($E$32:$E$45,"Hold")</f>
        <v>0</v>
      </c>
      <c r="L7" s="1773">
        <f>$F7-$K7</f>
        <v>14</v>
      </c>
      <c r="M7" s="1772">
        <f>IFERROR(IF(INDEX('1.8 Energy Solutions &amp; B2B'!$E$26:$E$37,MATCH($B7,'1.8 Energy Solutions &amp; B2B'!$B$26:$B$37,0))="Offshore",INDEX('0.3 Squad Archetypes'!$H$5:$H$23,MATCH($C7&amp;"|"&amp;$D7,'0.3 Squad Archetypes'!$A$5:$A$23,0)),INDEX('0.3 Squad Archetypes'!$G$5:$G$23,MATCH($C7&amp;"|"&amp;$D7,'0.3 Squad Archetypes'!$A$5:$A$23,0))),"-")</f>
        <v>3.2</v>
      </c>
      <c r="N7" s="1772">
        <f>SUMIFS('REVIEW - Complete Role Mapping'!$AA$2:$AA$528,'REVIEW - Complete Role Mapping'!$AJ$2:$AJ$528,$C$3,'REVIEW - Complete Role Mapping'!$AT$2:$AT$528,$B7)/1000000</f>
        <v>2.59351107</v>
      </c>
      <c r="O7" s="1772">
        <f>IFERROR(ROUND($N7-$M7,6),"-")</f>
        <v>-0.606489</v>
      </c>
      <c r="P7" s="1772">
        <f>SUM($G$32:$G$45)/1000000</f>
        <v>2.59351107</v>
      </c>
      <c r="Q7" s="1772">
        <f>IFERROR(ROUND($P7-$M7,6),"-")</f>
        <v>-0.606489</v>
      </c>
    </row>
    <row r="8">
      <c r="B8" s="1530" t="inlineStr">
        <is>
          <t>EVCI</t>
        </is>
      </c>
      <c r="C8" s="1530" t="str">
        <f>IFERROR(INDEX('1.8 Energy Solutions &amp; B2B'!$C$26:$C$37,MATCH($B8,'1.8 Energy Solutions &amp; B2B'!$B$26:$B$37,0)),"Not on the 1.x tab")</f>
        <v>Engineering</v>
      </c>
      <c r="D8" s="1530" t="str">
        <f>IFERROR(IF(INDEX('1.8 Energy Solutions &amp; B2B'!$D$26:$D$37,MATCH($B8,'1.8 Energy Solutions &amp; B2B'!$B$26:$B$37,0))="","-",INDEX('1.8 Energy Solutions &amp; B2B'!$D$26:$D$37,MATCH($B8,'1.8 Energy Solutions &amp; B2B'!$B$26:$B$37,0))),"-")</f>
        <v>M</v>
      </c>
      <c r="E8" s="1782">
        <f>IFERROR(INDEX('0.3 Squad Archetypes'!$F$5:$F$23,MATCH($C8&amp;"|"&amp;$D8,'0.3 Squad Archetypes'!$A$5:$A$23,0)),"-")</f>
        <v>9</v>
      </c>
      <c r="F8" s="1773">
        <f>COUNTA($B$47:$B$52)</f>
        <v>6</v>
      </c>
      <c r="G8" s="1773">
        <f>COUNTIFS($D$47:$D$52,"Filled")</f>
        <v>6</v>
      </c>
      <c r="H8" s="1773">
        <f>COUNTIFS($D$47:$D$52,"Vacant")</f>
        <v>0</v>
      </c>
      <c r="I8" s="1773">
        <f>COUNTIFS($D$47:$D$52,"Vacant",$E$47:$E$52,"Hire")</f>
        <v>0</v>
      </c>
      <c r="J8" s="1773">
        <f>COUNTIFS($E$47:$E$52,"Offshore")</f>
        <v>0</v>
      </c>
      <c r="K8" s="1773">
        <f>COUNTIFS($E$47:$E$52,"Hold")</f>
        <v>0</v>
      </c>
      <c r="L8" s="1773">
        <f>$F8-$K8</f>
        <v>6</v>
      </c>
      <c r="M8" s="1772">
        <f>IFERROR(IF(INDEX('1.8 Energy Solutions &amp; B2B'!$E$26:$E$37,MATCH($B8,'1.8 Energy Solutions &amp; B2B'!$B$26:$B$37,0))="Offshore",INDEX('0.3 Squad Archetypes'!$H$5:$H$23,MATCH($C8&amp;"|"&amp;$D8,'0.3 Squad Archetypes'!$A$5:$A$23,0)),INDEX('0.3 Squad Archetypes'!$G$5:$G$23,MATCH($C8&amp;"|"&amp;$D8,'0.3 Squad Archetypes'!$A$5:$A$23,0))),"-")</f>
        <v>2</v>
      </c>
      <c r="N8" s="1772">
        <f>SUMIFS('REVIEW - Complete Role Mapping'!$AA$2:$AA$528,'REVIEW - Complete Role Mapping'!$AJ$2:$AJ$528,$C$3,'REVIEW - Complete Role Mapping'!$AT$2:$AT$528,$B8)/1000000</f>
        <v>0.930799292</v>
      </c>
      <c r="O8" s="1772">
        <f>IFERROR(ROUND($N8-$M8,6),"-")</f>
        <v>-1.069201</v>
      </c>
      <c r="P8" s="1772">
        <f>SUM($G$47:$G$52)/1000000</f>
        <v>0.930799292</v>
      </c>
      <c r="Q8" s="1772">
        <f>IFERROR(ROUND($P8-$M8,6),"-")</f>
        <v>-1.069201</v>
      </c>
    </row>
    <row r="9">
      <c r="B9" s="1530" t="inlineStr">
        <is>
          <t>Energy</t>
        </is>
      </c>
      <c r="C9" s="1530" t="str">
        <f>IFERROR(INDEX('1.8 Energy Solutions &amp; B2B'!$C$26:$C$37,MATCH($B9,'1.8 Energy Solutions &amp; B2B'!$B$26:$B$37,0)),"Not on the 1.x tab")</f>
        <v>Engineering</v>
      </c>
      <c r="D9" s="1530" t="str">
        <f>IFERROR(IF(INDEX('1.8 Energy Solutions &amp; B2B'!$D$26:$D$37,MATCH($B9,'1.8 Energy Solutions &amp; B2B'!$B$26:$B$37,0))="","-",INDEX('1.8 Energy Solutions &amp; B2B'!$D$26:$D$37,MATCH($B9,'1.8 Energy Solutions &amp; B2B'!$B$26:$B$37,0))),"-")</f>
        <v>L</v>
      </c>
      <c r="E9" s="1782">
        <f>IFERROR(INDEX('0.3 Squad Archetypes'!$F$5:$F$23,MATCH($C9&amp;"|"&amp;$D9,'0.3 Squad Archetypes'!$A$5:$A$23,0)),"-")</f>
        <v>12</v>
      </c>
      <c r="F9" s="1773">
        <f>COUNTA($B$54:$B$62)</f>
        <v>9</v>
      </c>
      <c r="G9" s="1773">
        <f>COUNTIFS($D$54:$D$62,"Filled")</f>
        <v>5</v>
      </c>
      <c r="H9" s="1773">
        <f>COUNTIFS($D$54:$D$62,"Vacant")</f>
        <v>4</v>
      </c>
      <c r="I9" s="1773">
        <f>COUNTIFS($D$54:$D$62,"Vacant",$E$54:$E$62,"Hire")</f>
        <v>4</v>
      </c>
      <c r="J9" s="1773">
        <f>COUNTIFS($E$54:$E$62,"Offshore")</f>
        <v>0</v>
      </c>
      <c r="K9" s="1773">
        <f>COUNTIFS($E$54:$E$62,"Hold")</f>
        <v>0</v>
      </c>
      <c r="L9" s="1773">
        <f>$F9-$K9</f>
        <v>9</v>
      </c>
      <c r="M9" s="1772">
        <f>IFERROR(IF(INDEX('1.8 Energy Solutions &amp; B2B'!$E$26:$E$37,MATCH($B9,'1.8 Energy Solutions &amp; B2B'!$B$26:$B$37,0))="Offshore",INDEX('0.3 Squad Archetypes'!$H$5:$H$23,MATCH($C9&amp;"|"&amp;$D9,'0.3 Squad Archetypes'!$A$5:$A$23,0)),INDEX('0.3 Squad Archetypes'!$G$5:$G$23,MATCH($C9&amp;"|"&amp;$D9,'0.3 Squad Archetypes'!$A$5:$A$23,0))),"-")</f>
        <v>2.7</v>
      </c>
      <c r="N9" s="1772">
        <f>SUMIFS('REVIEW - Complete Role Mapping'!$AA$2:$AA$528,'REVIEW - Complete Role Mapping'!$AJ$2:$AJ$528,$C$3,'REVIEW - Complete Role Mapping'!$AT$2:$AT$528,$B9)/1000000</f>
        <v>1.803563966</v>
      </c>
      <c r="O9" s="1772">
        <f>IFERROR(ROUND($N9-$M9,6),"-")</f>
        <v>-0.896436</v>
      </c>
      <c r="P9" s="1772">
        <f>SUM($G$54:$G$62)/1000000</f>
        <v>1.803563966</v>
      </c>
      <c r="Q9" s="1772">
        <f>IFERROR(ROUND($P9-$M9,6),"-")</f>
        <v>-0.896436</v>
      </c>
    </row>
    <row r="10">
      <c r="B10" s="1534" t="inlineStr">
        <is>
          <t>Squads priced by an archetype</t>
        </is>
      </c>
      <c r="C10" s="1534" t="n"/>
      <c r="D10" s="1534" t="n"/>
      <c r="E10" s="1783">
        <f>SUM(E7:E9)</f>
        <v>35</v>
      </c>
      <c r="F10" s="1775">
        <f>SUM(F7:F9)</f>
        <v>29</v>
      </c>
      <c r="G10" s="1775">
        <f>SUM(G7:G9)</f>
        <v>22</v>
      </c>
      <c r="H10" s="1775">
        <f>SUM(H7:H9)</f>
        <v>7</v>
      </c>
      <c r="I10" s="1775">
        <f>SUM(I7:I9)</f>
        <v>7</v>
      </c>
      <c r="J10" s="1775">
        <f>SUM(J7:J9)</f>
        <v>0</v>
      </c>
      <c r="K10" s="1775">
        <f>SUM(K7:K9)</f>
        <v>0</v>
      </c>
      <c r="L10" s="1775">
        <f>SUM(L7:L9)</f>
        <v>29</v>
      </c>
      <c r="M10" s="1774">
        <f>SUM(M7:M9)</f>
        <v>7.9</v>
      </c>
      <c r="N10" s="1774">
        <f>SUM(N7:N9)</f>
        <v>5.327874328</v>
      </c>
      <c r="O10" s="1774">
        <f>SUM(O7:O9)</f>
        <v>-2.572126</v>
      </c>
      <c r="P10" s="1774">
        <f>SUM(P7:P9)</f>
        <v>5.327874328</v>
      </c>
      <c r="Q10" s="1774">
        <f>SUM(Q7:Q9)</f>
        <v>-2.572126</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COUNTA($B$64:$B$64)</f>
        <v>1</v>
      </c>
      <c r="G19" s="1773">
        <f>COUNTIFS($D$64:$D$64,"Filled")</f>
        <v>1</v>
      </c>
      <c r="H19" s="1773">
        <f>COUNTIFS($D$64:$D$64,"Vacant")</f>
        <v>0</v>
      </c>
      <c r="I19" s="1773">
        <f>COUNTIFS($D$64:$D$64,"Vacant",$E$64:$E$64,"Hire")</f>
        <v>0</v>
      </c>
      <c r="J19" s="1773">
        <f>COUNTIFS($E$64:$E$64,"Offshore")</f>
        <v>0</v>
      </c>
      <c r="K19" s="1773">
        <f>COUNTIFS($E$64:$E$64,"Hold")</f>
        <v>0</v>
      </c>
      <c r="L19" s="1773">
        <f>$F19-$K19</f>
        <v>1</v>
      </c>
      <c r="M19" s="1538" t="str">
        <f>"-"</f>
        <v>-</v>
      </c>
      <c r="N19" s="1772">
        <f>SUMIFS('REVIEW - Complete Role Mapping'!$AA$2:$AA$528,'REVIEW - Complete Role Mapping'!$AJ$2:$AJ$528,$C$3,'REVIEW - Complete Role Mapping'!$AT$2:$AT$528,$B19)/1000000</f>
        <v>0.273758</v>
      </c>
      <c r="O19" s="1538" t="str">
        <f>"-"</f>
        <v>-</v>
      </c>
      <c r="P19" s="1772">
        <f>SUM($G$64:$G$64)/1000000</f>
        <v>0.273758</v>
      </c>
      <c r="Q19" s="1538" t="str">
        <f>"-"</f>
        <v>-</v>
      </c>
    </row>
    <row r="20">
      <c r="B20" s="1530" t="inlineStr">
        <is>
          <t>Delivery Manager</t>
        </is>
      </c>
      <c r="C20" s="1530" t="str">
        <f>"-"</f>
        <v>-</v>
      </c>
      <c r="D20" s="1530" t="str">
        <f>"-"</f>
        <v>-</v>
      </c>
      <c r="E20" s="1538" t="str">
        <f>"-"</f>
        <v>-</v>
      </c>
      <c r="F20" s="1773">
        <f>COUNTA($B$66:$B$66)</f>
        <v>1</v>
      </c>
      <c r="G20" s="1773">
        <f>COUNTIFS($D$66:$D$66,"Filled")</f>
        <v>0</v>
      </c>
      <c r="H20" s="1773">
        <f>COUNTIFS($D$66:$D$66,"Vacant")</f>
        <v>1</v>
      </c>
      <c r="I20" s="1773">
        <f>COUNTIFS($D$66:$D$66,"Vacant",$E$66:$E$66,"Hire")</f>
        <v>1</v>
      </c>
      <c r="J20" s="1773">
        <f>COUNTIFS($E$66:$E$66,"Offshore")</f>
        <v>0</v>
      </c>
      <c r="K20" s="1773">
        <f>COUNTIFS($E$66:$E$66,"Hold")</f>
        <v>0</v>
      </c>
      <c r="L20" s="1773">
        <f>$F20-$K20</f>
        <v>1</v>
      </c>
      <c r="M20" s="1538" t="str">
        <f>"-"</f>
        <v>-</v>
      </c>
      <c r="N20" s="1772">
        <f>SUMIFS('REVIEW - Complete Role Mapping'!$AA$2:$AA$528,'REVIEW - Complete Role Mapping'!$AJ$2:$AJ$528,$C$3,'REVIEW - Complete Role Mapping'!$AT$2:$AT$528,$B20)/1000000</f>
        <v>0.27581025</v>
      </c>
      <c r="O20" s="1538" t="str">
        <f>"-"</f>
        <v>-</v>
      </c>
      <c r="P20" s="1772">
        <f>SUM($G$66:$G$66)/1000000</f>
        <v>0.27581025</v>
      </c>
      <c r="Q20" s="1538" t="str">
        <f>"-"</f>
        <v>-</v>
      </c>
    </row>
    <row r="21">
      <c r="B21" s="1530" t="inlineStr">
        <is>
          <t>Technology Manager</t>
        </is>
      </c>
      <c r="C21" s="1530" t="str">
        <f>"-"</f>
        <v>-</v>
      </c>
      <c r="D21" s="1530" t="str">
        <f>"-"</f>
        <v>-</v>
      </c>
      <c r="E21" s="1538" t="str">
        <f>"-"</f>
        <v>-</v>
      </c>
      <c r="F21" s="1773">
        <f>COUNTA($B$68:$B$69)</f>
        <v>2</v>
      </c>
      <c r="G21" s="1773">
        <f>COUNTIFS($D$68:$D$69,"Filled")</f>
        <v>1</v>
      </c>
      <c r="H21" s="1773">
        <f>COUNTIFS($D$68:$D$69,"Vacant")</f>
        <v>1</v>
      </c>
      <c r="I21" s="1773">
        <f>COUNTIFS($D$68:$D$69,"Vacant",$E$68:$E$69,"Hire")</f>
        <v>1</v>
      </c>
      <c r="J21" s="1773">
        <f>COUNTIFS($E$68:$E$69,"Offshore")</f>
        <v>0</v>
      </c>
      <c r="K21" s="1773">
        <f>COUNTIFS($E$68:$E$69,"Hold")</f>
        <v>0</v>
      </c>
      <c r="L21" s="1773">
        <f>$F21-$K21</f>
        <v>2</v>
      </c>
      <c r="M21" s="1538" t="str">
        <f>"-"</f>
        <v>-</v>
      </c>
      <c r="N21" s="1772">
        <f>SUMIFS('REVIEW - Complete Role Mapping'!$AA$2:$AA$528,'REVIEW - Complete Role Mapping'!$AJ$2:$AJ$528,$C$3,'REVIEW - Complete Role Mapping'!$AT$2:$AT$528,$B21)/1000000</f>
        <v>0.5703737</v>
      </c>
      <c r="O21" s="1538" t="str">
        <f>"-"</f>
        <v>-</v>
      </c>
      <c r="P21" s="1772">
        <f>SUM($G$68:$G$69)/1000000</f>
        <v>0.5703737</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1.11994195</v>
      </c>
      <c r="O22" s="1774">
        <f>SUM(O19:O21)</f>
        <v>0</v>
      </c>
      <c r="P22" s="1774">
        <f>SUM(P19:P21)</f>
        <v>1.11994195</v>
      </c>
      <c r="Q22" s="1774">
        <f>SUM(Q19:Q21)</f>
        <v>0</v>
      </c>
    </row>
    <row r="23"/>
    <row r="24">
      <c r="B24" s="1539" t="inlineStr">
        <is>
          <t>Total portfolio</t>
        </is>
      </c>
      <c r="C24" s="1539" t="n"/>
      <c r="D24" s="1539" t="n"/>
      <c r="E24" s="1784">
        <f>N(E10)+N(E15)+N(E22)</f>
        <v>35</v>
      </c>
      <c r="F24" s="1777">
        <f>N(F10)+N(F15)+N(F22)</f>
        <v>33</v>
      </c>
      <c r="G24" s="1777">
        <f>N(G10)+N(G15)+N(G22)</f>
        <v>24</v>
      </c>
      <c r="H24" s="1777">
        <f>N(H10)+N(H15)+N(H22)</f>
        <v>9</v>
      </c>
      <c r="I24" s="1777">
        <f>N(I10)+N(I15)+N(I22)</f>
        <v>9</v>
      </c>
      <c r="J24" s="1777">
        <f>N(J10)+N(J15)+N(J22)</f>
        <v>0</v>
      </c>
      <c r="K24" s="1777">
        <f>N(K10)+N(K15)+N(K22)</f>
        <v>0</v>
      </c>
      <c r="L24" s="1777">
        <f>N(L10)+N(L15)+N(L22)</f>
        <v>33</v>
      </c>
      <c r="M24" s="1776">
        <f>N(M10)+N(M15)+N(M22)</f>
        <v>7.9</v>
      </c>
      <c r="N24" s="1776">
        <f>N(N10)+N(N15)+N(N22)</f>
        <v>6.447816278</v>
      </c>
      <c r="O24" s="1776">
        <f>N(O10)+N(O15)+N(O22)</f>
        <v>-2.572126</v>
      </c>
      <c r="P24" s="1776">
        <f>N(P10)+N(P15)+N(P22)</f>
        <v>6.447816278</v>
      </c>
      <c r="Q24" s="1776">
        <f>N(Q10)+N(Q15)+N(Q22)</f>
        <v>-2.572126</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Energy Solutions &amp; B2B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B2B</t>
        </is>
      </c>
      <c r="C31" s="1545" t="str">
        <f>COUNTA($B$32:$B$45)&amp;IF(COUNTA($B$32:$B$45)=1," role"," roles")</f>
        <v>14 roles</v>
      </c>
      <c r="D31" s="1545" t="n"/>
      <c r="E31" s="1545" t="n"/>
      <c r="F31" s="1785">
        <f>SUM(F32:F45)</f>
        <v>2593511.07</v>
      </c>
      <c r="G31" s="1785">
        <f>SUM(G32:G45)</f>
        <v>2593511.07</v>
      </c>
    </row>
    <row r="32">
      <c r="B32" s="1530" t="str">
        <f>INDEX('REVIEW - Complete Role Mapping'!$B:$B,334)</f>
        <v>Alex Abelita</v>
      </c>
      <c r="C32" s="1530" t="str">
        <f>INDEX('REVIEW - Complete Role Mapping'!$C:$C,334)</f>
        <v>Associate Engineer - Automation Testing</v>
      </c>
      <c r="D32" s="1530" t="str">
        <f>INDEX('REVIEW - Complete Role Mapping'!$AK:$AK,334)</f>
        <v>Filled</v>
      </c>
      <c r="E32" s="1547" t="inlineStr">
        <is>
          <t>Filled</t>
        </is>
      </c>
      <c r="F32" s="1773">
        <f>INDEX('REVIEW - Complete Role Mapping'!$AA:$AA,334)</f>
        <v>87044</v>
      </c>
      <c r="G32" s="1773">
        <f>$F32*IFERROR(INDEX(Lists!$AD:$AD,MATCH($E32,Lists!$AC:$AC,0)),1)</f>
        <v>87044</v>
      </c>
    </row>
    <row r="33">
      <c r="B33" s="1530" t="str">
        <f>INDEX('REVIEW - Complete Role Mapping'!$B:$B,337)</f>
        <v>Allyn Puente</v>
      </c>
      <c r="C33" s="1530" t="str">
        <f>INDEX('REVIEW - Complete Role Mapping'!$C:$C,337)</f>
        <v>Graduate</v>
      </c>
      <c r="D33" s="1530" t="str">
        <f>INDEX('REVIEW - Complete Role Mapping'!$AK:$AK,337)</f>
        <v>Filled</v>
      </c>
      <c r="E33" s="1547" t="inlineStr">
        <is>
          <t>Filled</t>
        </is>
      </c>
      <c r="F33" s="1773">
        <f>INDEX('REVIEW - Complete Role Mapping'!$AA:$AA,337)</f>
        <v>110075</v>
      </c>
      <c r="G33" s="1773">
        <f>$F33*IFERROR(INDEX(Lists!$AD:$AD,MATCH($E33,Lists!$AC:$AC,0)),1)</f>
        <v>110075</v>
      </c>
    </row>
    <row r="34">
      <c r="B34" s="1530" t="str">
        <f>INDEX('REVIEW - Complete Role Mapping'!$B:$B,348)</f>
        <v>Belinda Ford</v>
      </c>
      <c r="C34" s="1530" t="str">
        <f>INDEX('REVIEW - Complete Role Mapping'!$C:$C,348)</f>
        <v>Quality Assurance</v>
      </c>
      <c r="D34" s="1530" t="str">
        <f>INDEX('REVIEW - Complete Role Mapping'!$AK:$AK,348)</f>
        <v>Filled</v>
      </c>
      <c r="E34" s="1547" t="inlineStr">
        <is>
          <t>Filled</t>
        </is>
      </c>
      <c r="F34" s="1773">
        <f>INDEX('REVIEW - Complete Role Mapping'!$AA:$AA,348)</f>
        <v>149160.45</v>
      </c>
      <c r="G34" s="1773">
        <f>$F34*IFERROR(INDEX(Lists!$AD:$AD,MATCH($E34,Lists!$AC:$AC,0)),1)</f>
        <v>149160.45</v>
      </c>
    </row>
    <row r="35">
      <c r="B35" s="1530" t="str">
        <f>INDEX('REVIEW - Complete Role Mapping'!$B:$B,357)</f>
        <v>Debbie Gor</v>
      </c>
      <c r="C35" s="1530" t="str">
        <f>INDEX('REVIEW - Complete Role Mapping'!$C:$C,357)</f>
        <v>Delivery Lead</v>
      </c>
      <c r="D35" s="1530" t="str">
        <f>INDEX('REVIEW - Complete Role Mapping'!$AK:$AK,357)</f>
        <v>Filled</v>
      </c>
      <c r="E35" s="1547" t="inlineStr">
        <is>
          <t>Filled</t>
        </is>
      </c>
      <c r="F35" s="1773">
        <f>INDEX('REVIEW - Complete Role Mapping'!$AA:$AA,357)</f>
        <v>266612.85</v>
      </c>
      <c r="G35" s="1773">
        <f>$F35*IFERROR(INDEX(Lists!$AD:$AD,MATCH($E35,Lists!$AC:$AC,0)),1)</f>
        <v>266612.85</v>
      </c>
    </row>
    <row r="36">
      <c r="B36" s="1530" t="str">
        <f>INDEX('REVIEW - Complete Role Mapping'!$B:$B,362)</f>
        <v>Frank Liang</v>
      </c>
      <c r="C36" s="1530" t="str">
        <f>INDEX('REVIEW - Complete Role Mapping'!$C:$C,362)</f>
        <v>Senior Systems Analyst</v>
      </c>
      <c r="D36" s="1530" t="str">
        <f>INDEX('REVIEW - Complete Role Mapping'!$AK:$AK,362)</f>
        <v>Filled</v>
      </c>
      <c r="E36" s="1547" t="inlineStr">
        <is>
          <t>Filled</t>
        </is>
      </c>
      <c r="F36" s="1773">
        <f>INDEX('REVIEW - Complete Role Mapping'!$AA:$AA,362)</f>
        <v>223625.85</v>
      </c>
      <c r="G36" s="1773">
        <f>$F36*IFERROR(INDEX(Lists!$AD:$AD,MATCH($E36,Lists!$AC:$AC,0)),1)</f>
        <v>223625.85</v>
      </c>
    </row>
    <row r="37">
      <c r="B37" s="1530" t="str">
        <f>INDEX('REVIEW - Complete Role Mapping'!$B:$B,374)</f>
        <v>Jessica Calla</v>
      </c>
      <c r="C37" s="1530" t="str">
        <f>INDEX('REVIEW - Complete Role Mapping'!$C:$C,374)</f>
        <v>System Analyst Card</v>
      </c>
      <c r="D37" s="1530" t="str">
        <f>INDEX('REVIEW - Complete Role Mapping'!$AK:$AK,374)</f>
        <v>Filled</v>
      </c>
      <c r="E37" s="1547" t="inlineStr">
        <is>
          <t>Filled</t>
        </is>
      </c>
      <c r="F37" s="1773">
        <f>INDEX('REVIEW - Complete Role Mapping'!$AA:$AA,374)</f>
        <v>137509.55</v>
      </c>
      <c r="G37" s="1773">
        <f>$F37*IFERROR(INDEX(Lists!$AD:$AD,MATCH($E37,Lists!$AC:$AC,0)),1)</f>
        <v>137509.55</v>
      </c>
    </row>
    <row r="38">
      <c r="B38" s="1530" t="str">
        <f>INDEX('REVIEW - Complete Role Mapping'!$B:$B,386)</f>
        <v>Lindsay Baipas</v>
      </c>
      <c r="C38" s="1530" t="str">
        <f>INDEX('REVIEW - Complete Role Mapping'!$C:$C,386)</f>
        <v>System Analyst Card</v>
      </c>
      <c r="D38" s="1530" t="str">
        <f>INDEX('REVIEW - Complete Role Mapping'!$AK:$AK,386)</f>
        <v>Filled</v>
      </c>
      <c r="E38" s="1547" t="inlineStr">
        <is>
          <t>Filled</t>
        </is>
      </c>
      <c r="F38" s="1773">
        <f>INDEX('REVIEW - Complete Role Mapping'!$AA:$AA,386)</f>
        <v>190306.8</v>
      </c>
      <c r="G38" s="1773">
        <f>$F38*IFERROR(INDEX(Lists!$AD:$AD,MATCH($E38,Lists!$AC:$AC,0)),1)</f>
        <v>190306.8</v>
      </c>
    </row>
    <row r="39">
      <c r="B39" s="1530" t="str">
        <f>INDEX('REVIEW - Complete Role Mapping'!$B:$B,389)</f>
        <v>Mick DaSilva</v>
      </c>
      <c r="C39" s="1530" t="str">
        <f>INDEX('REVIEW - Complete Role Mapping'!$C:$C,389)</f>
        <v>Senior Business Analyst</v>
      </c>
      <c r="D39" s="1530" t="str">
        <f>INDEX('REVIEW - Complete Role Mapping'!$AK:$AK,389)</f>
        <v>Filled</v>
      </c>
      <c r="E39" s="1547" t="inlineStr">
        <is>
          <t>Filled</t>
        </is>
      </c>
      <c r="F39" s="1773">
        <f>INDEX('REVIEW - Complete Role Mapping'!$AA:$AA,389)</f>
        <v>219447.3</v>
      </c>
      <c r="G39" s="1773">
        <f>$F39*IFERROR(INDEX(Lists!$AD:$AD,MATCH($E39,Lists!$AC:$AC,0)),1)</f>
        <v>219447.3</v>
      </c>
    </row>
    <row r="40">
      <c r="B40" s="1530" t="str">
        <f>INDEX('REVIEW - Complete Role Mapping'!$B:$B,390)</f>
        <v>Mikey Tran</v>
      </c>
      <c r="C40" s="1530" t="str">
        <f>INDEX('REVIEW - Complete Role Mapping'!$C:$C,390)</f>
        <v>Senior Systems Analyst - Card</v>
      </c>
      <c r="D40" s="1530" t="str">
        <f>INDEX('REVIEW - Complete Role Mapping'!$AK:$AK,390)</f>
        <v>Filled</v>
      </c>
      <c r="E40" s="1547" t="inlineStr">
        <is>
          <t>Filled</t>
        </is>
      </c>
      <c r="F40" s="1773">
        <f>INDEX('REVIEW - Complete Role Mapping'!$AA:$AA,390)</f>
        <v>186900</v>
      </c>
      <c r="G40" s="1773">
        <f>$F40*IFERROR(INDEX(Lists!$AD:$AD,MATCH($E40,Lists!$AC:$AC,0)),1)</f>
        <v>186900</v>
      </c>
    </row>
    <row r="41">
      <c r="B41" s="1530" t="str">
        <f>INDEX('REVIEW - Complete Role Mapping'!$B:$B,391)</f>
        <v>Ming Shao</v>
      </c>
      <c r="C41" s="1530" t="str">
        <f>INDEX('REVIEW - Complete Role Mapping'!$C:$C,391)</f>
        <v>Senior Systems Analyst Card</v>
      </c>
      <c r="D41" s="1530" t="str">
        <f>INDEX('REVIEW - Complete Role Mapping'!$AK:$AK,391)</f>
        <v>Filled</v>
      </c>
      <c r="E41" s="1547" t="inlineStr">
        <is>
          <t>Filled</t>
        </is>
      </c>
      <c r="F41" s="1773">
        <f>INDEX('REVIEW - Complete Role Mapping'!$AA:$AA,391)</f>
        <v>221610</v>
      </c>
      <c r="G41" s="1773">
        <f>$F41*IFERROR(INDEX(Lists!$AD:$AD,MATCH($E41,Lists!$AC:$AC,0)),1)</f>
        <v>221610</v>
      </c>
    </row>
    <row r="42">
      <c r="B42" s="1530" t="str">
        <f>INDEX('REVIEW - Complete Role Mapping'!$B:$B,399)</f>
        <v>Rod Santillan</v>
      </c>
      <c r="C42" s="1530" t="str">
        <f>INDEX('REVIEW - Complete Role Mapping'!$C:$C,399)</f>
        <v>Snr Engineer Software</v>
      </c>
      <c r="D42" s="1530" t="str">
        <f>INDEX('REVIEW - Complete Role Mapping'!$AK:$AK,399)</f>
        <v>Filled</v>
      </c>
      <c r="E42" s="1547" t="inlineStr">
        <is>
          <t>Filled</t>
        </is>
      </c>
      <c r="F42" s="1773">
        <f>INDEX('REVIEW - Complete Role Mapping'!$AA:$AA,399)</f>
        <v>163823.52</v>
      </c>
      <c r="G42" s="1773">
        <f>$F42*IFERROR(INDEX(Lists!$AD:$AD,MATCH($E42,Lists!$AC:$AC,0)),1)</f>
        <v>163823.52</v>
      </c>
    </row>
    <row r="43">
      <c r="B43" s="1530" t="str">
        <f>INDEX('REVIEW - Complete Role Mapping'!$B:$B,412)</f>
        <v>Vacant</v>
      </c>
      <c r="C43" s="1530" t="str">
        <f>INDEX('REVIEW - Complete Role Mapping'!$C:$C,412)</f>
        <v>Engineer Software</v>
      </c>
      <c r="D43" s="1530" t="str">
        <f>INDEX('REVIEW - Complete Role Mapping'!$AK:$AK,412)</f>
        <v>Vacant</v>
      </c>
      <c r="E43" s="1547" t="inlineStr">
        <is>
          <t>Hire</t>
        </is>
      </c>
      <c r="F43" s="1773">
        <f>INDEX('REVIEW - Complete Role Mapping'!$AA:$AA,412)</f>
        <v>202853.25</v>
      </c>
      <c r="G43" s="1773">
        <f>$F43*IFERROR(INDEX(Lists!$AD:$AD,MATCH($E43,Lists!$AC:$AC,0)),1)</f>
        <v>202853.25</v>
      </c>
    </row>
    <row r="44">
      <c r="B44" s="1530" t="str">
        <f>INDEX('REVIEW - Complete Role Mapping'!$B:$B,413)</f>
        <v>Vacant</v>
      </c>
      <c r="C44" s="1530" t="str">
        <f>INDEX('REVIEW - Complete Role Mapping'!$C:$C,413)</f>
        <v>Solution Architect</v>
      </c>
      <c r="D44" s="1530" t="str">
        <f>INDEX('REVIEW - Complete Role Mapping'!$AK:$AK,413)</f>
        <v>Vacant</v>
      </c>
      <c r="E44" s="1547" t="inlineStr">
        <is>
          <t>Hire</t>
        </is>
      </c>
      <c r="F44" s="1773">
        <f>INDEX('REVIEW - Complete Role Mapping'!$AA:$AA,413)</f>
        <v>231689.25</v>
      </c>
      <c r="G44" s="1773">
        <f>$F44*IFERROR(INDEX(Lists!$AD:$AD,MATCH($E44,Lists!$AC:$AC,0)),1)</f>
        <v>231689.25</v>
      </c>
    </row>
    <row r="45">
      <c r="B45" s="1530" t="str">
        <f>INDEX('REVIEW - Complete Role Mapping'!$B:$B,438)</f>
        <v>Vacant</v>
      </c>
      <c r="C45" s="1530" t="str">
        <f>INDEX('REVIEW - Complete Role Mapping'!$C:$C,438)</f>
        <v>Business Analyst</v>
      </c>
      <c r="D45" s="1530" t="str">
        <f>INDEX('REVIEW - Complete Role Mapping'!$AK:$AK,438)</f>
        <v>Vacant</v>
      </c>
      <c r="E45" s="1547" t="inlineStr">
        <is>
          <t>Hire</t>
        </is>
      </c>
      <c r="F45" s="1773">
        <f>INDEX('REVIEW - Complete Role Mapping'!$AA:$AA,438)</f>
        <v>202853.25</v>
      </c>
      <c r="G45" s="1773">
        <f>$F45*IFERROR(INDEX(Lists!$AD:$AD,MATCH($E45,Lists!$AC:$AC,0)),1)</f>
        <v>202853.25</v>
      </c>
    </row>
    <row r="46">
      <c r="B46" s="1545" t="inlineStr">
        <is>
          <t>EVCI</t>
        </is>
      </c>
      <c r="C46" s="1545" t="str">
        <f>COUNTA($B$47:$B$52)&amp;IF(COUNTA($B$47:$B$52)=1," role"," roles")</f>
        <v>6 roles</v>
      </c>
      <c r="D46" s="1545" t="n"/>
      <c r="E46" s="1545" t="n"/>
      <c r="F46" s="1785">
        <f>SUM(F47:F52)</f>
        <v>930799.292</v>
      </c>
      <c r="G46" s="1785">
        <f>SUM(G47:G52)</f>
        <v>930799.292</v>
      </c>
    </row>
    <row r="47">
      <c r="B47" s="1530" t="str">
        <f>INDEX('REVIEW - Complete Role Mapping'!$B:$B,340)</f>
        <v>Angela Ross</v>
      </c>
      <c r="C47" s="1530" t="str">
        <f>INDEX('REVIEW - Complete Role Mapping'!$C:$C,340)</f>
        <v>Delivery Lead</v>
      </c>
      <c r="D47" s="1530" t="str">
        <f>INDEX('REVIEW - Complete Role Mapping'!$AK:$AK,340)</f>
        <v>Filled</v>
      </c>
      <c r="E47" s="1547" t="inlineStr">
        <is>
          <t>Filled</t>
        </is>
      </c>
      <c r="F47" s="1773">
        <f>INDEX('REVIEW - Complete Role Mapping'!$AA:$AA,340)</f>
        <v>188300.028</v>
      </c>
      <c r="G47" s="1773">
        <f>$F47*IFERROR(INDEX(Lists!$AD:$AD,MATCH($E47,Lists!$AC:$AC,0)),1)</f>
        <v>188300.028</v>
      </c>
    </row>
    <row r="48">
      <c r="B48" s="1530" t="str">
        <f>INDEX('REVIEW - Complete Role Mapping'!$B:$B,342)</f>
        <v>Anie Camerino</v>
      </c>
      <c r="C48" s="1530" t="str">
        <f>INDEX('REVIEW - Complete Role Mapping'!$C:$C,342)</f>
        <v>Snr Quality Assurance</v>
      </c>
      <c r="D48" s="1530" t="str">
        <f>INDEX('REVIEW - Complete Role Mapping'!$AK:$AK,342)</f>
        <v>Filled</v>
      </c>
      <c r="E48" s="1547" t="inlineStr">
        <is>
          <t>Filled</t>
        </is>
      </c>
      <c r="F48" s="1773">
        <f>INDEX('REVIEW - Complete Role Mapping'!$AA:$AA,342)</f>
        <v>153503.328</v>
      </c>
      <c r="G48" s="1773">
        <f>$F48*IFERROR(INDEX(Lists!$AD:$AD,MATCH($E48,Lists!$AC:$AC,0)),1)</f>
        <v>153503.328</v>
      </c>
    </row>
    <row r="49">
      <c r="B49" s="1530" t="str">
        <f>INDEX('REVIEW - Complete Role Mapping'!$B:$B,351)</f>
        <v>Caitlin Dyas</v>
      </c>
      <c r="C49" s="1530" t="str">
        <f>INDEX('REVIEW - Complete Role Mapping'!$C:$C,351)</f>
        <v>Snr Engineer Software</v>
      </c>
      <c r="D49" s="1530" t="str">
        <f>INDEX('REVIEW - Complete Role Mapping'!$AK:$AK,351)</f>
        <v>Filled</v>
      </c>
      <c r="E49" s="1547" t="inlineStr">
        <is>
          <t>Filled</t>
        </is>
      </c>
      <c r="F49" s="1773">
        <f>INDEX('REVIEW - Complete Role Mapping'!$AA:$AA,351)</f>
        <v>144360</v>
      </c>
      <c r="G49" s="1773">
        <f>$F49*IFERROR(INDEX(Lists!$AD:$AD,MATCH($E49,Lists!$AC:$AC,0)),1)</f>
        <v>144360</v>
      </c>
    </row>
    <row r="50">
      <c r="B50" s="1530" t="str">
        <f>INDEX('REVIEW - Complete Role Mapping'!$B:$B,366)</f>
        <v>Gokila Mylsamy</v>
      </c>
      <c r="C50" s="1530" t="str">
        <f>INDEX('REVIEW - Complete Role Mapping'!$C:$C,366)</f>
        <v>Lead Engineer Software</v>
      </c>
      <c r="D50" s="1530" t="str">
        <f>INDEX('REVIEW - Complete Role Mapping'!$AK:$AK,366)</f>
        <v>Filled</v>
      </c>
      <c r="E50" s="1547" t="inlineStr">
        <is>
          <t>Filled</t>
        </is>
      </c>
      <c r="F50" s="1773">
        <f>INDEX('REVIEW - Complete Role Mapping'!$AA:$AA,366)</f>
        <v>184214.952</v>
      </c>
      <c r="G50" s="1773">
        <f>$F50*IFERROR(INDEX(Lists!$AD:$AD,MATCH($E50,Lists!$AC:$AC,0)),1)</f>
        <v>184214.952</v>
      </c>
    </row>
    <row r="51">
      <c r="B51" s="1530" t="str">
        <f>INDEX('REVIEW - Complete Role Mapping'!$B:$B,377)</f>
        <v>Josh Campbell</v>
      </c>
      <c r="C51" s="1530" t="str">
        <f>INDEX('REVIEW - Complete Role Mapping'!$C:$C,377)</f>
        <v>Engineer Software</v>
      </c>
      <c r="D51" s="1530" t="str">
        <f>INDEX('REVIEW - Complete Role Mapping'!$AK:$AK,377)</f>
        <v>Filled</v>
      </c>
      <c r="E51" s="1547" t="inlineStr">
        <is>
          <t>Filled</t>
        </is>
      </c>
      <c r="F51" s="1773">
        <f>INDEX('REVIEW - Complete Role Mapping'!$AA:$AA,377)</f>
        <v>101667.032</v>
      </c>
      <c r="G51" s="1773">
        <f>$F51*IFERROR(INDEX(Lists!$AD:$AD,MATCH($E51,Lists!$AC:$AC,0)),1)</f>
        <v>101667.032</v>
      </c>
    </row>
    <row r="52">
      <c r="B52" s="1530" t="str">
        <f>INDEX('REVIEW - Complete Role Mapping'!$B:$B,382)</f>
        <v>Lana Wagner</v>
      </c>
      <c r="C52" s="1530" t="str">
        <f>INDEX('REVIEW - Complete Role Mapping'!$C:$C,382)</f>
        <v>Senior Business Analyst</v>
      </c>
      <c r="D52" s="1530" t="str">
        <f>INDEX('REVIEW - Complete Role Mapping'!$AK:$AK,382)</f>
        <v>Filled</v>
      </c>
      <c r="E52" s="1547" t="inlineStr">
        <is>
          <t>Filled</t>
        </is>
      </c>
      <c r="F52" s="1773">
        <f>INDEX('REVIEW - Complete Role Mapping'!$AA:$AA,382)</f>
        <v>158753.952</v>
      </c>
      <c r="G52" s="1773">
        <f>$F52*IFERROR(INDEX(Lists!$AD:$AD,MATCH($E52,Lists!$AC:$AC,0)),1)</f>
        <v>158753.952</v>
      </c>
    </row>
    <row r="53">
      <c r="B53" s="1545" t="inlineStr">
        <is>
          <t>Energy</t>
        </is>
      </c>
      <c r="C53" s="1545" t="str">
        <f>COUNTA($B$54:$B$62)&amp;IF(COUNTA($B$54:$B$62)=1," role"," roles")</f>
        <v>9 roles</v>
      </c>
      <c r="D53" s="1545" t="n"/>
      <c r="E53" s="1545" t="n"/>
      <c r="F53" s="1785">
        <f>SUM(F54:F62)</f>
        <v>1803563.966</v>
      </c>
      <c r="G53" s="1785">
        <f>SUM(G54:G62)</f>
        <v>1803563.966</v>
      </c>
    </row>
    <row r="54">
      <c r="B54" s="1530" t="str">
        <f>INDEX('REVIEW - Complete Role Mapping'!$B:$B,352)</f>
        <v>Caitlin Naylor</v>
      </c>
      <c r="C54" s="1530" t="str">
        <f>INDEX('REVIEW - Complete Role Mapping'!$C:$C,352)</f>
        <v>Associate Engineer- Software</v>
      </c>
      <c r="D54" s="1530" t="str">
        <f>INDEX('REVIEW - Complete Role Mapping'!$AK:$AK,352)</f>
        <v>Filled</v>
      </c>
      <c r="E54" s="1547" t="inlineStr">
        <is>
          <t>Filled</t>
        </is>
      </c>
      <c r="F54" s="1773">
        <f>INDEX('REVIEW - Complete Role Mapping'!$AA:$AA,352)</f>
        <v>87434.816</v>
      </c>
      <c r="G54" s="1773">
        <f>$F54*IFERROR(INDEX(Lists!$AD:$AD,MATCH($E54,Lists!$AC:$AC,0)),1)</f>
        <v>87434.816</v>
      </c>
    </row>
    <row r="55">
      <c r="B55" s="1530" t="str">
        <f>INDEX('REVIEW - Complete Role Mapping'!$B:$B,360)</f>
        <v>Elma Kurian</v>
      </c>
      <c r="C55" s="1530" t="str">
        <f>INDEX('REVIEW - Complete Role Mapping'!$C:$C,360)</f>
        <v>System Specialist</v>
      </c>
      <c r="D55" s="1530" t="str">
        <f>INDEX('REVIEW - Complete Role Mapping'!$AK:$AK,360)</f>
        <v>Filled</v>
      </c>
      <c r="E55" s="1547" t="inlineStr">
        <is>
          <t>Filled</t>
        </is>
      </c>
      <c r="F55" s="1773">
        <f>INDEX('REVIEW - Complete Role Mapping'!$AA:$AA,360)</f>
        <v>203253.75</v>
      </c>
      <c r="G55" s="1773">
        <f>$F55*IFERROR(INDEX(Lists!$AD:$AD,MATCH($E55,Lists!$AC:$AC,0)),1)</f>
        <v>203253.75</v>
      </c>
    </row>
    <row r="56">
      <c r="B56" s="1530" t="str">
        <f>INDEX('REVIEW - Complete Role Mapping'!$B:$B,367)</f>
        <v>Gunjan Vasudeva</v>
      </c>
      <c r="C56" s="1530" t="str">
        <f>INDEX('REVIEW - Complete Role Mapping'!$C:$C,367)</f>
        <v>Lead Quality Assurance</v>
      </c>
      <c r="D56" s="1530" t="str">
        <f>INDEX('REVIEW - Complete Role Mapping'!$AK:$AK,367)</f>
        <v>Filled</v>
      </c>
      <c r="E56" s="1547" t="inlineStr">
        <is>
          <t>Filled</t>
        </is>
      </c>
      <c r="F56" s="1773">
        <f>INDEX('REVIEW - Complete Role Mapping'!$AA:$AA,367)</f>
        <v>208473.6</v>
      </c>
      <c r="G56" s="1773">
        <f>$F56*IFERROR(INDEX(Lists!$AD:$AD,MATCH($E56,Lists!$AC:$AC,0)),1)</f>
        <v>208473.6</v>
      </c>
    </row>
    <row r="57">
      <c r="B57" s="1530" t="str">
        <f>INDEX('REVIEW - Complete Role Mapping'!$B:$B,371)</f>
        <v>James Hung</v>
      </c>
      <c r="C57" s="1530" t="str">
        <f>INDEX('REVIEW - Complete Role Mapping'!$C:$C,371)</f>
        <v>System Specialist</v>
      </c>
      <c r="D57" s="1530" t="str">
        <f>INDEX('REVIEW - Complete Role Mapping'!$AK:$AK,371)</f>
        <v>Filled</v>
      </c>
      <c r="E57" s="1547" t="inlineStr">
        <is>
          <t>Filled</t>
        </is>
      </c>
      <c r="F57" s="1773">
        <f>INDEX('REVIEW - Complete Role Mapping'!$AA:$AA,371)</f>
        <v>213533.25</v>
      </c>
      <c r="G57" s="1773">
        <f>$F57*IFERROR(INDEX(Lists!$AD:$AD,MATCH($E57,Lists!$AC:$AC,0)),1)</f>
        <v>213533.25</v>
      </c>
    </row>
    <row r="58">
      <c r="B58" s="1530" t="str">
        <f>INDEX('REVIEW - Complete Role Mapping'!$B:$B,388)</f>
        <v>Marcela Gonzalez</v>
      </c>
      <c r="C58" s="1530" t="str">
        <f>INDEX('REVIEW - Complete Role Mapping'!$C:$C,388)</f>
        <v>Energy Platforms Lead</v>
      </c>
      <c r="D58" s="1530" t="str">
        <f>INDEX('REVIEW - Complete Role Mapping'!$AK:$AK,388)</f>
        <v>Filled</v>
      </c>
      <c r="E58" s="1547" t="inlineStr">
        <is>
          <t>Filled</t>
        </is>
      </c>
      <c r="F58" s="1773">
        <f>INDEX('REVIEW - Complete Role Mapping'!$AA:$AA,388)</f>
        <v>250619.55</v>
      </c>
      <c r="G58" s="1773">
        <f>$F58*IFERROR(INDEX(Lists!$AD:$AD,MATCH($E58,Lists!$AC:$AC,0)),1)</f>
        <v>250619.55</v>
      </c>
    </row>
    <row r="59">
      <c r="B59" s="1530" t="str">
        <f>INDEX('REVIEW - Complete Role Mapping'!$B:$B,416)</f>
        <v>Vacant</v>
      </c>
      <c r="C59" s="1530" t="str">
        <f>INDEX('REVIEW - Complete Role Mapping'!$C:$C,416)</f>
        <v>Engineer Automation - Testing</v>
      </c>
      <c r="D59" s="1530" t="str">
        <f>INDEX('REVIEW - Complete Role Mapping'!$AK:$AK,416)</f>
        <v>Vacant</v>
      </c>
      <c r="E59" s="1547" t="inlineStr">
        <is>
          <t>Hire</t>
        </is>
      </c>
      <c r="F59" s="1773">
        <f>INDEX('REVIEW - Complete Role Mapping'!$AA:$AA,416)</f>
        <v>202853.25</v>
      </c>
      <c r="G59" s="1773">
        <f>$F59*IFERROR(INDEX(Lists!$AD:$AD,MATCH($E59,Lists!$AC:$AC,0)),1)</f>
        <v>202853.25</v>
      </c>
    </row>
    <row r="60">
      <c r="B60" s="1530" t="str">
        <f>INDEX('REVIEW - Complete Role Mapping'!$B:$B,417)</f>
        <v>Vacant</v>
      </c>
      <c r="C60" s="1530" t="str">
        <f>INDEX('REVIEW - Complete Role Mapping'!$C:$C,417)</f>
        <v>Snr Engineer Software</v>
      </c>
      <c r="D60" s="1530" t="str">
        <f>INDEX('REVIEW - Complete Role Mapping'!$AK:$AK,417)</f>
        <v>Vacant</v>
      </c>
      <c r="E60" s="1547" t="inlineStr">
        <is>
          <t>Hire</t>
        </is>
      </c>
      <c r="F60" s="1773">
        <f>INDEX('REVIEW - Complete Role Mapping'!$AA:$AA,417)</f>
        <v>202853.25</v>
      </c>
      <c r="G60" s="1773">
        <f>$F60*IFERROR(INDEX(Lists!$AD:$AD,MATCH($E60,Lists!$AC:$AC,0)),1)</f>
        <v>202853.25</v>
      </c>
    </row>
    <row r="61">
      <c r="B61" s="1530" t="str">
        <f>INDEX('REVIEW - Complete Role Mapping'!$B:$B,418)</f>
        <v>Vacant</v>
      </c>
      <c r="C61" s="1530" t="str">
        <f>INDEX('REVIEW - Complete Role Mapping'!$C:$C,418)</f>
        <v>Solution Architect</v>
      </c>
      <c r="D61" s="1530" t="str">
        <f>INDEX('REVIEW - Complete Role Mapping'!$AK:$AK,418)</f>
        <v>Vacant</v>
      </c>
      <c r="E61" s="1547" t="inlineStr">
        <is>
          <t>Hire</t>
        </is>
      </c>
      <c r="F61" s="1773">
        <f>INDEX('REVIEW - Complete Role Mapping'!$AA:$AA,418)</f>
        <v>231689.25</v>
      </c>
      <c r="G61" s="1773">
        <f>$F61*IFERROR(INDEX(Lists!$AD:$AD,MATCH($E61,Lists!$AC:$AC,0)),1)</f>
        <v>231689.25</v>
      </c>
    </row>
    <row r="62">
      <c r="B62" s="1530" t="str">
        <f>INDEX('REVIEW - Complete Role Mapping'!$B:$B,439)</f>
        <v>Vacant</v>
      </c>
      <c r="C62" s="1530" t="str">
        <f>INDEX('REVIEW - Complete Role Mapping'!$C:$C,439)</f>
        <v>Business Analyst</v>
      </c>
      <c r="D62" s="1530" t="str">
        <f>INDEX('REVIEW - Complete Role Mapping'!$AK:$AK,439)</f>
        <v>Vacant</v>
      </c>
      <c r="E62" s="1547" t="inlineStr">
        <is>
          <t>Hire</t>
        </is>
      </c>
      <c r="F62" s="1773">
        <f>INDEX('REVIEW - Complete Role Mapping'!$AA:$AA,439)</f>
        <v>202853.25</v>
      </c>
      <c r="G62" s="1773">
        <f>$F62*IFERROR(INDEX(Lists!$AD:$AD,MATCH($E62,Lists!$AC:$AC,0)),1)</f>
        <v>202853.25</v>
      </c>
    </row>
    <row r="63">
      <c r="B63" s="1545" t="inlineStr">
        <is>
          <t>Head of Technology</t>
        </is>
      </c>
      <c r="C63" s="1545" t="str">
        <f>COUNTA($B$64:$B$64)&amp;IF(COUNTA($B$64:$B$64)=1," role"," roles")</f>
        <v>1 role</v>
      </c>
      <c r="D63" s="1545" t="n"/>
      <c r="E63" s="1545" t="n"/>
      <c r="F63" s="1785">
        <f>SUM(F64:F64)</f>
        <v>273758</v>
      </c>
      <c r="G63" s="1785">
        <f>SUM(G64:G64)</f>
        <v>273758</v>
      </c>
    </row>
    <row r="64">
      <c r="B64" s="1530" t="str">
        <f>INDEX('REVIEW - Complete Role Mapping'!$B:$B,385)</f>
        <v>Liesl Tye</v>
      </c>
      <c r="C64" s="1530" t="str">
        <f>INDEX('REVIEW - Complete Role Mapping'!$C:$C,385)</f>
        <v>Head of Technology, B2B &amp; Energy Solutions</v>
      </c>
      <c r="D64" s="1530" t="str">
        <f>INDEX('REVIEW - Complete Role Mapping'!$AK:$AK,385)</f>
        <v>Filled</v>
      </c>
      <c r="E64" s="1547" t="inlineStr">
        <is>
          <t>Filled</t>
        </is>
      </c>
      <c r="F64" s="1773">
        <f>INDEX('REVIEW - Complete Role Mapping'!$AA:$AA,385)</f>
        <v>273758</v>
      </c>
      <c r="G64" s="1773">
        <f>$F64*IFERROR(INDEX(Lists!$AD:$AD,MATCH($E64,Lists!$AC:$AC,0)),1)</f>
        <v>273758</v>
      </c>
    </row>
    <row r="65">
      <c r="B65" s="1545" t="inlineStr">
        <is>
          <t>Delivery Manager</t>
        </is>
      </c>
      <c r="C65" s="1545" t="str">
        <f>COUNTA($B$66:$B$66)&amp;IF(COUNTA($B$66:$B$66)=1," role"," roles")</f>
        <v>1 role</v>
      </c>
      <c r="D65" s="1545" t="n"/>
      <c r="E65" s="1545" t="n"/>
      <c r="F65" s="1785">
        <f>SUM(F66:F66)</f>
        <v>275810.25</v>
      </c>
      <c r="G65" s="1785">
        <f>SUM(G66:G66)</f>
        <v>275810.25</v>
      </c>
    </row>
    <row r="66">
      <c r="B66" s="1530" t="str">
        <f>INDEX('REVIEW - Complete Role Mapping'!$B:$B,414)</f>
        <v>Vacant</v>
      </c>
      <c r="C66" s="1530" t="str">
        <f>INDEX('REVIEW - Complete Role Mapping'!$C:$C,414)</f>
        <v>Delivery manager</v>
      </c>
      <c r="D66" s="1530" t="str">
        <f>INDEX('REVIEW - Complete Role Mapping'!$AK:$AK,414)</f>
        <v>Vacant</v>
      </c>
      <c r="E66" s="1547" t="inlineStr">
        <is>
          <t>Hire</t>
        </is>
      </c>
      <c r="F66" s="1773">
        <f>INDEX('REVIEW - Complete Role Mapping'!$AA:$AA,414)</f>
        <v>275810.25</v>
      </c>
      <c r="G66" s="1773">
        <f>$F66*IFERROR(INDEX(Lists!$AD:$AD,MATCH($E66,Lists!$AC:$AC,0)),1)</f>
        <v>275810.25</v>
      </c>
    </row>
    <row r="67">
      <c r="B67" s="1545" t="inlineStr">
        <is>
          <t>Technology Manager</t>
        </is>
      </c>
      <c r="C67" s="1545" t="str">
        <f>COUNTA($B$68:$B$69)&amp;IF(COUNTA($B$68:$B$69)=1," role"," roles")</f>
        <v>2 roles</v>
      </c>
      <c r="D67" s="1545" t="n"/>
      <c r="E67" s="1545" t="n"/>
      <c r="F67" s="1785">
        <f>SUM(F68:F69)</f>
        <v>570373.7</v>
      </c>
      <c r="G67" s="1785">
        <f>SUM(G68:G69)</f>
        <v>570373.7</v>
      </c>
    </row>
    <row r="68">
      <c r="B68" s="1530" t="str">
        <f>INDEX('REVIEW - Complete Role Mapping'!$B:$B,359)</f>
        <v>Elle Spencer</v>
      </c>
      <c r="C68" s="1530" t="str">
        <f>INDEX('REVIEW - Complete Role Mapping'!$C:$C,359)</f>
        <v>Technology Manager - B2B</v>
      </c>
      <c r="D68" s="1530" t="str">
        <f>INDEX('REVIEW - Complete Role Mapping'!$AK:$AK,359)</f>
        <v>Filled</v>
      </c>
      <c r="E68" s="1547" t="inlineStr">
        <is>
          <t>Filled</t>
        </is>
      </c>
      <c r="F68" s="1773">
        <f>INDEX('REVIEW - Complete Role Mapping'!$AA:$AA,359)</f>
        <v>294563.45</v>
      </c>
      <c r="G68" s="1773">
        <f>$F68*IFERROR(INDEX(Lists!$AD:$AD,MATCH($E68,Lists!$AC:$AC,0)),1)</f>
        <v>294563.45</v>
      </c>
    </row>
    <row r="69">
      <c r="B69" s="1530" t="str">
        <f>INDEX('REVIEW - Complete Role Mapping'!$B:$B,415)</f>
        <v>Vacant</v>
      </c>
      <c r="C69" s="1530" t="str">
        <f>INDEX('REVIEW - Complete Role Mapping'!$C:$C,415)</f>
        <v>Technology Manager, Energy Solutions</v>
      </c>
      <c r="D69" s="1530" t="str">
        <f>INDEX('REVIEW - Complete Role Mapping'!$AK:$AK,415)</f>
        <v>Vacant</v>
      </c>
      <c r="E69" s="1547" t="inlineStr">
        <is>
          <t>Hire</t>
        </is>
      </c>
      <c r="F69" s="1773">
        <f>INDEX('REVIEW - Complete Role Mapping'!$AA:$AA,415)</f>
        <v>275810.25</v>
      </c>
      <c r="G69" s="1773">
        <f>$F69*IFERROR(INDEX(Lists!$AD:$AD,MATCH($E69,Lists!$AC:$AC,0)),1)</f>
        <v>275810.25</v>
      </c>
    </row>
  </sheetData>
  <dataValidations count="1">
    <dataValidation sqref="E32 E33 E34 E35 E36 E37 E38 E39 E40 E41 E42 E43 E44 E45 E47 E48 E49 E50 E51 E52 E54 E55 E56 E57 E58 E59 E60 E61 E62 E64 E66 E68 E6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Supply</t>
        </is>
      </c>
      <c r="C7" s="1530" t="str">
        <f>IFERROR(INDEX('1.9 Commercial Fuels'!$C$24:$C$41,MATCH($B7,'1.9 Commercial Fuels'!$B$24:$B$41,0)),"Not on the 1.x tab")</f>
        <v>Configuration / Integration</v>
      </c>
      <c r="D7" s="1530" t="str">
        <f>IFERROR(IF(INDEX('1.9 Commercial Fuels'!$D$24:$D$41,MATCH($B7,'1.9 Commercial Fuels'!$B$24:$B$41,0))="","-",INDEX('1.9 Commercial Fuels'!$D$24:$D$41,MATCH($B7,'1.9 Commercial Fuels'!$B$24:$B$41,0))),"-")</f>
        <v>M</v>
      </c>
      <c r="E7" s="1782">
        <f>IFERROR(INDEX('0.3 Squad Archetypes'!$F$5:$F$23,MATCH($C7&amp;"|"&amp;$D7,'0.3 Squad Archetypes'!$A$5:$A$23,0)),"-")</f>
        <v>9</v>
      </c>
      <c r="F7" s="1773">
        <f>COUNTA($B$47:$B$51)</f>
        <v>5</v>
      </c>
      <c r="G7" s="1773">
        <f>COUNTIFS($D$47:$D$51,"Filled")</f>
        <v>1</v>
      </c>
      <c r="H7" s="1773">
        <f>COUNTIFS($D$47:$D$51,"Vacant")</f>
        <v>4</v>
      </c>
      <c r="I7" s="1773">
        <f>COUNTIFS($D$47:$D$51,"Vacant",$E$47:$E$51,"Hire")</f>
        <v>4</v>
      </c>
      <c r="J7" s="1773">
        <f>COUNTIFS($E$47:$E$51,"Offshore")</f>
        <v>0</v>
      </c>
      <c r="K7" s="1773">
        <f>COUNTIFS($E$47:$E$51,"Hold")</f>
        <v>0</v>
      </c>
      <c r="L7" s="1773">
        <f>$F7-$K7</f>
        <v>5</v>
      </c>
      <c r="M7" s="1772">
        <f>IFERROR(IF(INDEX('1.9 Commercial Fuels'!$E$24:$E$41,MATCH($B7,'1.9 Commercial Fuels'!$B$24:$B$41,0))="Offshore",INDEX('0.3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1.05925575</v>
      </c>
      <c r="O7" s="1772">
        <f>IFERROR(ROUND($N7-$M7,6),"-")</f>
        <v>-1.040744</v>
      </c>
      <c r="P7" s="1772">
        <f>SUM($G$47:$G$51)/1000000</f>
        <v>1.05925575</v>
      </c>
      <c r="Q7" s="1772">
        <f>IFERROR(ROUND($P7-$M7,6),"-")</f>
        <v>-1.040744</v>
      </c>
    </row>
    <row r="8">
      <c r="B8" s="1530" t="inlineStr">
        <is>
          <t>Trading &amp; Shipping</t>
        </is>
      </c>
      <c r="C8" s="1530" t="str">
        <f>IFERROR(INDEX('1.9 Commercial Fuels'!$C$24:$C$41,MATCH($B8,'1.9 Commercial Fuels'!$B$24:$B$41,0)),"Not on the 1.x tab")</f>
        <v>Configuration / Integration</v>
      </c>
      <c r="D8" s="1530" t="str">
        <f>IFERROR(IF(INDEX('1.9 Commercial Fuels'!$D$24:$D$41,MATCH($B8,'1.9 Commercial Fuels'!$B$24:$B$41,0))="","-",INDEX('1.9 Commercial Fuels'!$D$24:$D$41,MATCH($B8,'1.9 Commercial Fuels'!$B$24:$B$41,0))),"-")</f>
        <v>M</v>
      </c>
      <c r="E8" s="1782">
        <f>IFERROR(INDEX('0.3 Squad Archetypes'!$F$5:$F$23,MATCH($C8&amp;"|"&amp;$D8,'0.3 Squad Archetypes'!$A$5:$A$23,0)),"-")</f>
        <v>9</v>
      </c>
      <c r="F8" s="1773">
        <f>COUNTA($B$53:$B$64)</f>
        <v>12</v>
      </c>
      <c r="G8" s="1773">
        <f>COUNTIFS($D$53:$D$64,"Filled")</f>
        <v>9</v>
      </c>
      <c r="H8" s="1773">
        <f>COUNTIFS($D$53:$D$64,"Vacant")</f>
        <v>3</v>
      </c>
      <c r="I8" s="1773">
        <f>COUNTIFS($D$53:$D$64,"Vacant",$E$53:$E$64,"Hire")</f>
        <v>3</v>
      </c>
      <c r="J8" s="1773">
        <f>COUNTIFS($E$53:$E$64,"Offshore")</f>
        <v>0</v>
      </c>
      <c r="K8" s="1773">
        <f>COUNTIFS($E$53:$E$64,"Hold")</f>
        <v>0</v>
      </c>
      <c r="L8" s="1773">
        <f>$F8-$K8</f>
        <v>12</v>
      </c>
      <c r="M8" s="1772">
        <f>IFERROR(IF(INDEX('1.9 Commercial Fuels'!$E$24:$E$41,MATCH($B8,'1.9 Commercial Fuels'!$B$24:$B$41,0))="Offshore",INDEX('0.3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2.6791435617</v>
      </c>
      <c r="O8" s="1772">
        <f>IFERROR(ROUND($N8-$M8,6),"-")</f>
        <v>0.579144</v>
      </c>
      <c r="P8" s="1772">
        <f>SUM($G$53:$G$64)/1000000</f>
        <v>2.6791435617</v>
      </c>
      <c r="Q8" s="1772">
        <f>IFERROR(ROUND($P8-$M8,6),"-")</f>
        <v>0.579144</v>
      </c>
    </row>
    <row r="9">
      <c r="B9" s="1530" t="inlineStr">
        <is>
          <t>Trading &amp; Shipping Data</t>
        </is>
      </c>
      <c r="C9" s="1530" t="str">
        <f>IFERROR(INDEX('1.9 Commercial Fuels'!$C$24:$C$41,MATCH($B9,'1.9 Commercial Fuels'!$B$24:$B$41,0)),"Not on the 1.x tab")</f>
        <v>Enterprise Data and Insights</v>
      </c>
      <c r="D9" s="1530" t="str">
        <f>IFERROR(IF(INDEX('1.9 Commercial Fuels'!$D$24:$D$41,MATCH($B9,'1.9 Commercial Fuels'!$B$24:$B$41,0))="","-",INDEX('1.9 Commercial Fuels'!$D$24:$D$41,MATCH($B9,'1.9 Commercial Fuels'!$B$24:$B$41,0))),"-")</f>
        <v>M</v>
      </c>
      <c r="E9" s="1782">
        <f>IFERROR(INDEX('0.3 Squad Archetypes'!$F$5:$F$23,MATCH($C9&amp;"|"&amp;$D9,'0.3 Squad Archetypes'!$A$5:$A$23,0)),"-")</f>
        <v>7.5</v>
      </c>
      <c r="F9" s="1773">
        <f>COUNTA($B$66:$B$72)</f>
        <v>7</v>
      </c>
      <c r="G9" s="1773">
        <f>COUNTIFS($D$66:$D$72,"Filled")</f>
        <v>7</v>
      </c>
      <c r="H9" s="1773">
        <f>COUNTIFS($D$66:$D$72,"Vacant")</f>
        <v>0</v>
      </c>
      <c r="I9" s="1773">
        <f>COUNTIFS($D$66:$D$72,"Vacant",$E$66:$E$72,"Hire")</f>
        <v>0</v>
      </c>
      <c r="J9" s="1773">
        <f>COUNTIFS($E$66:$E$72,"Offshore")</f>
        <v>0</v>
      </c>
      <c r="K9" s="1773">
        <f>COUNTIFS($E$66:$E$72,"Hold")</f>
        <v>0</v>
      </c>
      <c r="L9" s="1773">
        <f>$F9-$K9</f>
        <v>7</v>
      </c>
      <c r="M9" s="1772">
        <f>IFERROR(IF(INDEX('1.9 Commercial Fuels'!$E$24:$E$41,MATCH($B9,'1.9 Commercial Fuels'!$B$24:$B$41,0))="Offshore",INDEX('0.3 Squad Archetypes'!$H$5:$H$23,MATCH($C9&amp;"|"&amp;$D9,'0.3 Squad Archetypes'!$A$5:$A$23,0)),INDEX('0.3 Squad Archetypes'!$G$5:$G$23,MATCH($C9&amp;"|"&amp;$D9,'0.3 Squad Archetypes'!$A$5:$A$23,0))),"-")</f>
        <v>0.68</v>
      </c>
      <c r="N9" s="1772">
        <f>SUMIFS('REVIEW - Complete Role Mapping'!$AA$2:$AA$528,'REVIEW - Complete Role Mapping'!$AJ$2:$AJ$528,$C$3,'REVIEW - Complete Role Mapping'!$AT$2:$AT$528,$B9)/1000000</f>
        <v>2.106168849</v>
      </c>
      <c r="O9" s="1772">
        <f>IFERROR(ROUND($N9-$M9,6),"-")</f>
        <v>1.426169</v>
      </c>
      <c r="P9" s="1772">
        <f>SUM($G$66:$G$72)/1000000</f>
        <v>2.106168849</v>
      </c>
      <c r="Q9" s="1772">
        <f>IFERROR(ROUND($P9-$M9,6),"-")</f>
        <v>1.426169</v>
      </c>
    </row>
    <row r="10">
      <c r="B10" s="1534" t="inlineStr">
        <is>
          <t>Squads priced by an archetype</t>
        </is>
      </c>
      <c r="C10" s="1534" t="n"/>
      <c r="D10" s="1534" t="n"/>
      <c r="E10" s="1783">
        <f>SUM(E7:E9)</f>
        <v>25.5</v>
      </c>
      <c r="F10" s="1775">
        <f>SUM(F7:F9)</f>
        <v>24</v>
      </c>
      <c r="G10" s="1775">
        <f>SUM(G7:G9)</f>
        <v>17</v>
      </c>
      <c r="H10" s="1775">
        <f>SUM(H7:H9)</f>
        <v>7</v>
      </c>
      <c r="I10" s="1775">
        <f>SUM(I7:I9)</f>
        <v>7</v>
      </c>
      <c r="J10" s="1775">
        <f>SUM(J7:J9)</f>
        <v>0</v>
      </c>
      <c r="K10" s="1775">
        <f>SUM(K7:K9)</f>
        <v>0</v>
      </c>
      <c r="L10" s="1775">
        <f>SUM(L7:L9)</f>
        <v>24</v>
      </c>
      <c r="M10" s="1774">
        <f>SUM(M7:M9)</f>
        <v>4.88</v>
      </c>
      <c r="N10" s="1774">
        <f>SUM(N7:N9)</f>
        <v>5.8445681607</v>
      </c>
      <c r="O10" s="1774">
        <f>SUM(O7:O9)</f>
        <v>0.964569</v>
      </c>
      <c r="P10" s="1774">
        <f>SUM(P7:P9)</f>
        <v>5.8445681607</v>
      </c>
      <c r="Q10" s="1774">
        <f>SUM(Q7:Q9)</f>
        <v>0.964569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CTRM</t>
        </is>
      </c>
      <c r="C14" s="1530" t="str">
        <f>IFERROR(INDEX('1.9 Commercial Fuels'!$C$24:$C$41,MATCH($B14,'1.9 Commercial Fuels'!$B$24:$B$41,0)),"Not on the 1.x tab")</f>
        <v>Strategic Programs</v>
      </c>
      <c r="D14" s="1530" t="str">
        <f>IFERROR(IF(INDEX('1.9 Commercial Fuels'!$D$24:$D$41,MATCH($B14,'1.9 Commercial Fuels'!$B$24:$B$41,0))="","-",INDEX('1.9 Commercial Fuels'!$D$24:$D$41,MATCH($B14,'1.9 Commercial Fuels'!$B$24:$B$41,0))),"-")</f>
        <v>-</v>
      </c>
      <c r="E14" s="1782" t="str">
        <f>"-"</f>
        <v>-</v>
      </c>
      <c r="F14" s="1773">
        <f>COUNTA($B$32:$B$45)</f>
        <v>14</v>
      </c>
      <c r="G14" s="1773">
        <f>COUNTIFS($D$32:$D$45,"Filled")</f>
        <v>14</v>
      </c>
      <c r="H14" s="1773">
        <f>COUNTIFS($D$32:$D$45,"Vacant")</f>
        <v>0</v>
      </c>
      <c r="I14" s="1773">
        <f>COUNTIFS($D$32:$D$45,"Vacant",$E$32:$E$45,"Hire")</f>
        <v>0</v>
      </c>
      <c r="J14" s="1773">
        <f>COUNTIFS($E$32:$E$45,"Offshore")</f>
        <v>0</v>
      </c>
      <c r="K14" s="1773">
        <f>COUNTIFS($E$32:$E$45,"Hold")</f>
        <v>0</v>
      </c>
      <c r="L14" s="1773">
        <f>$F14-$K14</f>
        <v>14</v>
      </c>
      <c r="M14" s="1772">
        <f>IFERROR(INDEX('1.9 Commercial Fuels'!$H$24:$H$41,MATCH($B14,'1.9 Commercial Fuels'!$B$24:$B$41,0)),"-")</f>
        <v>3.8</v>
      </c>
      <c r="N14" s="1772">
        <f>SUMIFS('REVIEW - Complete Role Mapping'!$AA$2:$AA$528,'REVIEW - Complete Role Mapping'!$AJ$2:$AJ$528,$C$3,'REVIEW - Complete Role Mapping'!$AT$2:$AT$528,$B14)/1000000</f>
        <v>3.221759232</v>
      </c>
      <c r="O14" s="1772">
        <f>IFERROR(ROUND($N14-$M14,6),"-")</f>
        <v>-0.578241</v>
      </c>
      <c r="P14" s="1772">
        <f>SUM($G$32:$G$45)/1000000</f>
        <v>3.221759232</v>
      </c>
      <c r="Q14" s="1772">
        <f>IFERROR(ROUND($P14-$M14,6),"-")</f>
        <v>-0.578241</v>
      </c>
    </row>
    <row r="15">
      <c r="B15" s="1534" t="inlineStr">
        <is>
          <t>Directly funded total</t>
        </is>
      </c>
      <c r="C15" s="1534" t="n"/>
      <c r="D15" s="1534" t="n"/>
      <c r="E15" s="1783">
        <f>SUM(E14:E14)</f>
        <v>0</v>
      </c>
      <c r="F15" s="1775">
        <f>SUM(F14:F14)</f>
        <v>14</v>
      </c>
      <c r="G15" s="1775">
        <f>SUM(G14:G14)</f>
        <v>14</v>
      </c>
      <c r="H15" s="1775">
        <f>SUM(H14:H14)</f>
        <v>0</v>
      </c>
      <c r="I15" s="1775">
        <f>SUM(I14:I14)</f>
        <v>0</v>
      </c>
      <c r="J15" s="1775">
        <f>SUM(J14:J14)</f>
        <v>0</v>
      </c>
      <c r="K15" s="1775">
        <f>SUM(K14:K14)</f>
        <v>0</v>
      </c>
      <c r="L15" s="1775">
        <f>SUM(L14:L14)</f>
        <v>14</v>
      </c>
      <c r="M15" s="1774">
        <f>SUM(M14:M14)</f>
        <v>3.8</v>
      </c>
      <c r="N15" s="1774">
        <f>SUM(N14:N14)</f>
        <v>3.221759232</v>
      </c>
      <c r="O15" s="1774">
        <f>SUM(O14:O14)</f>
        <v>-0.578241</v>
      </c>
      <c r="P15" s="1774">
        <f>SUM(P14:P14)</f>
        <v>3.221759232</v>
      </c>
      <c r="Q15" s="1774">
        <f>SUM(Q14:Q14)</f>
        <v>-0.578241</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COUNTA($B$74:$B$74)</f>
        <v>1</v>
      </c>
      <c r="G19" s="1773">
        <f>COUNTIFS($D$74:$D$74,"Filled")</f>
        <v>1</v>
      </c>
      <c r="H19" s="1773">
        <f>COUNTIFS($D$74:$D$74,"Vacant")</f>
        <v>0</v>
      </c>
      <c r="I19" s="1773">
        <f>COUNTIFS($D$74:$D$74,"Vacant",$E$74:$E$74,"Hire")</f>
        <v>0</v>
      </c>
      <c r="J19" s="1773">
        <f>COUNTIFS($E$74:$E$74,"Offshore")</f>
        <v>0</v>
      </c>
      <c r="K19" s="1773">
        <f>COUNTIFS($E$74:$E$74,"Hold")</f>
        <v>0</v>
      </c>
      <c r="L19" s="1773">
        <f>$F19-$K19</f>
        <v>1</v>
      </c>
      <c r="M19" s="1538" t="str">
        <f>"-"</f>
        <v>-</v>
      </c>
      <c r="N19" s="1772">
        <f>SUMIFS('REVIEW - Complete Role Mapping'!$AA$2:$AA$528,'REVIEW - Complete Role Mapping'!$AJ$2:$AJ$528,$C$3,'REVIEW - Complete Role Mapping'!$AT$2:$AT$528,$B19)/1000000</f>
        <v>0.292434736</v>
      </c>
      <c r="O19" s="1538" t="str">
        <f>"-"</f>
        <v>-</v>
      </c>
      <c r="P19" s="1772">
        <f>SUM($G$74:$G$74)/1000000</f>
        <v>0.292434736</v>
      </c>
      <c r="Q19" s="1538" t="str">
        <f>"-"</f>
        <v>-</v>
      </c>
    </row>
    <row r="20">
      <c r="B20" s="1530" t="inlineStr">
        <is>
          <t>Delivery Manager</t>
        </is>
      </c>
      <c r="C20" s="1530" t="str">
        <f>"-"</f>
        <v>-</v>
      </c>
      <c r="D20" s="1530" t="str">
        <f>"-"</f>
        <v>-</v>
      </c>
      <c r="E20" s="1538" t="str">
        <f>"-"</f>
        <v>-</v>
      </c>
      <c r="F20" s="1773">
        <f>COUNTA($B$76:$B$76)</f>
        <v>1</v>
      </c>
      <c r="G20" s="1773">
        <f>COUNTIFS($D$76:$D$76,"Filled")</f>
        <v>0</v>
      </c>
      <c r="H20" s="1773">
        <f>COUNTIFS($D$76:$D$76,"Vacant")</f>
        <v>1</v>
      </c>
      <c r="I20" s="1773">
        <f>COUNTIFS($D$76:$D$76,"Vacant",$E$76:$E$76,"Hire")</f>
        <v>1</v>
      </c>
      <c r="J20" s="1773">
        <f>COUNTIFS($E$76:$E$76,"Offshore")</f>
        <v>0</v>
      </c>
      <c r="K20" s="1773">
        <f>COUNTIFS($E$76:$E$76,"Hold")</f>
        <v>0</v>
      </c>
      <c r="L20" s="1773">
        <f>$F20-$K20</f>
        <v>1</v>
      </c>
      <c r="M20" s="1538" t="str">
        <f>"-"</f>
        <v>-</v>
      </c>
      <c r="N20" s="1772">
        <f>SUMIFS('REVIEW - Complete Role Mapping'!$AA$2:$AA$528,'REVIEW - Complete Role Mapping'!$AJ$2:$AJ$528,$C$3,'REVIEW - Complete Role Mapping'!$AT$2:$AT$528,$B20)/1000000</f>
        <v>0.27581025</v>
      </c>
      <c r="O20" s="1538" t="str">
        <f>"-"</f>
        <v>-</v>
      </c>
      <c r="P20" s="1772">
        <f>SUM($G$76:$G$76)/1000000</f>
        <v>0.27581025</v>
      </c>
      <c r="Q20" s="1538" t="str">
        <f>"-"</f>
        <v>-</v>
      </c>
    </row>
    <row r="21">
      <c r="B21" s="1530" t="inlineStr">
        <is>
          <t>Technology Manager</t>
        </is>
      </c>
      <c r="C21" s="1530" t="str">
        <f>"-"</f>
        <v>-</v>
      </c>
      <c r="D21" s="1530" t="str">
        <f>"-"</f>
        <v>-</v>
      </c>
      <c r="E21" s="1538" t="str">
        <f>"-"</f>
        <v>-</v>
      </c>
      <c r="F21" s="1773">
        <f>COUNTA($B$78:$B$79)</f>
        <v>2</v>
      </c>
      <c r="G21" s="1773">
        <f>COUNTIFS($D$78:$D$79,"Filled")</f>
        <v>1</v>
      </c>
      <c r="H21" s="1773">
        <f>COUNTIFS($D$78:$D$79,"Vacant")</f>
        <v>1</v>
      </c>
      <c r="I21" s="1773">
        <f>COUNTIFS($D$78:$D$79,"Vacant",$E$78:$E$79,"Hire")</f>
        <v>1</v>
      </c>
      <c r="J21" s="1773">
        <f>COUNTIFS($E$78:$E$79,"Offshore")</f>
        <v>0</v>
      </c>
      <c r="K21" s="1773">
        <f>COUNTIFS($E$78:$E$79,"Hold")</f>
        <v>0</v>
      </c>
      <c r="L21" s="1773">
        <f>$F21-$K21</f>
        <v>2</v>
      </c>
      <c r="M21" s="1538" t="str">
        <f>"-"</f>
        <v>-</v>
      </c>
      <c r="N21" s="1772">
        <f>SUMIFS('REVIEW - Complete Role Mapping'!$AA$2:$AA$528,'REVIEW - Complete Role Mapping'!$AJ$2:$AJ$528,$C$3,'REVIEW - Complete Role Mapping'!$AT$2:$AT$528,$B21)/1000000</f>
        <v>0.56309735</v>
      </c>
      <c r="O21" s="1538" t="str">
        <f>"-"</f>
        <v>-</v>
      </c>
      <c r="P21" s="1772">
        <f>SUM($G$78:$G$79)/1000000</f>
        <v>0.56309735</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1.131342336</v>
      </c>
      <c r="O22" s="1774">
        <f>SUM(O19:O21)</f>
        <v>0</v>
      </c>
      <c r="P22" s="1774">
        <f>SUM(P19:P21)</f>
        <v>1.131342336</v>
      </c>
      <c r="Q22" s="1774">
        <f>SUM(Q19:Q21)</f>
        <v>0</v>
      </c>
    </row>
    <row r="23"/>
    <row r="24">
      <c r="B24" s="1539" t="inlineStr">
        <is>
          <t>Total portfolio</t>
        </is>
      </c>
      <c r="C24" s="1539" t="n"/>
      <c r="D24" s="1539" t="n"/>
      <c r="E24" s="1784">
        <f>N(E10)+N(E15)+N(E22)</f>
        <v>25.5</v>
      </c>
      <c r="F24" s="1777">
        <f>N(F10)+N(F15)+N(F22)</f>
        <v>42</v>
      </c>
      <c r="G24" s="1777">
        <f>N(G10)+N(G15)+N(G22)</f>
        <v>33</v>
      </c>
      <c r="H24" s="1777">
        <f>N(H10)+N(H15)+N(H22)</f>
        <v>9</v>
      </c>
      <c r="I24" s="1777">
        <f>N(I10)+N(I15)+N(I22)</f>
        <v>9</v>
      </c>
      <c r="J24" s="1777">
        <f>N(J10)+N(J15)+N(J22)</f>
        <v>0</v>
      </c>
      <c r="K24" s="1777">
        <f>N(K10)+N(K15)+N(K22)</f>
        <v>0</v>
      </c>
      <c r="L24" s="1777">
        <f>N(L10)+N(L15)+N(L22)</f>
        <v>42</v>
      </c>
      <c r="M24" s="1776">
        <f>N(M10)+N(M15)+N(M22)</f>
        <v>8.68</v>
      </c>
      <c r="N24" s="1776">
        <f>N(N10)+N(N15)+N(N22)</f>
        <v>10.1976697287</v>
      </c>
      <c r="O24" s="1776">
        <f>N(O10)+N(O15)+N(O22)</f>
        <v>0.386328</v>
      </c>
      <c r="P24" s="1776">
        <f>N(P10)+N(P15)+N(P22)</f>
        <v>10.1976697287</v>
      </c>
      <c r="Q24" s="1776">
        <f>N(Q10)+N(Q15)+N(Q22)</f>
        <v>0.386328</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Commercial Fuels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CTRM</t>
        </is>
      </c>
      <c r="C31" s="1545" t="str">
        <f>COUNTA($B$32:$B$45)&amp;IF(COUNTA($B$32:$B$45)=1," role"," roles")</f>
        <v>14 roles</v>
      </c>
      <c r="D31" s="1545" t="n"/>
      <c r="E31" s="1545" t="n"/>
      <c r="F31" s="1785">
        <f>SUM(F32:F45)</f>
        <v>3221759.232</v>
      </c>
      <c r="G31" s="1785">
        <f>SUM(G32:G45)</f>
        <v>3221759.232</v>
      </c>
    </row>
    <row r="32">
      <c r="B32" s="1530" t="str">
        <f>INDEX('REVIEW - Complete Role Mapping'!$B:$B,338)</f>
        <v>Amanda Turnbull</v>
      </c>
      <c r="C32" s="1530" t="str">
        <f>INDEX('REVIEW - Complete Role Mapping'!$C:$C,338)</f>
        <v>Engineer Software</v>
      </c>
      <c r="D32" s="1530" t="str">
        <f>INDEX('REVIEW - Complete Role Mapping'!$AK:$AK,338)</f>
        <v>Filled</v>
      </c>
      <c r="E32" s="1547" t="inlineStr">
        <is>
          <t>Filled</t>
        </is>
      </c>
      <c r="F32" s="1773">
        <f>INDEX('REVIEW - Complete Role Mapping'!$AA:$AA,338)</f>
        <v>101439.056</v>
      </c>
      <c r="G32" s="1773">
        <f>$F32*IFERROR(INDEX(Lists!$AD:$AD,MATCH($E32,Lists!$AC:$AC,0)),1)</f>
        <v>101439.056</v>
      </c>
    </row>
    <row r="33">
      <c r="B33" s="1530" t="str">
        <f>INDEX('REVIEW - Complete Role Mapping'!$B:$B,350)</f>
        <v>Byron Leung</v>
      </c>
      <c r="C33" s="1530" t="str">
        <f>INDEX('REVIEW - Complete Role Mapping'!$C:$C,350)</f>
        <v>Solution Architect</v>
      </c>
      <c r="D33" s="1530" t="str">
        <f>INDEX('REVIEW - Complete Role Mapping'!$AK:$AK,350)</f>
        <v>Filled</v>
      </c>
      <c r="E33" s="1547" t="inlineStr">
        <is>
          <t>Filled</t>
        </is>
      </c>
      <c r="F33" s="1773">
        <f>INDEX('REVIEW - Complete Role Mapping'!$AA:$AA,350)</f>
        <v>276972.45</v>
      </c>
      <c r="G33" s="1773">
        <f>$F33*IFERROR(INDEX(Lists!$AD:$AD,MATCH($E33,Lists!$AC:$AC,0)),1)</f>
        <v>276972.45</v>
      </c>
    </row>
    <row r="34">
      <c r="B34" s="1530" t="str">
        <f>INDEX('REVIEW - Complete Role Mapping'!$B:$B,353)</f>
        <v>Carl Russo</v>
      </c>
      <c r="C34" s="1530" t="str">
        <f>INDEX('REVIEW - Complete Role Mapping'!$C:$C,353)</f>
        <v>Program Manager - CTRM</v>
      </c>
      <c r="D34" s="1530" t="str">
        <f>INDEX('REVIEW - Complete Role Mapping'!$AK:$AK,353)</f>
        <v>Filled</v>
      </c>
      <c r="E34" s="1547" t="inlineStr">
        <is>
          <t>Filled</t>
        </is>
      </c>
      <c r="F34" s="1773">
        <f>INDEX('REVIEW - Complete Role Mapping'!$AA:$AA,353)</f>
        <v>323695.95</v>
      </c>
      <c r="G34" s="1773">
        <f>$F34*IFERROR(INDEX(Lists!$AD:$AD,MATCH($E34,Lists!$AC:$AC,0)),1)</f>
        <v>323695.95</v>
      </c>
    </row>
    <row r="35">
      <c r="B35" s="1530" t="str">
        <f>INDEX('REVIEW - Complete Role Mapping'!$B:$B,354)</f>
        <v>Chantal Lynch</v>
      </c>
      <c r="C35" s="1530" t="str">
        <f>INDEX('REVIEW - Complete Role Mapping'!$C:$C,354)</f>
        <v>Lead Quality Assurance</v>
      </c>
      <c r="D35" s="1530" t="str">
        <f>INDEX('REVIEW - Complete Role Mapping'!$AK:$AK,354)</f>
        <v>Filled</v>
      </c>
      <c r="E35" s="1547" t="inlineStr">
        <is>
          <t>Filled</t>
        </is>
      </c>
      <c r="F35" s="1773">
        <f>INDEX('REVIEW - Complete Role Mapping'!$AA:$AA,354)</f>
        <v>180639.096</v>
      </c>
      <c r="G35" s="1773">
        <f>$F35*IFERROR(INDEX(Lists!$AD:$AD,MATCH($E35,Lists!$AC:$AC,0)),1)</f>
        <v>180639.096</v>
      </c>
    </row>
    <row r="36">
      <c r="B36" s="1530" t="str">
        <f>INDEX('REVIEW - Complete Role Mapping'!$B:$B,358)</f>
        <v>Deepa Kaur</v>
      </c>
      <c r="C36" s="1530" t="str">
        <f>INDEX('REVIEW - Complete Role Mapping'!$C:$C,358)</f>
        <v>Senior Engineer Automation Testing</v>
      </c>
      <c r="D36" s="1530" t="str">
        <f>INDEX('REVIEW - Complete Role Mapping'!$AK:$AK,358)</f>
        <v>Filled</v>
      </c>
      <c r="E36" s="1547" t="inlineStr">
        <is>
          <t>Filled</t>
        </is>
      </c>
      <c r="F36" s="1773">
        <f>INDEX('REVIEW - Complete Role Mapping'!$AA:$AA,358)</f>
        <v>194522.85</v>
      </c>
      <c r="G36" s="1773">
        <f>$F36*IFERROR(INDEX(Lists!$AD:$AD,MATCH($E36,Lists!$AC:$AC,0)),1)</f>
        <v>194522.85</v>
      </c>
    </row>
    <row r="37">
      <c r="B37" s="1530" t="str">
        <f>INDEX('REVIEW - Complete Role Mapping'!$B:$B,363)</f>
        <v>Fransiscus Setiawan</v>
      </c>
      <c r="C37" s="1530" t="str">
        <f>INDEX('REVIEW - Complete Role Mapping'!$C:$C,363)</f>
        <v>Integration Architect   </v>
      </c>
      <c r="D37" s="1530" t="str">
        <f>INDEX('REVIEW - Complete Role Mapping'!$AK:$AK,363)</f>
        <v>Filled</v>
      </c>
      <c r="E37" s="1547" t="inlineStr">
        <is>
          <t>Filled</t>
        </is>
      </c>
      <c r="F37" s="1773">
        <f>INDEX('REVIEW - Complete Role Mapping'!$AA:$AA,363)</f>
        <v>280350</v>
      </c>
      <c r="G37" s="1773">
        <f>$F37*IFERROR(INDEX(Lists!$AD:$AD,MATCH($E37,Lists!$AC:$AC,0)),1)</f>
        <v>280350</v>
      </c>
    </row>
    <row r="38">
      <c r="B38" s="1530" t="str">
        <f>INDEX('REVIEW - Complete Role Mapping'!$B:$B,369)</f>
        <v>Hayden Corney</v>
      </c>
      <c r="C38" s="1530" t="str">
        <f>INDEX('REVIEW - Complete Role Mapping'!$C:$C,369)</f>
        <v>Lead Engineer Software</v>
      </c>
      <c r="D38" s="1530" t="str">
        <f>INDEX('REVIEW - Complete Role Mapping'!$AK:$AK,369)</f>
        <v>Filled</v>
      </c>
      <c r="E38" s="1547" t="inlineStr">
        <is>
          <t>Filled</t>
        </is>
      </c>
      <c r="F38" s="1773">
        <f>INDEX('REVIEW - Complete Role Mapping'!$AA:$AA,369)</f>
        <v>197318.88</v>
      </c>
      <c r="G38" s="1773">
        <f>$F38*IFERROR(INDEX(Lists!$AD:$AD,MATCH($E38,Lists!$AC:$AC,0)),1)</f>
        <v>197318.88</v>
      </c>
    </row>
    <row r="39">
      <c r="B39" s="1530" t="str">
        <f>INDEX('REVIEW - Complete Role Mapping'!$B:$B,383)</f>
        <v>Laura Roberts</v>
      </c>
      <c r="C39" s="1530" t="str">
        <f>INDEX('REVIEW - Complete Role Mapping'!$C:$C,383)</f>
        <v>Senior Engineer Software</v>
      </c>
      <c r="D39" s="1530" t="str">
        <f>INDEX('REVIEW - Complete Role Mapping'!$AK:$AK,383)</f>
        <v>Filled</v>
      </c>
      <c r="E39" s="1547" t="inlineStr">
        <is>
          <t>Filled</t>
        </is>
      </c>
      <c r="F39" s="1773">
        <f>INDEX('REVIEW - Complete Role Mapping'!$AA:$AA,383)</f>
        <v>156490.752</v>
      </c>
      <c r="G39" s="1773">
        <f>$F39*IFERROR(INDEX(Lists!$AD:$AD,MATCH($E39,Lists!$AC:$AC,0)),1)</f>
        <v>156490.752</v>
      </c>
    </row>
    <row r="40">
      <c r="B40" s="1530" t="str">
        <f>INDEX('REVIEW - Complete Role Mapping'!$B:$B,393)</f>
        <v>Oliver Shanks</v>
      </c>
      <c r="C40" s="1530" t="str">
        <f>INDEX('REVIEW - Complete Role Mapping'!$C:$C,393)</f>
        <v>Associate Engineer Software</v>
      </c>
      <c r="D40" s="1530" t="str">
        <f>INDEX('REVIEW - Complete Role Mapping'!$AK:$AK,393)</f>
        <v>Filled</v>
      </c>
      <c r="E40" s="1547" t="inlineStr">
        <is>
          <t>Filled</t>
        </is>
      </c>
      <c r="F40" s="1773">
        <f>INDEX('REVIEW - Complete Role Mapping'!$AA:$AA,393)</f>
        <v>84514.552</v>
      </c>
      <c r="G40" s="1773">
        <f>$F40*IFERROR(INDEX(Lists!$AD:$AD,MATCH($E40,Lists!$AC:$AC,0)),1)</f>
        <v>84514.552</v>
      </c>
    </row>
    <row r="41">
      <c r="B41" s="1530" t="str">
        <f>INDEX('REVIEW - Complete Role Mapping'!$B:$B,394)</f>
        <v>Oz Shaaban</v>
      </c>
      <c r="C41" s="1530" t="str">
        <f>INDEX('REVIEW - Complete Role Mapping'!$C:$C,394)</f>
        <v>Delivery Lead</v>
      </c>
      <c r="D41" s="1530" t="str">
        <f>INDEX('REVIEW - Complete Role Mapping'!$AK:$AK,394)</f>
        <v>Filled</v>
      </c>
      <c r="E41" s="1547" t="inlineStr">
        <is>
          <t>Filled</t>
        </is>
      </c>
      <c r="F41" s="1773">
        <f>INDEX('REVIEW - Complete Role Mapping'!$AA:$AA,394)</f>
        <v>253997.1</v>
      </c>
      <c r="G41" s="1773">
        <f>$F41*IFERROR(INDEX(Lists!$AD:$AD,MATCH($E41,Lists!$AC:$AC,0)),1)</f>
        <v>253997.1</v>
      </c>
    </row>
    <row r="42">
      <c r="B42" s="1530" t="str">
        <f>INDEX('REVIEW - Complete Role Mapping'!$B:$B,398)</f>
        <v>Rick Abainza</v>
      </c>
      <c r="C42" s="1530" t="str">
        <f>INDEX('REVIEW - Complete Role Mapping'!$C:$C,398)</f>
        <v>Lead Business Analyst</v>
      </c>
      <c r="D42" s="1530" t="str">
        <f>INDEX('REVIEW - Complete Role Mapping'!$AK:$AK,398)</f>
        <v>Filled</v>
      </c>
      <c r="E42" s="1547" t="inlineStr">
        <is>
          <t>Filled</t>
        </is>
      </c>
      <c r="F42" s="1773">
        <f>INDEX('REVIEW - Complete Role Mapping'!$AA:$AA,398)</f>
        <v>366703.25</v>
      </c>
      <c r="G42" s="1773">
        <f>$F42*IFERROR(INDEX(Lists!$AD:$AD,MATCH($E42,Lists!$AC:$AC,0)),1)</f>
        <v>366703.25</v>
      </c>
    </row>
    <row r="43">
      <c r="B43" s="1530" t="str">
        <f>INDEX('REVIEW - Complete Role Mapping'!$B:$B,402)</f>
        <v>Sijin Zhu</v>
      </c>
      <c r="C43" s="1530" t="str">
        <f>INDEX('REVIEW - Complete Role Mapping'!$C:$C,402)</f>
        <v>Business Analyst</v>
      </c>
      <c r="D43" s="1530" t="str">
        <f>INDEX('REVIEW - Complete Role Mapping'!$AK:$AK,402)</f>
        <v>Filled</v>
      </c>
      <c r="E43" s="1547" t="inlineStr">
        <is>
          <t>Filled</t>
        </is>
      </c>
      <c r="F43" s="1773">
        <f>INDEX('REVIEW - Complete Role Mapping'!$AA:$AA,402)</f>
        <v>279205.246</v>
      </c>
      <c r="G43" s="1773">
        <f>$F43*IFERROR(INDEX(Lists!$AD:$AD,MATCH($E43,Lists!$AC:$AC,0)),1)</f>
        <v>279205.246</v>
      </c>
    </row>
    <row r="44">
      <c r="B44" s="1530" t="str">
        <f>INDEX('REVIEW - Complete Role Mapping'!$B:$B,410)</f>
        <v>Trung Truong</v>
      </c>
      <c r="C44" s="1530" t="str">
        <f>INDEX('REVIEW - Complete Role Mapping'!$C:$C,410)</f>
        <v>Engineer Applications</v>
      </c>
      <c r="D44" s="1530" t="str">
        <f>INDEX('REVIEW - Complete Role Mapping'!$AK:$AK,410)</f>
        <v>Filled</v>
      </c>
      <c r="E44" s="1547" t="inlineStr">
        <is>
          <t>Filled</t>
        </is>
      </c>
      <c r="F44" s="1773">
        <f>INDEX('REVIEW - Complete Role Mapping'!$AA:$AA,410)</f>
        <v>304660.5</v>
      </c>
      <c r="G44" s="1773">
        <f>$F44*IFERROR(INDEX(Lists!$AD:$AD,MATCH($E44,Lists!$AC:$AC,0)),1)</f>
        <v>304660.5</v>
      </c>
    </row>
    <row r="45">
      <c r="B45" s="1530" t="str">
        <f>INDEX('REVIEW - Complete Role Mapping'!$B:$B,444)</f>
        <v>Zhan Liu</v>
      </c>
      <c r="C45" s="1530" t="str">
        <f>INDEX('REVIEW - Complete Role Mapping'!$C:$C,444)</f>
        <v>Engineer Applications</v>
      </c>
      <c r="D45" s="1530" t="str">
        <f>INDEX('REVIEW - Complete Role Mapping'!$AK:$AK,444)</f>
        <v>Filled</v>
      </c>
      <c r="E45" s="1547" t="inlineStr">
        <is>
          <t>Filled</t>
        </is>
      </c>
      <c r="F45" s="1773">
        <f>INDEX('REVIEW - Complete Role Mapping'!$AA:$AA,444)</f>
        <v>221249.55</v>
      </c>
      <c r="G45" s="1773">
        <f>$F45*IFERROR(INDEX(Lists!$AD:$AD,MATCH($E45,Lists!$AC:$AC,0)),1)</f>
        <v>221249.55</v>
      </c>
    </row>
    <row r="46">
      <c r="B46" s="1545" t="inlineStr">
        <is>
          <t>Supply</t>
        </is>
      </c>
      <c r="C46" s="1545" t="str">
        <f>COUNTA($B$47:$B$51)&amp;IF(COUNTA($B$47:$B$51)=1," role"," roles")</f>
        <v>5 roles</v>
      </c>
      <c r="D46" s="1545" t="n"/>
      <c r="E46" s="1545" t="n"/>
      <c r="F46" s="1785">
        <f>SUM(F47:F51)</f>
        <v>1059255.75</v>
      </c>
      <c r="G46" s="1785">
        <f>SUM(G47:G51)</f>
        <v>1059255.75</v>
      </c>
    </row>
    <row r="47">
      <c r="B47" s="1530" t="str">
        <f>INDEX('REVIEW - Complete Role Mapping'!$B:$B,343)</f>
        <v>Ann Aquino</v>
      </c>
      <c r="C47" s="1530" t="str">
        <f>INDEX('REVIEW - Complete Role Mapping'!$C:$C,343)</f>
        <v>Senior Business Analyst</v>
      </c>
      <c r="D47" s="1530" t="str">
        <f>INDEX('REVIEW - Complete Role Mapping'!$AK:$AK,343)</f>
        <v>Filled</v>
      </c>
      <c r="E47" s="1547" t="inlineStr">
        <is>
          <t>Filled</t>
        </is>
      </c>
      <c r="F47" s="1773">
        <f>INDEX('REVIEW - Complete Role Mapping'!$AA:$AA,343)</f>
        <v>219006.75</v>
      </c>
      <c r="G47" s="1773">
        <f>$F47*IFERROR(INDEX(Lists!$AD:$AD,MATCH($E47,Lists!$AC:$AC,0)),1)</f>
        <v>219006.75</v>
      </c>
    </row>
    <row r="48">
      <c r="B48" s="1530" t="str">
        <f>INDEX('REVIEW - Complete Role Mapping'!$B:$B,419)</f>
        <v>Vacant</v>
      </c>
      <c r="C48" s="1530" t="str">
        <f>INDEX('REVIEW - Complete Role Mapping'!$C:$C,419)</f>
        <v>System Specialist</v>
      </c>
      <c r="D48" s="1530" t="str">
        <f>INDEX('REVIEW - Complete Role Mapping'!$AK:$AK,419)</f>
        <v>Vacant</v>
      </c>
      <c r="E48" s="1547" t="inlineStr">
        <is>
          <t>Hire</t>
        </is>
      </c>
      <c r="F48" s="1773">
        <f>INDEX('REVIEW - Complete Role Mapping'!$AA:$AA,419)</f>
        <v>202853.25</v>
      </c>
      <c r="G48" s="1773">
        <f>$F48*IFERROR(INDEX(Lists!$AD:$AD,MATCH($E48,Lists!$AC:$AC,0)),1)</f>
        <v>202853.25</v>
      </c>
    </row>
    <row r="49">
      <c r="B49" s="1530" t="str">
        <f>INDEX('REVIEW - Complete Role Mapping'!$B:$B,423)</f>
        <v>Vacant</v>
      </c>
      <c r="C49" s="1530" t="str">
        <f>INDEX('REVIEW - Complete Role Mapping'!$C:$C,423)</f>
        <v>Delivery Lead</v>
      </c>
      <c r="D49" s="1530" t="str">
        <f>INDEX('REVIEW - Complete Role Mapping'!$AK:$AK,423)</f>
        <v>Vacant</v>
      </c>
      <c r="E49" s="1547" t="inlineStr">
        <is>
          <t>Hire</t>
        </is>
      </c>
      <c r="F49" s="1773">
        <f>INDEX('REVIEW - Complete Role Mapping'!$AA:$AA,423)</f>
        <v>231689.25</v>
      </c>
      <c r="G49" s="1773">
        <f>$F49*IFERROR(INDEX(Lists!$AD:$AD,MATCH($E49,Lists!$AC:$AC,0)),1)</f>
        <v>231689.25</v>
      </c>
    </row>
    <row r="50">
      <c r="B50" s="1530" t="str">
        <f>INDEX('REVIEW - Complete Role Mapping'!$B:$B,440)</f>
        <v>Vacant</v>
      </c>
      <c r="C50" s="1530" t="str">
        <f>INDEX('REVIEW - Complete Role Mapping'!$C:$C,440)</f>
        <v>Engineer Software</v>
      </c>
      <c r="D50" s="1530" t="str">
        <f>INDEX('REVIEW - Complete Role Mapping'!$AK:$AK,440)</f>
        <v>Vacant</v>
      </c>
      <c r="E50" s="1547" t="inlineStr">
        <is>
          <t>Hire</t>
        </is>
      </c>
      <c r="F50" s="1773">
        <f>INDEX('REVIEW - Complete Role Mapping'!$AA:$AA,440)</f>
        <v>202853.25</v>
      </c>
      <c r="G50" s="1773">
        <f>$F50*IFERROR(INDEX(Lists!$AD:$AD,MATCH($E50,Lists!$AC:$AC,0)),1)</f>
        <v>202853.25</v>
      </c>
    </row>
    <row r="51">
      <c r="B51" s="1530" t="str">
        <f>INDEX('REVIEW - Complete Role Mapping'!$B:$B,441)</f>
        <v>Vacant</v>
      </c>
      <c r="C51" s="1530" t="str">
        <f>INDEX('REVIEW - Complete Role Mapping'!$C:$C,441)</f>
        <v>System Specialist</v>
      </c>
      <c r="D51" s="1530" t="str">
        <f>INDEX('REVIEW - Complete Role Mapping'!$AK:$AK,441)</f>
        <v>Vacant</v>
      </c>
      <c r="E51" s="1547" t="inlineStr">
        <is>
          <t>Hire</t>
        </is>
      </c>
      <c r="F51" s="1773">
        <f>INDEX('REVIEW - Complete Role Mapping'!$AA:$AA,441)</f>
        <v>202853.25</v>
      </c>
      <c r="G51" s="1773">
        <f>$F51*IFERROR(INDEX(Lists!$AD:$AD,MATCH($E51,Lists!$AC:$AC,0)),1)</f>
        <v>202853.25</v>
      </c>
    </row>
    <row r="52">
      <c r="B52" s="1545" t="inlineStr">
        <is>
          <t>Trading &amp; Shipping</t>
        </is>
      </c>
      <c r="C52" s="1545" t="str">
        <f>COUNTA($B$53:$B$64)&amp;IF(COUNTA($B$53:$B$64)=1," role"," roles")</f>
        <v>12 roles</v>
      </c>
      <c r="D52" s="1545" t="n"/>
      <c r="E52" s="1545" t="n"/>
      <c r="F52" s="1785">
        <f>SUM(F53:F64)</f>
        <v>2679143.5617</v>
      </c>
      <c r="G52" s="1785">
        <f>SUM(G53:G64)</f>
        <v>2679143.5617</v>
      </c>
    </row>
    <row r="53">
      <c r="B53" s="1530" t="str">
        <f>INDEX('REVIEW - Complete Role Mapping'!$B:$B,355)</f>
        <v>Chin Fang Kwek</v>
      </c>
      <c r="C53" s="1530" t="str">
        <f>INDEX('REVIEW - Complete Role Mapping'!$C:$C,355)</f>
        <v>System Analyst</v>
      </c>
      <c r="D53" s="1530" t="str">
        <f>INDEX('REVIEW - Complete Role Mapping'!$AK:$AK,355)</f>
        <v>Filled</v>
      </c>
      <c r="E53" s="1547" t="inlineStr">
        <is>
          <t>Filled</t>
        </is>
      </c>
      <c r="F53" s="1773">
        <f>INDEX('REVIEW - Complete Role Mapping'!$AA:$AA,355)</f>
        <v>346651.0332</v>
      </c>
      <c r="G53" s="1773">
        <f>$F53*IFERROR(INDEX(Lists!$AD:$AD,MATCH($E53,Lists!$AC:$AC,0)),1)</f>
        <v>346651.0332</v>
      </c>
    </row>
    <row r="54">
      <c r="B54" s="1530" t="str">
        <f>INDEX('REVIEW - Complete Role Mapping'!$B:$B,368)</f>
        <v>Hari Maneti</v>
      </c>
      <c r="C54" s="1530" t="str">
        <f>INDEX('REVIEW - Complete Role Mapping'!$C:$C,368)</f>
        <v>Systems Analyst</v>
      </c>
      <c r="D54" s="1530" t="str">
        <f>INDEX('REVIEW - Complete Role Mapping'!$AK:$AK,368)</f>
        <v>Filled</v>
      </c>
      <c r="E54" s="1547" t="inlineStr">
        <is>
          <t>Filled</t>
        </is>
      </c>
      <c r="F54" s="1773">
        <f>INDEX('REVIEW - Complete Role Mapping'!$AA:$AA,368)</f>
        <v>293634.617</v>
      </c>
      <c r="G54" s="1773">
        <f>$F54*IFERROR(INDEX(Lists!$AD:$AD,MATCH($E54,Lists!$AC:$AC,0)),1)</f>
        <v>293634.617</v>
      </c>
    </row>
    <row r="55">
      <c r="B55" s="1530" t="str">
        <f>INDEX('REVIEW - Complete Role Mapping'!$B:$B,370)</f>
        <v>Isha Riyat</v>
      </c>
      <c r="C55" s="1530" t="str">
        <f>INDEX('REVIEW - Complete Role Mapping'!$C:$C,370)</f>
        <v>Senior Business Analyst</v>
      </c>
      <c r="D55" s="1530" t="str">
        <f>INDEX('REVIEW - Complete Role Mapping'!$AK:$AK,370)</f>
        <v>Filled</v>
      </c>
      <c r="E55" s="1547" t="inlineStr">
        <is>
          <t>Filled</t>
        </is>
      </c>
      <c r="F55" s="1773">
        <f>INDEX('REVIEW - Complete Role Mapping'!$AA:$AA,370)</f>
        <v>226429.35</v>
      </c>
      <c r="G55" s="1773">
        <f>$F55*IFERROR(INDEX(Lists!$AD:$AD,MATCH($E55,Lists!$AC:$AC,0)),1)</f>
        <v>226429.35</v>
      </c>
    </row>
    <row r="56">
      <c r="B56" s="1530" t="str">
        <f>INDEX('REVIEW - Complete Role Mapping'!$B:$B,373)</f>
        <v>Jem Cruz</v>
      </c>
      <c r="C56" s="1530" t="str">
        <f>INDEX('REVIEW - Complete Role Mapping'!$C:$C,373)</f>
        <v>System Specialist</v>
      </c>
      <c r="D56" s="1530" t="str">
        <f>INDEX('REVIEW - Complete Role Mapping'!$AK:$AK,373)</f>
        <v>Filled</v>
      </c>
      <c r="E56" s="1547" t="inlineStr">
        <is>
          <t>Filled</t>
        </is>
      </c>
      <c r="F56" s="1773">
        <f>INDEX('REVIEW - Complete Role Mapping'!$AA:$AA,373)</f>
        <v>180010.35</v>
      </c>
      <c r="G56" s="1773">
        <f>$F56*IFERROR(INDEX(Lists!$AD:$AD,MATCH($E56,Lists!$AC:$AC,0)),1)</f>
        <v>180010.35</v>
      </c>
    </row>
    <row r="57">
      <c r="B57" s="1530" t="str">
        <f>INDEX('REVIEW - Complete Role Mapping'!$B:$B,378)</f>
        <v>JR Panganiban</v>
      </c>
      <c r="C57" s="1530" t="str">
        <f>INDEX('REVIEW - Complete Role Mapping'!$C:$C,378)</f>
        <v>Technology Support Engineer</v>
      </c>
      <c r="D57" s="1530" t="str">
        <f>INDEX('REVIEW - Complete Role Mapping'!$AK:$AK,378)</f>
        <v>Filled</v>
      </c>
      <c r="E57" s="1547" t="inlineStr">
        <is>
          <t>Filled</t>
        </is>
      </c>
      <c r="F57" s="1773">
        <f>INDEX('REVIEW - Complete Role Mapping'!$AA:$AA,378)</f>
        <v>146390.4</v>
      </c>
      <c r="G57" s="1773">
        <f>$F57*IFERROR(INDEX(Lists!$AD:$AD,MATCH($E57,Lists!$AC:$AC,0)),1)</f>
        <v>146390.4</v>
      </c>
    </row>
    <row r="58">
      <c r="B58" s="1530" t="str">
        <f>INDEX('REVIEW - Complete Role Mapping'!$B:$B,379)</f>
        <v>Kevin Li</v>
      </c>
      <c r="C58" s="1530" t="str">
        <f>INDEX('REVIEW - Complete Role Mapping'!$C:$C,379)</f>
        <v>System Specialist</v>
      </c>
      <c r="D58" s="1530" t="str">
        <f>INDEX('REVIEW - Complete Role Mapping'!$AK:$AK,379)</f>
        <v>Filled</v>
      </c>
      <c r="E58" s="1547" t="inlineStr">
        <is>
          <t>Filled</t>
        </is>
      </c>
      <c r="F58" s="1773">
        <f>INDEX('REVIEW - Complete Role Mapping'!$AA:$AA,379)</f>
        <v>179970.9</v>
      </c>
      <c r="G58" s="1773">
        <f>$F58*IFERROR(INDEX(Lists!$AD:$AD,MATCH($E58,Lists!$AC:$AC,0)),1)</f>
        <v>179970.9</v>
      </c>
    </row>
    <row r="59">
      <c r="B59" s="1530" t="str">
        <f>INDEX('REVIEW - Complete Role Mapping'!$B:$B,384)</f>
        <v>Leo Machin</v>
      </c>
      <c r="C59" s="1530" t="str">
        <f>INDEX('REVIEW - Complete Role Mapping'!$C:$C,384)</f>
        <v>Lead Engineer Applications</v>
      </c>
      <c r="D59" s="1530" t="str">
        <f>INDEX('REVIEW - Complete Role Mapping'!$AK:$AK,384)</f>
        <v>Filled</v>
      </c>
      <c r="E59" s="1547" t="inlineStr">
        <is>
          <t>Filled</t>
        </is>
      </c>
      <c r="F59" s="1773">
        <f>INDEX('REVIEW - Complete Role Mapping'!$AA:$AA,384)</f>
        <v>212558.7</v>
      </c>
      <c r="G59" s="1773">
        <f>$F59*IFERROR(INDEX(Lists!$AD:$AD,MATCH($E59,Lists!$AC:$AC,0)),1)</f>
        <v>212558.7</v>
      </c>
    </row>
    <row r="60">
      <c r="B60" s="1530" t="str">
        <f>INDEX('REVIEW - Complete Role Mapping'!$B:$B,395)</f>
        <v>Poch Fernandez</v>
      </c>
      <c r="C60" s="1530" t="str">
        <f>INDEX('REVIEW - Complete Role Mapping'!$C:$C,395)</f>
        <v>Lead Technology Support  </v>
      </c>
      <c r="D60" s="1530" t="str">
        <f>INDEX('REVIEW - Complete Role Mapping'!$AK:$AK,395)</f>
        <v>Filled</v>
      </c>
      <c r="E60" s="1547" t="inlineStr">
        <is>
          <t>Filled</t>
        </is>
      </c>
      <c r="F60" s="1773">
        <f>INDEX('REVIEW - Complete Role Mapping'!$AA:$AA,395)</f>
        <v>216633.121</v>
      </c>
      <c r="G60" s="1773">
        <f>$F60*IFERROR(INDEX(Lists!$AD:$AD,MATCH($E60,Lists!$AC:$AC,0)),1)</f>
        <v>216633.121</v>
      </c>
    </row>
    <row r="61">
      <c r="B61" s="1530" t="str">
        <f>INDEX('REVIEW - Complete Role Mapping'!$B:$B,408)</f>
        <v>Suja Sugathan</v>
      </c>
      <c r="C61" s="1530" t="str">
        <f>INDEX('REVIEW - Complete Role Mapping'!$C:$C,408)</f>
        <v>Senior Business Analyst</v>
      </c>
      <c r="D61" s="1530" t="str">
        <f>INDEX('REVIEW - Complete Role Mapping'!$AK:$AK,408)</f>
        <v>Filled</v>
      </c>
      <c r="E61" s="1547" t="inlineStr">
        <is>
          <t>Filled</t>
        </is>
      </c>
      <c r="F61" s="1773">
        <f>INDEX('REVIEW - Complete Role Mapping'!$AA:$AA,408)</f>
        <v>352114.3405</v>
      </c>
      <c r="G61" s="1773">
        <f>$F61*IFERROR(INDEX(Lists!$AD:$AD,MATCH($E61,Lists!$AC:$AC,0)),1)</f>
        <v>352114.3405</v>
      </c>
    </row>
    <row r="62">
      <c r="B62" s="1530" t="str">
        <f>INDEX('REVIEW - Complete Role Mapping'!$B:$B,420)</f>
        <v>Vacant</v>
      </c>
      <c r="C62" s="1530" t="str">
        <f>INDEX('REVIEW - Complete Role Mapping'!$C:$C,420)</f>
        <v>Tech Support Technician</v>
      </c>
      <c r="D62" s="1530" t="str">
        <f>INDEX('REVIEW - Complete Role Mapping'!$AK:$AK,420)</f>
        <v>Vacant</v>
      </c>
      <c r="E62" s="1547" t="inlineStr">
        <is>
          <t>Hire</t>
        </is>
      </c>
      <c r="F62" s="1773">
        <f>INDEX('REVIEW - Complete Role Mapping'!$AA:$AA,420)</f>
        <v>122571.75</v>
      </c>
      <c r="G62" s="1773">
        <f>$F62*IFERROR(INDEX(Lists!$AD:$AD,MATCH($E62,Lists!$AC:$AC,0)),1)</f>
        <v>122571.75</v>
      </c>
    </row>
    <row r="63">
      <c r="B63" s="1530" t="str">
        <f>INDEX('REVIEW - Complete Role Mapping'!$B:$B,424)</f>
        <v>Vacant</v>
      </c>
      <c r="C63" s="1530" t="str">
        <f>INDEX('REVIEW - Complete Role Mapping'!$C:$C,424)</f>
        <v>Delivery Lead</v>
      </c>
      <c r="D63" s="1530" t="str">
        <f>INDEX('REVIEW - Complete Role Mapping'!$AK:$AK,424)</f>
        <v>Vacant</v>
      </c>
      <c r="E63" s="1547" t="inlineStr">
        <is>
          <t>Hire</t>
        </is>
      </c>
      <c r="F63" s="1773">
        <f>INDEX('REVIEW - Complete Role Mapping'!$AA:$AA,424)</f>
        <v>231689.25</v>
      </c>
      <c r="G63" s="1773">
        <f>$F63*IFERROR(INDEX(Lists!$AD:$AD,MATCH($E63,Lists!$AC:$AC,0)),1)</f>
        <v>231689.25</v>
      </c>
    </row>
    <row r="64">
      <c r="B64" s="1530" t="str">
        <f>INDEX('REVIEW - Complete Role Mapping'!$B:$B,425)</f>
        <v>Vacant</v>
      </c>
      <c r="C64" s="1530" t="str">
        <f>INDEX('REVIEW - Complete Role Mapping'!$C:$C,425)</f>
        <v>Quality Assurance</v>
      </c>
      <c r="D64" s="1530" t="str">
        <f>INDEX('REVIEW - Complete Role Mapping'!$AK:$AK,425)</f>
        <v>Vacant</v>
      </c>
      <c r="E64" s="1547" t="inlineStr">
        <is>
          <t>Hire</t>
        </is>
      </c>
      <c r="F64" s="1773">
        <f>INDEX('REVIEW - Complete Role Mapping'!$AA:$AA,425)</f>
        <v>170489.75</v>
      </c>
      <c r="G64" s="1773">
        <f>$F64*IFERROR(INDEX(Lists!$AD:$AD,MATCH($E64,Lists!$AC:$AC,0)),1)</f>
        <v>170489.75</v>
      </c>
    </row>
    <row r="65">
      <c r="B65" s="1545" t="inlineStr">
        <is>
          <t>Trading &amp; Shipping Data</t>
        </is>
      </c>
      <c r="C65" s="1545" t="str">
        <f>COUNTA($B$66:$B$72)&amp;IF(COUNTA($B$66:$B$72)=1," role"," roles")</f>
        <v>7 roles</v>
      </c>
      <c r="D65" s="1545" t="n"/>
      <c r="E65" s="1545" t="n"/>
      <c r="F65" s="1785">
        <f>SUM(F66:F72)</f>
        <v>2106168.849</v>
      </c>
      <c r="G65" s="1785">
        <f>SUM(G66:G72)</f>
        <v>2106168.849</v>
      </c>
    </row>
    <row r="66">
      <c r="B66" s="1530" t="str">
        <f>INDEX('REVIEW - Complete Role Mapping'!$B:$B,344)</f>
        <v>Anusha Viswanatha</v>
      </c>
      <c r="C66" s="1530" t="str">
        <f>INDEX('REVIEW - Complete Role Mapping'!$C:$C,344)</f>
        <v>Delivery Lead</v>
      </c>
      <c r="D66" s="1530" t="str">
        <f>INDEX('REVIEW - Complete Role Mapping'!$AK:$AK,344)</f>
        <v>Filled</v>
      </c>
      <c r="E66" s="1547" t="inlineStr">
        <is>
          <t>Filled</t>
        </is>
      </c>
      <c r="F66" s="1773">
        <f>INDEX('REVIEW - Complete Role Mapping'!$AA:$AA,344)</f>
        <v>286934</v>
      </c>
      <c r="G66" s="1773">
        <f>$F66*IFERROR(INDEX(Lists!$AD:$AD,MATCH($E66,Lists!$AC:$AC,0)),1)</f>
        <v>286934</v>
      </c>
    </row>
    <row r="67">
      <c r="B67" s="1530" t="str">
        <f>INDEX('REVIEW - Complete Role Mapping'!$B:$B,346)</f>
        <v>Arun Prakash Jayaprakasam</v>
      </c>
      <c r="C67" s="1530" t="str">
        <f>INDEX('REVIEW - Complete Role Mapping'!$C:$C,346)</f>
        <v>Data Engineer Analyst</v>
      </c>
      <c r="D67" s="1530" t="str">
        <f>INDEX('REVIEW - Complete Role Mapping'!$AK:$AK,346)</f>
        <v>Filled</v>
      </c>
      <c r="E67" s="1547" t="inlineStr">
        <is>
          <t>Filled</t>
        </is>
      </c>
      <c r="F67" s="1773">
        <f>INDEX('REVIEW - Complete Role Mapping'!$AA:$AA,346)</f>
        <v>268285.722</v>
      </c>
      <c r="G67" s="1773">
        <f>$F67*IFERROR(INDEX(Lists!$AD:$AD,MATCH($E67,Lists!$AC:$AC,0)),1)</f>
        <v>268285.722</v>
      </c>
    </row>
    <row r="68">
      <c r="B68" s="1530" t="str">
        <f>INDEX('REVIEW - Complete Role Mapping'!$B:$B,347)</f>
        <v>Ayushi Agarwal</v>
      </c>
      <c r="C68" s="1530" t="str">
        <f>INDEX('REVIEW - Complete Role Mapping'!$C:$C,347)</f>
        <v>Engineer Data</v>
      </c>
      <c r="D68" s="1530" t="str">
        <f>INDEX('REVIEW - Complete Role Mapping'!$AK:$AK,347)</f>
        <v>Filled</v>
      </c>
      <c r="E68" s="1547" t="inlineStr">
        <is>
          <t>Filled</t>
        </is>
      </c>
      <c r="F68" s="1773">
        <f>INDEX('REVIEW - Complete Role Mapping'!$AA:$AA,347)</f>
        <v>260911.498</v>
      </c>
      <c r="G68" s="1773">
        <f>$F68*IFERROR(INDEX(Lists!$AD:$AD,MATCH($E68,Lists!$AC:$AC,0)),1)</f>
        <v>260911.498</v>
      </c>
    </row>
    <row r="69">
      <c r="B69" s="1530" t="str">
        <f>INDEX('REVIEW - Complete Role Mapping'!$B:$B,376)</f>
        <v>Jonathan Wong</v>
      </c>
      <c r="C69" s="1530" t="str">
        <f>INDEX('REVIEW - Complete Role Mapping'!$C:$C,376)</f>
        <v>Senior Business Analyst</v>
      </c>
      <c r="D69" s="1530" t="str">
        <f>INDEX('REVIEW - Complete Role Mapping'!$AK:$AK,376)</f>
        <v>Filled</v>
      </c>
      <c r="E69" s="1547" t="inlineStr">
        <is>
          <t>Filled</t>
        </is>
      </c>
      <c r="F69" s="1773">
        <f>INDEX('REVIEW - Complete Role Mapping'!$AA:$AA,376)</f>
        <v>322387</v>
      </c>
      <c r="G69" s="1773">
        <f>$F69*IFERROR(INDEX(Lists!$AD:$AD,MATCH($E69,Lists!$AC:$AC,0)),1)</f>
        <v>322387</v>
      </c>
    </row>
    <row r="70">
      <c r="B70" s="1530" t="str">
        <f>INDEX('REVIEW - Complete Role Mapping'!$B:$B,381)</f>
        <v>Kumar Siva</v>
      </c>
      <c r="C70" s="1530" t="str">
        <f>INDEX('REVIEW - Complete Role Mapping'!$C:$C,381)</f>
        <v>Lead engineer Data</v>
      </c>
      <c r="D70" s="1530" t="str">
        <f>INDEX('REVIEW - Complete Role Mapping'!$AK:$AK,381)</f>
        <v>Filled</v>
      </c>
      <c r="E70" s="1547" t="inlineStr">
        <is>
          <t>Filled</t>
        </is>
      </c>
      <c r="F70" s="1773">
        <f>INDEX('REVIEW - Complete Role Mapping'!$AA:$AA,381)</f>
        <v>375566.5</v>
      </c>
      <c r="G70" s="1773">
        <f>$F70*IFERROR(INDEX(Lists!$AD:$AD,MATCH($E70,Lists!$AC:$AC,0)),1)</f>
        <v>375566.5</v>
      </c>
    </row>
    <row r="71">
      <c r="B71" s="1530" t="str">
        <f>INDEX('REVIEW - Complete Role Mapping'!$B:$B,405)</f>
        <v>Soumya Choudhury</v>
      </c>
      <c r="C71" s="1530" t="str">
        <f>INDEX('REVIEW - Complete Role Mapping'!$C:$C,405)</f>
        <v>Data Application Specialist </v>
      </c>
      <c r="D71" s="1530" t="str">
        <f>INDEX('REVIEW - Complete Role Mapping'!$AK:$AK,405)</f>
        <v>Filled</v>
      </c>
      <c r="E71" s="1547" t="inlineStr">
        <is>
          <t>Filled</t>
        </is>
      </c>
      <c r="F71" s="1773">
        <f>INDEX('REVIEW - Complete Role Mapping'!$AA:$AA,405)</f>
        <v>325684.129</v>
      </c>
      <c r="G71" s="1773">
        <f>$F71*IFERROR(INDEX(Lists!$AD:$AD,MATCH($E71,Lists!$AC:$AC,0)),1)</f>
        <v>325684.129</v>
      </c>
    </row>
    <row r="72">
      <c r="B72" s="1530" t="str">
        <f>INDEX('REVIEW - Complete Role Mapping'!$B:$B,445)</f>
        <v>Zijie Zhang</v>
      </c>
      <c r="C72" s="1530" t="str">
        <f>INDEX('REVIEW - Complete Role Mapping'!$C:$C,445)</f>
        <v>Senior Data Analyst</v>
      </c>
      <c r="D72" s="1530" t="str">
        <f>INDEX('REVIEW - Complete Role Mapping'!$AK:$AK,445)</f>
        <v>Filled</v>
      </c>
      <c r="E72" s="1547" t="inlineStr">
        <is>
          <t>Filled</t>
        </is>
      </c>
      <c r="F72" s="1773">
        <f>INDEX('REVIEW - Complete Role Mapping'!$AA:$AA,445)</f>
        <v>266400</v>
      </c>
      <c r="G72" s="1773">
        <f>$F72*IFERROR(INDEX(Lists!$AD:$AD,MATCH($E72,Lists!$AC:$AC,0)),1)</f>
        <v>266400</v>
      </c>
    </row>
    <row r="73">
      <c r="B73" s="1545" t="inlineStr">
        <is>
          <t>Head of Technology</t>
        </is>
      </c>
      <c r="C73" s="1545" t="str">
        <f>COUNTA($B$74:$B$74)&amp;IF(COUNTA($B$74:$B$74)=1," role"," roles")</f>
        <v>1 role</v>
      </c>
      <c r="D73" s="1545" t="n"/>
      <c r="E73" s="1545" t="n"/>
      <c r="F73" s="1785">
        <f>SUM(F74:F74)</f>
        <v>292434.736</v>
      </c>
      <c r="G73" s="1785">
        <f>SUM(G74:G74)</f>
        <v>292434.736</v>
      </c>
    </row>
    <row r="74">
      <c r="B74" s="1530" t="str">
        <f>INDEX('REVIEW - Complete Role Mapping'!$B:$B,392)</f>
        <v>Nakul Bharade</v>
      </c>
      <c r="C74" s="1530" t="str">
        <f>INDEX('REVIEW - Complete Role Mapping'!$C:$C,392)</f>
        <v>Head of Technology, Commercial Fuels</v>
      </c>
      <c r="D74" s="1530" t="str">
        <f>INDEX('REVIEW - Complete Role Mapping'!$AK:$AK,392)</f>
        <v>Filled</v>
      </c>
      <c r="E74" s="1547" t="inlineStr">
        <is>
          <t>Filled</t>
        </is>
      </c>
      <c r="F74" s="1773">
        <f>INDEX('REVIEW - Complete Role Mapping'!$AA:$AA,392)</f>
        <v>292434.736</v>
      </c>
      <c r="G74" s="1773">
        <f>$F74*IFERROR(INDEX(Lists!$AD:$AD,MATCH($E74,Lists!$AC:$AC,0)),1)</f>
        <v>292434.736</v>
      </c>
    </row>
    <row r="75">
      <c r="B75" s="1545" t="inlineStr">
        <is>
          <t>Delivery Manager</t>
        </is>
      </c>
      <c r="C75" s="1545" t="str">
        <f>COUNTA($B$76:$B$76)&amp;IF(COUNTA($B$76:$B$76)=1," role"," roles")</f>
        <v>1 role</v>
      </c>
      <c r="D75" s="1545" t="n"/>
      <c r="E75" s="1545" t="n"/>
      <c r="F75" s="1785">
        <f>SUM(F76:F76)</f>
        <v>275810.25</v>
      </c>
      <c r="G75" s="1785">
        <f>SUM(G76:G76)</f>
        <v>275810.25</v>
      </c>
    </row>
    <row r="76">
      <c r="B76" s="1530" t="str">
        <f>INDEX('REVIEW - Complete Role Mapping'!$B:$B,421)</f>
        <v>Vacant</v>
      </c>
      <c r="C76" s="1530" t="str">
        <f>INDEX('REVIEW - Complete Role Mapping'!$C:$C,421)</f>
        <v>Delivery Manager</v>
      </c>
      <c r="D76" s="1530" t="str">
        <f>INDEX('REVIEW - Complete Role Mapping'!$AK:$AK,421)</f>
        <v>Vacant</v>
      </c>
      <c r="E76" s="1547" t="inlineStr">
        <is>
          <t>Hire</t>
        </is>
      </c>
      <c r="F76" s="1773">
        <f>INDEX('REVIEW - Complete Role Mapping'!$AA:$AA,421)</f>
        <v>275810.25</v>
      </c>
      <c r="G76" s="1773">
        <f>$F76*IFERROR(INDEX(Lists!$AD:$AD,MATCH($E76,Lists!$AC:$AC,0)),1)</f>
        <v>275810.25</v>
      </c>
    </row>
    <row r="77">
      <c r="B77" s="1545" t="inlineStr">
        <is>
          <t>Technology Manager</t>
        </is>
      </c>
      <c r="C77" s="1545" t="str">
        <f>COUNTA($B$78:$B$79)&amp;IF(COUNTA($B$78:$B$79)=1," role"," roles")</f>
        <v>2 roles</v>
      </c>
      <c r="D77" s="1545" t="n"/>
      <c r="E77" s="1545" t="n"/>
      <c r="F77" s="1785">
        <f>SUM(F78:F79)</f>
        <v>563097.35</v>
      </c>
      <c r="G77" s="1785">
        <f>SUM(G78:G79)</f>
        <v>563097.35</v>
      </c>
    </row>
    <row r="78">
      <c r="B78" s="1530" t="str">
        <f>INDEX('REVIEW - Complete Role Mapping'!$B:$B,336)</f>
        <v>Allan Francia</v>
      </c>
      <c r="C78" s="1530" t="str">
        <f>INDEX('REVIEW - Complete Role Mapping'!$C:$C,336)</f>
        <v>Technology Manager - T&amp;S</v>
      </c>
      <c r="D78" s="1530" t="str">
        <f>INDEX('REVIEW - Complete Role Mapping'!$AK:$AK,336)</f>
        <v>Filled</v>
      </c>
      <c r="E78" s="1547" t="inlineStr">
        <is>
          <t>Filled</t>
        </is>
      </c>
      <c r="F78" s="1773">
        <f>INDEX('REVIEW - Complete Role Mapping'!$AA:$AA,336)</f>
        <v>287287.1</v>
      </c>
      <c r="G78" s="1773">
        <f>$F78*IFERROR(INDEX(Lists!$AD:$AD,MATCH($E78,Lists!$AC:$AC,0)),1)</f>
        <v>287287.1</v>
      </c>
    </row>
    <row r="79">
      <c r="B79" s="1530" t="str">
        <f>INDEX('REVIEW - Complete Role Mapping'!$B:$B,422)</f>
        <v>Vacant</v>
      </c>
      <c r="C79" s="1530" t="str">
        <f>INDEX('REVIEW - Complete Role Mapping'!$C:$C,422)</f>
        <v>Technology Manager, Data</v>
      </c>
      <c r="D79" s="1530" t="str">
        <f>INDEX('REVIEW - Complete Role Mapping'!$AK:$AK,422)</f>
        <v>Vacant</v>
      </c>
      <c r="E79" s="1547" t="inlineStr">
        <is>
          <t>Hire</t>
        </is>
      </c>
      <c r="F79" s="1773">
        <f>INDEX('REVIEW - Complete Role Mapping'!$AA:$AA,422)</f>
        <v>275810.25</v>
      </c>
      <c r="G79" s="1773">
        <f>$F79*IFERROR(INDEX(Lists!$AD:$AD,MATCH($E79,Lists!$AC:$AC,0)),1)</f>
        <v>275810.25</v>
      </c>
    </row>
  </sheetData>
  <dataValidations count="1">
    <dataValidation sqref="E32 E33 E34 E35 E36 E37 E38 E39 E40 E41 E42 E43 E44 E45 E47 E48 E49 E50 E51 E53 E54 E55 E56 E57 E58 E59 E60 E61 E62 E63 E64 E66 E67 E68 E69 E70 E71 E72 E74 E76 E78 E7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Z Retail - working copy</t>
        </is>
      </c>
    </row>
    <row r="3">
      <c r="B3" s="1525" t="inlineStr">
        <is>
          <t>Portfolio</t>
        </is>
      </c>
      <c r="C3" s="1526" t="inlineStr">
        <is>
          <t>Z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NZ</t>
        </is>
      </c>
      <c r="C7" s="1530" t="str">
        <f>IFERROR(INDEX('1.10 Z Retail'!$C$24:$C$41,MATCH($B7,'1.10 Z Retail'!$B$24:$B$41,0)),"Not on the 1.x tab")</f>
        <v>Enterprise Data and Insights</v>
      </c>
      <c r="D7" s="1530" t="str">
        <f>IFERROR(IF(INDEX('1.10 Z Retail'!$D$24:$D$41,MATCH($B7,'1.10 Z Retail'!$B$24:$B$41,0))="","-",INDEX('1.10 Z Retail'!$D$24:$D$41,MATCH($B7,'1.10 Z Retail'!$B$24:$B$41,0))),"-")</f>
        <v>M</v>
      </c>
      <c r="E7" s="1782">
        <f>IFERROR(INDEX('0.3 Squad Archetypes'!$F$5:$F$23,MATCH($C7&amp;"|"&amp;$D7,'0.3 Squad Archetypes'!$A$5:$A$23,0)),"-")</f>
        <v>7.5</v>
      </c>
      <c r="F7" s="1773">
        <f>COUNTA($B$33:$B$39)</f>
        <v>7</v>
      </c>
      <c r="G7" s="1773">
        <f>COUNTIFS($D$33:$D$39,"Filled")</f>
        <v>5</v>
      </c>
      <c r="H7" s="1773">
        <f>COUNTIFS($D$33:$D$39,"Vacant")</f>
        <v>2</v>
      </c>
      <c r="I7" s="1773">
        <f>COUNTIFS($D$33:$D$39,"Vacant",$E$33:$E$39,"Hire")</f>
        <v>2</v>
      </c>
      <c r="J7" s="1773">
        <f>COUNTIFS($E$33:$E$39,"Offshore")</f>
        <v>0</v>
      </c>
      <c r="K7" s="1773">
        <f>COUNTIFS($E$33:$E$39,"Hold")</f>
        <v>0</v>
      </c>
      <c r="L7" s="1773">
        <f>$F7-$K7</f>
        <v>7</v>
      </c>
      <c r="M7" s="1772">
        <f>IFERROR(IF(INDEX('1.10 Z Retail'!$E$24:$E$41,MATCH($B7,'1.10 Z Retail'!$B$24:$B$41,0))="Offshore",INDEX('0.3 Squad Archetypes'!$H$5:$H$23,MATCH($C7&amp;"|"&amp;$D7,'0.3 Squad Archetypes'!$A$5:$A$23,0)),INDEX('0.3 Squad Archetypes'!$G$5:$G$23,MATCH($C7&amp;"|"&amp;$D7,'0.3 Squad Archetypes'!$A$5:$A$23,0))),"-")</f>
        <v>0.68</v>
      </c>
      <c r="N7" s="1772">
        <f>SUMIFS('REVIEW - Complete Role Mapping'!$AA$2:$AA$528,'REVIEW - Complete Role Mapping'!$AJ$2:$AJ$528,$C$3,'REVIEW - Complete Role Mapping'!$AT$2:$AT$528,$B7)/1000000</f>
        <v>1.223843362</v>
      </c>
      <c r="O7" s="1772">
        <f>IFERROR(ROUND($N7-$M7,6),"-")</f>
        <v>0.543843</v>
      </c>
      <c r="P7" s="1772">
        <f>SUM($G$33:$G$39)/1000000</f>
        <v>1.223843362</v>
      </c>
      <c r="Q7" s="1772">
        <f>IFERROR(ROUND($P7-$M7,6),"-")</f>
        <v>0.543843</v>
      </c>
    </row>
    <row r="8">
      <c r="B8" s="1530" t="inlineStr">
        <is>
          <t>Site Systems</t>
        </is>
      </c>
      <c r="C8" s="1530" t="str">
        <f>IFERROR(INDEX('1.10 Z Retail'!$C$24:$C$41,MATCH($B8,'1.10 Z Retail'!$B$24:$B$41,0)),"Not on the 1.x tab")</f>
        <v>Configuration / Integration</v>
      </c>
      <c r="D8" s="1530" t="str">
        <f>IFERROR(IF(INDEX('1.10 Z Retail'!$D$24:$D$41,MATCH($B8,'1.10 Z Retail'!$B$24:$B$41,0))="","-",INDEX('1.10 Z Retail'!$D$24:$D$41,MATCH($B8,'1.10 Z Retail'!$B$24:$B$41,0))),"-")</f>
        <v>M</v>
      </c>
      <c r="E8" s="1782">
        <f>IFERROR(INDEX('0.3 Squad Archetypes'!$F$5:$F$23,MATCH($C8&amp;"|"&amp;$D8,'0.3 Squad Archetypes'!$A$5:$A$23,0)),"-")</f>
        <v>9</v>
      </c>
      <c r="F8" s="1773">
        <f>COUNTA($B$41:$B$49)</f>
        <v>9</v>
      </c>
      <c r="G8" s="1773">
        <f>COUNTIFS($D$41:$D$49,"Filled")</f>
        <v>9</v>
      </c>
      <c r="H8" s="1773">
        <f>COUNTIFS($D$41:$D$49,"Vacant")</f>
        <v>0</v>
      </c>
      <c r="I8" s="1773">
        <f>COUNTIFS($D$41:$D$49,"Vacant",$E$41:$E$49,"Hire")</f>
        <v>0</v>
      </c>
      <c r="J8" s="1773">
        <f>COUNTIFS($E$41:$E$49,"Offshore")</f>
        <v>0</v>
      </c>
      <c r="K8" s="1773">
        <f>COUNTIFS($E$41:$E$49,"Hold")</f>
        <v>0</v>
      </c>
      <c r="L8" s="1773">
        <f>$F8-$K8</f>
        <v>9</v>
      </c>
      <c r="M8" s="1772">
        <f>IFERROR(IF(INDEX('1.10 Z Retail'!$E$24:$E$41,MATCH($B8,'1.10 Z Retail'!$B$24:$B$41,0))="Offshore",INDEX('0.3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1.374665758</v>
      </c>
      <c r="O8" s="1772">
        <f>IFERROR(ROUND($N8-$M8,6),"-")</f>
        <v>-0.725334</v>
      </c>
      <c r="P8" s="1772">
        <f>SUM($G$41:$G$49)/1000000</f>
        <v>1.374665758</v>
      </c>
      <c r="Q8" s="1772">
        <f>IFERROR(ROUND($P8-$M8,6),"-")</f>
        <v>-0.725334</v>
      </c>
    </row>
    <row r="9">
      <c r="B9" s="1530" t="inlineStr">
        <is>
          <t>Z Retail Backend</t>
        </is>
      </c>
      <c r="C9" s="1530" t="str">
        <f>IFERROR(INDEX('1.10 Z Retail'!$C$24:$C$41,MATCH($B9,'1.10 Z Retail'!$B$24:$B$41,0)),"Not on the 1.x tab")</f>
        <v>Build and Run</v>
      </c>
      <c r="D9" s="1530" t="str">
        <f>IFERROR(IF(INDEX('1.10 Z Retail'!$D$24:$D$41,MATCH($B9,'1.10 Z Retail'!$B$24:$B$41,0))="","-",INDEX('1.10 Z Retail'!$D$24:$D$41,MATCH($B9,'1.10 Z Retail'!$B$24:$B$41,0))),"-")</f>
        <v>M</v>
      </c>
      <c r="E9" s="1782">
        <f>IFERROR(INDEX('0.3 Squad Archetypes'!$F$5:$F$23,MATCH($C9&amp;"|"&amp;$D9,'0.3 Squad Archetypes'!$A$5:$A$23,0)),"-")</f>
        <v>9</v>
      </c>
      <c r="F9" s="1773">
        <f>COUNTA($B$51:$B$59)</f>
        <v>9</v>
      </c>
      <c r="G9" s="1773">
        <f>COUNTIFS($D$51:$D$59,"Filled")</f>
        <v>7</v>
      </c>
      <c r="H9" s="1773">
        <f>COUNTIFS($D$51:$D$59,"Vacant")</f>
        <v>2</v>
      </c>
      <c r="I9" s="1773">
        <f>COUNTIFS($D$51:$D$59,"Vacant",$E$51:$E$59,"Hire")</f>
        <v>2</v>
      </c>
      <c r="J9" s="1773">
        <f>COUNTIFS($E$51:$E$59,"Offshore")</f>
        <v>0</v>
      </c>
      <c r="K9" s="1773">
        <f>COUNTIFS($E$51:$E$59,"Hold")</f>
        <v>0</v>
      </c>
      <c r="L9" s="1773">
        <f>$F9-$K9</f>
        <v>9</v>
      </c>
      <c r="M9" s="1772">
        <f>IFERROR(IF(INDEX('1.10 Z Retail'!$E$24:$E$41,MATCH($B9,'1.10 Z Retail'!$B$24:$B$41,0))="Offshore",INDEX('0.3 Squad Archetypes'!$H$5:$H$23,MATCH($C9&amp;"|"&amp;$D9,'0.3 Squad Archetypes'!$A$5:$A$23,0)),INDEX('0.3 Squad Archetypes'!$G$5:$G$23,MATCH($C9&amp;"|"&amp;$D9,'0.3 Squad Archetypes'!$A$5:$A$23,0))),"-")</f>
        <v>2</v>
      </c>
      <c r="N9" s="1772">
        <f>SUMIFS('REVIEW - Complete Role Mapping'!$AA$2:$AA$528,'REVIEW - Complete Role Mapping'!$AJ$2:$AJ$528,$C$3,'REVIEW - Complete Role Mapping'!$AT$2:$AT$528,$B9)/1000000</f>
        <v>1.857667168</v>
      </c>
      <c r="O9" s="1772">
        <f>IFERROR(ROUND($N9-$M9,6),"-")</f>
        <v>-0.142333</v>
      </c>
      <c r="P9" s="1772">
        <f>SUM($G$51:$G$59)/1000000</f>
        <v>1.857667168</v>
      </c>
      <c r="Q9" s="1772">
        <f>IFERROR(ROUND($P9-$M9,6),"-")</f>
        <v>-0.142333</v>
      </c>
    </row>
    <row r="10">
      <c r="B10" s="1530" t="inlineStr">
        <is>
          <t>Z Supply</t>
        </is>
      </c>
      <c r="C10" s="1530" t="str">
        <f>IFERROR(INDEX('1.10 Z Retail'!$C$24:$C$41,MATCH($B10,'1.10 Z Retail'!$B$24:$B$41,0)),"Not on the 1.x tab")</f>
        <v>Build and Run</v>
      </c>
      <c r="D10" s="1530" t="str">
        <f>IFERROR(IF(INDEX('1.10 Z Retail'!$D$24:$D$41,MATCH($B10,'1.10 Z Retail'!$B$24:$B$41,0))="","-",INDEX('1.10 Z Retail'!$D$24:$D$41,MATCH($B10,'1.10 Z Retail'!$B$24:$B$41,0))),"-")</f>
        <v>M</v>
      </c>
      <c r="E10" s="1782">
        <f>IFERROR(INDEX('0.3 Squad Archetypes'!$F$5:$F$23,MATCH($C10&amp;"|"&amp;$D10,'0.3 Squad Archetypes'!$A$5:$A$23,0)),"-")</f>
        <v>9</v>
      </c>
      <c r="F10" s="1773">
        <f>COUNTA($B$61:$B$69)</f>
        <v>9</v>
      </c>
      <c r="G10" s="1773">
        <f>COUNTIFS($D$61:$D$69,"Filled")</f>
        <v>8</v>
      </c>
      <c r="H10" s="1773">
        <f>COUNTIFS($D$61:$D$69,"Vacant")</f>
        <v>1</v>
      </c>
      <c r="I10" s="1773">
        <f>COUNTIFS($D$61:$D$69,"Vacant",$E$61:$E$69,"Hire")</f>
        <v>1</v>
      </c>
      <c r="J10" s="1773">
        <f>COUNTIFS($E$61:$E$69,"Offshore")</f>
        <v>0</v>
      </c>
      <c r="K10" s="1773">
        <f>COUNTIFS($E$61:$E$69,"Hold")</f>
        <v>0</v>
      </c>
      <c r="L10" s="1773">
        <f>$F10-$K10</f>
        <v>9</v>
      </c>
      <c r="M10" s="1772">
        <f>IFERROR(IF(INDEX('1.10 Z Retail'!$E$24:$E$41,MATCH($B10,'1.10 Z Retail'!$B$24:$B$41,0))="Offshore",INDEX('0.3 Squad Archetypes'!$H$5:$H$23,MATCH($C10&amp;"|"&amp;$D10,'0.3 Squad Archetypes'!$A$5:$A$23,0)),INDEX('0.3 Squad Archetypes'!$G$5:$G$23,MATCH($C10&amp;"|"&amp;$D10,'0.3 Squad Archetypes'!$A$5:$A$23,0))),"-")</f>
        <v>2</v>
      </c>
      <c r="N10" s="1772">
        <f>SUMIFS('REVIEW - Complete Role Mapping'!$AA$2:$AA$528,'REVIEW - Complete Role Mapping'!$AJ$2:$AJ$528,$C$3,'REVIEW - Complete Role Mapping'!$AT$2:$AT$528,$B10)/1000000</f>
        <v>1.663774396</v>
      </c>
      <c r="O10" s="1772">
        <f>IFERROR(ROUND($N10-$M10,6),"-")</f>
        <v>-0.336226</v>
      </c>
      <c r="P10" s="1772">
        <f>SUM($G$61:$G$69)/1000000</f>
        <v>1.663774396</v>
      </c>
      <c r="Q10" s="1772">
        <f>IFERROR(ROUND($P10-$M10,6),"-")</f>
        <v>-0.336226</v>
      </c>
    </row>
    <row r="11">
      <c r="B11" s="1534" t="inlineStr">
        <is>
          <t>Squads priced by an archetype</t>
        </is>
      </c>
      <c r="C11" s="1534" t="n"/>
      <c r="D11" s="1534" t="n"/>
      <c r="E11" s="1783">
        <f>SUM(E7:E10)</f>
        <v>34.5</v>
      </c>
      <c r="F11" s="1775">
        <f>SUM(F7:F10)</f>
        <v>34</v>
      </c>
      <c r="G11" s="1775">
        <f>SUM(G7:G10)</f>
        <v>29</v>
      </c>
      <c r="H11" s="1775">
        <f>SUM(H7:H10)</f>
        <v>5</v>
      </c>
      <c r="I11" s="1775">
        <f>SUM(I7:I10)</f>
        <v>5</v>
      </c>
      <c r="J11" s="1775">
        <f>SUM(J7:J10)</f>
        <v>0</v>
      </c>
      <c r="K11" s="1775">
        <f>SUM(K7:K10)</f>
        <v>0</v>
      </c>
      <c r="L11" s="1775">
        <f>SUM(L7:L10)</f>
        <v>34</v>
      </c>
      <c r="M11" s="1774">
        <f>SUM(M7:M10)</f>
        <v>6.78</v>
      </c>
      <c r="N11" s="1774">
        <f>SUM(N7:N10)</f>
        <v>6.119950684</v>
      </c>
      <c r="O11" s="1774">
        <f>SUM(O7:O10)</f>
        <v>-0.66005</v>
      </c>
      <c r="P11" s="1774">
        <f>SUM(P7:P10)</f>
        <v>6.119950684</v>
      </c>
      <c r="Q11" s="1774">
        <f>SUM(Q7:Q10)</f>
        <v>-0.66005</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None</t>
        </is>
      </c>
      <c r="C15" s="1530" t="inlineStr">
        <is>
          <t>Every squad here is priced by an archetype</t>
        </is>
      </c>
      <c r="D15" s="1548" t="str">
        <f>"-"</f>
        <v>-</v>
      </c>
      <c r="E15" s="1548" t="str">
        <f>"-"</f>
        <v>-</v>
      </c>
      <c r="F15" s="1548" t="str">
        <f>"-"</f>
        <v>-</v>
      </c>
      <c r="G15" s="1548" t="str">
        <f>"-"</f>
        <v>-</v>
      </c>
      <c r="H15" s="1548" t="str">
        <f>"-"</f>
        <v>-</v>
      </c>
      <c r="I15" s="1548" t="str">
        <f>"-"</f>
        <v>-</v>
      </c>
      <c r="J15" s="1548" t="str">
        <f>"-"</f>
        <v>-</v>
      </c>
      <c r="K15" s="1548" t="str">
        <f>"-"</f>
        <v>-</v>
      </c>
      <c r="L15" s="1548" t="str">
        <f>"-"</f>
        <v>-</v>
      </c>
      <c r="M15" s="1548" t="str">
        <f>"-"</f>
        <v>-</v>
      </c>
      <c r="N15" s="1548" t="str">
        <f>"-"</f>
        <v>-</v>
      </c>
      <c r="O15" s="1548" t="str">
        <f>"-"</f>
        <v>-</v>
      </c>
      <c r="P15" s="1548" t="str">
        <f>"-"</f>
        <v>-</v>
      </c>
      <c r="Q15" s="1548" t="str">
        <f>"-"</f>
        <v>-</v>
      </c>
    </row>
    <row r="16">
      <c r="B16" s="1534" t="inlineStr">
        <is>
          <t>Directly funded total</t>
        </is>
      </c>
      <c r="C16" s="1534" t="n"/>
      <c r="D16" s="1534" t="n"/>
      <c r="E16" s="1783">
        <f>SUM(E15:E15)</f>
        <v>0</v>
      </c>
      <c r="F16" s="1775">
        <f>SUM(F15:F15)</f>
        <v>0</v>
      </c>
      <c r="G16" s="1775">
        <f>SUM(G15:G15)</f>
        <v>0</v>
      </c>
      <c r="H16" s="1775">
        <f>SUM(H15:H15)</f>
        <v>0</v>
      </c>
      <c r="I16" s="1775">
        <f>SUM(I15:I15)</f>
        <v>0</v>
      </c>
      <c r="J16" s="1775">
        <f>SUM(J15:J15)</f>
        <v>0</v>
      </c>
      <c r="K16" s="1775">
        <f>SUM(K15:K15)</f>
        <v>0</v>
      </c>
      <c r="L16" s="1775">
        <f>SUM(L15:L15)</f>
        <v>0</v>
      </c>
      <c r="M16" s="1774">
        <f>SUM(M15:M15)</f>
        <v>0</v>
      </c>
      <c r="N16" s="1774">
        <f>SUM(N15:N15)</f>
        <v>0</v>
      </c>
      <c r="O16" s="1774">
        <f>SUM(O15:O15)</f>
        <v>0</v>
      </c>
      <c r="P16" s="1774">
        <f>SUM(P15:P15)</f>
        <v>0</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COUNTA($B$71:$B$71)</f>
        <v>1</v>
      </c>
      <c r="G20" s="1773">
        <f>COUNTIFS($D$71:$D$71,"Filled")</f>
        <v>0</v>
      </c>
      <c r="H20" s="1773">
        <f>COUNTIFS($D$71:$D$71,"Vacant")</f>
        <v>1</v>
      </c>
      <c r="I20" s="1773">
        <f>COUNTIFS($D$71:$D$71,"Vacant",$E$71:$E$71,"Hire")</f>
        <v>1</v>
      </c>
      <c r="J20" s="1773">
        <f>COUNTIFS($E$71:$E$71,"Offshore")</f>
        <v>0</v>
      </c>
      <c r="K20" s="1773">
        <f>COUNTIFS($E$71:$E$71,"Hold")</f>
        <v>0</v>
      </c>
      <c r="L20" s="1773">
        <f>$F20-$K20</f>
        <v>1</v>
      </c>
      <c r="M20" s="1538" t="str">
        <f>"-"</f>
        <v>-</v>
      </c>
      <c r="N20" s="1772">
        <f>SUMIFS('REVIEW - Complete Role Mapping'!$AA$2:$AA$528,'REVIEW - Complete Role Mapping'!$AJ$2:$AJ$528,$C$3,'REVIEW - Complete Role Mapping'!$AT$2:$AT$528,$B20)/1000000</f>
        <v>0.291422</v>
      </c>
      <c r="O20" s="1538" t="str">
        <f>"-"</f>
        <v>-</v>
      </c>
      <c r="P20" s="1772">
        <f>SUM($G$71:$G$71)/1000000</f>
        <v>0.291422</v>
      </c>
      <c r="Q20" s="1538" t="str">
        <f>"-"</f>
        <v>-</v>
      </c>
    </row>
    <row r="21">
      <c r="B21" s="1530" t="inlineStr">
        <is>
          <t>Delivery Manager</t>
        </is>
      </c>
      <c r="C21" s="1530" t="str">
        <f>"-"</f>
        <v>-</v>
      </c>
      <c r="D21" s="1530" t="str">
        <f>"-"</f>
        <v>-</v>
      </c>
      <c r="E21" s="1538" t="str">
        <f>"-"</f>
        <v>-</v>
      </c>
      <c r="F21" s="1773">
        <f>COUNTA($B$73:$B$73)</f>
        <v>1</v>
      </c>
      <c r="G21" s="1773">
        <f>COUNTIFS($D$73:$D$73,"Filled")</f>
        <v>0</v>
      </c>
      <c r="H21" s="1773">
        <f>COUNTIFS($D$73:$D$73,"Vacant")</f>
        <v>1</v>
      </c>
      <c r="I21" s="1773">
        <f>COUNTIFS($D$73:$D$73,"Vacant",$E$73:$E$73,"Hire")</f>
        <v>1</v>
      </c>
      <c r="J21" s="1773">
        <f>COUNTIFS($E$73:$E$73,"Offshore")</f>
        <v>0</v>
      </c>
      <c r="K21" s="1773">
        <f>COUNTIFS($E$73:$E$73,"Hold")</f>
        <v>0</v>
      </c>
      <c r="L21" s="1773">
        <f>$F21-$K21</f>
        <v>1</v>
      </c>
      <c r="M21" s="1538" t="str">
        <f>"-"</f>
        <v>-</v>
      </c>
      <c r="N21" s="1772">
        <f>SUMIFS('REVIEW - Complete Role Mapping'!$AA$2:$AA$528,'REVIEW - Complete Role Mapping'!$AJ$2:$AJ$528,$C$3,'REVIEW - Complete Role Mapping'!$AT$2:$AT$528,$B21)/1000000</f>
        <v>0.20285325</v>
      </c>
      <c r="O21" s="1538" t="str">
        <f>"-"</f>
        <v>-</v>
      </c>
      <c r="P21" s="1772">
        <f>SUM($G$73:$G$73)/1000000</f>
        <v>0.20285325</v>
      </c>
      <c r="Q21" s="1538" t="str">
        <f>"-"</f>
        <v>-</v>
      </c>
    </row>
    <row r="22">
      <c r="B22" s="1530" t="inlineStr">
        <is>
          <t>Technology Manager</t>
        </is>
      </c>
      <c r="C22" s="1530" t="str">
        <f>"-"</f>
        <v>-</v>
      </c>
      <c r="D22" s="1530" t="str">
        <f>"-"</f>
        <v>-</v>
      </c>
      <c r="E22" s="1538" t="str">
        <f>"-"</f>
        <v>-</v>
      </c>
      <c r="F22" s="1773">
        <f>COUNTA($B$75:$B$77)</f>
        <v>3</v>
      </c>
      <c r="G22" s="1773">
        <f>COUNTIFS($D$75:$D$77,"Filled")</f>
        <v>3</v>
      </c>
      <c r="H22" s="1773">
        <f>COUNTIFS($D$75:$D$77,"Vacant")</f>
        <v>0</v>
      </c>
      <c r="I22" s="1773">
        <f>COUNTIFS($D$75:$D$77,"Vacant",$E$75:$E$77,"Hire")</f>
        <v>0</v>
      </c>
      <c r="J22" s="1773">
        <f>COUNTIFS($E$75:$E$77,"Offshore")</f>
        <v>0</v>
      </c>
      <c r="K22" s="1773">
        <f>COUNTIFS($E$75:$E$77,"Hold")</f>
        <v>0</v>
      </c>
      <c r="L22" s="1773">
        <f>$F22-$K22</f>
        <v>3</v>
      </c>
      <c r="M22" s="1538" t="str">
        <f>"-"</f>
        <v>-</v>
      </c>
      <c r="N22" s="1772">
        <f>SUMIFS('REVIEW - Complete Role Mapping'!$AA$2:$AA$528,'REVIEW - Complete Role Mapping'!$AJ$2:$AJ$528,$C$3,'REVIEW - Complete Role Mapping'!$AT$2:$AT$528,$B22)/1000000</f>
        <v>0.723068418</v>
      </c>
      <c r="O22" s="1538" t="str">
        <f>"-"</f>
        <v>-</v>
      </c>
      <c r="P22" s="1772">
        <f>SUM($G$75:$G$77)/1000000</f>
        <v>0.723068418</v>
      </c>
      <c r="Q22" s="1538" t="str">
        <f>"-"</f>
        <v>-</v>
      </c>
    </row>
    <row r="23">
      <c r="B23" s="1534" t="inlineStr">
        <is>
          <t>Overhead roles total</t>
        </is>
      </c>
      <c r="C23" s="1534" t="n"/>
      <c r="D23" s="1534" t="n"/>
      <c r="E23" s="1783">
        <f>SUM(E20:E22)</f>
        <v>0</v>
      </c>
      <c r="F23" s="1775">
        <f>SUM(F20:F22)</f>
        <v>5</v>
      </c>
      <c r="G23" s="1775">
        <f>SUM(G20:G22)</f>
        <v>3</v>
      </c>
      <c r="H23" s="1775">
        <f>SUM(H20:H22)</f>
        <v>2</v>
      </c>
      <c r="I23" s="1775">
        <f>SUM(I20:I22)</f>
        <v>2</v>
      </c>
      <c r="J23" s="1775">
        <f>SUM(J20:J22)</f>
        <v>0</v>
      </c>
      <c r="K23" s="1775">
        <f>SUM(K20:K22)</f>
        <v>0</v>
      </c>
      <c r="L23" s="1775">
        <f>SUM(L20:L22)</f>
        <v>5</v>
      </c>
      <c r="M23" s="1774">
        <f>SUM(M20:M22)</f>
        <v>0</v>
      </c>
      <c r="N23" s="1774">
        <f>SUM(N20:N22)</f>
        <v>1.217343668</v>
      </c>
      <c r="O23" s="1774">
        <f>SUM(O20:O22)</f>
        <v>0</v>
      </c>
      <c r="P23" s="1774">
        <f>SUM(P20:P22)</f>
        <v>1.217343668</v>
      </c>
      <c r="Q23" s="1774">
        <f>SUM(Q20:Q22)</f>
        <v>0</v>
      </c>
    </row>
    <row r="24"/>
    <row r="25">
      <c r="B25" s="1539" t="inlineStr">
        <is>
          <t>Total portfolio</t>
        </is>
      </c>
      <c r="C25" s="1539" t="n"/>
      <c r="D25" s="1539" t="n"/>
      <c r="E25" s="1784">
        <f>N(E11)+N(E16)+N(E23)</f>
        <v>34.5</v>
      </c>
      <c r="F25" s="1777">
        <f>N(F11)+N(F16)+N(F23)</f>
        <v>39</v>
      </c>
      <c r="G25" s="1777">
        <f>N(G11)+N(G16)+N(G23)</f>
        <v>32</v>
      </c>
      <c r="H25" s="1777">
        <f>N(H11)+N(H16)+N(H23)</f>
        <v>7</v>
      </c>
      <c r="I25" s="1777">
        <f>N(I11)+N(I16)+N(I23)</f>
        <v>7</v>
      </c>
      <c r="J25" s="1777">
        <f>N(J11)+N(J16)+N(J23)</f>
        <v>0</v>
      </c>
      <c r="K25" s="1777">
        <f>N(K11)+N(K16)+N(K23)</f>
        <v>0</v>
      </c>
      <c r="L25" s="1777">
        <f>N(L11)+N(L16)+N(L23)</f>
        <v>39</v>
      </c>
      <c r="M25" s="1776">
        <f>N(M11)+N(M16)+N(M23)</f>
        <v>6.78</v>
      </c>
      <c r="N25" s="1776">
        <f>N(N11)+N(N16)+N(N23)</f>
        <v>7.337294352</v>
      </c>
      <c r="O25" s="1776">
        <f>N(O11)+N(O16)+N(O23)</f>
        <v>-0.66005</v>
      </c>
      <c r="P25" s="1776">
        <f>N(P11)+N(P16)+N(P23)</f>
        <v>7.337294352</v>
      </c>
      <c r="Q25" s="1776">
        <f>N(Q11)+N(Q16)+N(Q23)</f>
        <v>-0.66005</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Z Retail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NZ</t>
        </is>
      </c>
      <c r="C32" s="1545" t="str">
        <f>COUNTA($B$33:$B$39)&amp;IF(COUNTA($B$33:$B$39)=1," role"," roles")</f>
        <v>7 roles</v>
      </c>
      <c r="D32" s="1545" t="n"/>
      <c r="E32" s="1545" t="n"/>
      <c r="F32" s="1785">
        <f>SUM(F33:F39)</f>
        <v>1223843.362</v>
      </c>
      <c r="G32" s="1785">
        <f>SUM(G33:G39)</f>
        <v>1223843.362</v>
      </c>
    </row>
    <row r="33">
      <c r="B33" s="1530" t="str">
        <f>INDEX('REVIEW - Complete Role Mapping'!$B:$B,12)</f>
        <v>Ash Muthumala</v>
      </c>
      <c r="C33" s="1530" t="str">
        <f>INDEX('REVIEW - Complete Role Mapping'!$C:$C,12)</f>
        <v>Senior QA Analyst</v>
      </c>
      <c r="D33" s="1530" t="str">
        <f>INDEX('REVIEW - Complete Role Mapping'!$AK:$AK,12)</f>
        <v>Filled</v>
      </c>
      <c r="E33" s="1547" t="inlineStr">
        <is>
          <t>Filled</t>
        </is>
      </c>
      <c r="F33" s="1773">
        <f>INDEX('REVIEW - Complete Role Mapping'!$AA:$AA,12)</f>
        <v>140772.828</v>
      </c>
      <c r="G33" s="1773">
        <f>$F33*IFERROR(INDEX(Lists!$AD:$AD,MATCH($E33,Lists!$AC:$AC,0)),1)</f>
        <v>140772.828</v>
      </c>
    </row>
    <row r="34">
      <c r="B34" s="1530" t="str">
        <f>INDEX('REVIEW - Complete Role Mapping'!$B:$B,17)</f>
        <v>Brian Lai</v>
      </c>
      <c r="C34" s="1530" t="str">
        <f>INDEX('REVIEW - Complete Role Mapping'!$C:$C,17)</f>
        <v>Engineer - Data</v>
      </c>
      <c r="D34" s="1530" t="str">
        <f>INDEX('REVIEW - Complete Role Mapping'!$AK:$AK,17)</f>
        <v>Filled</v>
      </c>
      <c r="E34" s="1547" t="inlineStr">
        <is>
          <t>Filled</t>
        </is>
      </c>
      <c r="F34" s="1773">
        <f>INDEX('REVIEW - Complete Role Mapping'!$AA:$AA,17)</f>
        <v>155676</v>
      </c>
      <c r="G34" s="1773">
        <f>$F34*IFERROR(INDEX(Lists!$AD:$AD,MATCH($E34,Lists!$AC:$AC,0)),1)</f>
        <v>155676</v>
      </c>
    </row>
    <row r="35">
      <c r="B35" s="1530" t="str">
        <f>INDEX('REVIEW - Complete Role Mapping'!$B:$B,33)</f>
        <v>Jodie Marquez</v>
      </c>
      <c r="C35" s="1530" t="str">
        <f>INDEX('REVIEW - Complete Role Mapping'!$C:$C,33)</f>
        <v>Data Analyst</v>
      </c>
      <c r="D35" s="1530" t="str">
        <f>INDEX('REVIEW - Complete Role Mapping'!$AK:$AK,33)</f>
        <v>Filled</v>
      </c>
      <c r="E35" s="1547" t="inlineStr">
        <is>
          <t>Filled</t>
        </is>
      </c>
      <c r="F35" s="1773">
        <f>INDEX('REVIEW - Complete Role Mapping'!$AA:$AA,33)</f>
        <v>144642.9</v>
      </c>
      <c r="G35" s="1773">
        <f>$F35*IFERROR(INDEX(Lists!$AD:$AD,MATCH($E35,Lists!$AC:$AC,0)),1)</f>
        <v>144642.9</v>
      </c>
    </row>
    <row r="36">
      <c r="B36" s="1530" t="str">
        <f>INDEX('REVIEW - Complete Role Mapping'!$B:$B,49)</f>
        <v>McKenzie Tournquist</v>
      </c>
      <c r="C36" s="1530" t="str">
        <f>INDEX('REVIEW - Complete Role Mapping'!$C:$C,49)</f>
        <v>Data Analyst</v>
      </c>
      <c r="D36" s="1530" t="str">
        <f>INDEX('REVIEW - Complete Role Mapping'!$AK:$AK,49)</f>
        <v>Filled</v>
      </c>
      <c r="E36" s="1547" t="inlineStr">
        <is>
          <t>Filled</t>
        </is>
      </c>
      <c r="F36" s="1773">
        <f>INDEX('REVIEW - Complete Role Mapping'!$AA:$AA,49)</f>
        <v>91809.784</v>
      </c>
      <c r="G36" s="1773">
        <f>$F36*IFERROR(INDEX(Lists!$AD:$AD,MATCH($E36,Lists!$AC:$AC,0)),1)</f>
        <v>91809.784</v>
      </c>
    </row>
    <row r="37">
      <c r="B37" s="1530" t="str">
        <f>INDEX('REVIEW - Complete Role Mapping'!$B:$B,50)</f>
        <v>Michael Dasan</v>
      </c>
      <c r="C37" s="1530" t="str">
        <f>INDEX('REVIEW - Complete Role Mapping'!$C:$C,50)</f>
        <v>Engineer - Data</v>
      </c>
      <c r="D37" s="1530" t="str">
        <f>INDEX('REVIEW - Complete Role Mapping'!$AK:$AK,50)</f>
        <v>Filled</v>
      </c>
      <c r="E37" s="1547" t="inlineStr">
        <is>
          <t>Filled</t>
        </is>
      </c>
      <c r="F37" s="1773">
        <f>INDEX('REVIEW - Complete Role Mapping'!$AA:$AA,50)</f>
        <v>212278.35</v>
      </c>
      <c r="G37" s="1773">
        <f>$F37*IFERROR(INDEX(Lists!$AD:$AD,MATCH($E37,Lists!$AC:$AC,0)),1)</f>
        <v>212278.35</v>
      </c>
    </row>
    <row r="38">
      <c r="B38" s="1530" t="str">
        <f>INDEX('REVIEW - Complete Role Mapping'!$B:$B,73)</f>
        <v>Vacant</v>
      </c>
      <c r="C38" s="1530" t="str">
        <f>INDEX('REVIEW - Complete Role Mapping'!$C:$C,73)</f>
        <v>Delivery Lead</v>
      </c>
      <c r="D38" s="1530" t="str">
        <f>INDEX('REVIEW - Complete Role Mapping'!$AK:$AK,73)</f>
        <v>Vacant</v>
      </c>
      <c r="E38" s="1547" t="inlineStr">
        <is>
          <t>Hire</t>
        </is>
      </c>
      <c r="F38" s="1773">
        <f>INDEX('REVIEW - Complete Role Mapping'!$AA:$AA,73)</f>
        <v>275810.25</v>
      </c>
      <c r="G38" s="1773">
        <f>$F38*IFERROR(INDEX(Lists!$AD:$AD,MATCH($E38,Lists!$AC:$AC,0)),1)</f>
        <v>275810.25</v>
      </c>
    </row>
    <row r="39">
      <c r="B39" s="1530" t="str">
        <f>INDEX('REVIEW - Complete Role Mapping'!$B:$B,78)</f>
        <v>Vacant</v>
      </c>
      <c r="C39" s="1530" t="str">
        <f>INDEX('REVIEW - Complete Role Mapping'!$C:$C,78)</f>
        <v>Engineer - Data</v>
      </c>
      <c r="D39" s="1530" t="str">
        <f>INDEX('REVIEW - Complete Role Mapping'!$AK:$AK,78)</f>
        <v>Vacant</v>
      </c>
      <c r="E39" s="1547" t="inlineStr">
        <is>
          <t>Hire</t>
        </is>
      </c>
      <c r="F39" s="1773">
        <f>INDEX('REVIEW - Complete Role Mapping'!$AA:$AA,78)</f>
        <v>202853.25</v>
      </c>
      <c r="G39" s="1773">
        <f>$F39*IFERROR(INDEX(Lists!$AD:$AD,MATCH($E39,Lists!$AC:$AC,0)),1)</f>
        <v>202853.25</v>
      </c>
    </row>
    <row r="40">
      <c r="B40" s="1545" t="inlineStr">
        <is>
          <t>Site Systems</t>
        </is>
      </c>
      <c r="C40" s="1545" t="str">
        <f>COUNTA($B$41:$B$49)&amp;IF(COUNTA($B$41:$B$49)=1," role"," roles")</f>
        <v>9 roles</v>
      </c>
      <c r="D40" s="1545" t="n"/>
      <c r="E40" s="1545" t="n"/>
      <c r="F40" s="1785">
        <f>SUM(F41:F49)</f>
        <v>1374665.758</v>
      </c>
      <c r="G40" s="1785">
        <f>SUM(G41:G49)</f>
        <v>1374665.758</v>
      </c>
    </row>
    <row r="41">
      <c r="B41" s="1530" t="str">
        <f>INDEX('REVIEW - Complete Role Mapping'!$B:$B,5)</f>
        <v>Alex Sutherland</v>
      </c>
      <c r="C41" s="1530" t="str">
        <f>INDEX('REVIEW - Complete Role Mapping'!$C:$C,5)</f>
        <v>Site Systems Analyst</v>
      </c>
      <c r="D41" s="1530" t="str">
        <f>INDEX('REVIEW - Complete Role Mapping'!$AK:$AK,5)</f>
        <v>Filled</v>
      </c>
      <c r="E41" s="1547" t="inlineStr">
        <is>
          <t>Filled</t>
        </is>
      </c>
      <c r="F41" s="1773">
        <f>INDEX('REVIEW - Complete Role Mapping'!$AA:$AA,5)</f>
        <v>96857.824</v>
      </c>
      <c r="G41" s="1773">
        <f>$F41*IFERROR(INDEX(Lists!$AD:$AD,MATCH($E41,Lists!$AC:$AC,0)),1)</f>
        <v>96857.824</v>
      </c>
    </row>
    <row r="42">
      <c r="B42" s="1530" t="str">
        <f>INDEX('REVIEW - Complete Role Mapping'!$B:$B,16)</f>
        <v>Bradley Cunningham</v>
      </c>
      <c r="C42" s="1530" t="str">
        <f>INDEX('REVIEW - Complete Role Mapping'!$C:$C,16)</f>
        <v>Site Systems Analyst</v>
      </c>
      <c r="D42" s="1530" t="str">
        <f>INDEX('REVIEW - Complete Role Mapping'!$AK:$AK,16)</f>
        <v>Filled</v>
      </c>
      <c r="E42" s="1547" t="inlineStr">
        <is>
          <t>Filled</t>
        </is>
      </c>
      <c r="F42" s="1773">
        <f>INDEX('REVIEW - Complete Role Mapping'!$AA:$AA,16)</f>
        <v>107247.016</v>
      </c>
      <c r="G42" s="1773">
        <f>$F42*IFERROR(INDEX(Lists!$AD:$AD,MATCH($E42,Lists!$AC:$AC,0)),1)</f>
        <v>107247.016</v>
      </c>
    </row>
    <row r="43">
      <c r="B43" s="1530" t="str">
        <f>INDEX('REVIEW - Complete Role Mapping'!$B:$B,19)</f>
        <v>Chris Mitchell</v>
      </c>
      <c r="C43" s="1530" t="str">
        <f>INDEX('REVIEW - Complete Role Mapping'!$C:$C,19)</f>
        <v>Deployment Lead</v>
      </c>
      <c r="D43" s="1530" t="str">
        <f>INDEX('REVIEW - Complete Role Mapping'!$AK:$AK,19)</f>
        <v>Filled</v>
      </c>
      <c r="E43" s="1547" t="inlineStr">
        <is>
          <t>Filled</t>
        </is>
      </c>
      <c r="F43" s="1773">
        <f>INDEX('REVIEW - Complete Role Mapping'!$AA:$AA,19)</f>
        <v>136438.8</v>
      </c>
      <c r="G43" s="1773">
        <f>$F43*IFERROR(INDEX(Lists!$AD:$AD,MATCH($E43,Lists!$AC:$AC,0)),1)</f>
        <v>136438.8</v>
      </c>
    </row>
    <row r="44">
      <c r="B44" s="1530" t="str">
        <f>INDEX('REVIEW - Complete Role Mapping'!$B:$B,20)</f>
        <v>Chris Wilson</v>
      </c>
      <c r="C44" s="1530" t="str">
        <f>INDEX('REVIEW - Complete Role Mapping'!$C:$C,20)</f>
        <v>Solution Architect</v>
      </c>
      <c r="D44" s="1530" t="str">
        <f>INDEX('REVIEW - Complete Role Mapping'!$AK:$AK,20)</f>
        <v>Filled</v>
      </c>
      <c r="E44" s="1547" t="inlineStr">
        <is>
          <t>Filled</t>
        </is>
      </c>
      <c r="F44" s="1773">
        <f>INDEX('REVIEW - Complete Role Mapping'!$AA:$AA,20)</f>
        <v>186217.884</v>
      </c>
      <c r="G44" s="1773">
        <f>$F44*IFERROR(INDEX(Lists!$AD:$AD,MATCH($E44,Lists!$AC:$AC,0)),1)</f>
        <v>186217.884</v>
      </c>
    </row>
    <row r="45">
      <c r="B45" s="1530" t="str">
        <f>INDEX('REVIEW - Complete Role Mapping'!$B:$B,40)</f>
        <v>Kelly Russell</v>
      </c>
      <c r="C45" s="1530" t="str">
        <f>INDEX('REVIEW - Complete Role Mapping'!$C:$C,40)</f>
        <v>Lead Quality Assurance</v>
      </c>
      <c r="D45" s="1530" t="str">
        <f>INDEX('REVIEW - Complete Role Mapping'!$AK:$AK,40)</f>
        <v>Filled</v>
      </c>
      <c r="E45" s="1547" t="inlineStr">
        <is>
          <t>Filled</t>
        </is>
      </c>
      <c r="F45" s="1773">
        <f>INDEX('REVIEW - Complete Role Mapping'!$AA:$AA,40)</f>
        <v>81073.2</v>
      </c>
      <c r="G45" s="1773">
        <f>$F45*IFERROR(INDEX(Lists!$AD:$AD,MATCH($E45,Lists!$AC:$AC,0)),1)</f>
        <v>81073.2</v>
      </c>
    </row>
    <row r="46">
      <c r="B46" s="1530" t="str">
        <f>INDEX('REVIEW - Complete Role Mapping'!$B:$B,56)</f>
        <v>Sakshi Sachdeva</v>
      </c>
      <c r="C46" s="1530" t="str">
        <f>INDEX('REVIEW - Complete Role Mapping'!$C:$C,56)</f>
        <v>Senior Quality Assurance </v>
      </c>
      <c r="D46" s="1530" t="str">
        <f>INDEX('REVIEW - Complete Role Mapping'!$AK:$AK,56)</f>
        <v>Filled</v>
      </c>
      <c r="E46" s="1547" t="inlineStr">
        <is>
          <t>Filled</t>
        </is>
      </c>
      <c r="F46" s="1773">
        <f>INDEX('REVIEW - Complete Role Mapping'!$AA:$AA,56)</f>
        <v>175039.65</v>
      </c>
      <c r="G46" s="1773">
        <f>$F46*IFERROR(INDEX(Lists!$AD:$AD,MATCH($E46,Lists!$AC:$AC,0)),1)</f>
        <v>175039.65</v>
      </c>
    </row>
    <row r="47">
      <c r="B47" s="1530" t="str">
        <f>INDEX('REVIEW - Complete Role Mapping'!$B:$B,63)</f>
        <v>Tim Gurnsey</v>
      </c>
      <c r="C47" s="1530" t="str">
        <f>INDEX('REVIEW - Complete Role Mapping'!$C:$C,63)</f>
        <v>Delivery Lead</v>
      </c>
      <c r="D47" s="1530" t="str">
        <f>INDEX('REVIEW - Complete Role Mapping'!$AK:$AK,63)</f>
        <v>Filled</v>
      </c>
      <c r="E47" s="1547" t="inlineStr">
        <is>
          <t>Filled</t>
        </is>
      </c>
      <c r="F47" s="1773">
        <f>INDEX('REVIEW - Complete Role Mapping'!$AA:$AA,63)</f>
        <v>256913.42</v>
      </c>
      <c r="G47" s="1773">
        <f>$F47*IFERROR(INDEX(Lists!$AD:$AD,MATCH($E47,Lists!$AC:$AC,0)),1)</f>
        <v>256913.42</v>
      </c>
    </row>
    <row r="48">
      <c r="B48" s="1530" t="str">
        <f>INDEX('REVIEW - Complete Role Mapping'!$B:$B,98)</f>
        <v>Vanessa King</v>
      </c>
      <c r="C48" s="1530" t="str">
        <f>INDEX('REVIEW - Complete Role Mapping'!$C:$C,98)</f>
        <v>Lead Quality Assurance</v>
      </c>
      <c r="D48" s="1530" t="str">
        <f>INDEX('REVIEW - Complete Role Mapping'!$AK:$AK,98)</f>
        <v>Filled</v>
      </c>
      <c r="E48" s="1547" t="inlineStr">
        <is>
          <t>Filled</t>
        </is>
      </c>
      <c r="F48" s="1773">
        <f>INDEX('REVIEW - Complete Role Mapping'!$AA:$AA,98)</f>
        <v>199898.928</v>
      </c>
      <c r="G48" s="1773">
        <f>$F48*IFERROR(INDEX(Lists!$AD:$AD,MATCH($E48,Lists!$AC:$AC,0)),1)</f>
        <v>199898.928</v>
      </c>
    </row>
    <row r="49">
      <c r="B49" s="1530" t="str">
        <f>INDEX('REVIEW - Complete Role Mapping'!$B:$B,105)</f>
        <v>Warren Grieve</v>
      </c>
      <c r="C49" s="1530" t="str">
        <f>INDEX('REVIEW - Complete Role Mapping'!$C:$C,105)</f>
        <v>Senior Site Systems Analyst</v>
      </c>
      <c r="D49" s="1530" t="str">
        <f>INDEX('REVIEW - Complete Role Mapping'!$AK:$AK,105)</f>
        <v>Filled</v>
      </c>
      <c r="E49" s="1547" t="inlineStr">
        <is>
          <t>Filled</t>
        </is>
      </c>
      <c r="F49" s="1773">
        <f>INDEX('REVIEW - Complete Role Mapping'!$AA:$AA,105)</f>
        <v>134979.036</v>
      </c>
      <c r="G49" s="1773">
        <f>$F49*IFERROR(INDEX(Lists!$AD:$AD,MATCH($E49,Lists!$AC:$AC,0)),1)</f>
        <v>134979.036</v>
      </c>
    </row>
    <row r="50">
      <c r="B50" s="1545" t="inlineStr">
        <is>
          <t>Z Retail Backend</t>
        </is>
      </c>
      <c r="C50" s="1545" t="str">
        <f>COUNTA($B$51:$B$59)&amp;IF(COUNTA($B$51:$B$59)=1," role"," roles")</f>
        <v>9 roles</v>
      </c>
      <c r="D50" s="1545" t="n"/>
      <c r="E50" s="1545" t="n"/>
      <c r="F50" s="1785">
        <f>SUM(F51:F59)</f>
        <v>1857667.168</v>
      </c>
      <c r="G50" s="1785">
        <f>SUM(G51:G59)</f>
        <v>1857667.168</v>
      </c>
    </row>
    <row r="51">
      <c r="B51" s="1530" t="str">
        <f>INDEX('REVIEW - Complete Role Mapping'!$B:$B,2)</f>
        <v>Adrian Alcance</v>
      </c>
      <c r="C51" s="1530" t="str">
        <f>INDEX('REVIEW - Complete Role Mapping'!$C:$C,2)</f>
        <v>Senior Engineer - DevOps</v>
      </c>
      <c r="D51" s="1530" t="str">
        <f>INDEX('REVIEW - Complete Role Mapping'!$AK:$AK,2)</f>
        <v>Filled</v>
      </c>
      <c r="E51" s="1547" t="inlineStr">
        <is>
          <t>Filled</t>
        </is>
      </c>
      <c r="F51" s="1773">
        <f>INDEX('REVIEW - Complete Role Mapping'!$AA:$AA,2)</f>
        <v>142900.236</v>
      </c>
      <c r="G51" s="1773">
        <f>$F51*IFERROR(INDEX(Lists!$AD:$AD,MATCH($E51,Lists!$AC:$AC,0)),1)</f>
        <v>142900.236</v>
      </c>
    </row>
    <row r="52">
      <c r="B52" s="1530" t="str">
        <f>INDEX('REVIEW - Complete Role Mapping'!$B:$B,6)</f>
        <v>Allana Arbuckle</v>
      </c>
      <c r="C52" s="1530" t="str">
        <f>INDEX('REVIEW - Complete Role Mapping'!$C:$C,6)</f>
        <v>Business Analyst</v>
      </c>
      <c r="D52" s="1530" t="str">
        <f>INDEX('REVIEW - Complete Role Mapping'!$AK:$AK,6)</f>
        <v>Filled</v>
      </c>
      <c r="E52" s="1547" t="inlineStr">
        <is>
          <t>Filled</t>
        </is>
      </c>
      <c r="F52" s="1773">
        <f>INDEX('REVIEW - Complete Role Mapping'!$AA:$AA,6)</f>
        <v>112447.04</v>
      </c>
      <c r="G52" s="1773">
        <f>$F52*IFERROR(INDEX(Lists!$AD:$AD,MATCH($E52,Lists!$AC:$AC,0)),1)</f>
        <v>112447.04</v>
      </c>
    </row>
    <row r="53">
      <c r="B53" s="1530" t="str">
        <f>INDEX('REVIEW - Complete Role Mapping'!$B:$B,21)</f>
        <v>Christian Guo</v>
      </c>
      <c r="C53" s="1530" t="str">
        <f>INDEX('REVIEW - Complete Role Mapping'!$C:$C,21)</f>
        <v>Solution Architect</v>
      </c>
      <c r="D53" s="1530" t="str">
        <f>INDEX('REVIEW - Complete Role Mapping'!$AK:$AK,21)</f>
        <v>Filled</v>
      </c>
      <c r="E53" s="1547" t="inlineStr">
        <is>
          <t>Filled</t>
        </is>
      </c>
      <c r="F53" s="1773">
        <f>INDEX('REVIEW - Complete Role Mapping'!$AA:$AA,21)</f>
        <v>206598</v>
      </c>
      <c r="G53" s="1773">
        <f>$F53*IFERROR(INDEX(Lists!$AD:$AD,MATCH($E53,Lists!$AC:$AC,0)),1)</f>
        <v>206598</v>
      </c>
    </row>
    <row r="54">
      <c r="B54" s="1530" t="str">
        <f>INDEX('REVIEW - Complete Role Mapping'!$B:$B,41)</f>
        <v>Lauren Lancaster</v>
      </c>
      <c r="C54" s="1530" t="str">
        <f>INDEX('REVIEW - Complete Role Mapping'!$C:$C,41)</f>
        <v>Associate Engineer - Software</v>
      </c>
      <c r="D54" s="1530" t="str">
        <f>INDEX('REVIEW - Complete Role Mapping'!$AK:$AK,41)</f>
        <v>Filled</v>
      </c>
      <c r="E54" s="1547" t="inlineStr">
        <is>
          <t>Filled</t>
        </is>
      </c>
      <c r="F54" s="1773">
        <f>INDEX('REVIEW - Complete Role Mapping'!$AA:$AA,41)</f>
        <v>438650</v>
      </c>
      <c r="G54" s="1773">
        <f>$F54*IFERROR(INDEX(Lists!$AD:$AD,MATCH($E54,Lists!$AC:$AC,0)),1)</f>
        <v>438650</v>
      </c>
    </row>
    <row r="55">
      <c r="B55" s="1530" t="str">
        <f>INDEX('REVIEW - Complete Role Mapping'!$B:$B,44)</f>
        <v>Malachi Ah Hoi</v>
      </c>
      <c r="C55" s="1530" t="str">
        <f>INDEX('REVIEW - Complete Role Mapping'!$C:$C,44)</f>
        <v>Senior Quality Assurance</v>
      </c>
      <c r="D55" s="1530" t="str">
        <f>INDEX('REVIEW - Complete Role Mapping'!$AK:$AK,44)</f>
        <v>Filled</v>
      </c>
      <c r="E55" s="1547" t="inlineStr">
        <is>
          <t>Filled</t>
        </is>
      </c>
      <c r="F55" s="1773">
        <f>INDEX('REVIEW - Complete Role Mapping'!$AA:$AA,44)</f>
        <v>199378.392</v>
      </c>
      <c r="G55" s="1773">
        <f>$F55*IFERROR(INDEX(Lists!$AD:$AD,MATCH($E55,Lists!$AC:$AC,0)),1)</f>
        <v>199378.392</v>
      </c>
    </row>
    <row r="56">
      <c r="B56" s="1530" t="str">
        <f>INDEX('REVIEW - Complete Role Mapping'!$B:$B,46)</f>
        <v>Mark Dickson</v>
      </c>
      <c r="C56" s="1530" t="str">
        <f>INDEX('REVIEW - Complete Role Mapping'!$C:$C,46)</f>
        <v>Delivery Lead</v>
      </c>
      <c r="D56" s="1530" t="str">
        <f>INDEX('REVIEW - Complete Role Mapping'!$AK:$AK,46)</f>
        <v>Filled</v>
      </c>
      <c r="E56" s="1547" t="inlineStr">
        <is>
          <t>Filled</t>
        </is>
      </c>
      <c r="F56" s="1773">
        <f>INDEX('REVIEW - Complete Role Mapping'!$AA:$AA,46)</f>
        <v>180225</v>
      </c>
      <c r="G56" s="1773">
        <f>$F56*IFERROR(INDEX(Lists!$AD:$AD,MATCH($E56,Lists!$AC:$AC,0)),1)</f>
        <v>180225</v>
      </c>
    </row>
    <row r="57">
      <c r="B57" s="1530" t="str">
        <f>INDEX('REVIEW - Complete Role Mapping'!$B:$B,65)</f>
        <v>Trevor Weaver</v>
      </c>
      <c r="C57" s="1530" t="str">
        <f>INDEX('REVIEW - Complete Role Mapping'!$C:$C,65)</f>
        <v>Lead  Engineer - Software</v>
      </c>
      <c r="D57" s="1530" t="str">
        <f>INDEX('REVIEW - Complete Role Mapping'!$AK:$AK,65)</f>
        <v>Filled</v>
      </c>
      <c r="E57" s="1547" t="inlineStr">
        <is>
          <t>Filled</t>
        </is>
      </c>
      <c r="F57" s="1773">
        <f>INDEX('REVIEW - Complete Role Mapping'!$AA:$AA,65)</f>
        <v>175289.5</v>
      </c>
      <c r="G57" s="1773">
        <f>$F57*IFERROR(INDEX(Lists!$AD:$AD,MATCH($E57,Lists!$AC:$AC,0)),1)</f>
        <v>175289.5</v>
      </c>
    </row>
    <row r="58">
      <c r="B58" s="1530" t="str">
        <f>INDEX('REVIEW - Complete Role Mapping'!$B:$B,80)</f>
        <v>Vacant</v>
      </c>
      <c r="C58" s="1530" t="str">
        <f>INDEX('REVIEW - Complete Role Mapping'!$C:$C,80)</f>
        <v>Engineer - Software</v>
      </c>
      <c r="D58" s="1530" t="str">
        <f>INDEX('REVIEW - Complete Role Mapping'!$AK:$AK,80)</f>
        <v>Vacant</v>
      </c>
      <c r="E58" s="1547" t="inlineStr">
        <is>
          <t>Hire</t>
        </is>
      </c>
      <c r="F58" s="1773">
        <f>INDEX('REVIEW - Complete Role Mapping'!$AA:$AA,80)</f>
        <v>231689.25</v>
      </c>
      <c r="G58" s="1773">
        <f>$F58*IFERROR(INDEX(Lists!$AD:$AD,MATCH($E58,Lists!$AC:$AC,0)),1)</f>
        <v>231689.25</v>
      </c>
    </row>
    <row r="59">
      <c r="B59" s="1530" t="str">
        <f>INDEX('REVIEW - Complete Role Mapping'!$B:$B,84)</f>
        <v>Vacant</v>
      </c>
      <c r="C59" s="1530" t="str">
        <f>INDEX('REVIEW - Complete Role Mapping'!$C:$C,84)</f>
        <v>Lead Quality Assurance</v>
      </c>
      <c r="D59" s="1530" t="str">
        <f>INDEX('REVIEW - Complete Role Mapping'!$AK:$AK,84)</f>
        <v>Vacant</v>
      </c>
      <c r="E59" s="1547" t="inlineStr">
        <is>
          <t>Hire</t>
        </is>
      </c>
      <c r="F59" s="1773">
        <f>INDEX('REVIEW - Complete Role Mapping'!$AA:$AA,84)</f>
        <v>170489.75</v>
      </c>
      <c r="G59" s="1773">
        <f>$F59*IFERROR(INDEX(Lists!$AD:$AD,MATCH($E59,Lists!$AC:$AC,0)),1)</f>
        <v>170489.75</v>
      </c>
    </row>
    <row r="60">
      <c r="B60" s="1545" t="inlineStr">
        <is>
          <t>Z Supply</t>
        </is>
      </c>
      <c r="C60" s="1545" t="str">
        <f>COUNTA($B$61:$B$69)&amp;IF(COUNTA($B$61:$B$69)=1," role"," roles")</f>
        <v>9 roles</v>
      </c>
      <c r="D60" s="1545" t="n"/>
      <c r="E60" s="1545" t="n"/>
      <c r="F60" s="1785">
        <f>SUM(F61:F69)</f>
        <v>1663774.396</v>
      </c>
      <c r="G60" s="1785">
        <f>SUM(G61:G69)</f>
        <v>1663774.396</v>
      </c>
    </row>
    <row r="61">
      <c r="B61" s="1530" t="str">
        <f>INDEX('REVIEW - Complete Role Mapping'!$B:$B,9)</f>
        <v>Anna Koot</v>
      </c>
      <c r="C61" s="1530" t="str">
        <f>INDEX('REVIEW - Complete Role Mapping'!$C:$C,9)</f>
        <v>Senior Business Analyst</v>
      </c>
      <c r="D61" s="1530" t="str">
        <f>INDEX('REVIEW - Complete Role Mapping'!$AK:$AK,9)</f>
        <v>Filled</v>
      </c>
      <c r="E61" s="1547" t="inlineStr">
        <is>
          <t>Filled</t>
        </is>
      </c>
      <c r="F61" s="1773">
        <f>INDEX('REVIEW - Complete Role Mapping'!$AA:$AA,9)</f>
        <v>153774.912</v>
      </c>
      <c r="G61" s="1773">
        <f>$F61*IFERROR(INDEX(Lists!$AD:$AD,MATCH($E61,Lists!$AC:$AC,0)),1)</f>
        <v>153774.912</v>
      </c>
    </row>
    <row r="62">
      <c r="B62" s="1530" t="str">
        <f>INDEX('REVIEW - Complete Role Mapping'!$B:$B,15)</f>
        <v>Benjamin Sheffield</v>
      </c>
      <c r="C62" s="1530" t="str">
        <f>INDEX('REVIEW - Complete Role Mapping'!$C:$C,15)</f>
        <v>Lead Engineer - Software</v>
      </c>
      <c r="D62" s="1530" t="str">
        <f>INDEX('REVIEW - Complete Role Mapping'!$AK:$AK,15)</f>
        <v>Filled</v>
      </c>
      <c r="E62" s="1547" t="inlineStr">
        <is>
          <t>Filled</t>
        </is>
      </c>
      <c r="F62" s="1773">
        <f>INDEX('REVIEW - Complete Role Mapping'!$AA:$AA,15)</f>
        <v>184248.9</v>
      </c>
      <c r="G62" s="1773">
        <f>$F62*IFERROR(INDEX(Lists!$AD:$AD,MATCH($E62,Lists!$AC:$AC,0)),1)</f>
        <v>184248.9</v>
      </c>
    </row>
    <row r="63">
      <c r="B63" s="1530" t="str">
        <f>INDEX('REVIEW - Complete Role Mapping'!$B:$B,25)</f>
        <v>Eugene Yeo</v>
      </c>
      <c r="C63" s="1530" t="str">
        <f>INDEX('REVIEW - Complete Role Mapping'!$C:$C,25)</f>
        <v>Engineer - DevOps</v>
      </c>
      <c r="D63" s="1530" t="str">
        <f>INDEX('REVIEW - Complete Role Mapping'!$AK:$AK,25)</f>
        <v>Filled</v>
      </c>
      <c r="E63" s="1547" t="inlineStr">
        <is>
          <t>Filled</t>
        </is>
      </c>
      <c r="F63" s="1773">
        <f>INDEX('REVIEW - Complete Role Mapping'!$AA:$AA,25)</f>
        <v>116898</v>
      </c>
      <c r="G63" s="1773">
        <f>$F63*IFERROR(INDEX(Lists!$AD:$AD,MATCH($E63,Lists!$AC:$AC,0)),1)</f>
        <v>116898</v>
      </c>
    </row>
    <row r="64">
      <c r="B64" s="1530" t="str">
        <f>INDEX('REVIEW - Complete Role Mapping'!$B:$B,26)</f>
        <v>Gayan Liyana Arachchige</v>
      </c>
      <c r="C64" s="1530" t="str">
        <f>INDEX('REVIEW - Complete Role Mapping'!$C:$C,26)</f>
        <v>Engineer - DevOps</v>
      </c>
      <c r="D64" s="1530" t="str">
        <f>INDEX('REVIEW - Complete Role Mapping'!$AK:$AK,26)</f>
        <v>Filled</v>
      </c>
      <c r="E64" s="1547" t="inlineStr">
        <is>
          <t>Filled</t>
        </is>
      </c>
      <c r="F64" s="1773">
        <f>INDEX('REVIEW - Complete Role Mapping'!$AA:$AA,26)</f>
        <v>174513.65</v>
      </c>
      <c r="G64" s="1773">
        <f>$F64*IFERROR(INDEX(Lists!$AD:$AD,MATCH($E64,Lists!$AC:$AC,0)),1)</f>
        <v>174513.65</v>
      </c>
    </row>
    <row r="65">
      <c r="B65" s="1530" t="str">
        <f>INDEX('REVIEW - Complete Role Mapping'!$B:$B,29)</f>
        <v>Helen Jones</v>
      </c>
      <c r="C65" s="1530" t="str">
        <f>INDEX('REVIEW - Complete Role Mapping'!$C:$C,29)</f>
        <v>Delivery Lead</v>
      </c>
      <c r="D65" s="1530" t="str">
        <f>INDEX('REVIEW - Complete Role Mapping'!$AK:$AK,29)</f>
        <v>Filled</v>
      </c>
      <c r="E65" s="1547" t="inlineStr">
        <is>
          <t>Filled</t>
        </is>
      </c>
      <c r="F65" s="1773">
        <f>INDEX('REVIEW - Complete Role Mapping'!$AA:$AA,29)</f>
        <v>239418.9</v>
      </c>
      <c r="G65" s="1773">
        <f>$F65*IFERROR(INDEX(Lists!$AD:$AD,MATCH($E65,Lists!$AC:$AC,0)),1)</f>
        <v>239418.9</v>
      </c>
    </row>
    <row r="66">
      <c r="B66" s="1530" t="str">
        <f>INDEX('REVIEW - Complete Role Mapping'!$B:$B,31)</f>
        <v>Isuru Herath</v>
      </c>
      <c r="C66" s="1530" t="str">
        <f>INDEX('REVIEW - Complete Role Mapping'!$C:$C,31)</f>
        <v>Senior Engineer - Software</v>
      </c>
      <c r="D66" s="1530" t="str">
        <f>INDEX('REVIEW - Complete Role Mapping'!$AK:$AK,31)</f>
        <v>Filled</v>
      </c>
      <c r="E66" s="1547" t="inlineStr">
        <is>
          <t>Filled</t>
        </is>
      </c>
      <c r="F66" s="1773">
        <f>INDEX('REVIEW - Complete Role Mapping'!$AA:$AA,31)</f>
        <v>224493.6</v>
      </c>
      <c r="G66" s="1773">
        <f>$F66*IFERROR(INDEX(Lists!$AD:$AD,MATCH($E66,Lists!$AC:$AC,0)),1)</f>
        <v>224493.6</v>
      </c>
    </row>
    <row r="67">
      <c r="B67" s="1530" t="str">
        <f>INDEX('REVIEW - Complete Role Mapping'!$B:$B,34)</f>
        <v>Joe Kuttikkatt</v>
      </c>
      <c r="C67" s="1530" t="str">
        <f>INDEX('REVIEW - Complete Role Mapping'!$C:$C,34)</f>
        <v>Senior Quality Assurance</v>
      </c>
      <c r="D67" s="1530" t="str">
        <f>INDEX('REVIEW - Complete Role Mapping'!$AK:$AK,34)</f>
        <v>Filled</v>
      </c>
      <c r="E67" s="1547" t="inlineStr">
        <is>
          <t>Filled</t>
        </is>
      </c>
      <c r="F67" s="1773">
        <f>INDEX('REVIEW - Complete Role Mapping'!$AA:$AA,34)</f>
        <v>104565.584</v>
      </c>
      <c r="G67" s="1773">
        <f>$F67*IFERROR(INDEX(Lists!$AD:$AD,MATCH($E67,Lists!$AC:$AC,0)),1)</f>
        <v>104565.584</v>
      </c>
    </row>
    <row r="68">
      <c r="B68" s="1530" t="str">
        <f>INDEX('REVIEW - Complete Role Mapping'!$B:$B,35)</f>
        <v>Johanah Gloria</v>
      </c>
      <c r="C68" s="1530" t="str">
        <f>INDEX('REVIEW - Complete Role Mapping'!$C:$C,35)</f>
        <v>Engineer - Software</v>
      </c>
      <c r="D68" s="1530" t="str">
        <f>INDEX('REVIEW - Complete Role Mapping'!$AK:$AK,35)</f>
        <v>Filled</v>
      </c>
      <c r="E68" s="1547" t="inlineStr">
        <is>
          <t>Filled</t>
        </is>
      </c>
      <c r="F68" s="1773">
        <f>INDEX('REVIEW - Complete Role Mapping'!$AA:$AA,35)</f>
        <v>190050.6</v>
      </c>
      <c r="G68" s="1773">
        <f>$F68*IFERROR(INDEX(Lists!$AD:$AD,MATCH($E68,Lists!$AC:$AC,0)),1)</f>
        <v>190050.6</v>
      </c>
    </row>
    <row r="69">
      <c r="B69" s="1530" t="str">
        <f>INDEX('REVIEW - Complete Role Mapping'!$B:$B,89)</f>
        <v>Vacant</v>
      </c>
      <c r="C69" s="1530" t="str">
        <f>INDEX('REVIEW - Complete Role Mapping'!$C:$C,89)</f>
        <v>Quality Assurance</v>
      </c>
      <c r="D69" s="1530" t="str">
        <f>INDEX('REVIEW - Complete Role Mapping'!$AK:$AK,89)</f>
        <v>Vacant</v>
      </c>
      <c r="E69" s="1547" t="inlineStr">
        <is>
          <t>Hire</t>
        </is>
      </c>
      <c r="F69" s="1773">
        <f>INDEX('REVIEW - Complete Role Mapping'!$AA:$AA,89)</f>
        <v>275810.25</v>
      </c>
      <c r="G69" s="1773">
        <f>$F69*IFERROR(INDEX(Lists!$AD:$AD,MATCH($E69,Lists!$AC:$AC,0)),1)</f>
        <v>275810.25</v>
      </c>
    </row>
    <row r="70">
      <c r="B70" s="1545" t="inlineStr">
        <is>
          <t>Head of Technology</t>
        </is>
      </c>
      <c r="C70" s="1545" t="str">
        <f>COUNTA($B$71:$B$71)&amp;IF(COUNTA($B$71:$B$71)=1," role"," roles")</f>
        <v>1 role</v>
      </c>
      <c r="D70" s="1545" t="n"/>
      <c r="E70" s="1545" t="n"/>
      <c r="F70" s="1785">
        <f>SUM(F71:F71)</f>
        <v>291422</v>
      </c>
      <c r="G70" s="1785">
        <f>SUM(G71:G71)</f>
        <v>291422</v>
      </c>
    </row>
    <row r="71">
      <c r="B71" s="1530" t="str">
        <f>INDEX('REVIEW - Complete Role Mapping'!$B:$B,82)</f>
        <v>Vacant</v>
      </c>
      <c r="C71" s="1530" t="str">
        <f>INDEX('REVIEW - Complete Role Mapping'!$C:$C,82)</f>
        <v>Head of Technology, Z and Group Retail Platforms</v>
      </c>
      <c r="D71" s="1530" t="str">
        <f>INDEX('REVIEW - Complete Role Mapping'!$AK:$AK,82)</f>
        <v>Vacant</v>
      </c>
      <c r="E71" s="1547" t="inlineStr">
        <is>
          <t>Hire</t>
        </is>
      </c>
      <c r="F71" s="1773">
        <f>INDEX('REVIEW - Complete Role Mapping'!$AA:$AA,82)</f>
        <v>291422</v>
      </c>
      <c r="G71" s="1773">
        <f>$F71*IFERROR(INDEX(Lists!$AD:$AD,MATCH($E71,Lists!$AC:$AC,0)),1)</f>
        <v>291422</v>
      </c>
    </row>
    <row r="72">
      <c r="B72" s="1545" t="inlineStr">
        <is>
          <t>Delivery Manager</t>
        </is>
      </c>
      <c r="C72" s="1545" t="str">
        <f>COUNTA($B$73:$B$73)&amp;IF(COUNTA($B$73:$B$73)=1," role"," roles")</f>
        <v>1 role</v>
      </c>
      <c r="D72" s="1545" t="n"/>
      <c r="E72" s="1545" t="n"/>
      <c r="F72" s="1785">
        <f>SUM(F73:F73)</f>
        <v>202853.25</v>
      </c>
      <c r="G72" s="1785">
        <f>SUM(G73:G73)</f>
        <v>202853.25</v>
      </c>
    </row>
    <row r="73">
      <c r="B73" s="1530" t="str">
        <f>INDEX('REVIEW - Complete Role Mapping'!$B:$B,74)</f>
        <v>Vacant</v>
      </c>
      <c r="C73" s="1530" t="str">
        <f>INDEX('REVIEW - Complete Role Mapping'!$C:$C,74)</f>
        <v>Delivery Manager</v>
      </c>
      <c r="D73" s="1530" t="str">
        <f>INDEX('REVIEW - Complete Role Mapping'!$AK:$AK,74)</f>
        <v>Vacant</v>
      </c>
      <c r="E73" s="1547" t="inlineStr">
        <is>
          <t>Hire</t>
        </is>
      </c>
      <c r="F73" s="1773">
        <f>INDEX('REVIEW - Complete Role Mapping'!$AA:$AA,74)</f>
        <v>202853.25</v>
      </c>
      <c r="G73" s="1773">
        <f>$F73*IFERROR(INDEX(Lists!$AD:$AD,MATCH($E73,Lists!$AC:$AC,0)),1)</f>
        <v>202853.25</v>
      </c>
    </row>
    <row r="74">
      <c r="B74" s="1545" t="inlineStr">
        <is>
          <t>Technology Manager</t>
        </is>
      </c>
      <c r="C74" s="1545" t="str">
        <f>COUNTA($B$75:$B$77)&amp;IF(COUNTA($B$75:$B$77)=1," role"," roles")</f>
        <v>3 roles</v>
      </c>
      <c r="D74" s="1545" t="n"/>
      <c r="E74" s="1545" t="n"/>
      <c r="F74" s="1785">
        <f>SUM(F75:F77)</f>
        <v>723068.418</v>
      </c>
      <c r="G74" s="1785">
        <f>SUM(G75:G77)</f>
        <v>723068.418</v>
      </c>
    </row>
    <row r="75">
      <c r="B75" s="1530" t="str">
        <f>INDEX('REVIEW - Complete Role Mapping'!$B:$B,18)</f>
        <v>Callan McLaughlin</v>
      </c>
      <c r="C75" s="1530" t="str">
        <f>INDEX('REVIEW - Complete Role Mapping'!$C:$C,18)</f>
        <v>Technology Manager, Site Systems</v>
      </c>
      <c r="D75" s="1530" t="str">
        <f>INDEX('REVIEW - Complete Role Mapping'!$AK:$AK,18)</f>
        <v>Filled</v>
      </c>
      <c r="E75" s="1547" t="inlineStr">
        <is>
          <t>Filled</t>
        </is>
      </c>
      <c r="F75" s="1773">
        <f>INDEX('REVIEW - Complete Role Mapping'!$AA:$AA,18)</f>
        <v>210535.968</v>
      </c>
      <c r="G75" s="1773">
        <f>$F75*IFERROR(INDEX(Lists!$AD:$AD,MATCH($E75,Lists!$AC:$AC,0)),1)</f>
        <v>210535.968</v>
      </c>
    </row>
    <row r="76">
      <c r="B76" s="1530" t="str">
        <f>INDEX('REVIEW - Complete Role Mapping'!$B:$B,23)</f>
        <v>Emma Natoli</v>
      </c>
      <c r="C76" s="1530" t="str">
        <f>INDEX('REVIEW - Complete Role Mapping'!$C:$C,23)</f>
        <v>Technology Manager, Engineering</v>
      </c>
      <c r="D76" s="1530" t="str">
        <f>INDEX('REVIEW - Complete Role Mapping'!$AK:$AK,23)</f>
        <v>Filled</v>
      </c>
      <c r="E76" s="1547" t="inlineStr">
        <is>
          <t>Filled</t>
        </is>
      </c>
      <c r="F76" s="1773">
        <f>INDEX('REVIEW - Complete Role Mapping'!$AA:$AA,23)</f>
        <v>236722.2</v>
      </c>
      <c r="G76" s="1773">
        <f>$F76*IFERROR(INDEX(Lists!$AD:$AD,MATCH($E76,Lists!$AC:$AC,0)),1)</f>
        <v>236722.2</v>
      </c>
    </row>
    <row r="77">
      <c r="B77" s="1530" t="str">
        <f>INDEX('REVIEW - Complete Role Mapping'!$B:$B,45)</f>
        <v>Manjot Kaur Malli</v>
      </c>
      <c r="C77" s="1530" t="str">
        <f>INDEX('REVIEW - Complete Role Mapping'!$C:$C,45)</f>
        <v>Technology Manager, Data</v>
      </c>
      <c r="D77" s="1530" t="str">
        <f>INDEX('REVIEW - Complete Role Mapping'!$AK:$AK,45)</f>
        <v>Filled</v>
      </c>
      <c r="E77" s="1547" t="inlineStr">
        <is>
          <t>Filled</t>
        </is>
      </c>
      <c r="F77" s="1773">
        <f>INDEX('REVIEW - Complete Role Mapping'!$AA:$AA,45)</f>
        <v>275810.25</v>
      </c>
      <c r="G77" s="1773">
        <f>$F77*IFERROR(INDEX(Lists!$AD:$AD,MATCH($E77,Lists!$AC:$AC,0)),1)</f>
        <v>275810.25</v>
      </c>
    </row>
  </sheetData>
  <dataValidations count="1">
    <dataValidation sqref="E33 E34 E35 E36 E37 E38 E39 E41 E42 E43 E44 E45 E46 E47 E48 E49 E51 E52 E53 E54 E55 E56 E57 E58 E59 E61 E62 E63 E64 E65 E66 E67 E68 E69 E71 E73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Cyber GRC</t>
        </is>
      </c>
      <c r="C12" s="1530" t="str">
        <f>"-"</f>
        <v>-</v>
      </c>
      <c r="D12" s="1530" t="str">
        <f>"-"</f>
        <v>-</v>
      </c>
      <c r="E12" s="1538" t="str">
        <f>"-"</f>
        <v>-</v>
      </c>
      <c r="F12" s="1773">
        <f>COUNTA($B$32:$B$36)</f>
        <v>5</v>
      </c>
      <c r="G12" s="1773">
        <f>COUNTIFS($D$32:$D$36,"Filled")</f>
        <v>5</v>
      </c>
      <c r="H12" s="1773">
        <f>COUNTIFS($D$32:$D$36,"Vacant")</f>
        <v>0</v>
      </c>
      <c r="I12" s="1773">
        <f>COUNTIFS($D$32:$D$36,"Vacant",$E$32:$E$36,"Hire")</f>
        <v>0</v>
      </c>
      <c r="J12" s="1773">
        <f>COUNTIFS($E$32:$E$36,"Offshore")</f>
        <v>0</v>
      </c>
      <c r="K12" s="1773">
        <f>COUNTIFS($E$32:$E$36,"Hold")</f>
        <v>0</v>
      </c>
      <c r="L12" s="1773">
        <f>$F12-$K12</f>
        <v>5</v>
      </c>
      <c r="M12" s="1772">
        <f>$N12</f>
        <v>1.071477788</v>
      </c>
      <c r="N12" s="1772">
        <f>SUMIFS('REVIEW - Complete Role Mapping'!$AA$2:$AA$528,'REVIEW - Complete Role Mapping'!$AJ$2:$AJ$528,$C$3,'REVIEW - Complete Role Mapping'!$AT$2:$AT$528,$B12)/1000000</f>
        <v>1.071477788</v>
      </c>
      <c r="O12" s="1772">
        <f>ROUND($N12-$M12,6)</f>
        <v>0</v>
      </c>
      <c r="P12" s="1772">
        <f>SUM($G$32:$G$36)/1000000</f>
        <v>1.071477788</v>
      </c>
      <c r="Q12" s="1772">
        <f>ROUND($P12-$M12,6)</f>
        <v>0</v>
      </c>
    </row>
    <row r="13">
      <c r="B13" s="1530" t="inlineStr">
        <is>
          <t>Cyber Risk</t>
        </is>
      </c>
      <c r="C13" s="1530" t="str">
        <f>"-"</f>
        <v>-</v>
      </c>
      <c r="D13" s="1530" t="str">
        <f>"-"</f>
        <v>-</v>
      </c>
      <c r="E13" s="1538" t="str">
        <f>"-"</f>
        <v>-</v>
      </c>
      <c r="F13" s="1773">
        <f>COUNTA($B$38:$B$39)</f>
        <v>2</v>
      </c>
      <c r="G13" s="1773">
        <f>COUNTIFS($D$38:$D$39,"Filled")</f>
        <v>2</v>
      </c>
      <c r="H13" s="1773">
        <f>COUNTIFS($D$38:$D$39,"Vacant")</f>
        <v>0</v>
      </c>
      <c r="I13" s="1773">
        <f>COUNTIFS($D$38:$D$39,"Vacant",$E$38:$E$39,"Hire")</f>
        <v>0</v>
      </c>
      <c r="J13" s="1773">
        <f>COUNTIFS($E$38:$E$39,"Offshore")</f>
        <v>0</v>
      </c>
      <c r="K13" s="1773">
        <f>COUNTIFS($E$38:$E$39,"Hold")</f>
        <v>0</v>
      </c>
      <c r="L13" s="1773">
        <f>$F13-$K13</f>
        <v>2</v>
      </c>
      <c r="M13" s="1772">
        <f>$N13</f>
        <v>0.475558232</v>
      </c>
      <c r="N13" s="1772">
        <f>SUMIFS('REVIEW - Complete Role Mapping'!$AA$2:$AA$528,'REVIEW - Complete Role Mapping'!$AJ$2:$AJ$528,$C$3,'REVIEW - Complete Role Mapping'!$AT$2:$AT$528,$B13)/1000000</f>
        <v>0.475558232</v>
      </c>
      <c r="O13" s="1772">
        <f>ROUND($N13-$M13,6)</f>
        <v>0</v>
      </c>
      <c r="P13" s="1772">
        <f>SUM($G$38:$G$39)/1000000</f>
        <v>0.475558232</v>
      </c>
      <c r="Q13" s="1772">
        <f>ROUND($P13-$M13,6)</f>
        <v>0</v>
      </c>
    </row>
    <row r="14">
      <c r="B14" s="1530" t="inlineStr">
        <is>
          <t>Cyber Sec Ops</t>
        </is>
      </c>
      <c r="C14" s="1530" t="str">
        <f>"-"</f>
        <v>-</v>
      </c>
      <c r="D14" s="1530" t="str">
        <f>"-"</f>
        <v>-</v>
      </c>
      <c r="E14" s="1538" t="str">
        <f>"-"</f>
        <v>-</v>
      </c>
      <c r="F14" s="1773">
        <f>COUNTA($B$41:$B$45)</f>
        <v>5</v>
      </c>
      <c r="G14" s="1773">
        <f>COUNTIFS($D$41:$D$45,"Filled")</f>
        <v>5</v>
      </c>
      <c r="H14" s="1773">
        <f>COUNTIFS($D$41:$D$45,"Vacant")</f>
        <v>0</v>
      </c>
      <c r="I14" s="1773">
        <f>COUNTIFS($D$41:$D$45,"Vacant",$E$41:$E$45,"Hire")</f>
        <v>0</v>
      </c>
      <c r="J14" s="1773">
        <f>COUNTIFS($E$41:$E$45,"Offshore")</f>
        <v>0</v>
      </c>
      <c r="K14" s="1773">
        <f>COUNTIFS($E$41:$E$45,"Hold")</f>
        <v>0</v>
      </c>
      <c r="L14" s="1773">
        <f>$F14-$K14</f>
        <v>5</v>
      </c>
      <c r="M14" s="1772">
        <f>$N14</f>
        <v>1.111589344</v>
      </c>
      <c r="N14" s="1772">
        <f>SUMIFS('REVIEW - Complete Role Mapping'!$AA$2:$AA$528,'REVIEW - Complete Role Mapping'!$AJ$2:$AJ$528,$C$3,'REVIEW - Complete Role Mapping'!$AT$2:$AT$528,$B14)/1000000</f>
        <v>1.111589344</v>
      </c>
      <c r="O14" s="1772">
        <f>ROUND($N14-$M14,6)</f>
        <v>0</v>
      </c>
      <c r="P14" s="1772">
        <f>SUM($G$41:$G$45)/1000000</f>
        <v>1.111589344</v>
      </c>
      <c r="Q14" s="1772">
        <f>ROUND($P14-$M14,6)</f>
        <v>0</v>
      </c>
    </row>
    <row r="15">
      <c r="B15" s="1530" t="inlineStr">
        <is>
          <t>Cyber Strat &amp; Tech</t>
        </is>
      </c>
      <c r="C15" s="1530" t="str">
        <f>"-"</f>
        <v>-</v>
      </c>
      <c r="D15" s="1530" t="str">
        <f>"-"</f>
        <v>-</v>
      </c>
      <c r="E15" s="1538" t="str">
        <f>"-"</f>
        <v>-</v>
      </c>
      <c r="F15" s="1773">
        <f>COUNTA($B$47:$B$59)</f>
        <v>13</v>
      </c>
      <c r="G15" s="1773">
        <f>COUNTIFS($D$47:$D$59,"Filled")</f>
        <v>13</v>
      </c>
      <c r="H15" s="1773">
        <f>COUNTIFS($D$47:$D$59,"Vacant")</f>
        <v>0</v>
      </c>
      <c r="I15" s="1773">
        <f>COUNTIFS($D$47:$D$59,"Vacant",$E$47:$E$59,"Hire")</f>
        <v>0</v>
      </c>
      <c r="J15" s="1773">
        <f>COUNTIFS($E$47:$E$59,"Offshore")</f>
        <v>0</v>
      </c>
      <c r="K15" s="1773">
        <f>COUNTIFS($E$47:$E$59,"Hold")</f>
        <v>0</v>
      </c>
      <c r="L15" s="1773">
        <f>$F15-$K15</f>
        <v>13</v>
      </c>
      <c r="M15" s="1772">
        <f>$N15</f>
        <v>3.31576355</v>
      </c>
      <c r="N15" s="1772">
        <f>SUMIFS('REVIEW - Complete Role Mapping'!$AA$2:$AA$528,'REVIEW - Complete Role Mapping'!$AJ$2:$AJ$528,$C$3,'REVIEW - Complete Role Mapping'!$AT$2:$AT$528,$B15)/1000000</f>
        <v>3.31576355</v>
      </c>
      <c r="O15" s="1772">
        <f>ROUND($N15-$M15,6)</f>
        <v>0</v>
      </c>
      <c r="P15" s="1772">
        <f>SUM($G$47:$G$59)/1000000</f>
        <v>3.31576355</v>
      </c>
      <c r="Q15" s="1772">
        <f>ROUND($P15-$M15,6)</f>
        <v>0</v>
      </c>
    </row>
    <row r="16">
      <c r="B16" s="1530" t="inlineStr">
        <is>
          <t>Service Op &amp; Assurance</t>
        </is>
      </c>
      <c r="C16" s="1530" t="str">
        <f>"-"</f>
        <v>-</v>
      </c>
      <c r="D16" s="1530" t="str">
        <f>"-"</f>
        <v>-</v>
      </c>
      <c r="E16" s="1538" t="str">
        <f>"-"</f>
        <v>-</v>
      </c>
      <c r="F16" s="1773">
        <f>COUNTA($B$61:$B$81)</f>
        <v>21</v>
      </c>
      <c r="G16" s="1773">
        <f>COUNTIFS($D$61:$D$81,"Filled")</f>
        <v>17</v>
      </c>
      <c r="H16" s="1773">
        <f>COUNTIFS($D$61:$D$81,"Vacant")</f>
        <v>4</v>
      </c>
      <c r="I16" s="1773">
        <f>COUNTIFS($D$61:$D$81,"Vacant",$E$61:$E$81,"Hire")</f>
        <v>4</v>
      </c>
      <c r="J16" s="1773">
        <f>COUNTIFS($E$61:$E$81,"Offshore")</f>
        <v>0</v>
      </c>
      <c r="K16" s="1773">
        <f>COUNTIFS($E$61:$E$81,"Hold")</f>
        <v>0</v>
      </c>
      <c r="L16" s="1773">
        <f>$F16-$K16</f>
        <v>21</v>
      </c>
      <c r="M16" s="1772">
        <f>$N16</f>
        <v>3.92346938</v>
      </c>
      <c r="N16" s="1772">
        <f>SUMIFS('REVIEW - Complete Role Mapping'!$AA$2:$AA$528,'REVIEW - Complete Role Mapping'!$AJ$2:$AJ$528,$C$3,'REVIEW - Complete Role Mapping'!$AT$2:$AT$528,$B16)/1000000</f>
        <v>3.92346938</v>
      </c>
      <c r="O16" s="1772">
        <f>ROUND($N16-$M16,6)</f>
        <v>0</v>
      </c>
      <c r="P16" s="1772">
        <f>SUM($G$61:$G$81)/1000000</f>
        <v>3.92346938</v>
      </c>
      <c r="Q16" s="1772">
        <f>ROUND($P16-$M16,6)</f>
        <v>0</v>
      </c>
    </row>
    <row r="17">
      <c r="B17" s="1534" t="inlineStr">
        <is>
          <t>Directly funded total</t>
        </is>
      </c>
      <c r="C17" s="1534" t="n"/>
      <c r="D17" s="1534" t="n"/>
      <c r="E17" s="1783">
        <f>SUM(E12:E16)</f>
        <v>0</v>
      </c>
      <c r="F17" s="1775">
        <f>SUM(F12:F16)</f>
        <v>46</v>
      </c>
      <c r="G17" s="1775">
        <f>SUM(G12:G16)</f>
        <v>42</v>
      </c>
      <c r="H17" s="1775">
        <f>SUM(H12:H16)</f>
        <v>4</v>
      </c>
      <c r="I17" s="1775">
        <f>SUM(I12:I16)</f>
        <v>4</v>
      </c>
      <c r="J17" s="1775">
        <f>SUM(J12:J16)</f>
        <v>0</v>
      </c>
      <c r="K17" s="1775">
        <f>SUM(K12:K16)</f>
        <v>0</v>
      </c>
      <c r="L17" s="1775">
        <f>SUM(L12:L16)</f>
        <v>46</v>
      </c>
      <c r="M17" s="1774">
        <f>SUM(M12:M16)</f>
        <v>9.897858294</v>
      </c>
      <c r="N17" s="1774">
        <f>SUM(N12:N16)</f>
        <v>9.897858294</v>
      </c>
      <c r="O17" s="1774">
        <f>SUM(O12:O16)</f>
        <v>0</v>
      </c>
      <c r="P17" s="1774">
        <f>SUM(P12:P16)</f>
        <v>9.897858294</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46</v>
      </c>
      <c r="G24" s="1777">
        <f>N(G8)+N(G17)+N(G22)</f>
        <v>42</v>
      </c>
      <c r="H24" s="1777">
        <f>N(H8)+N(H17)+N(H22)</f>
        <v>4</v>
      </c>
      <c r="I24" s="1777">
        <f>N(I8)+N(I17)+N(I22)</f>
        <v>4</v>
      </c>
      <c r="J24" s="1777">
        <f>N(J8)+N(J17)+N(J22)</f>
        <v>0</v>
      </c>
      <c r="K24" s="1777">
        <f>N(K8)+N(K17)+N(K22)</f>
        <v>0</v>
      </c>
      <c r="L24" s="1777">
        <f>N(L8)+N(L17)+N(L22)</f>
        <v>46</v>
      </c>
      <c r="M24" s="1776">
        <f>N(M8)+N(M17)+N(M22)</f>
        <v>9.897858294</v>
      </c>
      <c r="N24" s="1776">
        <f>N(N8)+N(N17)+N(N22)</f>
        <v>9.897858294</v>
      </c>
      <c r="O24" s="1776">
        <f>N(O8)+N(O17)+N(O22)</f>
        <v>0</v>
      </c>
      <c r="P24" s="1776">
        <f>N(P8)+N(P17)+N(P22)</f>
        <v>9.897858294</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Cyber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Cyber GRC</t>
        </is>
      </c>
      <c r="C31" s="1545" t="str">
        <f>COUNTA($B$32:$B$36)&amp;IF(COUNTA($B$32:$B$36)=1," role"," roles")</f>
        <v>5 roles</v>
      </c>
      <c r="D31" s="1545" t="n"/>
      <c r="E31" s="1545" t="n"/>
      <c r="F31" s="1785">
        <f>SUM(F32:F36)</f>
        <v>1071477.788</v>
      </c>
      <c r="G31" s="1785">
        <f>SUM(G32:G36)</f>
        <v>1071477.788</v>
      </c>
    </row>
    <row r="32">
      <c r="B32" s="1530" t="str">
        <f>INDEX('REVIEW - Complete Role Mapping'!$B:$B,204)</f>
        <v>Diya Thomas</v>
      </c>
      <c r="C32" s="1530" t="str">
        <f>INDEX('REVIEW - Complete Role Mapping'!$C:$C,204)</f>
        <v>Manager Cyber Security GRC</v>
      </c>
      <c r="D32" s="1530" t="str">
        <f>INDEX('REVIEW - Complete Role Mapping'!$AK:$AK,204)</f>
        <v>Filled</v>
      </c>
      <c r="E32" s="1547" t="inlineStr">
        <is>
          <t>Filled</t>
        </is>
      </c>
      <c r="F32" s="1773">
        <f>INDEX('REVIEW - Complete Role Mapping'!$AA:$AA,204)</f>
        <v>287043.2</v>
      </c>
      <c r="G32" s="1773">
        <f>$F32*IFERROR(INDEX(Lists!$AD:$AD,MATCH($E32,Lists!$AC:$AC,0)),1)</f>
        <v>287043.2</v>
      </c>
    </row>
    <row r="33">
      <c r="B33" s="1530" t="str">
        <f>INDEX('REVIEW - Complete Role Mapping'!$B:$B,219)</f>
        <v>Pooja Kuperkar</v>
      </c>
      <c r="C33" s="1530" t="str">
        <f>INDEX('REVIEW - Complete Role Mapping'!$C:$C,219)</f>
        <v>Cyber GRC Analyst</v>
      </c>
      <c r="D33" s="1530" t="str">
        <f>INDEX('REVIEW - Complete Role Mapping'!$AK:$AK,219)</f>
        <v>Filled</v>
      </c>
      <c r="E33" s="1547" t="inlineStr">
        <is>
          <t>Filled</t>
        </is>
      </c>
      <c r="F33" s="1773">
        <f>INDEX('REVIEW - Complete Role Mapping'!$AA:$AA,219)</f>
        <v>203440.65</v>
      </c>
      <c r="G33" s="1773">
        <f>$F33*IFERROR(INDEX(Lists!$AD:$AD,MATCH($E33,Lists!$AC:$AC,0)),1)</f>
        <v>203440.65</v>
      </c>
    </row>
    <row r="34">
      <c r="B34" s="1530" t="str">
        <f>INDEX('REVIEW - Complete Role Mapping'!$B:$B,220)</f>
        <v>Prashanth Chandran</v>
      </c>
      <c r="C34" s="1530" t="str">
        <f>INDEX('REVIEW - Complete Role Mapping'!$C:$C,220)</f>
        <v>Senior Cyber GRC Specialist</v>
      </c>
      <c r="D34" s="1530" t="str">
        <f>INDEX('REVIEW - Complete Role Mapping'!$AK:$AK,220)</f>
        <v>Filled</v>
      </c>
      <c r="E34" s="1547" t="inlineStr">
        <is>
          <t>Filled</t>
        </is>
      </c>
      <c r="F34" s="1773">
        <f>INDEX('REVIEW - Complete Role Mapping'!$AA:$AA,220)</f>
        <v>220275</v>
      </c>
      <c r="G34" s="1773">
        <f>$F34*IFERROR(INDEX(Lists!$AD:$AD,MATCH($E34,Lists!$AC:$AC,0)),1)</f>
        <v>220275</v>
      </c>
    </row>
    <row r="35">
      <c r="B35" s="1530" t="str">
        <f>INDEX('REVIEW - Complete Role Mapping'!$B:$B,228)</f>
        <v>Shruti Manchanda</v>
      </c>
      <c r="C35" s="1530" t="str">
        <f>INDEX('REVIEW - Complete Role Mapping'!$C:$C,228)</f>
        <v>Cyber GRC Analyst</v>
      </c>
      <c r="D35" s="1530" t="str">
        <f>INDEX('REVIEW - Complete Role Mapping'!$AK:$AK,228)</f>
        <v>Filled</v>
      </c>
      <c r="E35" s="1547" t="inlineStr">
        <is>
          <t>Filled</t>
        </is>
      </c>
      <c r="F35" s="1773">
        <f>INDEX('REVIEW - Complete Role Mapping'!$AA:$AA,228)</f>
        <v>228885.75</v>
      </c>
      <c r="G35" s="1773">
        <f>$F35*IFERROR(INDEX(Lists!$AD:$AD,MATCH($E35,Lists!$AC:$AC,0)),1)</f>
        <v>228885.75</v>
      </c>
    </row>
    <row r="36">
      <c r="B36" s="1530" t="str">
        <f>INDEX('REVIEW - Complete Role Mapping'!$B:$B,237)</f>
        <v>Vanessa Castro</v>
      </c>
      <c r="C36" s="1530" t="str">
        <f>INDEX('REVIEW - Complete Role Mapping'!$C:$C,237)</f>
        <v>Cyber GRC Analyst</v>
      </c>
      <c r="D36" s="1530" t="str">
        <f>INDEX('REVIEW - Complete Role Mapping'!$AK:$AK,237)</f>
        <v>Filled</v>
      </c>
      <c r="E36" s="1547" t="inlineStr">
        <is>
          <t>Filled</t>
        </is>
      </c>
      <c r="F36" s="1773">
        <f>INDEX('REVIEW - Complete Role Mapping'!$AA:$AA,237)</f>
        <v>131833.188</v>
      </c>
      <c r="G36" s="1773">
        <f>$F36*IFERROR(INDEX(Lists!$AD:$AD,MATCH($E36,Lists!$AC:$AC,0)),1)</f>
        <v>131833.188</v>
      </c>
    </row>
    <row r="37">
      <c r="B37" s="1545" t="inlineStr">
        <is>
          <t>Cyber Risk</t>
        </is>
      </c>
      <c r="C37" s="1545" t="str">
        <f>COUNTA($B$38:$B$39)&amp;IF(COUNTA($B$38:$B$39)=1," role"," roles")</f>
        <v>2 roles</v>
      </c>
      <c r="D37" s="1545" t="n"/>
      <c r="E37" s="1545" t="n"/>
      <c r="F37" s="1785">
        <f>SUM(F38:F39)</f>
        <v>475558.232</v>
      </c>
      <c r="G37" s="1785">
        <f>SUM(G38:G39)</f>
        <v>475558.232</v>
      </c>
    </row>
    <row r="38">
      <c r="B38" s="1530" t="str">
        <f>INDEX('REVIEW - Complete Role Mapping'!$B:$B,195)</f>
        <v>Brian Gates</v>
      </c>
      <c r="C38" s="1530" t="str">
        <f>INDEX('REVIEW - Complete Role Mapping'!$C:$C,195)</f>
        <v>Manager Risk &amp; Resilience</v>
      </c>
      <c r="D38" s="1530" t="str">
        <f>INDEX('REVIEW - Complete Role Mapping'!$AK:$AK,195)</f>
        <v>Filled</v>
      </c>
      <c r="E38" s="1547" t="inlineStr">
        <is>
          <t>Filled</t>
        </is>
      </c>
      <c r="F38" s="1773">
        <f>INDEX('REVIEW - Complete Role Mapping'!$AA:$AA,195)</f>
        <v>287043.2</v>
      </c>
      <c r="G38" s="1773">
        <f>$F38*IFERROR(INDEX(Lists!$AD:$AD,MATCH($E38,Lists!$AC:$AC,0)),1)</f>
        <v>287043.2</v>
      </c>
    </row>
    <row r="39">
      <c r="B39" s="1530" t="str">
        <f>INDEX('REVIEW - Complete Role Mapping'!$B:$B,227)</f>
        <v>Shomiya Shayal</v>
      </c>
      <c r="C39" s="1530" t="str">
        <f>INDEX('REVIEW - Complete Role Mapping'!$C:$C,227)</f>
        <v>Risk &amp; Resilience Lead</v>
      </c>
      <c r="D39" s="1530" t="str">
        <f>INDEX('REVIEW - Complete Role Mapping'!$AK:$AK,227)</f>
        <v>Filled</v>
      </c>
      <c r="E39" s="1547" t="inlineStr">
        <is>
          <t>Filled</t>
        </is>
      </c>
      <c r="F39" s="1773">
        <f>INDEX('REVIEW - Complete Role Mapping'!$AA:$AA,227)</f>
        <v>188515.032</v>
      </c>
      <c r="G39" s="1773">
        <f>$F39*IFERROR(INDEX(Lists!$AD:$AD,MATCH($E39,Lists!$AC:$AC,0)),1)</f>
        <v>188515.032</v>
      </c>
    </row>
    <row r="40">
      <c r="B40" s="1545" t="inlineStr">
        <is>
          <t>Cyber Sec Ops</t>
        </is>
      </c>
      <c r="C40" s="1545" t="str">
        <f>COUNTA($B$41:$B$45)&amp;IF(COUNTA($B$41:$B$45)=1," role"," roles")</f>
        <v>5 roles</v>
      </c>
      <c r="D40" s="1545" t="n"/>
      <c r="E40" s="1545" t="n"/>
      <c r="F40" s="1785">
        <f>SUM(F41:F45)</f>
        <v>1111589.344</v>
      </c>
      <c r="G40" s="1785">
        <f>SUM(G41:G45)</f>
        <v>1111589.344</v>
      </c>
    </row>
    <row r="41">
      <c r="B41" s="1530" t="str">
        <f>INDEX('REVIEW - Complete Role Mapping'!$B:$B,213)</f>
        <v>Lisa Ng</v>
      </c>
      <c r="C41" s="1530" t="str">
        <f>INDEX('REVIEW - Complete Role Mapping'!$C:$C,213)</f>
        <v>Cyber Security Analyst</v>
      </c>
      <c r="D41" s="1530" t="str">
        <f>INDEX('REVIEW - Complete Role Mapping'!$AK:$AK,213)</f>
        <v>Filled</v>
      </c>
      <c r="E41" s="1547" t="inlineStr">
        <is>
          <t>Filled</t>
        </is>
      </c>
      <c r="F41" s="1773">
        <f>INDEX('REVIEW - Complete Role Mapping'!$AA:$AA,213)</f>
        <v>147800.064</v>
      </c>
      <c r="G41" s="1773">
        <f>$F41*IFERROR(INDEX(Lists!$AD:$AD,MATCH($E41,Lists!$AC:$AC,0)),1)</f>
        <v>147800.064</v>
      </c>
    </row>
    <row r="42">
      <c r="B42" s="1530" t="str">
        <f>INDEX('REVIEW - Complete Role Mapping'!$B:$B,218)</f>
        <v>Nischal Bhusal</v>
      </c>
      <c r="C42" s="1530" t="str">
        <f>INDEX('REVIEW - Complete Role Mapping'!$C:$C,218)</f>
        <v>Cyber Security Analyst</v>
      </c>
      <c r="D42" s="1530" t="str">
        <f>INDEX('REVIEW - Complete Role Mapping'!$AK:$AK,218)</f>
        <v>Filled</v>
      </c>
      <c r="E42" s="1547" t="inlineStr">
        <is>
          <t>Filled</t>
        </is>
      </c>
      <c r="F42" s="1773">
        <f>INDEX('REVIEW - Complete Role Mapping'!$AA:$AA,218)</f>
        <v>215629.2</v>
      </c>
      <c r="G42" s="1773">
        <f>$F42*IFERROR(INDEX(Lists!$AD:$AD,MATCH($E42,Lists!$AC:$AC,0)),1)</f>
        <v>215629.2</v>
      </c>
    </row>
    <row r="43">
      <c r="B43" s="1530" t="str">
        <f>INDEX('REVIEW - Complete Role Mapping'!$B:$B,226)</f>
        <v>Sameer Pattanaik</v>
      </c>
      <c r="C43" s="1530" t="str">
        <f>INDEX('REVIEW - Complete Role Mapping'!$C:$C,226)</f>
        <v>Cyber Security Operations Lead</v>
      </c>
      <c r="D43" s="1530" t="str">
        <f>INDEX('REVIEW - Complete Role Mapping'!$AK:$AK,226)</f>
        <v>Filled</v>
      </c>
      <c r="E43" s="1547" t="inlineStr">
        <is>
          <t>Filled</t>
        </is>
      </c>
      <c r="F43" s="1773">
        <f>INDEX('REVIEW - Complete Role Mapping'!$AA:$AA,226)</f>
        <v>212878.38</v>
      </c>
      <c r="G43" s="1773">
        <f>$F43*IFERROR(INDEX(Lists!$AD:$AD,MATCH($E43,Lists!$AC:$AC,0)),1)</f>
        <v>212878.38</v>
      </c>
    </row>
    <row r="44">
      <c r="B44" s="1530" t="str">
        <f>INDEX('REVIEW - Complete Role Mapping'!$B:$B,230)</f>
        <v>Stafford Dowling</v>
      </c>
      <c r="C44" s="1530" t="str">
        <f>INDEX('REVIEW - Complete Role Mapping'!$C:$C,230)</f>
        <v>Cyber Security Analyst</v>
      </c>
      <c r="D44" s="1530" t="str">
        <f>INDEX('REVIEW - Complete Role Mapping'!$AK:$AK,230)</f>
        <v>Filled</v>
      </c>
      <c r="E44" s="1547" t="inlineStr">
        <is>
          <t>Filled</t>
        </is>
      </c>
      <c r="F44" s="1773">
        <f>INDEX('REVIEW - Complete Role Mapping'!$AA:$AA,230)</f>
        <v>218713.05</v>
      </c>
      <c r="G44" s="1773">
        <f>$F44*IFERROR(INDEX(Lists!$AD:$AD,MATCH($E44,Lists!$AC:$AC,0)),1)</f>
        <v>218713.05</v>
      </c>
    </row>
    <row r="45">
      <c r="B45" s="1530" t="str">
        <f>INDEX('REVIEW - Complete Role Mapping'!$B:$B,231)</f>
        <v>Steven Atcheson</v>
      </c>
      <c r="C45" s="1530" t="str">
        <f>INDEX('REVIEW - Complete Role Mapping'!$C:$C,231)</f>
        <v>Manager Cyber Security Operations</v>
      </c>
      <c r="D45" s="1530" t="str">
        <f>INDEX('REVIEW - Complete Role Mapping'!$AK:$AK,231)</f>
        <v>Filled</v>
      </c>
      <c r="E45" s="1547" t="inlineStr">
        <is>
          <t>Filled</t>
        </is>
      </c>
      <c r="F45" s="1773">
        <f>INDEX('REVIEW - Complete Role Mapping'!$AA:$AA,231)</f>
        <v>316568.65</v>
      </c>
      <c r="G45" s="1773">
        <f>$F45*IFERROR(INDEX(Lists!$AD:$AD,MATCH($E45,Lists!$AC:$AC,0)),1)</f>
        <v>316568.65</v>
      </c>
    </row>
    <row r="46">
      <c r="B46" s="1545" t="inlineStr">
        <is>
          <t>Cyber Strat &amp; Tech</t>
        </is>
      </c>
      <c r="C46" s="1545" t="str">
        <f>COUNTA($B$47:$B$59)&amp;IF(COUNTA($B$47:$B$59)=1," role"," roles")</f>
        <v>13 roles</v>
      </c>
      <c r="D46" s="1545" t="n"/>
      <c r="E46" s="1545" t="n"/>
      <c r="F46" s="1785">
        <f>SUM(F47:F59)</f>
        <v>3315763.55</v>
      </c>
      <c r="G46" s="1785">
        <f>SUM(G47:G59)</f>
        <v>3315763.55</v>
      </c>
    </row>
    <row r="47">
      <c r="B47" s="1530" t="str">
        <f>INDEX('REVIEW - Complete Role Mapping'!$B:$B,196)</f>
        <v>Cameron Watman</v>
      </c>
      <c r="C47" s="1530" t="str">
        <f>INDEX('REVIEW - Complete Role Mapping'!$C:$C,196)</f>
        <v>Engineer - IDAM</v>
      </c>
      <c r="D47" s="1530" t="str">
        <f>INDEX('REVIEW - Complete Role Mapping'!$AK:$AK,196)</f>
        <v>Filled</v>
      </c>
      <c r="E47" s="1547" t="inlineStr">
        <is>
          <t>Filled</t>
        </is>
      </c>
      <c r="F47" s="1773">
        <f>INDEX('REVIEW - Complete Role Mapping'!$AA:$AA,196)</f>
        <v>173132.9</v>
      </c>
      <c r="G47" s="1773">
        <f>$F47*IFERROR(INDEX(Lists!$AD:$AD,MATCH($E47,Lists!$AC:$AC,0)),1)</f>
        <v>173132.9</v>
      </c>
    </row>
    <row r="48">
      <c r="B48" s="1530" t="str">
        <f>INDEX('REVIEW - Complete Role Mapping'!$B:$B,197)</f>
        <v>Catherine Gire</v>
      </c>
      <c r="C48" s="1530" t="str">
        <f>INDEX('REVIEW - Complete Role Mapping'!$C:$C,197)</f>
        <v>Cyber Technical Business Analyst</v>
      </c>
      <c r="D48" s="1530" t="str">
        <f>INDEX('REVIEW - Complete Role Mapping'!$AK:$AK,197)</f>
        <v>Filled</v>
      </c>
      <c r="E48" s="1547" t="inlineStr">
        <is>
          <t>Filled</t>
        </is>
      </c>
      <c r="F48" s="1773">
        <f>INDEX('REVIEW - Complete Role Mapping'!$AA:$AA,197)</f>
        <v>227163.6</v>
      </c>
      <c r="G48" s="1773">
        <f>$F48*IFERROR(INDEX(Lists!$AD:$AD,MATCH($E48,Lists!$AC:$AC,0)),1)</f>
        <v>227163.6</v>
      </c>
    </row>
    <row r="49">
      <c r="B49" s="1530" t="str">
        <f>INDEX('REVIEW - Complete Role Mapping'!$B:$B,198)</f>
        <v>Chris Lyons</v>
      </c>
      <c r="C49" s="1530" t="str">
        <f>INDEX('REVIEW - Complete Role Mapping'!$C:$C,198)</f>
        <v>Cyber Security Architect</v>
      </c>
      <c r="D49" s="1530" t="str">
        <f>INDEX('REVIEW - Complete Role Mapping'!$AK:$AK,198)</f>
        <v>Filled</v>
      </c>
      <c r="E49" s="1547" t="inlineStr">
        <is>
          <t>Filled</t>
        </is>
      </c>
      <c r="F49" s="1773">
        <f>INDEX('REVIEW - Complete Role Mapping'!$AA:$AA,198)</f>
        <v>283353.75</v>
      </c>
      <c r="G49" s="1773">
        <f>$F49*IFERROR(INDEX(Lists!$AD:$AD,MATCH($E49,Lists!$AC:$AC,0)),1)</f>
        <v>283353.75</v>
      </c>
    </row>
    <row r="50">
      <c r="B50" s="1530" t="str">
        <f>INDEX('REVIEW - Complete Role Mapping'!$B:$B,200)</f>
        <v>Dan Balsamo</v>
      </c>
      <c r="C50" s="1530" t="str">
        <f>INDEX('REVIEW - Complete Role Mapping'!$C:$C,200)</f>
        <v>Senior Cyber Project Manager</v>
      </c>
      <c r="D50" s="1530" t="str">
        <f>INDEX('REVIEW - Complete Role Mapping'!$AK:$AK,200)</f>
        <v>Filled</v>
      </c>
      <c r="E50" s="1547" t="inlineStr">
        <is>
          <t>Filled</t>
        </is>
      </c>
      <c r="F50" s="1773">
        <f>INDEX('REVIEW - Complete Role Mapping'!$AA:$AA,200)</f>
        <v>258576.15</v>
      </c>
      <c r="G50" s="1773">
        <f>$F50*IFERROR(INDEX(Lists!$AD:$AD,MATCH($E50,Lists!$AC:$AC,0)),1)</f>
        <v>258576.15</v>
      </c>
    </row>
    <row r="51">
      <c r="B51" s="1530" t="str">
        <f>INDEX('REVIEW - Complete Role Mapping'!$B:$B,203)</f>
        <v>Darshan Suvama</v>
      </c>
      <c r="C51" s="1530" t="str">
        <f>INDEX('REVIEW - Complete Role Mapping'!$C:$C,203)</f>
        <v>Cyber Offensive Security Lead</v>
      </c>
      <c r="D51" s="1530" t="str">
        <f>INDEX('REVIEW - Complete Role Mapping'!$AK:$AK,203)</f>
        <v>Filled</v>
      </c>
      <c r="E51" s="1547" t="inlineStr">
        <is>
          <t>Filled</t>
        </is>
      </c>
      <c r="F51" s="1773">
        <f>INDEX('REVIEW - Complete Role Mapping'!$AA:$AA,203)</f>
        <v>285342.9</v>
      </c>
      <c r="G51" s="1773">
        <f>$F51*IFERROR(INDEX(Lists!$AD:$AD,MATCH($E51,Lists!$AC:$AC,0)),1)</f>
        <v>285342.9</v>
      </c>
    </row>
    <row r="52">
      <c r="B52" s="1530" t="str">
        <f>INDEX('REVIEW - Complete Role Mapping'!$B:$B,206)</f>
        <v>Iwan Wibisono</v>
      </c>
      <c r="C52" s="1530" t="str">
        <f>INDEX('REVIEW - Complete Role Mapping'!$C:$C,206)</f>
        <v>Engineer - IDAM</v>
      </c>
      <c r="D52" s="1530" t="str">
        <f>INDEX('REVIEW - Complete Role Mapping'!$AK:$AK,206)</f>
        <v>Filled</v>
      </c>
      <c r="E52" s="1547" t="inlineStr">
        <is>
          <t>Filled</t>
        </is>
      </c>
      <c r="F52" s="1773">
        <f>INDEX('REVIEW - Complete Role Mapping'!$AA:$AA,206)</f>
        <v>215682.6</v>
      </c>
      <c r="G52" s="1773">
        <f>$F52*IFERROR(INDEX(Lists!$AD:$AD,MATCH($E52,Lists!$AC:$AC,0)),1)</f>
        <v>215682.6</v>
      </c>
    </row>
    <row r="53">
      <c r="B53" s="1530" t="str">
        <f>INDEX('REVIEW - Complete Role Mapping'!$B:$B,208)</f>
        <v>James Byrne</v>
      </c>
      <c r="C53" s="1530" t="str">
        <f>INDEX('REVIEW - Complete Role Mapping'!$C:$C,208)</f>
        <v>Head of Cyber Strategy &amp; Technology</v>
      </c>
      <c r="D53" s="1530" t="str">
        <f>INDEX('REVIEW - Complete Role Mapping'!$AK:$AK,208)</f>
        <v>Filled</v>
      </c>
      <c r="E53" s="1547" t="inlineStr">
        <is>
          <t>Filled</t>
        </is>
      </c>
      <c r="F53" s="1773">
        <f>INDEX('REVIEW - Complete Role Mapping'!$AA:$AA,208)</f>
        <v>382587.7</v>
      </c>
      <c r="G53" s="1773">
        <f>$F53*IFERROR(INDEX(Lists!$AD:$AD,MATCH($E53,Lists!$AC:$AC,0)),1)</f>
        <v>382587.7</v>
      </c>
    </row>
    <row r="54">
      <c r="B54" s="1530" t="str">
        <f>INDEX('REVIEW - Complete Role Mapping'!$B:$B,210)</f>
        <v>Joe Nahma</v>
      </c>
      <c r="C54" s="1530" t="str">
        <f>INDEX('REVIEW - Complete Role Mapping'!$C:$C,210)</f>
        <v>Manager Identity &amp; Access Management</v>
      </c>
      <c r="D54" s="1530" t="str">
        <f>INDEX('REVIEW - Complete Role Mapping'!$AK:$AK,210)</f>
        <v>Filled</v>
      </c>
      <c r="E54" s="1547" t="inlineStr">
        <is>
          <t>Filled</t>
        </is>
      </c>
      <c r="F54" s="1773">
        <f>INDEX('REVIEW - Complete Role Mapping'!$AA:$AA,210)</f>
        <v>258709.65</v>
      </c>
      <c r="G54" s="1773">
        <f>$F54*IFERROR(INDEX(Lists!$AD:$AD,MATCH($E54,Lists!$AC:$AC,0)),1)</f>
        <v>258709.65</v>
      </c>
    </row>
    <row r="55">
      <c r="B55" s="1530" t="str">
        <f>INDEX('REVIEW - Complete Role Mapping'!$B:$B,212)</f>
        <v>Kevin Sheerin</v>
      </c>
      <c r="C55" s="1530" t="str">
        <f>INDEX('REVIEW - Complete Role Mapping'!$C:$C,212)</f>
        <v>Cyber Architecture Lead</v>
      </c>
      <c r="D55" s="1530" t="str">
        <f>INDEX('REVIEW - Complete Role Mapping'!$AK:$AK,212)</f>
        <v>Filled</v>
      </c>
      <c r="E55" s="1547" t="inlineStr">
        <is>
          <t>Filled</t>
        </is>
      </c>
      <c r="F55" s="1773">
        <f>INDEX('REVIEW - Complete Role Mapping'!$AA:$AA,212)</f>
        <v>284982.45</v>
      </c>
      <c r="G55" s="1773">
        <f>$F55*IFERROR(INDEX(Lists!$AD:$AD,MATCH($E55,Lists!$AC:$AC,0)),1)</f>
        <v>284982.45</v>
      </c>
    </row>
    <row r="56">
      <c r="B56" s="1530" t="str">
        <f>INDEX('REVIEW - Complete Role Mapping'!$B:$B,221)</f>
        <v>Rahul Sahni</v>
      </c>
      <c r="C56" s="1530" t="str">
        <f>INDEX('REVIEW - Complete Role Mapping'!$C:$C,221)</f>
        <v>Cyber Security Architect</v>
      </c>
      <c r="D56" s="1530" t="str">
        <f>INDEX('REVIEW - Complete Role Mapping'!$AK:$AK,221)</f>
        <v>Filled</v>
      </c>
      <c r="E56" s="1547" t="inlineStr">
        <is>
          <t>Filled</t>
        </is>
      </c>
      <c r="F56" s="1773">
        <f>INDEX('REVIEW - Complete Role Mapping'!$AA:$AA,221)</f>
        <v>226282.5</v>
      </c>
      <c r="G56" s="1773">
        <f>$F56*IFERROR(INDEX(Lists!$AD:$AD,MATCH($E56,Lists!$AC:$AC,0)),1)</f>
        <v>226282.5</v>
      </c>
    </row>
    <row r="57">
      <c r="B57" s="1530" t="str">
        <f>INDEX('REVIEW - Complete Role Mapping'!$B:$B,223)</f>
        <v>Raymond Cheung</v>
      </c>
      <c r="C57" s="1530" t="str">
        <f>INDEX('REVIEW - Complete Role Mapping'!$C:$C,223)</f>
        <v>Engineer - IDAM</v>
      </c>
      <c r="D57" s="1530" t="str">
        <f>INDEX('REVIEW - Complete Role Mapping'!$AK:$AK,223)</f>
        <v>Filled</v>
      </c>
      <c r="E57" s="1547" t="inlineStr">
        <is>
          <t>Filled</t>
        </is>
      </c>
      <c r="F57" s="1773">
        <f>INDEX('REVIEW - Complete Role Mapping'!$AA:$AA,223)</f>
        <v>190675</v>
      </c>
      <c r="G57" s="1773">
        <f>$F57*IFERROR(INDEX(Lists!$AD:$AD,MATCH($E57,Lists!$AC:$AC,0)),1)</f>
        <v>190675</v>
      </c>
    </row>
    <row r="58">
      <c r="B58" s="1530" t="str">
        <f>INDEX('REVIEW - Complete Role Mapping'!$B:$B,232)</f>
        <v>Tony Keeler</v>
      </c>
      <c r="C58" s="1530" t="str">
        <f>INDEX('REVIEW - Complete Role Mapping'!$C:$C,232)</f>
        <v>Cyber Business Analyst</v>
      </c>
      <c r="D58" s="1530" t="str">
        <f>INDEX('REVIEW - Complete Role Mapping'!$AK:$AK,232)</f>
        <v>Filled</v>
      </c>
      <c r="E58" s="1547" t="inlineStr">
        <is>
          <t>Filled</t>
        </is>
      </c>
      <c r="F58" s="1773">
        <f>INDEX('REVIEW - Complete Role Mapping'!$AA:$AA,232)</f>
        <v>213600</v>
      </c>
      <c r="G58" s="1773">
        <f>$F58*IFERROR(INDEX(Lists!$AD:$AD,MATCH($E58,Lists!$AC:$AC,0)),1)</f>
        <v>213600</v>
      </c>
    </row>
    <row r="59">
      <c r="B59" s="1530" t="str">
        <f>INDEX('REVIEW - Complete Role Mapping'!$B:$B,238)</f>
        <v>Vivienne Vasak</v>
      </c>
      <c r="C59" s="1530" t="str">
        <f>INDEX('REVIEW - Complete Role Mapping'!$C:$C,238)</f>
        <v>Portfolio Manager Cyber Security</v>
      </c>
      <c r="D59" s="1530" t="str">
        <f>INDEX('REVIEW - Complete Role Mapping'!$AK:$AK,238)</f>
        <v>Filled</v>
      </c>
      <c r="E59" s="1547" t="inlineStr">
        <is>
          <t>Filled</t>
        </is>
      </c>
      <c r="F59" s="1773">
        <f>INDEX('REVIEW - Complete Role Mapping'!$AA:$AA,238)</f>
        <v>315674.35</v>
      </c>
      <c r="G59" s="1773">
        <f>$F59*IFERROR(INDEX(Lists!$AD:$AD,MATCH($E59,Lists!$AC:$AC,0)),1)</f>
        <v>315674.35</v>
      </c>
    </row>
    <row r="60">
      <c r="B60" s="1545" t="inlineStr">
        <is>
          <t>Service Op &amp; Assurance</t>
        </is>
      </c>
      <c r="C60" s="1545" t="str">
        <f>COUNTA($B$61:$B$81)&amp;IF(COUNTA($B$61:$B$81)=1," role"," roles")</f>
        <v>21 roles</v>
      </c>
      <c r="D60" s="1545" t="n"/>
      <c r="E60" s="1545" t="n"/>
      <c r="F60" s="1785">
        <f>SUM(F61:F81)</f>
        <v>3923469.38</v>
      </c>
      <c r="G60" s="1785">
        <f>SUM(G61:G81)</f>
        <v>3923469.38</v>
      </c>
    </row>
    <row r="61">
      <c r="B61" s="1530" t="str">
        <f>INDEX('REVIEW - Complete Role Mapping'!$B:$B,193)</f>
        <v>Ashley Mueller</v>
      </c>
      <c r="C61" s="1530" t="str">
        <f>INDEX('REVIEW - Complete Role Mapping'!$C:$C,193)</f>
        <v>Lead - Service Assurance</v>
      </c>
      <c r="D61" s="1530" t="str">
        <f>INDEX('REVIEW - Complete Role Mapping'!$AK:$AK,193)</f>
        <v>Filled</v>
      </c>
      <c r="E61" s="1547" t="inlineStr">
        <is>
          <t>Filled</t>
        </is>
      </c>
      <c r="F61" s="1773">
        <f>INDEX('REVIEW - Complete Role Mapping'!$AA:$AA,193)</f>
        <v>189974.796</v>
      </c>
      <c r="G61" s="1773">
        <f>$F61*IFERROR(INDEX(Lists!$AD:$AD,MATCH($E61,Lists!$AC:$AC,0)),1)</f>
        <v>189974.796</v>
      </c>
    </row>
    <row r="62">
      <c r="B62" s="1530" t="str">
        <f>INDEX('REVIEW - Complete Role Mapping'!$B:$B,194)</f>
        <v>Belinda Hoskens</v>
      </c>
      <c r="C62" s="1530" t="str">
        <f>INDEX('REVIEW - Complete Role Mapping'!$C:$C,194)</f>
        <v>Technology Support Engineer</v>
      </c>
      <c r="D62" s="1530" t="str">
        <f>INDEX('REVIEW - Complete Role Mapping'!$AK:$AK,194)</f>
        <v>Filled</v>
      </c>
      <c r="E62" s="1547" t="inlineStr">
        <is>
          <t>Filled</t>
        </is>
      </c>
      <c r="F62" s="1773">
        <f>INDEX('REVIEW - Complete Role Mapping'!$AA:$AA,194)</f>
        <v>162139.5</v>
      </c>
      <c r="G62" s="1773">
        <f>$F62*IFERROR(INDEX(Lists!$AD:$AD,MATCH($E62,Lists!$AC:$AC,0)),1)</f>
        <v>162139.5</v>
      </c>
    </row>
    <row r="63">
      <c r="B63" s="1530" t="str">
        <f>INDEX('REVIEW - Complete Role Mapping'!$B:$B,199)</f>
        <v>Chris Rojas</v>
      </c>
      <c r="C63" s="1530" t="str">
        <f>INDEX('REVIEW - Complete Role Mapping'!$C:$C,199)</f>
        <v>Manager, Customer Support Operations</v>
      </c>
      <c r="D63" s="1530" t="str">
        <f>INDEX('REVIEW - Complete Role Mapping'!$AK:$AK,199)</f>
        <v>Filled</v>
      </c>
      <c r="E63" s="1547" t="inlineStr">
        <is>
          <t>Filled</t>
        </is>
      </c>
      <c r="F63" s="1773">
        <f>INDEX('REVIEW - Complete Role Mapping'!$AA:$AA,199)</f>
        <v>243303.75</v>
      </c>
      <c r="G63" s="1773">
        <f>$F63*IFERROR(INDEX(Lists!$AD:$AD,MATCH($E63,Lists!$AC:$AC,0)),1)</f>
        <v>243303.75</v>
      </c>
    </row>
    <row r="64">
      <c r="B64" s="1530" t="str">
        <f>INDEX('REVIEW - Complete Role Mapping'!$B:$B,201)</f>
        <v>Daniel Jolley</v>
      </c>
      <c r="C64" s="1530" t="str">
        <f>INDEX('REVIEW - Complete Role Mapping'!$C:$C,201)</f>
        <v>Tech Support Technician</v>
      </c>
      <c r="D64" s="1530" t="str">
        <f>INDEX('REVIEW - Complete Role Mapping'!$AK:$AK,201)</f>
        <v>Filled</v>
      </c>
      <c r="E64" s="1547" t="inlineStr">
        <is>
          <t>Filled</t>
        </is>
      </c>
      <c r="F64" s="1773">
        <f>INDEX('REVIEW - Complete Role Mapping'!$AA:$AA,201)</f>
        <v>115851.5</v>
      </c>
      <c r="G64" s="1773">
        <f>$F64*IFERROR(INDEX(Lists!$AD:$AD,MATCH($E64,Lists!$AC:$AC,0)),1)</f>
        <v>115851.5</v>
      </c>
    </row>
    <row r="65">
      <c r="B65" s="1530" t="str">
        <f>INDEX('REVIEW - Complete Role Mapping'!$B:$B,202)</f>
        <v>Darren Koller</v>
      </c>
      <c r="C65" s="1530" t="str">
        <f>INDEX('REVIEW - Complete Role Mapping'!$C:$C,202)</f>
        <v>Manager, Service Management &amp; Major Incident Mgmt Lead</v>
      </c>
      <c r="D65" s="1530" t="str">
        <f>INDEX('REVIEW - Complete Role Mapping'!$AK:$AK,202)</f>
        <v>Filled</v>
      </c>
      <c r="E65" s="1547" t="inlineStr">
        <is>
          <t>Filled</t>
        </is>
      </c>
      <c r="F65" s="1773">
        <f>INDEX('REVIEW - Complete Role Mapping'!$AA:$AA,202)</f>
        <v>274943.25</v>
      </c>
      <c r="G65" s="1773">
        <f>$F65*IFERROR(INDEX(Lists!$AD:$AD,MATCH($E65,Lists!$AC:$AC,0)),1)</f>
        <v>274943.25</v>
      </c>
    </row>
    <row r="66">
      <c r="B66" s="1530" t="str">
        <f>INDEX('REVIEW - Complete Role Mapping'!$B:$B,205)</f>
        <v>Ethan Lamhert (FT)</v>
      </c>
      <c r="C66" s="1530" t="str">
        <f>INDEX('REVIEW - Complete Role Mapping'!$C:$C,205)</f>
        <v>Tech Support Technician</v>
      </c>
      <c r="D66" s="1530" t="str">
        <f>INDEX('REVIEW - Complete Role Mapping'!$AK:$AK,205)</f>
        <v>Filled</v>
      </c>
      <c r="E66" s="1547" t="inlineStr">
        <is>
          <t>Filled</t>
        </is>
      </c>
      <c r="F66" s="1773">
        <f>INDEX('REVIEW - Complete Role Mapping'!$AA:$AA,205)</f>
        <v>89758</v>
      </c>
      <c r="G66" s="1773">
        <f>$F66*IFERROR(INDEX(Lists!$AD:$AD,MATCH($E66,Lists!$AC:$AC,0)),1)</f>
        <v>89758</v>
      </c>
    </row>
    <row r="67">
      <c r="B67" s="1530" t="str">
        <f>INDEX('REVIEW - Complete Role Mapping'!$B:$B,207)</f>
        <v>Jack Jenkins</v>
      </c>
      <c r="C67" s="1530" t="str">
        <f>INDEX('REVIEW - Complete Role Mapping'!$C:$C,207)</f>
        <v>Asset Analyst</v>
      </c>
      <c r="D67" s="1530" t="str">
        <f>INDEX('REVIEW - Complete Role Mapping'!$AK:$AK,207)</f>
        <v>Filled</v>
      </c>
      <c r="E67" s="1547" t="inlineStr">
        <is>
          <t>Filled</t>
        </is>
      </c>
      <c r="F67" s="1773">
        <f>INDEX('REVIEW - Complete Role Mapping'!$AA:$AA,207)</f>
        <v>139008.65</v>
      </c>
      <c r="G67" s="1773">
        <f>$F67*IFERROR(INDEX(Lists!$AD:$AD,MATCH($E67,Lists!$AC:$AC,0)),1)</f>
        <v>139008.65</v>
      </c>
    </row>
    <row r="68">
      <c r="B68" s="1530" t="str">
        <f>INDEX('REVIEW - Complete Role Mapping'!$B:$B,209)</f>
        <v>Jas Mann</v>
      </c>
      <c r="C68" s="1530" t="str">
        <f>INDEX('REVIEW - Complete Role Mapping'!$C:$C,209)</f>
        <v>Technology Support Engineer</v>
      </c>
      <c r="D68" s="1530" t="str">
        <f>INDEX('REVIEW - Complete Role Mapping'!$AK:$AK,209)</f>
        <v>Filled</v>
      </c>
      <c r="E68" s="1547" t="inlineStr">
        <is>
          <t>Filled</t>
        </is>
      </c>
      <c r="F68" s="1773">
        <f>INDEX('REVIEW - Complete Role Mapping'!$AA:$AA,209)</f>
        <v>146885.5</v>
      </c>
      <c r="G68" s="1773">
        <f>$F68*IFERROR(INDEX(Lists!$AD:$AD,MATCH($E68,Lists!$AC:$AC,0)),1)</f>
        <v>146885.5</v>
      </c>
    </row>
    <row r="69">
      <c r="B69" s="1530" t="str">
        <f>INDEX('REVIEW - Complete Role Mapping'!$B:$B,211)</f>
        <v>Kaaviya Salai Manimudian</v>
      </c>
      <c r="C69" s="1530" t="str">
        <f>INDEX('REVIEW - Complete Role Mapping'!$C:$C,211)</f>
        <v>Graduate</v>
      </c>
      <c r="D69" s="1530" t="str">
        <f>INDEX('REVIEW - Complete Role Mapping'!$AK:$AK,211)</f>
        <v>Filled</v>
      </c>
      <c r="E69" s="1547" t="inlineStr">
        <is>
          <t>Filled</t>
        </is>
      </c>
      <c r="F69" s="1773">
        <f>INDEX('REVIEW - Complete Role Mapping'!$AA:$AA,211)</f>
        <v>110075</v>
      </c>
      <c r="G69" s="1773">
        <f>$F69*IFERROR(INDEX(Lists!$AD:$AD,MATCH($E69,Lists!$AC:$AC,0)),1)</f>
        <v>110075</v>
      </c>
    </row>
    <row r="70">
      <c r="B70" s="1530" t="str">
        <f>INDEX('REVIEW - Complete Role Mapping'!$B:$B,214)</f>
        <v>Lynda Niewidok</v>
      </c>
      <c r="C70" s="1530" t="str">
        <f>INDEX('REVIEW - Complete Role Mapping'!$C:$C,214)</f>
        <v>Lead - Service Desk</v>
      </c>
      <c r="D70" s="1530" t="str">
        <f>INDEX('REVIEW - Complete Role Mapping'!$AK:$AK,214)</f>
        <v>Filled</v>
      </c>
      <c r="E70" s="1547" t="inlineStr">
        <is>
          <t>Filled</t>
        </is>
      </c>
      <c r="F70" s="1773">
        <f>INDEX('REVIEW - Complete Role Mapping'!$AA:$AA,214)</f>
        <v>203988</v>
      </c>
      <c r="G70" s="1773">
        <f>$F70*IFERROR(INDEX(Lists!$AD:$AD,MATCH($E70,Lists!$AC:$AC,0)),1)</f>
        <v>203988</v>
      </c>
    </row>
    <row r="71">
      <c r="B71" s="1530" t="str">
        <f>INDEX('REVIEW - Complete Role Mapping'!$B:$B,215)</f>
        <v>Mark Pearson</v>
      </c>
      <c r="C71" s="1530" t="str">
        <f>INDEX('REVIEW - Complete Role Mapping'!$C:$C,215)</f>
        <v>Lead - Technology Support</v>
      </c>
      <c r="D71" s="1530" t="str">
        <f>INDEX('REVIEW - Complete Role Mapping'!$AK:$AK,215)</f>
        <v>Filled</v>
      </c>
      <c r="E71" s="1547" t="inlineStr">
        <is>
          <t>Filled</t>
        </is>
      </c>
      <c r="F71" s="1773">
        <f>INDEX('REVIEW - Complete Role Mapping'!$AA:$AA,215)</f>
        <v>203841.15</v>
      </c>
      <c r="G71" s="1773">
        <f>$F71*IFERROR(INDEX(Lists!$AD:$AD,MATCH($E71,Lists!$AC:$AC,0)),1)</f>
        <v>203841.15</v>
      </c>
    </row>
    <row r="72">
      <c r="B72" s="1530" t="str">
        <f>INDEX('REVIEW - Complete Role Mapping'!$B:$B,216)</f>
        <v>Mary-Grace Rivera</v>
      </c>
      <c r="C72" s="1530" t="str">
        <f>INDEX('REVIEW - Complete Role Mapping'!$C:$C,216)</f>
        <v>Lead, Service Management</v>
      </c>
      <c r="D72" s="1530" t="str">
        <f>INDEX('REVIEW - Complete Role Mapping'!$AK:$AK,216)</f>
        <v>Filled</v>
      </c>
      <c r="E72" s="1547" t="inlineStr">
        <is>
          <t>Filled</t>
        </is>
      </c>
      <c r="F72" s="1773">
        <f>INDEX('REVIEW - Complete Role Mapping'!$AA:$AA,216)</f>
        <v>180970.3</v>
      </c>
      <c r="G72" s="1773">
        <f>$F72*IFERROR(INDEX(Lists!$AD:$AD,MATCH($E72,Lists!$AC:$AC,0)),1)</f>
        <v>180970.3</v>
      </c>
    </row>
    <row r="73">
      <c r="B73" s="1530" t="str">
        <f>INDEX('REVIEW - Complete Role Mapping'!$B:$B,217)</f>
        <v>Mick Collins</v>
      </c>
      <c r="C73" s="1530" t="str">
        <f>INDEX('REVIEW - Complete Role Mapping'!$C:$C,217)</f>
        <v>Manager, Service Performance &amp; Assurance</v>
      </c>
      <c r="D73" s="1530" t="str">
        <f>INDEX('REVIEW - Complete Role Mapping'!$AK:$AK,217)</f>
        <v>Filled</v>
      </c>
      <c r="E73" s="1547" t="inlineStr">
        <is>
          <t>Filled</t>
        </is>
      </c>
      <c r="F73" s="1773">
        <f>INDEX('REVIEW - Complete Role Mapping'!$AA:$AA,217)</f>
        <v>272070.45</v>
      </c>
      <c r="G73" s="1773">
        <f>$F73*IFERROR(INDEX(Lists!$AD:$AD,MATCH($E73,Lists!$AC:$AC,0)),1)</f>
        <v>272070.45</v>
      </c>
    </row>
    <row r="74">
      <c r="B74" s="1530" t="str">
        <f>INDEX('REVIEW - Complete Role Mapping'!$B:$B,222)</f>
        <v>Rajini Onteddu Reddy</v>
      </c>
      <c r="C74" s="1530" t="str">
        <f>INDEX('REVIEW - Complete Role Mapping'!$C:$C,222)</f>
        <v>Head of Service Operations &amp; Assurance</v>
      </c>
      <c r="D74" s="1530" t="str">
        <f>INDEX('REVIEW - Complete Role Mapping'!$AK:$AK,222)</f>
        <v>Filled</v>
      </c>
      <c r="E74" s="1547" t="inlineStr">
        <is>
          <t>Filled</t>
        </is>
      </c>
      <c r="F74" s="1773">
        <f>INDEX('REVIEW - Complete Role Mapping'!$AA:$AA,222)</f>
        <v>400671.4</v>
      </c>
      <c r="G74" s="1773">
        <f>$F74*IFERROR(INDEX(Lists!$AD:$AD,MATCH($E74,Lists!$AC:$AC,0)),1)</f>
        <v>400671.4</v>
      </c>
    </row>
    <row r="75">
      <c r="B75" s="1530" t="str">
        <f>INDEX('REVIEW - Complete Role Mapping'!$B:$B,224)</f>
        <v>Remya Pookat</v>
      </c>
      <c r="C75" s="1530" t="str">
        <f>INDEX('REVIEW - Complete Role Mapping'!$C:$C,224)</f>
        <v>Lead - Change &amp; Release Management</v>
      </c>
      <c r="D75" s="1530" t="str">
        <f>INDEX('REVIEW - Complete Role Mapping'!$AK:$AK,224)</f>
        <v>Filled</v>
      </c>
      <c r="E75" s="1547" t="inlineStr">
        <is>
          <t>Filled</t>
        </is>
      </c>
      <c r="F75" s="1773">
        <f>INDEX('REVIEW - Complete Role Mapping'!$AA:$AA,224)</f>
        <v>220875.75</v>
      </c>
      <c r="G75" s="1773">
        <f>$F75*IFERROR(INDEX(Lists!$AD:$AD,MATCH($E75,Lists!$AC:$AC,0)),1)</f>
        <v>220875.75</v>
      </c>
    </row>
    <row r="76">
      <c r="B76" s="1530" t="str">
        <f>INDEX('REVIEW - Complete Role Mapping'!$B:$B,225)</f>
        <v>Ritika Salaria</v>
      </c>
      <c r="C76" s="1530" t="str">
        <f>INDEX('REVIEW - Complete Role Mapping'!$C:$C,225)</f>
        <v>Configuration Analyst</v>
      </c>
      <c r="D76" s="1530" t="str">
        <f>INDEX('REVIEW - Complete Role Mapping'!$AK:$AK,225)</f>
        <v>Filled</v>
      </c>
      <c r="E76" s="1547" t="inlineStr">
        <is>
          <t>Filled</t>
        </is>
      </c>
      <c r="F76" s="1773">
        <f>INDEX('REVIEW - Complete Role Mapping'!$AA:$AA,225)</f>
        <v>173106.6</v>
      </c>
      <c r="G76" s="1773">
        <f>$F76*IFERROR(INDEX(Lists!$AD:$AD,MATCH($E76,Lists!$AC:$AC,0)),1)</f>
        <v>173106.6</v>
      </c>
    </row>
    <row r="77">
      <c r="B77" s="1530" t="str">
        <f>INDEX('REVIEW - Complete Role Mapping'!$B:$B,229)</f>
        <v>Spoilagi Bhutwala</v>
      </c>
      <c r="C77" s="1530" t="str">
        <f>INDEX('REVIEW - Complete Role Mapping'!$C:$C,229)</f>
        <v>Tech Support Technician</v>
      </c>
      <c r="D77" s="1530" t="str">
        <f>INDEX('REVIEW - Complete Role Mapping'!$AK:$AK,229)</f>
        <v>Filled</v>
      </c>
      <c r="E77" s="1547" t="inlineStr">
        <is>
          <t>Filled</t>
        </is>
      </c>
      <c r="F77" s="1773">
        <f>INDEX('REVIEW - Complete Role Mapping'!$AA:$AA,229)</f>
        <v>97237.784</v>
      </c>
      <c r="G77" s="1773">
        <f>$F77*IFERROR(INDEX(Lists!$AD:$AD,MATCH($E77,Lists!$AC:$AC,0)),1)</f>
        <v>97237.784</v>
      </c>
    </row>
    <row r="78">
      <c r="B78" s="1530" t="str">
        <f>INDEX('REVIEW - Complete Role Mapping'!$B:$B,233)</f>
        <v>Vacant</v>
      </c>
      <c r="C78" s="1530" t="str">
        <f>INDEX('REVIEW - Complete Role Mapping'!$C:$C,233)</f>
        <v>Lead - Problem Management</v>
      </c>
      <c r="D78" s="1530" t="str">
        <f>INDEX('REVIEW - Complete Role Mapping'!$AK:$AK,233)</f>
        <v>Vacant</v>
      </c>
      <c r="E78" s="1547" t="inlineStr">
        <is>
          <t>Hire</t>
        </is>
      </c>
      <c r="F78" s="1773">
        <f>INDEX('REVIEW - Complete Role Mapping'!$AA:$AA,233)</f>
        <v>170489.75</v>
      </c>
      <c r="G78" s="1773">
        <f>$F78*IFERROR(INDEX(Lists!$AD:$AD,MATCH($E78,Lists!$AC:$AC,0)),1)</f>
        <v>170489.75</v>
      </c>
    </row>
    <row r="79">
      <c r="B79" s="1530" t="str">
        <f>INDEX('REVIEW - Complete Role Mapping'!$B:$B,234)</f>
        <v>Vacant</v>
      </c>
      <c r="C79" s="1530" t="str">
        <f>INDEX('REVIEW - Complete Role Mapping'!$C:$C,234)</f>
        <v>Lead - Asset &amp; Configuration</v>
      </c>
      <c r="D79" s="1530" t="str">
        <f>INDEX('REVIEW - Complete Role Mapping'!$AK:$AK,234)</f>
        <v>Vacant</v>
      </c>
      <c r="E79" s="1547" t="inlineStr">
        <is>
          <t>Hire</t>
        </is>
      </c>
      <c r="F79" s="1773">
        <f>INDEX('REVIEW - Complete Role Mapping'!$AA:$AA,234)</f>
        <v>202853.25</v>
      </c>
      <c r="G79" s="1773">
        <f>$F79*IFERROR(INDEX(Lists!$AD:$AD,MATCH($E79,Lists!$AC:$AC,0)),1)</f>
        <v>202853.25</v>
      </c>
    </row>
    <row r="80">
      <c r="B80" s="1530" t="str">
        <f>INDEX('REVIEW - Complete Role Mapping'!$B:$B,235)</f>
        <v>Vacant</v>
      </c>
      <c r="C80" s="1530" t="str">
        <f>INDEX('REVIEW - Complete Role Mapping'!$C:$C,235)</f>
        <v>Lead - Service Performance &amp; Insights</v>
      </c>
      <c r="D80" s="1530" t="str">
        <f>INDEX('REVIEW - Complete Role Mapping'!$AK:$AK,235)</f>
        <v>Vacant</v>
      </c>
      <c r="E80" s="1547" t="inlineStr">
        <is>
          <t>Hire</t>
        </is>
      </c>
      <c r="F80" s="1773">
        <f>INDEX('REVIEW - Complete Role Mapping'!$AA:$AA,235)</f>
        <v>202853.25</v>
      </c>
      <c r="G80" s="1773">
        <f>$F80*IFERROR(INDEX(Lists!$AD:$AD,MATCH($E80,Lists!$AC:$AC,0)),1)</f>
        <v>202853.25</v>
      </c>
    </row>
    <row r="81">
      <c r="B81" s="1530" t="str">
        <f>INDEX('REVIEW - Complete Role Mapping'!$B:$B,236)</f>
        <v>Vacant</v>
      </c>
      <c r="C81" s="1530" t="str">
        <f>INDEX('REVIEW - Complete Role Mapping'!$C:$C,236)</f>
        <v>Tech Support Technician</v>
      </c>
      <c r="D81" s="1530" t="str">
        <f>INDEX('REVIEW - Complete Role Mapping'!$AK:$AK,236)</f>
        <v>Vacant</v>
      </c>
      <c r="E81" s="1547" t="inlineStr">
        <is>
          <t>Hire</t>
        </is>
      </c>
      <c r="F81" s="1773">
        <f>INDEX('REVIEW - Complete Role Mapping'!$AA:$AA,236)</f>
        <v>122571.75</v>
      </c>
      <c r="G81" s="1773">
        <f>$F81*IFERROR(INDEX(Lists!$AD:$AD,MATCH($E81,Lists!$AC:$AC,0)),1)</f>
        <v>122571.75</v>
      </c>
    </row>
  </sheetData>
  <dataValidations count="1">
    <dataValidation sqref="E32 E33 E34 E35 E36 E38 E39 E41 E42 E43 E44 E45 E47 E48 E49 E50 E51 E52 E53 E54 E55 E56 E57 E58 E59 E61 E62 E63 E64 E65 E66 E67 E68 E69 E70 E71 E72 E73 E74 E75 E76 E77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Commercial</t>
        </is>
      </c>
      <c r="C12" s="1530" t="str">
        <f>"-"</f>
        <v>-</v>
      </c>
      <c r="D12" s="1530" t="str">
        <f>"-"</f>
        <v>-</v>
      </c>
      <c r="E12" s="1538" t="str">
        <f>"-"</f>
        <v>-</v>
      </c>
      <c r="F12" s="1773">
        <f>COUNTA($B$30:$B$33)</f>
        <v>4</v>
      </c>
      <c r="G12" s="1773">
        <f>COUNTIFS($D$30:$D$33,"Filled")</f>
        <v>3</v>
      </c>
      <c r="H12" s="1773">
        <f>COUNTIFS($D$30:$D$33,"Vacant")</f>
        <v>1</v>
      </c>
      <c r="I12" s="1773">
        <f>COUNTIFS($D$30:$D$33,"Vacant",$E$30:$E$33,"Hire")</f>
        <v>1</v>
      </c>
      <c r="J12" s="1773">
        <f>COUNTIFS($E$30:$E$33,"Offshore")</f>
        <v>0</v>
      </c>
      <c r="K12" s="1773">
        <f>COUNTIFS($E$30:$E$33,"Hold")</f>
        <v>0</v>
      </c>
      <c r="L12" s="1773">
        <f>$F12-$K12</f>
        <v>4</v>
      </c>
      <c r="M12" s="1772">
        <f>$N12</f>
        <v>0.979014192</v>
      </c>
      <c r="N12" s="1772">
        <f>SUMIFS('REVIEW - Complete Role Mapping'!$AA$2:$AA$528,'REVIEW - Complete Role Mapping'!$AJ$2:$AJ$528,$C$3,'REVIEW - Complete Role Mapping'!$AT$2:$AT$528,$B12)/1000000</f>
        <v>0.979014192</v>
      </c>
      <c r="O12" s="1772">
        <f>ROUND($N12-$M12,6)</f>
        <v>0</v>
      </c>
      <c r="P12" s="1772">
        <f>SUM($G$30:$G$33)/1000000</f>
        <v>0.979014192</v>
      </c>
      <c r="Q12" s="1772">
        <f>ROUND($P12-$M12,6)</f>
        <v>0</v>
      </c>
    </row>
    <row r="13">
      <c r="B13" s="1530" t="inlineStr">
        <is>
          <t>TDD Business Partner</t>
        </is>
      </c>
      <c r="C13" s="1530" t="str">
        <f>"-"</f>
        <v>-</v>
      </c>
      <c r="D13" s="1530" t="str">
        <f>"-"</f>
        <v>-</v>
      </c>
      <c r="E13" s="1538" t="str">
        <f>"-"</f>
        <v>-</v>
      </c>
      <c r="F13" s="1773">
        <f>COUNTA($B$35:$B$40)</f>
        <v>6</v>
      </c>
      <c r="G13" s="1773">
        <f>COUNTIFS($D$35:$D$40,"Filled")</f>
        <v>6</v>
      </c>
      <c r="H13" s="1773">
        <f>COUNTIFS($D$35:$D$40,"Vacant")</f>
        <v>0</v>
      </c>
      <c r="I13" s="1773">
        <f>COUNTIFS($D$35:$D$40,"Vacant",$E$35:$E$40,"Hire")</f>
        <v>0</v>
      </c>
      <c r="J13" s="1773">
        <f>COUNTIFS($E$35:$E$40,"Offshore")</f>
        <v>0</v>
      </c>
      <c r="K13" s="1773">
        <f>COUNTIFS($E$35:$E$40,"Hold")</f>
        <v>0</v>
      </c>
      <c r="L13" s="1773">
        <f>$F13-$K13</f>
        <v>6</v>
      </c>
      <c r="M13" s="1772">
        <f>$N13</f>
        <v>2.3135484</v>
      </c>
      <c r="N13" s="1772">
        <f>SUMIFS('REVIEW - Complete Role Mapping'!$AA$2:$AA$528,'REVIEW - Complete Role Mapping'!$AJ$2:$AJ$528,$C$3,'REVIEW - Complete Role Mapping'!$AT$2:$AT$528,$B13)/1000000</f>
        <v>2.3135484</v>
      </c>
      <c r="O13" s="1772">
        <f>ROUND($N13-$M13,6)</f>
        <v>0</v>
      </c>
      <c r="P13" s="1772">
        <f>SUM($G$35:$G$40)/1000000</f>
        <v>2.3135484</v>
      </c>
      <c r="Q13" s="1772">
        <f>ROUND($P13-$M13,6)</f>
        <v>0</v>
      </c>
    </row>
    <row r="14">
      <c r="B14" s="1530" t="inlineStr">
        <is>
          <t>Transformation</t>
        </is>
      </c>
      <c r="C14" s="1530" t="str">
        <f>"-"</f>
        <v>-</v>
      </c>
      <c r="D14" s="1530" t="str">
        <f>"-"</f>
        <v>-</v>
      </c>
      <c r="E14" s="1538" t="str">
        <f>"-"</f>
        <v>-</v>
      </c>
      <c r="F14" s="1773">
        <f>COUNTA($B$42:$B$55)</f>
        <v>14</v>
      </c>
      <c r="G14" s="1773">
        <f>COUNTIFS($D$42:$D$55,"Filled")</f>
        <v>6</v>
      </c>
      <c r="H14" s="1773">
        <f>COUNTIFS($D$42:$D$55,"Vacant")</f>
        <v>8</v>
      </c>
      <c r="I14" s="1773">
        <f>COUNTIFS($D$42:$D$55,"Vacant",$E$42:$E$55,"Hire")</f>
        <v>8</v>
      </c>
      <c r="J14" s="1773">
        <f>COUNTIFS($E$42:$E$55,"Offshore")</f>
        <v>0</v>
      </c>
      <c r="K14" s="1773">
        <f>COUNTIFS($E$42:$E$55,"Hold")</f>
        <v>0</v>
      </c>
      <c r="L14" s="1773">
        <f>$F14-$K14</f>
        <v>14</v>
      </c>
      <c r="M14" s="1772">
        <f>$N14</f>
        <v>3.10799923</v>
      </c>
      <c r="N14" s="1772">
        <f>SUMIFS('REVIEW - Complete Role Mapping'!$AA$2:$AA$528,'REVIEW - Complete Role Mapping'!$AJ$2:$AJ$528,$C$3,'REVIEW - Complete Role Mapping'!$AT$2:$AT$528,$B14)/1000000</f>
        <v>3.10799923</v>
      </c>
      <c r="O14" s="1772">
        <f>ROUND($N14-$M14,6)</f>
        <v>0</v>
      </c>
      <c r="P14" s="1772">
        <f>SUM($G$42:$G$55)/1000000</f>
        <v>3.10799923</v>
      </c>
      <c r="Q14" s="1772">
        <f>ROUND($P14-$M14,6)</f>
        <v>0</v>
      </c>
    </row>
    <row r="15">
      <c r="B15" s="1534" t="inlineStr">
        <is>
          <t>Directly funded total</t>
        </is>
      </c>
      <c r="C15" s="1534" t="n"/>
      <c r="D15" s="1534" t="n"/>
      <c r="E15" s="1783">
        <f>SUM(E12:E14)</f>
        <v>0</v>
      </c>
      <c r="F15" s="1775">
        <f>SUM(F12:F14)</f>
        <v>24</v>
      </c>
      <c r="G15" s="1775">
        <f>SUM(G12:G14)</f>
        <v>15</v>
      </c>
      <c r="H15" s="1775">
        <f>SUM(H12:H14)</f>
        <v>9</v>
      </c>
      <c r="I15" s="1775">
        <f>SUM(I12:I14)</f>
        <v>9</v>
      </c>
      <c r="J15" s="1775">
        <f>SUM(J12:J14)</f>
        <v>0</v>
      </c>
      <c r="K15" s="1775">
        <f>SUM(K12:K14)</f>
        <v>0</v>
      </c>
      <c r="L15" s="1775">
        <f>SUM(L12:L14)</f>
        <v>24</v>
      </c>
      <c r="M15" s="1774">
        <f>SUM(M12:M14)</f>
        <v>6.400561822</v>
      </c>
      <c r="N15" s="1774">
        <f>SUM(N12:N14)</f>
        <v>6.400561822</v>
      </c>
      <c r="O15" s="1774">
        <f>SUM(O12:O14)</f>
        <v>0</v>
      </c>
      <c r="P15" s="1774">
        <f>SUM(P12:P14)</f>
        <v>6.400561822</v>
      </c>
      <c r="Q15" s="1774">
        <f>SUM(Q12:Q14)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None</t>
        </is>
      </c>
      <c r="C19" s="1530" t="inlineStr">
        <is>
          <t>The COEs carry no overhead</t>
        </is>
      </c>
      <c r="D19" s="1548" t="str">
        <f>"-"</f>
        <v>-</v>
      </c>
      <c r="E19" s="1548" t="str">
        <f>"-"</f>
        <v>-</v>
      </c>
      <c r="F19" s="1548" t="str">
        <f>"-"</f>
        <v>-</v>
      </c>
      <c r="G19" s="1548" t="str">
        <f>"-"</f>
        <v>-</v>
      </c>
      <c r="H19" s="1548" t="str">
        <f>"-"</f>
        <v>-</v>
      </c>
      <c r="I19" s="1548" t="str">
        <f>"-"</f>
        <v>-</v>
      </c>
      <c r="J19" s="1548" t="str">
        <f>"-"</f>
        <v>-</v>
      </c>
      <c r="K19" s="1548" t="str">
        <f>"-"</f>
        <v>-</v>
      </c>
      <c r="L19" s="1548" t="str">
        <f>"-"</f>
        <v>-</v>
      </c>
      <c r="M19" s="1548" t="str">
        <f>"-"</f>
        <v>-</v>
      </c>
      <c r="N19" s="1548" t="str">
        <f>"-"</f>
        <v>-</v>
      </c>
      <c r="O19" s="1548" t="str">
        <f>"-"</f>
        <v>-</v>
      </c>
      <c r="P19" s="1548" t="str">
        <f>"-"</f>
        <v>-</v>
      </c>
      <c r="Q19" s="1548" t="str">
        <f>"-"</f>
        <v>-</v>
      </c>
    </row>
    <row r="20">
      <c r="B20" s="1534" t="inlineStr">
        <is>
          <t>Overhead roles total</t>
        </is>
      </c>
      <c r="C20" s="1534" t="n"/>
      <c r="D20" s="1534" t="n"/>
      <c r="E20" s="1783">
        <f>SUM(E19:E19)</f>
        <v>0</v>
      </c>
      <c r="F20" s="1775">
        <f>SUM(F19:F19)</f>
        <v>0</v>
      </c>
      <c r="G20" s="1775">
        <f>SUM(G19:G19)</f>
        <v>0</v>
      </c>
      <c r="H20" s="1775">
        <f>SUM(H19:H19)</f>
        <v>0</v>
      </c>
      <c r="I20" s="1775">
        <f>SUM(I19:I19)</f>
        <v>0</v>
      </c>
      <c r="J20" s="1775">
        <f>SUM(J19:J19)</f>
        <v>0</v>
      </c>
      <c r="K20" s="1775">
        <f>SUM(K19:K19)</f>
        <v>0</v>
      </c>
      <c r="L20" s="1775">
        <f>SUM(L19:L19)</f>
        <v>0</v>
      </c>
      <c r="M20" s="1774">
        <f>SUM(M19:M19)</f>
        <v>0</v>
      </c>
      <c r="N20" s="1774">
        <f>SUM(N19:N19)</f>
        <v>0</v>
      </c>
      <c r="O20" s="1774">
        <f>SUM(O19:O19)</f>
        <v>0</v>
      </c>
      <c r="P20" s="1774">
        <f>SUM(P19:P19)</f>
        <v>0</v>
      </c>
      <c r="Q20" s="1774">
        <f>SUM(Q19:Q19)</f>
        <v>0</v>
      </c>
    </row>
    <row r="21"/>
    <row r="22">
      <c r="B22" s="1539" t="inlineStr">
        <is>
          <t>Total portfolio</t>
        </is>
      </c>
      <c r="C22" s="1539" t="n"/>
      <c r="D22" s="1539" t="n"/>
      <c r="E22" s="1784">
        <f>N(E8)+N(E15)+N(E20)</f>
        <v>0</v>
      </c>
      <c r="F22" s="1777">
        <f>N(F8)+N(F15)+N(F20)</f>
        <v>24</v>
      </c>
      <c r="G22" s="1777">
        <f>N(G8)+N(G15)+N(G20)</f>
        <v>15</v>
      </c>
      <c r="H22" s="1777">
        <f>N(H8)+N(H15)+N(H20)</f>
        <v>9</v>
      </c>
      <c r="I22" s="1777">
        <f>N(I8)+N(I15)+N(I20)</f>
        <v>9</v>
      </c>
      <c r="J22" s="1777">
        <f>N(J8)+N(J15)+N(J20)</f>
        <v>0</v>
      </c>
      <c r="K22" s="1777">
        <f>N(K8)+N(K15)+N(K20)</f>
        <v>0</v>
      </c>
      <c r="L22" s="1777">
        <f>N(L8)+N(L15)+N(L20)</f>
        <v>24</v>
      </c>
      <c r="M22" s="1776">
        <f>N(M8)+N(M15)+N(M20)</f>
        <v>6.400561822</v>
      </c>
      <c r="N22" s="1776">
        <f>N(N8)+N(N15)+N(N20)</f>
        <v>6.400561822</v>
      </c>
      <c r="O22" s="1776">
        <f>N(O8)+N(O15)+N(O20)</f>
        <v>0</v>
      </c>
      <c r="P22" s="1776">
        <f>N(P8)+N(P15)+N(P20)</f>
        <v>6.400561822</v>
      </c>
      <c r="Q22" s="1776">
        <f>N(Q8)+N(Q15)+N(Q20)</f>
        <v>0</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COE BP&amp;T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45" t="inlineStr">
        <is>
          <t>Commercial</t>
        </is>
      </c>
      <c r="C29" s="1545" t="str">
        <f>COUNTA($B$30:$B$33)&amp;IF(COUNTA($B$30:$B$33)=1," role"," roles")</f>
        <v>4 roles</v>
      </c>
      <c r="D29" s="1545" t="n"/>
      <c r="E29" s="1545" t="n"/>
      <c r="F29" s="1785">
        <f>SUM(F30:F33)</f>
        <v>979014.192</v>
      </c>
      <c r="G29" s="1785">
        <f>SUM(G30:G33)</f>
        <v>979014.192</v>
      </c>
    </row>
    <row r="30">
      <c r="B30" s="1530" t="str">
        <f>INDEX('REVIEW - Complete Role Mapping'!$B:$B,255)</f>
        <v>Briony Scott</v>
      </c>
      <c r="C30" s="1530" t="str">
        <f>INDEX('REVIEW - Complete Role Mapping'!$C:$C,255)</f>
        <v>Service &amp; Contract Specialist AU</v>
      </c>
      <c r="D30" s="1530" t="str">
        <f>INDEX('REVIEW - Complete Role Mapping'!$AK:$AK,255)</f>
        <v>Filled</v>
      </c>
      <c r="E30" s="1547" t="inlineStr">
        <is>
          <t>Filled</t>
        </is>
      </c>
      <c r="F30" s="1773">
        <f>INDEX('REVIEW - Complete Role Mapping'!$AA:$AA,255)</f>
        <v>205056</v>
      </c>
      <c r="G30" s="1773">
        <f>$F30*IFERROR(INDEX(Lists!$AD:$AD,MATCH($E30,Lists!$AC:$AC,0)),1)</f>
        <v>205056</v>
      </c>
    </row>
    <row r="31">
      <c r="B31" s="1530" t="str">
        <f>INDEX('REVIEW - Complete Role Mapping'!$B:$B,257)</f>
        <v>Helen Ngu</v>
      </c>
      <c r="C31" s="1530" t="str">
        <f>INDEX('REVIEW - Complete Role Mapping'!$C:$C,257)</f>
        <v>Service &amp; Contract Specialist NZ</v>
      </c>
      <c r="D31" s="1530" t="str">
        <f>INDEX('REVIEW - Complete Role Mapping'!$AK:$AK,257)</f>
        <v>Filled</v>
      </c>
      <c r="E31" s="1547" t="inlineStr">
        <is>
          <t>Filled</t>
        </is>
      </c>
      <c r="F31" s="1773">
        <f>INDEX('REVIEW - Complete Role Mapping'!$AA:$AA,257)</f>
        <v>151002.492</v>
      </c>
      <c r="G31" s="1773">
        <f>$F31*IFERROR(INDEX(Lists!$AD:$AD,MATCH($E31,Lists!$AC:$AC,0)),1)</f>
        <v>151002.492</v>
      </c>
    </row>
    <row r="32">
      <c r="B32" s="1530" t="str">
        <f>INDEX('REVIEW - Complete Role Mapping'!$B:$B,258)</f>
        <v>Jane Esclandra</v>
      </c>
      <c r="C32" s="1530" t="str">
        <f>INDEX('REVIEW - Complete Role Mapping'!$C:$C,258)</f>
        <v>Software Asset Specialist</v>
      </c>
      <c r="D32" s="1530" t="str">
        <f>INDEX('REVIEW - Complete Role Mapping'!$AK:$AK,258)</f>
        <v>Filled</v>
      </c>
      <c r="E32" s="1547" t="inlineStr">
        <is>
          <t>Filled</t>
        </is>
      </c>
      <c r="F32" s="1773">
        <f>INDEX('REVIEW - Complete Role Mapping'!$AA:$AA,258)</f>
        <v>183455.7</v>
      </c>
      <c r="G32" s="1773">
        <f>$F32*IFERROR(INDEX(Lists!$AD:$AD,MATCH($E32,Lists!$AC:$AC,0)),1)</f>
        <v>183455.7</v>
      </c>
    </row>
    <row r="33">
      <c r="B33" s="1530" t="str">
        <f>INDEX('REVIEW - Complete Role Mapping'!$B:$B,269)</f>
        <v>Vacant</v>
      </c>
      <c r="C33" s="1530" t="str">
        <f>INDEX('REVIEW - Complete Role Mapping'!$C:$C,269)</f>
        <v>Commercial Director</v>
      </c>
      <c r="D33" s="1530" t="str">
        <f>INDEX('REVIEW - Complete Role Mapping'!$AK:$AK,269)</f>
        <v>Vacant</v>
      </c>
      <c r="E33" s="1547" t="inlineStr">
        <is>
          <t>Hire</t>
        </is>
      </c>
      <c r="F33" s="1773">
        <f>INDEX('REVIEW - Complete Role Mapping'!$AA:$AA,269)</f>
        <v>439500</v>
      </c>
      <c r="G33" s="1773">
        <f>$F33*IFERROR(INDEX(Lists!$AD:$AD,MATCH($E33,Lists!$AC:$AC,0)),1)</f>
        <v>439500</v>
      </c>
    </row>
    <row r="34">
      <c r="B34" s="1545" t="inlineStr">
        <is>
          <t>TDD Business Partner</t>
        </is>
      </c>
      <c r="C34" s="1545" t="str">
        <f>COUNTA($B$35:$B$40)&amp;IF(COUNTA($B$35:$B$40)=1," role"," roles")</f>
        <v>6 roles</v>
      </c>
      <c r="D34" s="1545" t="n"/>
      <c r="E34" s="1545" t="n"/>
      <c r="F34" s="1785">
        <f>SUM(F35:F40)</f>
        <v>2313548.4</v>
      </c>
      <c r="G34" s="1785">
        <f>SUM(G35:G40)</f>
        <v>2313548.4</v>
      </c>
    </row>
    <row r="35">
      <c r="B35" s="1530" t="str">
        <f>INDEX('REVIEW - Complete Role Mapping'!$B:$B,256)</f>
        <v>Conli Mills</v>
      </c>
      <c r="C35" s="1530" t="str">
        <f>INDEX('REVIEW - Complete Role Mapping'!$C:$C,256)</f>
        <v>TDD BP - Infrastructure</v>
      </c>
      <c r="D35" s="1530" t="str">
        <f>INDEX('REVIEW - Complete Role Mapping'!$AK:$AK,256)</f>
        <v>Filled</v>
      </c>
      <c r="E35" s="1547" t="inlineStr">
        <is>
          <t>Filled</t>
        </is>
      </c>
      <c r="F35" s="1773">
        <f>INDEX('REVIEW - Complete Role Mapping'!$AA:$AA,256)</f>
        <v>297150</v>
      </c>
      <c r="G35" s="1773">
        <f>$F35*IFERROR(INDEX(Lists!$AD:$AD,MATCH($E35,Lists!$AC:$AC,0)),1)</f>
        <v>297150</v>
      </c>
    </row>
    <row r="36">
      <c r="B36" s="1530" t="str">
        <f>INDEX('REVIEW - Complete Role Mapping'!$B:$B,261)</f>
        <v>Malcolm Deare</v>
      </c>
      <c r="C36" s="1530" t="str">
        <f>INDEX('REVIEW - Complete Role Mapping'!$C:$C,261)</f>
        <v>TDD BP, Group Functions</v>
      </c>
      <c r="D36" s="1530" t="str">
        <f>INDEX('REVIEW - Complete Role Mapping'!$AK:$AK,261)</f>
        <v>Filled</v>
      </c>
      <c r="E36" s="1547" t="inlineStr">
        <is>
          <t>Filled</t>
        </is>
      </c>
      <c r="F36" s="1773">
        <f>INDEX('REVIEW - Complete Role Mapping'!$AA:$AA,261)</f>
        <v>298100</v>
      </c>
      <c r="G36" s="1773">
        <f>$F36*IFERROR(INDEX(Lists!$AD:$AD,MATCH($E36,Lists!$AC:$AC,0)),1)</f>
        <v>298100</v>
      </c>
    </row>
    <row r="37">
      <c r="B37" s="1530" t="str">
        <f>INDEX('REVIEW - Complete Role Mapping'!$B:$B,264)</f>
        <v>Neil Reilly</v>
      </c>
      <c r="C37" s="1530" t="str">
        <f>INDEX('REVIEW - Complete Role Mapping'!$C:$C,264)</f>
        <v>TDD BP - T&amp;S</v>
      </c>
      <c r="D37" s="1530" t="str">
        <f>INDEX('REVIEW - Complete Role Mapping'!$AK:$AK,264)</f>
        <v>Filled</v>
      </c>
      <c r="E37" s="1547" t="inlineStr">
        <is>
          <t>Filled</t>
        </is>
      </c>
      <c r="F37" s="1773">
        <f>INDEX('REVIEW - Complete Role Mapping'!$AA:$AA,264)</f>
        <v>666087.5</v>
      </c>
      <c r="G37" s="1773">
        <f>$F37*IFERROR(INDEX(Lists!$AD:$AD,MATCH($E37,Lists!$AC:$AC,0)),1)</f>
        <v>666087.5</v>
      </c>
    </row>
    <row r="38">
      <c r="B38" s="1530" t="str">
        <f>INDEX('REVIEW - Complete Role Mapping'!$B:$B,267)</f>
        <v>Shelley Crawford</v>
      </c>
      <c r="C38" s="1530" t="str">
        <f>INDEX('REVIEW - Complete Role Mapping'!$C:$C,267)</f>
        <v>TDD BP - Z</v>
      </c>
      <c r="D38" s="1530" t="str">
        <f>INDEX('REVIEW - Complete Role Mapping'!$AK:$AK,267)</f>
        <v>Filled</v>
      </c>
      <c r="E38" s="1547" t="inlineStr">
        <is>
          <t>Filled</t>
        </is>
      </c>
      <c r="F38" s="1773">
        <f>INDEX('REVIEW - Complete Role Mapping'!$AA:$AA,267)</f>
        <v>291422</v>
      </c>
      <c r="G38" s="1773">
        <f>$F38*IFERROR(INDEX(Lists!$AD:$AD,MATCH($E38,Lists!$AC:$AC,0)),1)</f>
        <v>291422</v>
      </c>
    </row>
    <row r="39">
      <c r="B39" s="1530" t="str">
        <f>INDEX('REVIEW - Complete Role Mapping'!$B:$B,268)</f>
        <v>Thomas Reid</v>
      </c>
      <c r="C39" s="1530" t="str">
        <f>INDEX('REVIEW - Complete Role Mapping'!$C:$C,268)</f>
        <v>TDD BP - Retail &amp; Customer - Store Digital</v>
      </c>
      <c r="D39" s="1530" t="str">
        <f>INDEX('REVIEW - Complete Role Mapping'!$AK:$AK,268)</f>
        <v>Filled</v>
      </c>
      <c r="E39" s="1547" t="inlineStr">
        <is>
          <t>Filled</t>
        </is>
      </c>
      <c r="F39" s="1773">
        <f>INDEX('REVIEW - Complete Role Mapping'!$AA:$AA,268)</f>
        <v>417425</v>
      </c>
      <c r="G39" s="1773">
        <f>$F39*IFERROR(INDEX(Lists!$AD:$AD,MATCH($E39,Lists!$AC:$AC,0)),1)</f>
        <v>417425</v>
      </c>
    </row>
    <row r="40">
      <c r="B40" s="1530" t="str">
        <f>INDEX('REVIEW - Complete Role Mapping'!$B:$B,278)</f>
        <v>Vaughn Scott</v>
      </c>
      <c r="C40" s="1530" t="str">
        <f>INDEX('REVIEW - Complete Role Mapping'!$C:$C,278)</f>
        <v>TDD BP - ES</v>
      </c>
      <c r="D40" s="1530" t="str">
        <f>INDEX('REVIEW - Complete Role Mapping'!$AK:$AK,278)</f>
        <v>Filled</v>
      </c>
      <c r="E40" s="1547" t="inlineStr">
        <is>
          <t>Filled</t>
        </is>
      </c>
      <c r="F40" s="1773">
        <f>INDEX('REVIEW - Complete Role Mapping'!$AA:$AA,278)</f>
        <v>343363.9</v>
      </c>
      <c r="G40" s="1773">
        <f>$F40*IFERROR(INDEX(Lists!$AD:$AD,MATCH($E40,Lists!$AC:$AC,0)),1)</f>
        <v>343363.9</v>
      </c>
    </row>
    <row r="41">
      <c r="B41" s="1545" t="inlineStr">
        <is>
          <t>Transformation</t>
        </is>
      </c>
      <c r="C41" s="1545" t="str">
        <f>COUNTA($B$42:$B$55)&amp;IF(COUNTA($B$42:$B$55)=1," role"," roles")</f>
        <v>14 roles</v>
      </c>
      <c r="D41" s="1545" t="n"/>
      <c r="E41" s="1545" t="n"/>
      <c r="F41" s="1785">
        <f>SUM(F42:F55)</f>
        <v>3107999.23</v>
      </c>
      <c r="G41" s="1785">
        <f>SUM(G42:G55)</f>
        <v>3107999.23</v>
      </c>
    </row>
    <row r="42">
      <c r="B42" s="1530" t="str">
        <f>INDEX('REVIEW - Complete Role Mapping'!$B:$B,259)</f>
        <v>Jeannie Chu</v>
      </c>
      <c r="C42" s="1530" t="str">
        <f>INDEX('REVIEW - Complete Role Mapping'!$C:$C,259)</f>
        <v>Snr Finance Support Administrator</v>
      </c>
      <c r="D42" s="1530" t="str">
        <f>INDEX('REVIEW - Complete Role Mapping'!$AK:$AK,259)</f>
        <v>Filled</v>
      </c>
      <c r="E42" s="1547" t="inlineStr">
        <is>
          <t>Filled</t>
        </is>
      </c>
      <c r="F42" s="1773">
        <f>INDEX('REVIEW - Complete Role Mapping'!$AA:$AA,259)</f>
        <v>147687.65</v>
      </c>
      <c r="G42" s="1773">
        <f>$F42*IFERROR(INDEX(Lists!$AD:$AD,MATCH($E42,Lists!$AC:$AC,0)),1)</f>
        <v>147687.65</v>
      </c>
    </row>
    <row r="43">
      <c r="B43" s="1530" t="str">
        <f>INDEX('REVIEW - Complete Role Mapping'!$B:$B,260)</f>
        <v>Jenny Chan</v>
      </c>
      <c r="C43" s="1530" t="str">
        <f>INDEX('REVIEW - Complete Role Mapping'!$C:$C,260)</f>
        <v>Project Finance Lead</v>
      </c>
      <c r="D43" s="1530" t="str">
        <f>INDEX('REVIEW - Complete Role Mapping'!$AK:$AK,260)</f>
        <v>Filled</v>
      </c>
      <c r="E43" s="1547" t="inlineStr">
        <is>
          <t>Filled</t>
        </is>
      </c>
      <c r="F43" s="1773">
        <f>INDEX('REVIEW - Complete Role Mapping'!$AA:$AA,260)</f>
        <v>206124</v>
      </c>
      <c r="G43" s="1773">
        <f>$F43*IFERROR(INDEX(Lists!$AD:$AD,MATCH($E43,Lists!$AC:$AC,0)),1)</f>
        <v>206124</v>
      </c>
    </row>
    <row r="44">
      <c r="B44" s="1530" t="str">
        <f>INDEX('REVIEW - Complete Role Mapping'!$B:$B,262)</f>
        <v>Maria Somera</v>
      </c>
      <c r="C44" s="1530" t="str">
        <f>INDEX('REVIEW - Complete Role Mapping'!$C:$C,262)</f>
        <v>Technology Finance Analyst</v>
      </c>
      <c r="D44" s="1530" t="str">
        <f>INDEX('REVIEW - Complete Role Mapping'!$AK:$AK,262)</f>
        <v>Filled</v>
      </c>
      <c r="E44" s="1547" t="inlineStr">
        <is>
          <t>Filled</t>
        </is>
      </c>
      <c r="F44" s="1773">
        <f>INDEX('REVIEW - Complete Role Mapping'!$AA:$AA,262)</f>
        <v>179313.4</v>
      </c>
      <c r="G44" s="1773">
        <f>$F44*IFERROR(INDEX(Lists!$AD:$AD,MATCH($E44,Lists!$AC:$AC,0)),1)</f>
        <v>179313.4</v>
      </c>
    </row>
    <row r="45">
      <c r="B45" s="1530" t="str">
        <f>INDEX('REVIEW - Complete Role Mapping'!$B:$B,263)</f>
        <v>Matt Saunders</v>
      </c>
      <c r="C45" s="1530" t="str">
        <f>INDEX('REVIEW - Complete Role Mapping'!$C:$C,263)</f>
        <v>Scrum Master</v>
      </c>
      <c r="D45" s="1530" t="str">
        <f>INDEX('REVIEW - Complete Role Mapping'!$AK:$AK,263)</f>
        <v>Filled</v>
      </c>
      <c r="E45" s="1547" t="inlineStr">
        <is>
          <t>Filled</t>
        </is>
      </c>
      <c r="F45" s="1773">
        <f>INDEX('REVIEW - Complete Role Mapping'!$AA:$AA,263)</f>
        <v>147754.8</v>
      </c>
      <c r="G45" s="1773">
        <f>$F45*IFERROR(INDEX(Lists!$AD:$AD,MATCH($E45,Lists!$AC:$AC,0)),1)</f>
        <v>147754.8</v>
      </c>
    </row>
    <row r="46">
      <c r="B46" s="1530" t="str">
        <f>INDEX('REVIEW - Complete Role Mapping'!$B:$B,265)</f>
        <v>Ruth Chou</v>
      </c>
      <c r="C46" s="1530" t="str">
        <f>INDEX('REVIEW - Complete Role Mapping'!$C:$C,265)</f>
        <v>Portfolio Reporting Manager</v>
      </c>
      <c r="D46" s="1530" t="str">
        <f>INDEX('REVIEW - Complete Role Mapping'!$AK:$AK,265)</f>
        <v>Filled</v>
      </c>
      <c r="E46" s="1547" t="inlineStr">
        <is>
          <t>Filled</t>
        </is>
      </c>
      <c r="F46" s="1773">
        <f>INDEX('REVIEW - Complete Role Mapping'!$AA:$AA,265)</f>
        <v>293316.85</v>
      </c>
      <c r="G46" s="1773">
        <f>$F46*IFERROR(INDEX(Lists!$AD:$AD,MATCH($E46,Lists!$AC:$AC,0)),1)</f>
        <v>293316.85</v>
      </c>
    </row>
    <row r="47">
      <c r="B47" s="1530" t="str">
        <f>INDEX('REVIEW - Complete Role Mapping'!$B:$B,266)</f>
        <v>Sam Chan</v>
      </c>
      <c r="C47" s="1530" t="str">
        <f>INDEX('REVIEW - Complete Role Mapping'!$C:$C,266)</f>
        <v>FinOps Manager</v>
      </c>
      <c r="D47" s="1530" t="str">
        <f>INDEX('REVIEW - Complete Role Mapping'!$AK:$AK,266)</f>
        <v>Filled</v>
      </c>
      <c r="E47" s="1547" t="inlineStr">
        <is>
          <t>Filled</t>
        </is>
      </c>
      <c r="F47" s="1773">
        <f>INDEX('REVIEW - Complete Role Mapping'!$AA:$AA,266)</f>
        <v>225788.55</v>
      </c>
      <c r="G47" s="1773">
        <f>$F47*IFERROR(INDEX(Lists!$AD:$AD,MATCH($E47,Lists!$AC:$AC,0)),1)</f>
        <v>225788.55</v>
      </c>
    </row>
    <row r="48">
      <c r="B48" s="1530" t="str">
        <f>INDEX('REVIEW - Complete Role Mapping'!$B:$B,270)</f>
        <v>Vacant</v>
      </c>
      <c r="C48" s="1530" t="str">
        <f>INDEX('REVIEW - Complete Role Mapping'!$C:$C,270)</f>
        <v>Head of Transformation</v>
      </c>
      <c r="D48" s="1530" t="str">
        <f>INDEX('REVIEW - Complete Role Mapping'!$AK:$AK,270)</f>
        <v>Vacant</v>
      </c>
      <c r="E48" s="1547" t="inlineStr">
        <is>
          <t>Hire</t>
        </is>
      </c>
      <c r="F48" s="1773">
        <f>INDEX('REVIEW - Complete Role Mapping'!$AA:$AA,270)</f>
        <v>367900</v>
      </c>
      <c r="G48" s="1773">
        <f>$F48*IFERROR(INDEX(Lists!$AD:$AD,MATCH($E48,Lists!$AC:$AC,0)),1)</f>
        <v>367900</v>
      </c>
    </row>
    <row r="49">
      <c r="B49" s="1530" t="str">
        <f>INDEX('REVIEW - Complete Role Mapping'!$B:$B,271)</f>
        <v>Vacant</v>
      </c>
      <c r="C49" s="1530" t="str">
        <f>INDEX('REVIEW - Complete Role Mapping'!$C:$C,271)</f>
        <v>Delivery Systems Analyst</v>
      </c>
      <c r="D49" s="1530" t="str">
        <f>INDEX('REVIEW - Complete Role Mapping'!$AK:$AK,271)</f>
        <v>Vacant</v>
      </c>
      <c r="E49" s="1547" t="inlineStr">
        <is>
          <t>Hire</t>
        </is>
      </c>
      <c r="F49" s="1773">
        <f>INDEX('REVIEW - Complete Role Mapping'!$AA:$AA,271)</f>
        <v>202853.25</v>
      </c>
      <c r="G49" s="1773">
        <f>$F49*IFERROR(INDEX(Lists!$AD:$AD,MATCH($E49,Lists!$AC:$AC,0)),1)</f>
        <v>202853.25</v>
      </c>
    </row>
    <row r="50">
      <c r="B50" s="1530" t="str">
        <f>INDEX('REVIEW - Complete Role Mapping'!$B:$B,272)</f>
        <v>Vacant</v>
      </c>
      <c r="C50" s="1530" t="str">
        <f>INDEX('REVIEW - Complete Role Mapping'!$C:$C,272)</f>
        <v>Business Analysis Practice Lead</v>
      </c>
      <c r="D50" s="1530" t="str">
        <f>INDEX('REVIEW - Complete Role Mapping'!$AK:$AK,272)</f>
        <v>Vacant</v>
      </c>
      <c r="E50" s="1547" t="inlineStr">
        <is>
          <t>Hire</t>
        </is>
      </c>
      <c r="F50" s="1773">
        <f>INDEX('REVIEW - Complete Role Mapping'!$AA:$AA,272)</f>
        <v>231689.25</v>
      </c>
      <c r="G50" s="1773">
        <f>$F50*IFERROR(INDEX(Lists!$AD:$AD,MATCH($E50,Lists!$AC:$AC,0)),1)</f>
        <v>231689.25</v>
      </c>
    </row>
    <row r="51">
      <c r="B51" s="1530" t="str">
        <f>INDEX('REVIEW - Complete Role Mapping'!$B:$B,273)</f>
        <v>Vacant</v>
      </c>
      <c r="C51" s="1530" t="str">
        <f>INDEX('REVIEW - Complete Role Mapping'!$C:$C,273)</f>
        <v>Delivery Assurance Manager</v>
      </c>
      <c r="D51" s="1530" t="str">
        <f>INDEX('REVIEW - Complete Role Mapping'!$AK:$AK,273)</f>
        <v>Vacant</v>
      </c>
      <c r="E51" s="1547" t="inlineStr">
        <is>
          <t>Hire</t>
        </is>
      </c>
      <c r="F51" s="1773">
        <f>INDEX('REVIEW - Complete Role Mapping'!$AA:$AA,273)</f>
        <v>275810.25</v>
      </c>
      <c r="G51" s="1773">
        <f>$F51*IFERROR(INDEX(Lists!$AD:$AD,MATCH($E51,Lists!$AC:$AC,0)),1)</f>
        <v>275810.25</v>
      </c>
    </row>
    <row r="52">
      <c r="B52" s="1530" t="str">
        <f>INDEX('REVIEW - Complete Role Mapping'!$B:$B,274)</f>
        <v>Vacant</v>
      </c>
      <c r="C52" s="1530" t="str">
        <f>INDEX('REVIEW - Complete Role Mapping'!$C:$C,274)</f>
        <v>Delivery Capacity &amp; Assurance Lead</v>
      </c>
      <c r="D52" s="1530" t="str">
        <f>INDEX('REVIEW - Complete Role Mapping'!$AK:$AK,274)</f>
        <v>Vacant</v>
      </c>
      <c r="E52" s="1547" t="inlineStr">
        <is>
          <t>Hire</t>
        </is>
      </c>
      <c r="F52" s="1773">
        <f>INDEX('REVIEW - Complete Role Mapping'!$AA:$AA,274)</f>
        <v>231689.25</v>
      </c>
      <c r="G52" s="1773">
        <f>$F52*IFERROR(INDEX(Lists!$AD:$AD,MATCH($E52,Lists!$AC:$AC,0)),1)</f>
        <v>231689.25</v>
      </c>
    </row>
    <row r="53">
      <c r="B53" s="1530" t="str">
        <f>INDEX('REVIEW - Complete Role Mapping'!$B:$B,275)</f>
        <v>Vacant</v>
      </c>
      <c r="C53" s="1530" t="str">
        <f>INDEX('REVIEW - Complete Role Mapping'!$C:$C,275)</f>
        <v>Delivery Excellence Manager</v>
      </c>
      <c r="D53" s="1530" t="str">
        <f>INDEX('REVIEW - Complete Role Mapping'!$AK:$AK,275)</f>
        <v>Vacant</v>
      </c>
      <c r="E53" s="1547" t="inlineStr">
        <is>
          <t>Hire</t>
        </is>
      </c>
      <c r="F53" s="1773">
        <f>INDEX('REVIEW - Complete Role Mapping'!$AA:$AA,275)</f>
        <v>275810.25</v>
      </c>
      <c r="G53" s="1773">
        <f>$F53*IFERROR(INDEX(Lists!$AD:$AD,MATCH($E53,Lists!$AC:$AC,0)),1)</f>
        <v>275810.25</v>
      </c>
    </row>
    <row r="54">
      <c r="B54" s="1530" t="str">
        <f>INDEX('REVIEW - Complete Role Mapping'!$B:$B,276)</f>
        <v>Vacant</v>
      </c>
      <c r="C54" s="1530" t="str">
        <f>INDEX('REVIEW - Complete Role Mapping'!$C:$C,276)</f>
        <v>Scrum Master</v>
      </c>
      <c r="D54" s="1530" t="str">
        <f>INDEX('REVIEW - Complete Role Mapping'!$AK:$AK,276)</f>
        <v>Vacant</v>
      </c>
      <c r="E54" s="1547" t="inlineStr">
        <is>
          <t>Hire</t>
        </is>
      </c>
      <c r="F54" s="1773">
        <f>INDEX('REVIEW - Complete Role Mapping'!$AA:$AA,276)</f>
        <v>151771.98</v>
      </c>
      <c r="G54" s="1773">
        <f>$F54*IFERROR(INDEX(Lists!$AD:$AD,MATCH($E54,Lists!$AC:$AC,0)),1)</f>
        <v>151771.98</v>
      </c>
    </row>
    <row r="55">
      <c r="B55" s="1530" t="str">
        <f>INDEX('REVIEW - Complete Role Mapping'!$B:$B,277)</f>
        <v>Vacant</v>
      </c>
      <c r="C55" s="1530" t="str">
        <f>INDEX('REVIEW - Complete Role Mapping'!$C:$C,277)</f>
        <v>Portfolio Analyst</v>
      </c>
      <c r="D55" s="1530" t="str">
        <f>INDEX('REVIEW - Complete Role Mapping'!$AK:$AK,277)</f>
        <v>Vacant</v>
      </c>
      <c r="E55" s="1547" t="inlineStr">
        <is>
          <t>Hire</t>
        </is>
      </c>
      <c r="F55" s="1773">
        <f>INDEX('REVIEW - Complete Role Mapping'!$AA:$AA,277)</f>
        <v>170489.75</v>
      </c>
      <c r="G55" s="1773">
        <f>$F55*IFERROR(INDEX(Lists!$AD:$AD,MATCH($E55,Lists!$AC:$AC,0)),1)</f>
        <v>170489.75</v>
      </c>
    </row>
  </sheetData>
  <dataValidations count="1">
    <dataValidation sqref="E30 E31 E32 E33 E35 E36 E37 E38 E39 E40 E42 E43 E44 E45 E46 E47 E48 E49 E50 E51 E52 E53 E54 E5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61"/>
  <sheetViews>
    <sheetView showFormulas="0" showGridLines="0" showRowColHeaders="1" showZeros="1" rightToLeft="0" tabSelected="0" showOutlineSymbols="1" defaultGridColor="1" view="normal" topLeftCell="A1" colorId="64" zoomScale="60" zoomScaleNormal="6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Architecture</t>
        </is>
      </c>
      <c r="C12" s="1530" t="str">
        <f>"-"</f>
        <v>-</v>
      </c>
      <c r="D12" s="1530" t="str">
        <f>"-"</f>
        <v>-</v>
      </c>
      <c r="E12" s="1538" t="str">
        <f>"-"</f>
        <v>-</v>
      </c>
      <c r="F12" s="1773">
        <f>COUNTA($B$32:$B$38)</f>
        <v>7</v>
      </c>
      <c r="G12" s="1773">
        <f>COUNTIFS($D$32:$D$38,"Filled")</f>
        <v>7</v>
      </c>
      <c r="H12" s="1773">
        <f>COUNTIFS($D$32:$D$38,"Vacant")</f>
        <v>0</v>
      </c>
      <c r="I12" s="1773">
        <f>COUNTIFS($D$32:$D$38,"Vacant",$E$32:$E$38,"Hire")</f>
        <v>0</v>
      </c>
      <c r="J12" s="1773">
        <f>COUNTIFS($E$32:$E$38,"Offshore")</f>
        <v>0</v>
      </c>
      <c r="K12" s="1773">
        <f>COUNTIFS($E$32:$E$38,"Hold")</f>
        <v>0</v>
      </c>
      <c r="L12" s="1773">
        <f>$F12-$K12</f>
        <v>7</v>
      </c>
      <c r="M12" s="1772">
        <f>$N12</f>
        <v>1.664746536</v>
      </c>
      <c r="N12" s="1772">
        <f>SUMIFS('REVIEW - Complete Role Mapping'!$AA$2:$AA$528,'REVIEW - Complete Role Mapping'!$AJ$2:$AJ$528,$C$3,'REVIEW - Complete Role Mapping'!$AT$2:$AT$528,$B12)/1000000</f>
        <v>1.664746536</v>
      </c>
      <c r="O12" s="1772">
        <f>ROUND($N12-$M12,6)</f>
        <v>0</v>
      </c>
      <c r="P12" s="1772">
        <f>SUM($G$32:$G$38)/1000000</f>
        <v>1.664746536</v>
      </c>
      <c r="Q12" s="1772">
        <f>ROUND($P12-$M12,6)</f>
        <v>0</v>
      </c>
    </row>
    <row r="13">
      <c r="B13" s="1530" t="inlineStr">
        <is>
          <t>Data Platforms</t>
        </is>
      </c>
      <c r="C13" s="1530" t="str">
        <f>"-"</f>
        <v>-</v>
      </c>
      <c r="D13" s="1530" t="str">
        <f>"-"</f>
        <v>-</v>
      </c>
      <c r="E13" s="1538" t="str">
        <f>"-"</f>
        <v>-</v>
      </c>
      <c r="F13" s="1773">
        <f>COUNTA($B$40:$B$40)</f>
        <v>1</v>
      </c>
      <c r="G13" s="1773">
        <f>COUNTIFS($D$40:$D$40,"Filled")</f>
        <v>1</v>
      </c>
      <c r="H13" s="1773">
        <f>COUNTIFS($D$40:$D$40,"Vacant")</f>
        <v>0</v>
      </c>
      <c r="I13" s="1773">
        <f>COUNTIFS($D$40:$D$40,"Vacant",$E$40:$E$40,"Hire")</f>
        <v>0</v>
      </c>
      <c r="J13" s="1773">
        <f>COUNTIFS($E$40:$E$40,"Offshore")</f>
        <v>0</v>
      </c>
      <c r="K13" s="1773">
        <f>COUNTIFS($E$40:$E$40,"Hold")</f>
        <v>0</v>
      </c>
      <c r="L13" s="1773">
        <f>$F13-$K13</f>
        <v>1</v>
      </c>
      <c r="M13" s="1772">
        <f>$N13</f>
        <v>0.2655849</v>
      </c>
      <c r="N13" s="1772">
        <f>SUMIFS('REVIEW - Complete Role Mapping'!$AA$2:$AA$528,'REVIEW - Complete Role Mapping'!$AJ$2:$AJ$528,$C$3,'REVIEW - Complete Role Mapping'!$AT$2:$AT$528,$B13)/1000000</f>
        <v>0.2655849</v>
      </c>
      <c r="O13" s="1772">
        <f>ROUND($N13-$M13,6)</f>
        <v>0</v>
      </c>
      <c r="P13" s="1772">
        <f>SUM($G$40:$G$40)/1000000</f>
        <v>0.2655849</v>
      </c>
      <c r="Q13" s="1772">
        <f>ROUND($P13-$M13,6)</f>
        <v>0</v>
      </c>
    </row>
    <row r="14">
      <c r="B14" s="1530" t="inlineStr">
        <is>
          <t>Group Data</t>
        </is>
      </c>
      <c r="C14" s="1530" t="str">
        <f>"-"</f>
        <v>-</v>
      </c>
      <c r="D14" s="1530" t="str">
        <f>"-"</f>
        <v>-</v>
      </c>
      <c r="E14" s="1538" t="str">
        <f>"-"</f>
        <v>-</v>
      </c>
      <c r="F14" s="1773">
        <f>COUNTA($B$42:$B$50)</f>
        <v>9</v>
      </c>
      <c r="G14" s="1773">
        <f>COUNTIFS($D$42:$D$50,"Filled")</f>
        <v>7</v>
      </c>
      <c r="H14" s="1773">
        <f>COUNTIFS($D$42:$D$50,"Vacant")</f>
        <v>2</v>
      </c>
      <c r="I14" s="1773">
        <f>COUNTIFS($D$42:$D$50,"Vacant",$E$42:$E$50,"Hire")</f>
        <v>2</v>
      </c>
      <c r="J14" s="1773">
        <f>COUNTIFS($E$42:$E$50,"Offshore")</f>
        <v>0</v>
      </c>
      <c r="K14" s="1773">
        <f>COUNTIFS($E$42:$E$50,"Hold")</f>
        <v>0</v>
      </c>
      <c r="L14" s="1773">
        <f>$F14-$K14</f>
        <v>9</v>
      </c>
      <c r="M14" s="1772">
        <f>$N14</f>
        <v>2.305292066</v>
      </c>
      <c r="N14" s="1772">
        <f>SUMIFS('REVIEW - Complete Role Mapping'!$AA$2:$AA$528,'REVIEW - Complete Role Mapping'!$AJ$2:$AJ$528,$C$3,'REVIEW - Complete Role Mapping'!$AT$2:$AT$528,$B14)/1000000</f>
        <v>2.305292066</v>
      </c>
      <c r="O14" s="1772">
        <f>ROUND($N14-$M14,6)</f>
        <v>0</v>
      </c>
      <c r="P14" s="1772">
        <f>SUM($G$42:$G$50)/1000000</f>
        <v>2.305292066</v>
      </c>
      <c r="Q14" s="1772">
        <f>ROUND($P14-$M14,6)</f>
        <v>0</v>
      </c>
    </row>
    <row r="15">
      <c r="B15" s="1530" t="inlineStr">
        <is>
          <t>Leadership</t>
        </is>
      </c>
      <c r="C15" s="1530" t="str">
        <f>"-"</f>
        <v>-</v>
      </c>
      <c r="D15" s="1530" t="str">
        <f>"-"</f>
        <v>-</v>
      </c>
      <c r="E15" s="1538" t="str">
        <f>"-"</f>
        <v>-</v>
      </c>
      <c r="F15" s="1773">
        <f>COUNTA($B$52:$B$55)</f>
        <v>4</v>
      </c>
      <c r="G15" s="1773">
        <f>COUNTIFS($D$52:$D$55,"Filled")</f>
        <v>1</v>
      </c>
      <c r="H15" s="1773">
        <f>COUNTIFS($D$52:$D$55,"Vacant")</f>
        <v>3</v>
      </c>
      <c r="I15" s="1773">
        <f>COUNTIFS($D$52:$D$55,"Vacant",$E$52:$E$55,"Hire")</f>
        <v>3</v>
      </c>
      <c r="J15" s="1773">
        <f>COUNTIFS($E$52:$E$55,"Offshore")</f>
        <v>0</v>
      </c>
      <c r="K15" s="1773">
        <f>COUNTIFS($E$52:$E$55,"Hold")</f>
        <v>0</v>
      </c>
      <c r="L15" s="1773">
        <f>$F15-$K15</f>
        <v>4</v>
      </c>
      <c r="M15" s="1772">
        <f>$N15</f>
        <v>1.2239818</v>
      </c>
      <c r="N15" s="1772">
        <f>SUMIFS('REVIEW - Complete Role Mapping'!$AA$2:$AA$528,'REVIEW - Complete Role Mapping'!$AJ$2:$AJ$528,$C$3,'REVIEW - Complete Role Mapping'!$AT$2:$AT$528,$B15)/1000000</f>
        <v>1.2239818</v>
      </c>
      <c r="O15" s="1772">
        <f>ROUND($N15-$M15,6)</f>
        <v>0</v>
      </c>
      <c r="P15" s="1772">
        <f>SUM($G$52:$G$55)/1000000</f>
        <v>1.2239818</v>
      </c>
      <c r="Q15" s="1772">
        <f>ROUND($P15-$M15,6)</f>
        <v>0</v>
      </c>
    </row>
    <row r="16">
      <c r="B16" s="1530" t="inlineStr">
        <is>
          <t>Technology Strategy &amp; AI Capability</t>
        </is>
      </c>
      <c r="C16" s="1530" t="str">
        <f>"-"</f>
        <v>-</v>
      </c>
      <c r="D16" s="1530" t="str">
        <f>"-"</f>
        <v>-</v>
      </c>
      <c r="E16" s="1538" t="str">
        <f>"-"</f>
        <v>-</v>
      </c>
      <c r="F16" s="1773">
        <f>COUNTA($B$57:$B$61)</f>
        <v>5</v>
      </c>
      <c r="G16" s="1773">
        <f>COUNTIFS($D$57:$D$61,"Filled")</f>
        <v>1</v>
      </c>
      <c r="H16" s="1773">
        <f>COUNTIFS($D$57:$D$61,"Vacant")</f>
        <v>4</v>
      </c>
      <c r="I16" s="1773">
        <f>COUNTIFS($D$57:$D$61,"Vacant",$E$57:$E$61,"Hire")</f>
        <v>4</v>
      </c>
      <c r="J16" s="1773">
        <f>COUNTIFS($E$57:$E$61,"Offshore")</f>
        <v>0</v>
      </c>
      <c r="K16" s="1773">
        <f>COUNTIFS($E$57:$E$61,"Hold")</f>
        <v>0</v>
      </c>
      <c r="L16" s="1773">
        <f>$F16-$K16</f>
        <v>5</v>
      </c>
      <c r="M16" s="1772">
        <f>$N16</f>
        <v>1.06988875</v>
      </c>
      <c r="N16" s="1772">
        <f>SUMIFS('REVIEW - Complete Role Mapping'!$AA$2:$AA$528,'REVIEW - Complete Role Mapping'!$AJ$2:$AJ$528,$C$3,'REVIEW - Complete Role Mapping'!$AT$2:$AT$528,$B16)/1000000</f>
        <v>1.06988875</v>
      </c>
      <c r="O16" s="1772">
        <f>ROUND($N16-$M16,6)</f>
        <v>0</v>
      </c>
      <c r="P16" s="1772">
        <f>SUM($G$57:$G$61)/1000000</f>
        <v>1.06988875</v>
      </c>
      <c r="Q16" s="1772">
        <f>ROUND($P16-$M16,6)</f>
        <v>0</v>
      </c>
    </row>
    <row r="17">
      <c r="B17" s="1534" t="inlineStr">
        <is>
          <t>Directly funded total</t>
        </is>
      </c>
      <c r="C17" s="1534" t="n"/>
      <c r="D17" s="1534" t="n"/>
      <c r="E17" s="1783">
        <f>SUM(E12:E16)</f>
        <v>0</v>
      </c>
      <c r="F17" s="1775">
        <f>SUM(F12:F16)</f>
        <v>26</v>
      </c>
      <c r="G17" s="1775">
        <f>SUM(G12:G16)</f>
        <v>17</v>
      </c>
      <c r="H17" s="1775">
        <f>SUM(H12:H16)</f>
        <v>9</v>
      </c>
      <c r="I17" s="1775">
        <f>SUM(I12:I16)</f>
        <v>9</v>
      </c>
      <c r="J17" s="1775">
        <f>SUM(J12:J16)</f>
        <v>0</v>
      </c>
      <c r="K17" s="1775">
        <f>SUM(K12:K16)</f>
        <v>0</v>
      </c>
      <c r="L17" s="1775">
        <f>SUM(L12:L16)</f>
        <v>26</v>
      </c>
      <c r="M17" s="1774">
        <f>SUM(M12:M16)</f>
        <v>6.529494052</v>
      </c>
      <c r="N17" s="1774">
        <f>SUM(N12:N16)</f>
        <v>6.529494052</v>
      </c>
      <c r="O17" s="1774">
        <f>SUM(O12:O16)</f>
        <v>0</v>
      </c>
      <c r="P17" s="1774">
        <f>SUM(P12:P16)</f>
        <v>6.529494052</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26</v>
      </c>
      <c r="G24" s="1777">
        <f>N(G8)+N(G17)+N(G22)</f>
        <v>17</v>
      </c>
      <c r="H24" s="1777">
        <f>N(H8)+N(H17)+N(H22)</f>
        <v>9</v>
      </c>
      <c r="I24" s="1777">
        <f>N(I8)+N(I17)+N(I22)</f>
        <v>9</v>
      </c>
      <c r="J24" s="1777">
        <f>N(J8)+N(J17)+N(J22)</f>
        <v>0</v>
      </c>
      <c r="K24" s="1777">
        <f>N(K8)+N(K17)+N(K22)</f>
        <v>0</v>
      </c>
      <c r="L24" s="1777">
        <f>N(L8)+N(L17)+N(L22)</f>
        <v>26</v>
      </c>
      <c r="M24" s="1776">
        <f>N(M8)+N(M17)+N(M22)</f>
        <v>6.529494052</v>
      </c>
      <c r="N24" s="1776">
        <f>N(N8)+N(N17)+N(N22)</f>
        <v>6.529494052</v>
      </c>
      <c r="O24" s="1776">
        <f>N(O8)+N(O17)+N(O22)</f>
        <v>0</v>
      </c>
      <c r="P24" s="1776">
        <f>N(P8)+N(P17)+N(P22)</f>
        <v>6.529494052</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SA&amp;D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Architecture</t>
        </is>
      </c>
      <c r="C31" s="1545" t="str">
        <f>COUNTA($B$32:$B$38)&amp;IF(COUNTA($B$32:$B$38)=1," role"," roles")</f>
        <v>7 roles</v>
      </c>
      <c r="D31" s="1545" t="n"/>
      <c r="E31" s="1545" t="n"/>
      <c r="F31" s="1785">
        <f>SUM(F32:F38)</f>
        <v>1664746.536</v>
      </c>
      <c r="G31" s="1785">
        <f>SUM(G32:G38)</f>
        <v>1664746.536</v>
      </c>
    </row>
    <row r="32">
      <c r="B32" s="1530" t="str">
        <f>INDEX('REVIEW - Complete Role Mapping'!$B:$B,282)</f>
        <v>Craig Ambrose</v>
      </c>
      <c r="C32" s="1530" t="str">
        <f>INDEX('REVIEW - Complete Role Mapping'!$C:$C,282)</f>
        <v>Domain Architect - Group Functions</v>
      </c>
      <c r="D32" s="1530" t="str">
        <f>INDEX('REVIEW - Complete Role Mapping'!$AK:$AK,282)</f>
        <v>Filled</v>
      </c>
      <c r="E32" s="1547" t="inlineStr">
        <is>
          <t>Filled</t>
        </is>
      </c>
      <c r="F32" s="1773">
        <f>INDEX('REVIEW - Complete Role Mapping'!$AA:$AA,282)</f>
        <v>242741.304</v>
      </c>
      <c r="G32" s="1773">
        <f>$F32*IFERROR(INDEX(Lists!$AD:$AD,MATCH($E32,Lists!$AC:$AC,0)),1)</f>
        <v>242741.304</v>
      </c>
    </row>
    <row r="33">
      <c r="B33" s="1530" t="str">
        <f>INDEX('REVIEW - Complete Role Mapping'!$B:$B,288)</f>
        <v>John Forde</v>
      </c>
      <c r="C33" s="1530" t="str">
        <f>INDEX('REVIEW - Complete Role Mapping'!$C:$C,288)</f>
        <v>Enterprise Architect</v>
      </c>
      <c r="D33" s="1530" t="str">
        <f>INDEX('REVIEW - Complete Role Mapping'!$AK:$AK,288)</f>
        <v>Filled</v>
      </c>
      <c r="E33" s="1547" t="inlineStr">
        <is>
          <t>Filled</t>
        </is>
      </c>
      <c r="F33" s="1773">
        <f>INDEX('REVIEW - Complete Role Mapping'!$AA:$AA,288)</f>
        <v>214270.248</v>
      </c>
      <c r="G33" s="1773">
        <f>$F33*IFERROR(INDEX(Lists!$AD:$AD,MATCH($E33,Lists!$AC:$AC,0)),1)</f>
        <v>214270.248</v>
      </c>
    </row>
    <row r="34">
      <c r="B34" s="1530" t="str">
        <f>INDEX('REVIEW - Complete Role Mapping'!$B:$B,292)</f>
        <v>Mike Gilbert</v>
      </c>
      <c r="C34" s="1530" t="str">
        <f>INDEX('REVIEW - Complete Role Mapping'!$C:$C,292)</f>
        <v>Domain Architect - CFE &amp; Infrastructure </v>
      </c>
      <c r="D34" s="1530" t="str">
        <f>INDEX('REVIEW - Complete Role Mapping'!$AK:$AK,292)</f>
        <v>Filled</v>
      </c>
      <c r="E34" s="1547" t="inlineStr">
        <is>
          <t>Filled</t>
        </is>
      </c>
      <c r="F34" s="1773">
        <f>INDEX('REVIEW - Complete Role Mapping'!$AA:$AA,292)</f>
        <v>236856.984</v>
      </c>
      <c r="G34" s="1773">
        <f>$F34*IFERROR(INDEX(Lists!$AD:$AD,MATCH($E34,Lists!$AC:$AC,0)),1)</f>
        <v>236856.984</v>
      </c>
    </row>
    <row r="35">
      <c r="B35" s="1530" t="str">
        <f>INDEX('REVIEW - Complete Role Mapping'!$B:$B,302)</f>
        <v>ring fenced</v>
      </c>
      <c r="C35" s="1530" t="str">
        <f>INDEX('REVIEW - Complete Role Mapping'!$C:$C,302)</f>
        <v>Enterprise Architect</v>
      </c>
      <c r="D35" s="1530" t="str">
        <f>INDEX('REVIEW - Complete Role Mapping'!$AK:$AK,302)</f>
        <v>Filled</v>
      </c>
      <c r="E35" s="1547" t="inlineStr">
        <is>
          <t>Filled</t>
        </is>
      </c>
      <c r="F35" s="1773">
        <f>INDEX('REVIEW - Complete Role Mapping'!$AA:$AA,302)</f>
        <v>275810.25</v>
      </c>
      <c r="G35" s="1773">
        <f>$F35*IFERROR(INDEX(Lists!$AD:$AD,MATCH($E35,Lists!$AC:$AC,0)),1)</f>
        <v>275810.25</v>
      </c>
    </row>
    <row r="36">
      <c r="B36" s="1530" t="str">
        <f>INDEX('REVIEW - Complete Role Mapping'!$B:$B,303)</f>
        <v>ring fenced</v>
      </c>
      <c r="C36" s="1530" t="str">
        <f>INDEX('REVIEW - Complete Role Mapping'!$C:$C,303)</f>
        <v>Domain Architect - Customer &amp; Digital Tech</v>
      </c>
      <c r="D36" s="1530" t="str">
        <f>INDEX('REVIEW - Complete Role Mapping'!$AK:$AK,303)</f>
        <v>Filled</v>
      </c>
      <c r="E36" s="1547" t="inlineStr">
        <is>
          <t>Filled</t>
        </is>
      </c>
      <c r="F36" s="1773">
        <f>INDEX('REVIEW - Complete Role Mapping'!$AA:$AA,303)</f>
        <v>231689.25</v>
      </c>
      <c r="G36" s="1773">
        <f>$F36*IFERROR(INDEX(Lists!$AD:$AD,MATCH($E36,Lists!$AC:$AC,0)),1)</f>
        <v>231689.25</v>
      </c>
    </row>
    <row r="37">
      <c r="B37" s="1530" t="str">
        <f>INDEX('REVIEW - Complete Role Mapping'!$B:$B,304)</f>
        <v>ring fenced</v>
      </c>
      <c r="C37" s="1530" t="str">
        <f>INDEX('REVIEW - Complete Role Mapping'!$C:$C,304)</f>
        <v>Domain Architect - Retail &amp; Z</v>
      </c>
      <c r="D37" s="1530" t="str">
        <f>INDEX('REVIEW - Complete Role Mapping'!$AK:$AK,304)</f>
        <v>Filled</v>
      </c>
      <c r="E37" s="1547" t="inlineStr">
        <is>
          <t>Filled</t>
        </is>
      </c>
      <c r="F37" s="1773">
        <f>INDEX('REVIEW - Complete Role Mapping'!$AA:$AA,304)</f>
        <v>231689.25</v>
      </c>
      <c r="G37" s="1773">
        <f>$F37*IFERROR(INDEX(Lists!$AD:$AD,MATCH($E37,Lists!$AC:$AC,0)),1)</f>
        <v>231689.25</v>
      </c>
    </row>
    <row r="38">
      <c r="B38" s="1530" t="str">
        <f>INDEX('REVIEW - Complete Role Mapping'!$B:$B,305)</f>
        <v>ring fenced</v>
      </c>
      <c r="C38" s="1530" t="str">
        <f>INDEX('REVIEW - Complete Role Mapping'!$C:$C,305)</f>
        <v>Domain Architect - TDD</v>
      </c>
      <c r="D38" s="1530" t="str">
        <f>INDEX('REVIEW - Complete Role Mapping'!$AK:$AK,305)</f>
        <v>Filled</v>
      </c>
      <c r="E38" s="1547" t="inlineStr">
        <is>
          <t>Filled</t>
        </is>
      </c>
      <c r="F38" s="1773">
        <f>INDEX('REVIEW - Complete Role Mapping'!$AA:$AA,305)</f>
        <v>231689.25</v>
      </c>
      <c r="G38" s="1773">
        <f>$F38*IFERROR(INDEX(Lists!$AD:$AD,MATCH($E38,Lists!$AC:$AC,0)),1)</f>
        <v>231689.25</v>
      </c>
    </row>
    <row r="39">
      <c r="B39" s="1545" t="inlineStr">
        <is>
          <t>Data Platforms</t>
        </is>
      </c>
      <c r="C39" s="1545" t="str">
        <f>COUNTA($B$40:$B$40)&amp;IF(COUNTA($B$40:$B$40)=1," role"," roles")</f>
        <v>1 role</v>
      </c>
      <c r="D39" s="1545" t="n"/>
      <c r="E39" s="1545" t="n"/>
      <c r="F39" s="1785">
        <f>SUM(F40:F40)</f>
        <v>265584.9</v>
      </c>
      <c r="G39" s="1785">
        <f>SUM(G40:G40)</f>
        <v>265584.9</v>
      </c>
    </row>
    <row r="40">
      <c r="B40" s="1530" t="str">
        <f>INDEX('REVIEW - Complete Role Mapping'!$B:$B,293)</f>
        <v>Milan Patel</v>
      </c>
      <c r="C40" s="1530" t="str">
        <f>INDEX('REVIEW - Complete Role Mapping'!$C:$C,293)</f>
        <v>Platform Architect</v>
      </c>
      <c r="D40" s="1530" t="str">
        <f>INDEX('REVIEW - Complete Role Mapping'!$AK:$AK,293)</f>
        <v>Filled</v>
      </c>
      <c r="E40" s="1547" t="inlineStr">
        <is>
          <t>Filled</t>
        </is>
      </c>
      <c r="F40" s="1773">
        <f>INDEX('REVIEW - Complete Role Mapping'!$AA:$AA,293)</f>
        <v>265584.9</v>
      </c>
      <c r="G40" s="1773">
        <f>$F40*IFERROR(INDEX(Lists!$AD:$AD,MATCH($E40,Lists!$AC:$AC,0)),1)</f>
        <v>265584.9</v>
      </c>
    </row>
    <row r="41">
      <c r="B41" s="1545" t="inlineStr">
        <is>
          <t>Group Data</t>
        </is>
      </c>
      <c r="C41" s="1545" t="str">
        <f>COUNTA($B$42:$B$50)&amp;IF(COUNTA($B$42:$B$50)=1," role"," roles")</f>
        <v>9 roles</v>
      </c>
      <c r="D41" s="1545" t="n"/>
      <c r="E41" s="1545" t="n"/>
      <c r="F41" s="1785">
        <f>SUM(F42:F50)</f>
        <v>2305292.066</v>
      </c>
      <c r="G41" s="1785">
        <f>SUM(G42:G50)</f>
        <v>2305292.066</v>
      </c>
    </row>
    <row r="42">
      <c r="B42" s="1530" t="str">
        <f>INDEX('REVIEW - Complete Role Mapping'!$B:$B,283)</f>
        <v>Deepali Mahajan</v>
      </c>
      <c r="C42" s="1530" t="str">
        <f>INDEX('REVIEW - Complete Role Mapping'!$C:$C,283)</f>
        <v>Data Operations Manager</v>
      </c>
      <c r="D42" s="1530" t="str">
        <f>INDEX('REVIEW - Complete Role Mapping'!$AK:$AK,283)</f>
        <v>Filled</v>
      </c>
      <c r="E42" s="1547" t="inlineStr">
        <is>
          <t>Filled</t>
        </is>
      </c>
      <c r="F42" s="1773">
        <f>INDEX('REVIEW - Complete Role Mapping'!$AA:$AA,283)</f>
        <v>295918.45</v>
      </c>
      <c r="G42" s="1773">
        <f>$F42*IFERROR(INDEX(Lists!$AD:$AD,MATCH($E42,Lists!$AC:$AC,0)),1)</f>
        <v>295918.45</v>
      </c>
    </row>
    <row r="43">
      <c r="B43" s="1530" t="str">
        <f>INDEX('REVIEW - Complete Role Mapping'!$B:$B,291)</f>
        <v>Lynn Yiew</v>
      </c>
      <c r="C43" s="1530" t="str">
        <f>INDEX('REVIEW - Complete Role Mapping'!$C:$C,291)</f>
        <v>Data Governance Specialist</v>
      </c>
      <c r="D43" s="1530" t="str">
        <f>INDEX('REVIEW - Complete Role Mapping'!$AK:$AK,291)</f>
        <v>Filled</v>
      </c>
      <c r="E43" s="1547" t="inlineStr">
        <is>
          <t>Filled</t>
        </is>
      </c>
      <c r="F43" s="1773">
        <f>INDEX('REVIEW - Complete Role Mapping'!$AA:$AA,291)</f>
        <v>149746.416</v>
      </c>
      <c r="G43" s="1773">
        <f>$F43*IFERROR(INDEX(Lists!$AD:$AD,MATCH($E43,Lists!$AC:$AC,0)),1)</f>
        <v>149746.416</v>
      </c>
    </row>
    <row r="44">
      <c r="B44" s="1530" t="str">
        <f>INDEX('REVIEW - Complete Role Mapping'!$B:$B,294)</f>
        <v>Mitchell Clarke</v>
      </c>
      <c r="C44" s="1530" t="str">
        <f>INDEX('REVIEW - Complete Role Mapping'!$C:$C,294)</f>
        <v>Snr Data Governance Specialist</v>
      </c>
      <c r="D44" s="1530" t="str">
        <f>INDEX('REVIEW - Complete Role Mapping'!$AK:$AK,294)</f>
        <v>Filled</v>
      </c>
      <c r="E44" s="1547" t="inlineStr">
        <is>
          <t>Filled</t>
        </is>
      </c>
      <c r="F44" s="1773">
        <f>INDEX('REVIEW - Complete Role Mapping'!$AA:$AA,294)</f>
        <v>225988.8</v>
      </c>
      <c r="G44" s="1773">
        <f>$F44*IFERROR(INDEX(Lists!$AD:$AD,MATCH($E44,Lists!$AC:$AC,0)),1)</f>
        <v>225988.8</v>
      </c>
    </row>
    <row r="45">
      <c r="B45" s="1530" t="str">
        <f>INDEX('REVIEW - Complete Role Mapping'!$B:$B,299)</f>
        <v>Raymond Bai</v>
      </c>
      <c r="C45" s="1530" t="str">
        <f>INDEX('REVIEW - Complete Role Mapping'!$C:$C,299)</f>
        <v>Data Adoption Specialist</v>
      </c>
      <c r="D45" s="1530" t="str">
        <f>INDEX('REVIEW - Complete Role Mapping'!$AK:$AK,299)</f>
        <v>Filled</v>
      </c>
      <c r="E45" s="1547" t="inlineStr">
        <is>
          <t>Filled</t>
        </is>
      </c>
      <c r="F45" s="1773">
        <f>INDEX('REVIEW - Complete Role Mapping'!$AA:$AA,299)</f>
        <v>175872.9</v>
      </c>
      <c r="G45" s="1773">
        <f>$F45*IFERROR(INDEX(Lists!$AD:$AD,MATCH($E45,Lists!$AC:$AC,0)),1)</f>
        <v>175872.9</v>
      </c>
    </row>
    <row r="46">
      <c r="B46" s="1530" t="str">
        <f>INDEX('REVIEW - Complete Role Mapping'!$B:$B,300)</f>
        <v>Renosh Matthew Thomas</v>
      </c>
      <c r="C46" s="1530" t="str">
        <f>INDEX('REVIEW - Complete Role Mapping'!$C:$C,300)</f>
        <v>Data Enablement Lead</v>
      </c>
      <c r="D46" s="1530" t="str">
        <f>INDEX('REVIEW - Complete Role Mapping'!$AK:$AK,300)</f>
        <v>Filled</v>
      </c>
      <c r="E46" s="1547" t="inlineStr">
        <is>
          <t>Filled</t>
        </is>
      </c>
      <c r="F46" s="1773">
        <f>INDEX('REVIEW - Complete Role Mapping'!$AA:$AA,300)</f>
        <v>227056.8</v>
      </c>
      <c r="G46" s="1773">
        <f>$F46*IFERROR(INDEX(Lists!$AD:$AD,MATCH($E46,Lists!$AC:$AC,0)),1)</f>
        <v>227056.8</v>
      </c>
    </row>
    <row r="47">
      <c r="B47" s="1530" t="str">
        <f>INDEX('REVIEW - Complete Role Mapping'!$B:$B,301)</f>
        <v>Rihan Schalkwyk</v>
      </c>
      <c r="C47" s="1530" t="str">
        <f>INDEX('REVIEW - Complete Role Mapping'!$C:$C,301)</f>
        <v>Senior Business Analyst</v>
      </c>
      <c r="D47" s="1530" t="str">
        <f>INDEX('REVIEW - Complete Role Mapping'!$AK:$AK,301)</f>
        <v>Filled</v>
      </c>
      <c r="E47" s="1547" t="inlineStr">
        <is>
          <t>Filled</t>
        </is>
      </c>
      <c r="F47" s="1773">
        <f>INDEX('REVIEW - Complete Role Mapping'!$AA:$AA,301)</f>
        <v>249124.35</v>
      </c>
      <c r="G47" s="1773">
        <f>$F47*IFERROR(INDEX(Lists!$AD:$AD,MATCH($E47,Lists!$AC:$AC,0)),1)</f>
        <v>249124.35</v>
      </c>
    </row>
    <row r="48">
      <c r="B48" s="1530" t="str">
        <f>INDEX('REVIEW - Complete Role Mapping'!$B:$B,309)</f>
        <v>Sanjay Tikoo</v>
      </c>
      <c r="C48" s="1530" t="str">
        <f>INDEX('REVIEW - Complete Role Mapping'!$C:$C,309)</f>
        <v>Principal, Data Architecture &amp; Governance</v>
      </c>
      <c r="D48" s="1530" t="str">
        <f>INDEX('REVIEW - Complete Role Mapping'!$AK:$AK,309)</f>
        <v>Filled</v>
      </c>
      <c r="E48" s="1547" t="inlineStr">
        <is>
          <t>Filled</t>
        </is>
      </c>
      <c r="F48" s="1773">
        <f>INDEX('REVIEW - Complete Role Mapping'!$AA:$AA,309)</f>
        <v>389125</v>
      </c>
      <c r="G48" s="1773">
        <f>$F48*IFERROR(INDEX(Lists!$AD:$AD,MATCH($E48,Lists!$AC:$AC,0)),1)</f>
        <v>389125</v>
      </c>
    </row>
    <row r="49">
      <c r="B49" s="1530" t="str">
        <f>INDEX('REVIEW - Complete Role Mapping'!$B:$B,313)</f>
        <v>Vacant</v>
      </c>
      <c r="C49" s="1530" t="str">
        <f>INDEX('REVIEW - Complete Role Mapping'!$C:$C,313)</f>
        <v>Service Transition Lead</v>
      </c>
      <c r="D49" s="1530" t="str">
        <f>INDEX('REVIEW - Complete Role Mapping'!$AK:$AK,313)</f>
        <v>Vacant</v>
      </c>
      <c r="E49" s="1547" t="inlineStr">
        <is>
          <t>Hire</t>
        </is>
      </c>
      <c r="F49" s="1773">
        <f>INDEX('REVIEW - Complete Role Mapping'!$AA:$AA,313)</f>
        <v>202853.25</v>
      </c>
      <c r="G49" s="1773">
        <f>$F49*IFERROR(INDEX(Lists!$AD:$AD,MATCH($E49,Lists!$AC:$AC,0)),1)</f>
        <v>202853.25</v>
      </c>
    </row>
    <row r="50">
      <c r="B50" s="1530" t="str">
        <f>INDEX('REVIEW - Complete Role Mapping'!$B:$B,321)</f>
        <v>Vacant</v>
      </c>
      <c r="C50" s="1530" t="str">
        <f>INDEX('REVIEW - Complete Role Mapping'!$C:$C,321)</f>
        <v>Data Governance Lead</v>
      </c>
      <c r="D50" s="1530" t="str">
        <f>INDEX('REVIEW - Complete Role Mapping'!$AK:$AK,321)</f>
        <v>Vacant</v>
      </c>
      <c r="E50" s="1547" t="inlineStr">
        <is>
          <t>Hire</t>
        </is>
      </c>
      <c r="F50" s="1773">
        <f>INDEX('REVIEW - Complete Role Mapping'!$AA:$AA,321)</f>
        <v>389606.1</v>
      </c>
      <c r="G50" s="1773">
        <f>$F50*IFERROR(INDEX(Lists!$AD:$AD,MATCH($E50,Lists!$AC:$AC,0)),1)</f>
        <v>389606.1</v>
      </c>
    </row>
    <row r="51">
      <c r="B51" s="1545" t="inlineStr">
        <is>
          <t>Leadership</t>
        </is>
      </c>
      <c r="C51" s="1545" t="str">
        <f>COUNTA($B$52:$B$55)&amp;IF(COUNTA($B$52:$B$55)=1," role"," roles")</f>
        <v>4 roles</v>
      </c>
      <c r="D51" s="1545" t="n"/>
      <c r="E51" s="1545" t="n"/>
      <c r="F51" s="1785">
        <f>SUM(F52:F55)</f>
        <v>1223981.8</v>
      </c>
      <c r="G51" s="1785">
        <f>SUM(G52:G55)</f>
        <v>1223981.8</v>
      </c>
    </row>
    <row r="52">
      <c r="B52" s="1530" t="str">
        <f>INDEX('REVIEW - Complete Role Mapping'!$B:$B,287)</f>
        <v>Joel Vijayakumar</v>
      </c>
      <c r="C52" s="1530" t="str">
        <f>INDEX('REVIEW - Complete Role Mapping'!$C:$C,287)</f>
        <v>Delivery Manager, Strategy, Architecture &amp; Data</v>
      </c>
      <c r="D52" s="1530" t="str">
        <f>INDEX('REVIEW - Complete Role Mapping'!$AK:$AK,287)</f>
        <v>Filled</v>
      </c>
      <c r="E52" s="1547" t="inlineStr">
        <is>
          <t>Filled</t>
        </is>
      </c>
      <c r="F52" s="1773">
        <f>INDEX('REVIEW - Complete Role Mapping'!$AA:$AA,287)</f>
        <v>369088.6</v>
      </c>
      <c r="G52" s="1773">
        <f>$F52*IFERROR(INDEX(Lists!$AD:$AD,MATCH($E52,Lists!$AC:$AC,0)),1)</f>
        <v>369088.6</v>
      </c>
    </row>
    <row r="53">
      <c r="B53" s="1530" t="str">
        <f>INDEX('REVIEW - Complete Role Mapping'!$B:$B,322)</f>
        <v>Vacant</v>
      </c>
      <c r="C53" s="1530" t="str">
        <f>INDEX('REVIEW - Complete Role Mapping'!$C:$C,322)</f>
        <v>Head of Architecture</v>
      </c>
      <c r="D53" s="1530" t="str">
        <f>INDEX('REVIEW - Complete Role Mapping'!$AK:$AK,322)</f>
        <v>Vacant</v>
      </c>
      <c r="E53" s="1547" t="inlineStr">
        <is>
          <t>Hire</t>
        </is>
      </c>
      <c r="F53" s="1773">
        <f>INDEX('REVIEW - Complete Role Mapping'!$AA:$AA,322)</f>
        <v>334972.95</v>
      </c>
      <c r="G53" s="1773">
        <f>$F53*IFERROR(INDEX(Lists!$AD:$AD,MATCH($E53,Lists!$AC:$AC,0)),1)</f>
        <v>334972.95</v>
      </c>
    </row>
    <row r="54">
      <c r="B54" s="1530" t="str">
        <f>INDEX('REVIEW - Complete Role Mapping'!$B:$B,323)</f>
        <v>Vacant</v>
      </c>
      <c r="C54" s="1530" t="str">
        <f>INDEX('REVIEW - Complete Role Mapping'!$C:$C,323)</f>
        <v>Head of Technology Strategy &amp; AI Capability</v>
      </c>
      <c r="D54" s="1530" t="str">
        <f>INDEX('REVIEW - Complete Role Mapping'!$AK:$AK,323)</f>
        <v>Vacant</v>
      </c>
      <c r="E54" s="1547" t="inlineStr">
        <is>
          <t>Hire</t>
        </is>
      </c>
      <c r="F54" s="1773">
        <f>INDEX('REVIEW - Complete Role Mapping'!$AA:$AA,323)</f>
        <v>333020.25</v>
      </c>
      <c r="G54" s="1773">
        <f>$F54*IFERROR(INDEX(Lists!$AD:$AD,MATCH($E54,Lists!$AC:$AC,0)),1)</f>
        <v>333020.25</v>
      </c>
    </row>
    <row r="55">
      <c r="B55" s="1530" t="str">
        <f>INDEX('REVIEW - Complete Role Mapping'!$B:$B,324)</f>
        <v>Vacant</v>
      </c>
      <c r="C55" s="1530" t="str">
        <f>INDEX('REVIEW - Complete Role Mapping'!$C:$C,324)</f>
        <v>Senior Communications Advisor</v>
      </c>
      <c r="D55" s="1530" t="str">
        <f>INDEX('REVIEW - Complete Role Mapping'!$AK:$AK,324)</f>
        <v>Vacant</v>
      </c>
      <c r="E55" s="1547" t="inlineStr">
        <is>
          <t>Hire</t>
        </is>
      </c>
      <c r="F55" s="1773">
        <f>INDEX('REVIEW - Complete Role Mapping'!$AA:$AA,324)</f>
        <v>186900</v>
      </c>
      <c r="G55" s="1773">
        <f>$F55*IFERROR(INDEX(Lists!$AD:$AD,MATCH($E55,Lists!$AC:$AC,0)),1)</f>
        <v>186900</v>
      </c>
    </row>
    <row r="56">
      <c r="B56" s="1545" t="inlineStr">
        <is>
          <t>Technology Strategy &amp; AI Capability</t>
        </is>
      </c>
      <c r="C56" s="1545" t="str">
        <f>COUNTA($B$57:$B$61)&amp;IF(COUNTA($B$57:$B$61)=1," role"," roles")</f>
        <v>5 roles</v>
      </c>
      <c r="D56" s="1545" t="n"/>
      <c r="E56" s="1545" t="n"/>
      <c r="F56" s="1785">
        <f>SUM(F57:F61)</f>
        <v>1069888.75</v>
      </c>
      <c r="G56" s="1785">
        <f>SUM(G57:G61)</f>
        <v>1069888.75</v>
      </c>
    </row>
    <row r="57">
      <c r="B57" s="1530" t="str">
        <f>INDEX('REVIEW - Complete Role Mapping'!$B:$B,306)</f>
        <v>Roger Blazey</v>
      </c>
      <c r="C57" s="1530" t="str">
        <f>INDEX('REVIEW - Complete Role Mapping'!$C:$C,306)</f>
        <v>Architect (AI Innovation)</v>
      </c>
      <c r="D57" s="1530" t="str">
        <f>INDEX('REVIEW - Complete Role Mapping'!$AK:$AK,306)</f>
        <v>Filled</v>
      </c>
      <c r="E57" s="1547" t="inlineStr">
        <is>
          <t>Filled</t>
        </is>
      </c>
      <c r="F57" s="1773">
        <f>INDEX('REVIEW - Complete Role Mapping'!$AA:$AA,306)</f>
        <v>250245.75</v>
      </c>
      <c r="G57" s="1773">
        <f>$F57*IFERROR(INDEX(Lists!$AD:$AD,MATCH($E57,Lists!$AC:$AC,0)),1)</f>
        <v>250245.75</v>
      </c>
    </row>
    <row r="58">
      <c r="B58" s="1530" t="str">
        <f>INDEX('REVIEW - Complete Role Mapping'!$B:$B,325)</f>
        <v>Vacant</v>
      </c>
      <c r="C58" s="1530" t="str">
        <f>INDEX('REVIEW - Complete Role Mapping'!$C:$C,325)</f>
        <v>AI Capability Lead</v>
      </c>
      <c r="D58" s="1530" t="str">
        <f>INDEX('REVIEW - Complete Role Mapping'!$AK:$AK,325)</f>
        <v>Vacant</v>
      </c>
      <c r="E58" s="1547" t="inlineStr">
        <is>
          <t>Hire</t>
        </is>
      </c>
      <c r="F58" s="1773">
        <f>INDEX('REVIEW - Complete Role Mapping'!$AA:$AA,325)</f>
        <v>275810.25</v>
      </c>
      <c r="G58" s="1773">
        <f>$F58*IFERROR(INDEX(Lists!$AD:$AD,MATCH($E58,Lists!$AC:$AC,0)),1)</f>
        <v>275810.25</v>
      </c>
    </row>
    <row r="59">
      <c r="B59" s="1530" t="str">
        <f>INDEX('REVIEW - Complete Role Mapping'!$B:$B,326)</f>
        <v>Vacant</v>
      </c>
      <c r="C59" s="1530" t="str">
        <f>INDEX('REVIEW - Complete Role Mapping'!$C:$C,326)</f>
        <v>Enterprise Process Lead</v>
      </c>
      <c r="D59" s="1530" t="str">
        <f>INDEX('REVIEW - Complete Role Mapping'!$AK:$AK,326)</f>
        <v>Vacant</v>
      </c>
      <c r="E59" s="1547" t="inlineStr">
        <is>
          <t>Hire</t>
        </is>
      </c>
      <c r="F59" s="1773">
        <f>INDEX('REVIEW - Complete Role Mapping'!$AA:$AA,326)</f>
        <v>202853.25</v>
      </c>
      <c r="G59" s="1773">
        <f>$F59*IFERROR(INDEX(Lists!$AD:$AD,MATCH($E59,Lists!$AC:$AC,0)),1)</f>
        <v>202853.25</v>
      </c>
    </row>
    <row r="60">
      <c r="B60" s="1530" t="str">
        <f>INDEX('REVIEW - Complete Role Mapping'!$B:$B,327)</f>
        <v>Vacant</v>
      </c>
      <c r="C60" s="1530" t="str">
        <f>INDEX('REVIEW - Complete Role Mapping'!$C:$C,327)</f>
        <v>EnterpriseProcess Analyst</v>
      </c>
      <c r="D60" s="1530" t="str">
        <f>INDEX('REVIEW - Complete Role Mapping'!$AK:$AK,327)</f>
        <v>Vacant</v>
      </c>
      <c r="E60" s="1547" t="inlineStr">
        <is>
          <t>Hire</t>
        </is>
      </c>
      <c r="F60" s="1773">
        <f>INDEX('REVIEW - Complete Role Mapping'!$AA:$AA,327)</f>
        <v>170489.75</v>
      </c>
      <c r="G60" s="1773">
        <f>$F60*IFERROR(INDEX(Lists!$AD:$AD,MATCH($E60,Lists!$AC:$AC,0)),1)</f>
        <v>170489.75</v>
      </c>
    </row>
    <row r="61">
      <c r="B61" s="1530" t="str">
        <f>INDEX('REVIEW - Complete Role Mapping'!$B:$B,328)</f>
        <v>Vacant</v>
      </c>
      <c r="C61" s="1530" t="str">
        <f>INDEX('REVIEW - Complete Role Mapping'!$C:$C,328)</f>
        <v>Strategy Analyst</v>
      </c>
      <c r="D61" s="1530" t="str">
        <f>INDEX('REVIEW - Complete Role Mapping'!$AK:$AK,328)</f>
        <v>Vacant</v>
      </c>
      <c r="E61" s="1547" t="inlineStr">
        <is>
          <t>Hire</t>
        </is>
      </c>
      <c r="F61" s="1773">
        <f>INDEX('REVIEW - Complete Role Mapping'!$AA:$AA,328)</f>
        <v>170489.75</v>
      </c>
      <c r="G61" s="1773">
        <f>$F61*IFERROR(INDEX(Lists!$AD:$AD,MATCH($E61,Lists!$AC:$AC,0)),1)</f>
        <v>170489.75</v>
      </c>
    </row>
  </sheetData>
  <dataValidations count="1">
    <dataValidation sqref="E32 E33 E34 E35 E36 E37 E38 E40 E42 E43 E44 E45 E46 E47 E48 E49 E50 E52 E53 E54 E55 E57 E58 E59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EGI - working copy</t>
        </is>
      </c>
    </row>
    <row r="3">
      <c r="B3" s="1525" t="inlineStr">
        <is>
          <t>Portfolio</t>
        </is>
      </c>
      <c r="C3" s="1526" t="inlineStr">
        <is>
          <t>EGI</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EGI</t>
        </is>
      </c>
      <c r="C12" s="1530" t="str">
        <f>"-"</f>
        <v>-</v>
      </c>
      <c r="D12" s="1530" t="str">
        <f>"-"</f>
        <v>-</v>
      </c>
      <c r="E12" s="1538" t="str">
        <f>"-"</f>
        <v>-</v>
      </c>
      <c r="F12" s="1773">
        <f>COUNTA($B$28:$B$44)</f>
        <v>17</v>
      </c>
      <c r="G12" s="1773">
        <f>COUNTIFS($D$28:$D$44,"Filled")</f>
        <v>17</v>
      </c>
      <c r="H12" s="1773">
        <f>COUNTIFS($D$28:$D$44,"Vacant")</f>
        <v>0</v>
      </c>
      <c r="I12" s="1773">
        <f>COUNTIFS($D$28:$D$44,"Vacant",$E$28:$E$44,"Hire")</f>
        <v>0</v>
      </c>
      <c r="J12" s="1773">
        <f>COUNTIFS($E$28:$E$44,"Offshore")</f>
        <v>0</v>
      </c>
      <c r="K12" s="1773">
        <f>COUNTIFS($E$28:$E$44,"Hold")</f>
        <v>0</v>
      </c>
      <c r="L12" s="1773">
        <f>$F12-$K12</f>
        <v>17</v>
      </c>
      <c r="M12" s="1772">
        <f>$N12</f>
        <v>4.94341935</v>
      </c>
      <c r="N12" s="1772">
        <f>SUMIFS('REVIEW - Complete Role Mapping'!$AA$2:$AA$528,'REVIEW - Complete Role Mapping'!$AJ$2:$AJ$528,$C$3,'REVIEW - Complete Role Mapping'!$AT$2:$AT$528,$B12)/1000000</f>
        <v>4.94341935</v>
      </c>
      <c r="O12" s="1772">
        <f>ROUND($N12-$M12,6)</f>
        <v>0</v>
      </c>
      <c r="P12" s="1772">
        <f>SUM($G$28:$G$44)/1000000</f>
        <v>4.94341935</v>
      </c>
      <c r="Q12" s="1772">
        <f>ROUND($P12-$M12,6)</f>
        <v>0</v>
      </c>
    </row>
    <row r="13">
      <c r="B13" s="1534" t="inlineStr">
        <is>
          <t>Directly funded total</t>
        </is>
      </c>
      <c r="C13" s="1534" t="n"/>
      <c r="D13" s="1534" t="n"/>
      <c r="E13" s="1783">
        <f>SUM(E12:E12)</f>
        <v>0</v>
      </c>
      <c r="F13" s="1775">
        <f>SUM(F12:F12)</f>
        <v>17</v>
      </c>
      <c r="G13" s="1775">
        <f>SUM(G12:G12)</f>
        <v>17</v>
      </c>
      <c r="H13" s="1775">
        <f>SUM(H12:H12)</f>
        <v>0</v>
      </c>
      <c r="I13" s="1775">
        <f>SUM(I12:I12)</f>
        <v>0</v>
      </c>
      <c r="J13" s="1775">
        <f>SUM(J12:J12)</f>
        <v>0</v>
      </c>
      <c r="K13" s="1775">
        <f>SUM(K12:K12)</f>
        <v>0</v>
      </c>
      <c r="L13" s="1775">
        <f>SUM(L12:L12)</f>
        <v>17</v>
      </c>
      <c r="M13" s="1774">
        <f>SUM(M12:M12)</f>
        <v>4.94341935</v>
      </c>
      <c r="N13" s="1774">
        <f>SUM(N12:N12)</f>
        <v>4.94341935</v>
      </c>
      <c r="O13" s="1774">
        <f>SUM(O12:O12)</f>
        <v>0</v>
      </c>
      <c r="P13" s="1774">
        <f>SUM(P12:P12)</f>
        <v>4.94341935</v>
      </c>
      <c r="Q13" s="1774">
        <f>SUM(Q12:Q12)</f>
        <v>0</v>
      </c>
    </row>
    <row r="14"/>
    <row r="15" ht="19" customHeight="1" s="866">
      <c r="B15" s="1527" t="inlineStr">
        <is>
          <t>Overhead roles - against the allowance on 3.2</t>
        </is>
      </c>
      <c r="C15" s="1528" t="n"/>
      <c r="D15" s="1528" t="n"/>
      <c r="E15" s="1528" t="n"/>
      <c r="F15" s="1528" t="n"/>
      <c r="G15" s="1528" t="n"/>
      <c r="H15" s="1528" t="n"/>
      <c r="I15" s="1528" t="n"/>
      <c r="J15" s="1528" t="n"/>
      <c r="K15" s="1528" t="n"/>
      <c r="L15" s="1528" t="n"/>
      <c r="M15" s="1528" t="n"/>
      <c r="N15" s="1528" t="n"/>
      <c r="O15" s="1528" t="n"/>
      <c r="P15" s="1528" t="n"/>
      <c r="Q15" s="1528" t="n"/>
    </row>
    <row r="16" ht="48" customHeight="1" s="866">
      <c r="B16" s="1529" t="inlineStr">
        <is>
          <t>Squad</t>
        </is>
      </c>
      <c r="C16" s="1529" t="inlineStr">
        <is>
          <t>Archetype Type</t>
        </is>
      </c>
      <c r="D16" s="1529" t="inlineStr">
        <is>
          <t>Size</t>
        </is>
      </c>
      <c r="E16" s="1529" t="inlineStr">
        <is>
          <t>Archetype roles</t>
        </is>
      </c>
      <c r="F16" s="1529" t="inlineStr">
        <is>
          <t>Roles</t>
        </is>
      </c>
      <c r="G16" s="1529" t="inlineStr">
        <is>
          <t>Filled</t>
        </is>
      </c>
      <c r="H16" s="1529" t="inlineStr">
        <is>
          <t>Vacant</t>
        </is>
      </c>
      <c r="I16" s="1529" t="inlineStr">
        <is>
          <t>To hire</t>
        </is>
      </c>
      <c r="J16" s="1529" t="inlineStr">
        <is>
          <t>To offshore</t>
        </is>
      </c>
      <c r="K16" s="1529" t="inlineStr">
        <is>
          <t>On hold</t>
        </is>
      </c>
      <c r="L16" s="1529" t="inlineStr">
        <is>
          <t>Roles after decisions</t>
        </is>
      </c>
      <c r="M16" s="1529" t="inlineStr">
        <is>
          <t>Allowance - stated on 3.2</t>
        </is>
      </c>
      <c r="N16" s="1529" t="inlineStr">
        <is>
          <t>Actual cost ($m)</t>
        </is>
      </c>
      <c r="O16" s="1529" t="inlineStr">
        <is>
          <t>Variance</t>
        </is>
      </c>
      <c r="P16" s="1529" t="inlineStr">
        <is>
          <t>Cost after vacancy decisions ($m)</t>
        </is>
      </c>
      <c r="Q16" s="1529" t="inlineStr">
        <is>
          <t>New variance</t>
        </is>
      </c>
    </row>
    <row r="17">
      <c r="B17" s="1530" t="inlineStr">
        <is>
          <t>None</t>
        </is>
      </c>
      <c r="C17" s="1530" t="inlineStr">
        <is>
          <t>The COEs carry no overhead</t>
        </is>
      </c>
      <c r="D17" s="1548" t="str">
        <f>"-"</f>
        <v>-</v>
      </c>
      <c r="E17" s="1548" t="str">
        <f>"-"</f>
        <v>-</v>
      </c>
      <c r="F17" s="1548" t="str">
        <f>"-"</f>
        <v>-</v>
      </c>
      <c r="G17" s="1548" t="str">
        <f>"-"</f>
        <v>-</v>
      </c>
      <c r="H17" s="1548" t="str">
        <f>"-"</f>
        <v>-</v>
      </c>
      <c r="I17" s="1548" t="str">
        <f>"-"</f>
        <v>-</v>
      </c>
      <c r="J17" s="1548" t="str">
        <f>"-"</f>
        <v>-</v>
      </c>
      <c r="K17" s="1548" t="str">
        <f>"-"</f>
        <v>-</v>
      </c>
      <c r="L17" s="1548" t="str">
        <f>"-"</f>
        <v>-</v>
      </c>
      <c r="M17" s="1548" t="str">
        <f>"-"</f>
        <v>-</v>
      </c>
      <c r="N17" s="1548" t="str">
        <f>"-"</f>
        <v>-</v>
      </c>
      <c r="O17" s="1548" t="str">
        <f>"-"</f>
        <v>-</v>
      </c>
      <c r="P17" s="1548" t="str">
        <f>"-"</f>
        <v>-</v>
      </c>
      <c r="Q17" s="1548" t="str">
        <f>"-"</f>
        <v>-</v>
      </c>
    </row>
    <row r="18">
      <c r="B18" s="1534" t="inlineStr">
        <is>
          <t>Overhead roles total</t>
        </is>
      </c>
      <c r="C18" s="1534" t="n"/>
      <c r="D18" s="1534" t="n"/>
      <c r="E18" s="1783">
        <f>SUM(E17:E17)</f>
        <v>0</v>
      </c>
      <c r="F18" s="1775">
        <f>SUM(F17:F17)</f>
        <v>0</v>
      </c>
      <c r="G18" s="1775">
        <f>SUM(G17:G17)</f>
        <v>0</v>
      </c>
      <c r="H18" s="1775">
        <f>SUM(H17:H17)</f>
        <v>0</v>
      </c>
      <c r="I18" s="1775">
        <f>SUM(I17:I17)</f>
        <v>0</v>
      </c>
      <c r="J18" s="1775">
        <f>SUM(J17:J17)</f>
        <v>0</v>
      </c>
      <c r="K18" s="1775">
        <f>SUM(K17:K17)</f>
        <v>0</v>
      </c>
      <c r="L18" s="1775">
        <f>SUM(L17:L17)</f>
        <v>0</v>
      </c>
      <c r="M18" s="1774">
        <f>SUM(M17:M17)</f>
        <v>0</v>
      </c>
      <c r="N18" s="1774">
        <f>SUM(N17:N17)</f>
        <v>0</v>
      </c>
      <c r="O18" s="1774">
        <f>SUM(O17:O17)</f>
        <v>0</v>
      </c>
      <c r="P18" s="1774">
        <f>SUM(P17:P17)</f>
        <v>0</v>
      </c>
      <c r="Q18" s="1774">
        <f>SUM(Q17:Q17)</f>
        <v>0</v>
      </c>
    </row>
    <row r="19"/>
    <row r="20">
      <c r="B20" s="1539" t="inlineStr">
        <is>
          <t>Total portfolio</t>
        </is>
      </c>
      <c r="C20" s="1539" t="n"/>
      <c r="D20" s="1539" t="n"/>
      <c r="E20" s="1784">
        <f>N(E8)+N(E13)+N(E18)</f>
        <v>0</v>
      </c>
      <c r="F20" s="1777">
        <f>N(F8)+N(F13)+N(F18)</f>
        <v>17</v>
      </c>
      <c r="G20" s="1777">
        <f>N(G8)+N(G13)+N(G18)</f>
        <v>17</v>
      </c>
      <c r="H20" s="1777">
        <f>N(H8)+N(H13)+N(H18)</f>
        <v>0</v>
      </c>
      <c r="I20" s="1777">
        <f>N(I8)+N(I13)+N(I18)</f>
        <v>0</v>
      </c>
      <c r="J20" s="1777">
        <f>N(J8)+N(J13)+N(J18)</f>
        <v>0</v>
      </c>
      <c r="K20" s="1777">
        <f>N(K8)+N(K13)+N(K18)</f>
        <v>0</v>
      </c>
      <c r="L20" s="1777">
        <f>N(L8)+N(L13)+N(L18)</f>
        <v>17</v>
      </c>
      <c r="M20" s="1776">
        <f>N(M8)+N(M13)+N(M18)</f>
        <v>4.94341935</v>
      </c>
      <c r="N20" s="1776">
        <f>N(N8)+N(N13)+N(N18)</f>
        <v>4.94341935</v>
      </c>
      <c r="O20" s="1776">
        <f>N(O8)+N(O13)+N(O18)</f>
        <v>0</v>
      </c>
      <c r="P20" s="1776">
        <f>N(P8)+N(P13)+N(P18)</f>
        <v>4.94341935</v>
      </c>
      <c r="Q20" s="1776">
        <f>N(Q8)+N(Q13)+N(Q18)</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EGI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45" t="inlineStr">
        <is>
          <t>EGI</t>
        </is>
      </c>
      <c r="C27" s="1545" t="str">
        <f>COUNTA($B$28:$B$44)&amp;IF(COUNTA($B$28:$B$44)=1," role"," roles")</f>
        <v>17 roles</v>
      </c>
      <c r="D27" s="1545" t="n"/>
      <c r="E27" s="1545" t="n"/>
      <c r="F27" s="1785">
        <f>SUM(F28:F44)</f>
        <v>4943419.35</v>
      </c>
      <c r="G27" s="1785">
        <f>SUM(G28:G44)</f>
        <v>4943419.35</v>
      </c>
    </row>
    <row r="28">
      <c r="B28" s="1530" t="str">
        <f>INDEX('REVIEW - Complete Role Mapping'!$B:$B,239)</f>
        <v>Ahmed Yehya</v>
      </c>
      <c r="C28" s="1530" t="str">
        <f>INDEX('REVIEW - Complete Role Mapping'!$C:$C,239)</f>
        <v>TDD Strategic Delivery</v>
      </c>
      <c r="D28" s="1530" t="str">
        <f>INDEX('REVIEW - Complete Role Mapping'!$AK:$AK,239)</f>
        <v>Filled</v>
      </c>
      <c r="E28" s="1547" t="inlineStr">
        <is>
          <t>Filled</t>
        </is>
      </c>
      <c r="F28" s="1773">
        <f>INDEX('REVIEW - Complete Role Mapping'!$AA:$AA,239)</f>
        <v>277500</v>
      </c>
      <c r="G28" s="1773">
        <f>$F28*IFERROR(INDEX(Lists!$AD:$AD,MATCH($E28,Lists!$AC:$AC,0)),1)</f>
        <v>277500</v>
      </c>
    </row>
    <row r="29">
      <c r="B29" s="1530" t="str">
        <f>INDEX('REVIEW - Complete Role Mapping'!$B:$B,240)</f>
        <v>Anthony Huynh</v>
      </c>
      <c r="C29" s="1530" t="str">
        <f>INDEX('REVIEW - Complete Role Mapping'!$C:$C,240)</f>
        <v>Strategic Delivery Consultant</v>
      </c>
      <c r="D29" s="1530" t="str">
        <f>INDEX('REVIEW - Complete Role Mapping'!$AK:$AK,240)</f>
        <v>Filled</v>
      </c>
      <c r="E29" s="1547" t="inlineStr">
        <is>
          <t>Filled</t>
        </is>
      </c>
      <c r="F29" s="1773">
        <f>INDEX('REVIEW - Complete Role Mapping'!$AA:$AA,240)</f>
        <v>301254</v>
      </c>
      <c r="G29" s="1773">
        <f>$F29*IFERROR(INDEX(Lists!$AD:$AD,MATCH($E29,Lists!$AC:$AC,0)),1)</f>
        <v>301254</v>
      </c>
    </row>
    <row r="30">
      <c r="B30" s="1530" t="str">
        <f>INDEX('REVIEW - Complete Role Mapping'!$B:$B,241)</f>
        <v>Areum Kim Lee</v>
      </c>
      <c r="C30" s="1530" t="str">
        <f>INDEX('REVIEW - Complete Role Mapping'!$C:$C,241)</f>
        <v>Program Manager (PEP13-EGI-UKG)</v>
      </c>
      <c r="D30" s="1530" t="str">
        <f>INDEX('REVIEW - Complete Role Mapping'!$AK:$AK,241)</f>
        <v>Filled</v>
      </c>
      <c r="E30" s="1547" t="inlineStr">
        <is>
          <t>Filled</t>
        </is>
      </c>
      <c r="F30" s="1773">
        <f>INDEX('REVIEW - Complete Role Mapping'!$AA:$AA,241)</f>
        <v>343158.72</v>
      </c>
      <c r="G30" s="1773">
        <f>$F30*IFERROR(INDEX(Lists!$AD:$AD,MATCH($E30,Lists!$AC:$AC,0)),1)</f>
        <v>343158.72</v>
      </c>
    </row>
    <row r="31">
      <c r="B31" s="1530" t="str">
        <f>INDEX('REVIEW - Complete Role Mapping'!$B:$B,242)</f>
        <v>Ernesto Pereira</v>
      </c>
      <c r="C31" s="1530" t="str">
        <f>INDEX('REVIEW - Complete Role Mapping'!$C:$C,242)</f>
        <v>Project Manger</v>
      </c>
      <c r="D31" s="1530" t="str">
        <f>INDEX('REVIEW - Complete Role Mapping'!$AK:$AK,242)</f>
        <v>Filled</v>
      </c>
      <c r="E31" s="1547" t="inlineStr">
        <is>
          <t>Filled</t>
        </is>
      </c>
      <c r="F31" s="1773">
        <f>INDEX('REVIEW - Complete Role Mapping'!$AA:$AA,242)</f>
        <v>222000</v>
      </c>
      <c r="G31" s="1773">
        <f>$F31*IFERROR(INDEX(Lists!$AD:$AD,MATCH($E31,Lists!$AC:$AC,0)),1)</f>
        <v>222000</v>
      </c>
    </row>
    <row r="32">
      <c r="B32" s="1530" t="str">
        <f>INDEX('REVIEW - Complete Role Mapping'!$B:$B,243)</f>
        <v>Harish Dasari</v>
      </c>
      <c r="C32" s="1530" t="str">
        <f>INDEX('REVIEW - Complete Role Mapping'!$C:$C,243)</f>
        <v>Business Analyst (SAP Payroll)</v>
      </c>
      <c r="D32" s="1530" t="str">
        <f>INDEX('REVIEW - Complete Role Mapping'!$AK:$AK,243)</f>
        <v>Filled</v>
      </c>
      <c r="E32" s="1547" t="inlineStr">
        <is>
          <t>Filled</t>
        </is>
      </c>
      <c r="F32" s="1773">
        <f>INDEX('REVIEW - Complete Role Mapping'!$AA:$AA,243)</f>
        <v>244200</v>
      </c>
      <c r="G32" s="1773">
        <f>$F32*IFERROR(INDEX(Lists!$AD:$AD,MATCH($E32,Lists!$AC:$AC,0)),1)</f>
        <v>244200</v>
      </c>
    </row>
    <row r="33">
      <c r="B33" s="1530" t="str">
        <f>INDEX('REVIEW - Complete Role Mapping'!$B:$B,244)</f>
        <v>James Munt</v>
      </c>
      <c r="C33" s="1530" t="str">
        <f>INDEX('REVIEW - Complete Role Mapping'!$C:$C,244)</f>
        <v>Program Manager Tech &amp; P&amp;C</v>
      </c>
      <c r="D33" s="1530" t="str">
        <f>INDEX('REVIEW - Complete Role Mapping'!$AK:$AK,244)</f>
        <v>Filled</v>
      </c>
      <c r="E33" s="1547" t="inlineStr">
        <is>
          <t>Filled</t>
        </is>
      </c>
      <c r="F33" s="1773">
        <f>INDEX('REVIEW - Complete Role Mapping'!$AA:$AA,244)</f>
        <v>266400</v>
      </c>
      <c r="G33" s="1773">
        <f>$F33*IFERROR(INDEX(Lists!$AD:$AD,MATCH($E33,Lists!$AC:$AC,0)),1)</f>
        <v>266400</v>
      </c>
    </row>
    <row r="34">
      <c r="B34" s="1530" t="str">
        <f>INDEX('REVIEW - Complete Role Mapping'!$B:$B,245)</f>
        <v>Jason McNamara</v>
      </c>
      <c r="C34" s="1530" t="str">
        <f>INDEX('REVIEW - Complete Role Mapping'!$C:$C,245)</f>
        <v>Project Manager Retail</v>
      </c>
      <c r="D34" s="1530" t="str">
        <f>INDEX('REVIEW - Complete Role Mapping'!$AK:$AK,245)</f>
        <v>Filled</v>
      </c>
      <c r="E34" s="1547" t="inlineStr">
        <is>
          <t>Filled</t>
        </is>
      </c>
      <c r="F34" s="1773">
        <f>INDEX('REVIEW - Complete Role Mapping'!$AA:$AA,245)</f>
        <v>488400</v>
      </c>
      <c r="G34" s="1773">
        <f>$F34*IFERROR(INDEX(Lists!$AD:$AD,MATCH($E34,Lists!$AC:$AC,0)),1)</f>
        <v>488400</v>
      </c>
    </row>
    <row r="35">
      <c r="B35" s="1530" t="str">
        <f>INDEX('REVIEW - Complete Role Mapping'!$B:$B,246)</f>
        <v>Jason Sipkovic</v>
      </c>
      <c r="C35" s="1530" t="str">
        <f>INDEX('REVIEW - Complete Role Mapping'!$C:$C,246)</f>
        <v>strategic program architect</v>
      </c>
      <c r="D35" s="1530" t="str">
        <f>INDEX('REVIEW - Complete Role Mapping'!$AK:$AK,246)</f>
        <v>Filled</v>
      </c>
      <c r="E35" s="1547" t="inlineStr">
        <is>
          <t>Filled</t>
        </is>
      </c>
      <c r="F35" s="1773">
        <f>INDEX('REVIEW - Complete Role Mapping'!$AA:$AA,246)</f>
        <v>333000</v>
      </c>
      <c r="G35" s="1773">
        <f>$F35*IFERROR(INDEX(Lists!$AD:$AD,MATCH($E35,Lists!$AC:$AC,0)),1)</f>
        <v>333000</v>
      </c>
    </row>
    <row r="36">
      <c r="B36" s="1530" t="str">
        <f>INDEX('REVIEW - Complete Role Mapping'!$B:$B,247)</f>
        <v>Kanika Narula</v>
      </c>
      <c r="C36" s="1530" t="str">
        <f>INDEX('REVIEW - Complete Role Mapping'!$C:$C,247)</f>
        <v>Business Analyst Digital</v>
      </c>
      <c r="D36" s="1530" t="str">
        <f>INDEX('REVIEW - Complete Role Mapping'!$AK:$AK,247)</f>
        <v>Filled</v>
      </c>
      <c r="E36" s="1547" t="inlineStr">
        <is>
          <t>Filled</t>
        </is>
      </c>
      <c r="F36" s="1773">
        <f>INDEX('REVIEW - Complete Role Mapping'!$AA:$AA,247)</f>
        <v>239502.48</v>
      </c>
      <c r="G36" s="1773">
        <f>$F36*IFERROR(INDEX(Lists!$AD:$AD,MATCH($E36,Lists!$AC:$AC,0)),1)</f>
        <v>239502.48</v>
      </c>
    </row>
    <row r="37">
      <c r="B37" s="1530" t="str">
        <f>INDEX('REVIEW - Complete Role Mapping'!$B:$B,248)</f>
        <v>Karl Reyneke</v>
      </c>
      <c r="C37" s="1530" t="str">
        <f>INDEX('REVIEW - Complete Role Mapping'!$C:$C,248)</f>
        <v>Strategic Delivery Consultant</v>
      </c>
      <c r="D37" s="1530" t="str">
        <f>INDEX('REVIEW - Complete Role Mapping'!$AK:$AK,248)</f>
        <v>Filled</v>
      </c>
      <c r="E37" s="1547" t="inlineStr">
        <is>
          <t>Filled</t>
        </is>
      </c>
      <c r="F37" s="1773">
        <f>INDEX('REVIEW - Complete Role Mapping'!$AA:$AA,248)</f>
        <v>299700</v>
      </c>
      <c r="G37" s="1773">
        <f>$F37*IFERROR(INDEX(Lists!$AD:$AD,MATCH($E37,Lists!$AC:$AC,0)),1)</f>
        <v>299700</v>
      </c>
    </row>
    <row r="38">
      <c r="B38" s="1530" t="str">
        <f>INDEX('REVIEW - Complete Role Mapping'!$B:$B,249)</f>
        <v>michelle Siegman</v>
      </c>
      <c r="C38" s="1530" t="str">
        <f>INDEX('REVIEW - Complete Role Mapping'!$C:$C,249)</f>
        <v>Strategic Delivery Consultant</v>
      </c>
      <c r="D38" s="1530" t="str">
        <f>INDEX('REVIEW - Complete Role Mapping'!$AK:$AK,249)</f>
        <v>Filled</v>
      </c>
      <c r="E38" s="1547" t="inlineStr">
        <is>
          <t>Filled</t>
        </is>
      </c>
      <c r="F38" s="1773">
        <f>INDEX('REVIEW - Complete Role Mapping'!$AA:$AA,249)</f>
        <v>230436</v>
      </c>
      <c r="G38" s="1773">
        <f>$F38*IFERROR(INDEX(Lists!$AD:$AD,MATCH($E38,Lists!$AC:$AC,0)),1)</f>
        <v>230436</v>
      </c>
    </row>
    <row r="39">
      <c r="B39" s="1530" t="str">
        <f>INDEX('REVIEW - Complete Role Mapping'!$B:$B,250)</f>
        <v>Moitri Pal</v>
      </c>
      <c r="C39" s="1530" t="str">
        <f>INDEX('REVIEW - Complete Role Mapping'!$C:$C,250)</f>
        <v>Portfolio Mnager</v>
      </c>
      <c r="D39" s="1530" t="str">
        <f>INDEX('REVIEW - Complete Role Mapping'!$AK:$AK,250)</f>
        <v>Filled</v>
      </c>
      <c r="E39" s="1547" t="inlineStr">
        <is>
          <t>Filled</t>
        </is>
      </c>
      <c r="F39" s="1773">
        <f>INDEX('REVIEW - Complete Role Mapping'!$AA:$AA,250)</f>
        <v>325464.15</v>
      </c>
      <c r="G39" s="1773">
        <f>$F39*IFERROR(INDEX(Lists!$AD:$AD,MATCH($E39,Lists!$AC:$AC,0)),1)</f>
        <v>325464.15</v>
      </c>
    </row>
    <row r="40">
      <c r="B40" s="1530" t="str">
        <f>INDEX('REVIEW - Complete Role Mapping'!$B:$B,251)</f>
        <v>Niall Greene</v>
      </c>
      <c r="C40" s="1530" t="str">
        <f>INDEX('REVIEW - Complete Role Mapping'!$C:$C,251)</f>
        <v>Project Manager (PEP13-EGI-UKG)</v>
      </c>
      <c r="D40" s="1530" t="str">
        <f>INDEX('REVIEW - Complete Role Mapping'!$AK:$AK,251)</f>
        <v>Filled</v>
      </c>
      <c r="E40" s="1547" t="inlineStr">
        <is>
          <t>Filled</t>
        </is>
      </c>
      <c r="F40" s="1773">
        <f>INDEX('REVIEW - Complete Role Mapping'!$AA:$AA,251)</f>
        <v>244200</v>
      </c>
      <c r="G40" s="1773">
        <f>$F40*IFERROR(INDEX(Lists!$AD:$AD,MATCH($E40,Lists!$AC:$AC,0)),1)</f>
        <v>244200</v>
      </c>
    </row>
    <row r="41">
      <c r="B41" s="1530" t="str">
        <f>INDEX('REVIEW - Complete Role Mapping'!$B:$B,252)</f>
        <v>Paul Hassey</v>
      </c>
      <c r="C41" s="1530" t="str">
        <f>INDEX('REVIEW - Complete Role Mapping'!$C:$C,252)</f>
        <v>Program Architect</v>
      </c>
      <c r="D41" s="1530" t="str">
        <f>INDEX('REVIEW - Complete Role Mapping'!$AK:$AK,252)</f>
        <v>Filled</v>
      </c>
      <c r="E41" s="1547" t="inlineStr">
        <is>
          <t>Filled</t>
        </is>
      </c>
      <c r="F41" s="1773">
        <f>INDEX('REVIEW - Complete Role Mapping'!$AA:$AA,252)</f>
        <v>310800</v>
      </c>
      <c r="G41" s="1773">
        <f>$F41*IFERROR(INDEX(Lists!$AD:$AD,MATCH($E41,Lists!$AC:$AC,0)),1)</f>
        <v>310800</v>
      </c>
    </row>
    <row r="42">
      <c r="B42" s="1530" t="str">
        <f>INDEX('REVIEW - Complete Role Mapping'!$B:$B,253)</f>
        <v>vijay Solanki</v>
      </c>
      <c r="C42" s="1530" t="str">
        <f>INDEX('REVIEW - Complete Role Mapping'!$C:$C,253)</f>
        <v>Project Manager Deployment</v>
      </c>
      <c r="D42" s="1530" t="str">
        <f>INDEX('REVIEW - Complete Role Mapping'!$AK:$AK,253)</f>
        <v>Filled</v>
      </c>
      <c r="E42" s="1547" t="inlineStr">
        <is>
          <t>Filled</t>
        </is>
      </c>
      <c r="F42" s="1773">
        <f>INDEX('REVIEW - Complete Role Mapping'!$AA:$AA,253)</f>
        <v>266400</v>
      </c>
      <c r="G42" s="1773">
        <f>$F42*IFERROR(INDEX(Lists!$AD:$AD,MATCH($E42,Lists!$AC:$AC,0)),1)</f>
        <v>266400</v>
      </c>
    </row>
    <row r="43">
      <c r="B43" s="1530" t="str">
        <f>INDEX('REVIEW - Complete Role Mapping'!$B:$B,254)</f>
        <v>Winnie Fernandes</v>
      </c>
      <c r="C43" s="1530" t="str">
        <f>INDEX('REVIEW - Complete Role Mapping'!$C:$C,254)</f>
        <v>Delivery Lead - Integration</v>
      </c>
      <c r="D43" s="1530" t="str">
        <f>INDEX('REVIEW - Complete Role Mapping'!$AK:$AK,254)</f>
        <v>Filled</v>
      </c>
      <c r="E43" s="1547" t="inlineStr">
        <is>
          <t>Filled</t>
        </is>
      </c>
      <c r="F43" s="1773">
        <f>INDEX('REVIEW - Complete Role Mapping'!$AA:$AA,254)</f>
        <v>273504</v>
      </c>
      <c r="G43" s="1773">
        <f>$F43*IFERROR(INDEX(Lists!$AD:$AD,MATCH($E43,Lists!$AC:$AC,0)),1)</f>
        <v>273504</v>
      </c>
    </row>
    <row r="44">
      <c r="B44" s="1530" t="str">
        <f>INDEX('REVIEW - Complete Role Mapping'!$B:$B,446)</f>
        <v>Ashish Gupte</v>
      </c>
      <c r="C44" s="1530" t="str">
        <f>INDEX('REVIEW - Complete Role Mapping'!$C:$C,446)</f>
        <v>DeveloperSAP ECC</v>
      </c>
      <c r="D44" s="1530" t="str">
        <f>INDEX('REVIEW - Complete Role Mapping'!$AK:$AK,446)</f>
        <v>Filled</v>
      </c>
      <c r="E44" s="1547" t="inlineStr">
        <is>
          <t>Filled</t>
        </is>
      </c>
      <c r="F44" s="1773">
        <f>INDEX('REVIEW - Complete Role Mapping'!$AA:$AA,446)</f>
        <v>277500</v>
      </c>
      <c r="G44" s="1773">
        <f>$F44*IFERROR(INDEX(Lists!$AD:$AD,MATCH($E44,Lists!$AC:$AC,0)),1)</f>
        <v>277500</v>
      </c>
    </row>
  </sheetData>
  <dataValidations count="1">
    <dataValidation sqref="E28 E29 E30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1"/>
  <sheetViews>
    <sheetView showFormulas="0" showGridLines="0" showRowColHeaders="1" showZeros="1" rightToLeft="0" tabSelected="0" showOutlineSymbols="1" defaultGridColor="1" view="normal" topLeftCell="A1" colorId="64" zoomScale="110" zoomScaleNormal="110" zoomScalePageLayoutView="100" workbookViewId="0">
      <pane xSplit="2" ySplit="8" topLeftCell="C9"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8" customWidth="1" style="866" min="2" max="2"/>
    <col width="15" customWidth="1" style="866" min="3" max="3"/>
    <col width="14" customWidth="1" style="866" min="4" max="4"/>
    <col width="17" customWidth="1" style="866" min="5" max="5"/>
    <col width="19" customWidth="1" style="866" min="6" max="6"/>
    <col width="8" customWidth="1" style="866" min="7" max="7"/>
    <col width="8" customWidth="1" style="866" min="8" max="8"/>
    <col width="8" customWidth="1" style="866" min="9" max="9"/>
    <col width="13" customWidth="1" style="866" min="10" max="10"/>
  </cols>
  <sheetData>
    <row r="1"/>
    <row r="2">
      <c r="B2" s="1524" t="inlineStr">
        <is>
          <t>TDD Summary - all portfolios</t>
        </is>
      </c>
    </row>
    <row r="3"/>
    <row r="4" ht="48" customHeight="1" s="866">
      <c r="B4" s="1769" t="inlineStr">
        <is>
          <t>Group position</t>
        </is>
      </c>
      <c r="C4" s="1529" t="inlineStr">
        <is>
          <t>Archetype cost ($m)</t>
        </is>
      </c>
      <c r="D4" s="1529" t="inlineStr">
        <is>
          <t>Actual cost ($m)</t>
        </is>
      </c>
      <c r="E4" s="1529" t="inlineStr">
        <is>
          <t>Over/(under) archetype ($m)</t>
        </is>
      </c>
      <c r="F4" s="1529" t="inlineStr">
        <is>
          <t>Cost after vacancy decisions ($m)</t>
        </is>
      </c>
      <c r="G4" s="1529" t="inlineStr">
        <is>
          <t>Roles</t>
        </is>
      </c>
      <c r="H4" s="1529" t="inlineStr">
        <is>
          <t>Filled</t>
        </is>
      </c>
      <c r="I4" s="1529" t="inlineStr">
        <is>
          <t>Vacant</t>
        </is>
      </c>
      <c r="J4" s="1529" t="inlineStr">
        <is>
          <t>Roles after decisions</t>
        </is>
      </c>
    </row>
    <row r="5" ht="30" customHeight="1" s="866">
      <c r="C5" s="1770">
        <f>$C$38</f>
        <v>108.7351574</v>
      </c>
      <c r="D5" s="1770">
        <f>$D$38</f>
        <v>115.1132622681</v>
      </c>
      <c r="E5" s="1770">
        <f>$E$38</f>
        <v>6.3781048681</v>
      </c>
      <c r="F5" s="1770">
        <f>$F$38</f>
        <v>115.1132622681</v>
      </c>
      <c r="G5" s="1771">
        <f>$G$38</f>
        <v>525</v>
      </c>
      <c r="H5" s="1771">
        <f>$H$38</f>
        <v>390</v>
      </c>
      <c r="I5" s="1771">
        <f>$I$38</f>
        <v>135</v>
      </c>
      <c r="J5" s="1771">
        <f>$J$38</f>
        <v>525</v>
      </c>
    </row>
    <row r="6"/>
    <row r="7" ht="19" customHeight="1" s="866">
      <c r="B7" s="1527" t="inlineStr">
        <is>
          <t>Archetype cost against actual cost</t>
        </is>
      </c>
      <c r="C7" s="1528" t="n"/>
      <c r="D7" s="1528" t="n"/>
      <c r="E7" s="1528" t="n"/>
      <c r="F7" s="1528" t="n"/>
      <c r="G7" s="1528" t="n"/>
      <c r="H7" s="1528" t="n"/>
      <c r="I7" s="1528" t="n"/>
      <c r="J7" s="1528" t="n"/>
    </row>
    <row r="8" ht="48" customHeight="1" s="866">
      <c r="B8" s="1529" t="inlineStr">
        <is>
          <t>Portfolio</t>
        </is>
      </c>
      <c r="C8" s="1529" t="inlineStr">
        <is>
          <t>Archetype cost ($m)</t>
        </is>
      </c>
      <c r="D8" s="1529" t="inlineStr">
        <is>
          <t>Actual cost ($m)</t>
        </is>
      </c>
      <c r="E8" s="1529" t="inlineStr">
        <is>
          <t>Over/(under) archetype ($m)</t>
        </is>
      </c>
      <c r="F8" s="1529" t="inlineStr">
        <is>
          <t>Cost after vacancy decisions ($m)</t>
        </is>
      </c>
      <c r="G8" s="1529" t="inlineStr">
        <is>
          <t>Roles</t>
        </is>
      </c>
      <c r="H8" s="1529" t="inlineStr">
        <is>
          <t>Filled</t>
        </is>
      </c>
      <c r="I8" s="1529" t="inlineStr">
        <is>
          <t>Vacant</t>
        </is>
      </c>
      <c r="J8" s="1529" t="inlineStr">
        <is>
          <t>Roles after decisions</t>
        </is>
      </c>
    </row>
    <row r="9">
      <c r="B9" s="1545" t="inlineStr">
        <is>
          <t>Squads priced by an archetype</t>
        </is>
      </c>
      <c r="C9" s="1545" t="n"/>
      <c r="D9" s="1545" t="n"/>
      <c r="E9" s="1545" t="n"/>
      <c r="F9" s="1545" t="n"/>
      <c r="G9" s="1545" t="n"/>
      <c r="H9" s="1545" t="n"/>
      <c r="I9" s="1545" t="n"/>
      <c r="J9" s="1545" t="n"/>
    </row>
    <row r="10">
      <c r="B10" s="1530" t="inlineStr">
        <is>
          <t>Ampol Retail</t>
        </is>
      </c>
      <c r="C10" s="1772">
        <f>'2.1 Ampol Retail'!$M$14</f>
        <v>9.88</v>
      </c>
      <c r="D10" s="1772">
        <f>'2.1 Ampol Retail'!$N$14</f>
        <v>9.113524162</v>
      </c>
      <c r="E10" s="1772">
        <f>IFERROR($D10-$C10,"-")</f>
        <v>-0.766475838000002</v>
      </c>
      <c r="F10" s="1772">
        <f>'2.1 Ampol Retail'!$P$14</f>
        <v>9.113524162</v>
      </c>
      <c r="G10" s="1773">
        <f>'2.1 Ampol Retail'!$F$14</f>
        <v>48</v>
      </c>
      <c r="H10" s="1773">
        <f>'2.1 Ampol Retail'!$G$14</f>
        <v>26</v>
      </c>
      <c r="I10" s="1773">
        <f>'2.1 Ampol Retail'!$H$14</f>
        <v>22</v>
      </c>
      <c r="J10" s="1773">
        <f>'2.1 Ampol Retail'!$L$14</f>
        <v>48</v>
      </c>
    </row>
    <row r="11">
      <c r="B11" s="1530" t="inlineStr">
        <is>
          <t>Customer</t>
        </is>
      </c>
      <c r="C11" s="1772">
        <f>'2.2 Customer'!$M$14</f>
        <v>12.06</v>
      </c>
      <c r="D11" s="1772">
        <f>'2.2 Customer'!$N$14</f>
        <v>12.097508946</v>
      </c>
      <c r="E11" s="1772">
        <f>IFERROR($D11-$C11,"-")</f>
        <v>0.0375089460000027</v>
      </c>
      <c r="F11" s="1772">
        <f>'2.2 Customer'!$P$14</f>
        <v>12.097508946</v>
      </c>
      <c r="G11" s="1773">
        <f>'2.2 Customer'!$F$14</f>
        <v>60</v>
      </c>
      <c r="H11" s="1773">
        <f>'2.2 Customer'!$G$14</f>
        <v>49</v>
      </c>
      <c r="I11" s="1773">
        <f>'2.2 Customer'!$H$14</f>
        <v>11</v>
      </c>
      <c r="J11" s="1773">
        <f>'2.2 Customer'!$L$14</f>
        <v>60</v>
      </c>
    </row>
    <row r="12">
      <c r="B12" s="1530" t="inlineStr">
        <is>
          <t>Enterprise Data</t>
        </is>
      </c>
      <c r="C12" s="1772">
        <f>'2.3 Enterprise Data'!$M$10</f>
        <v>4.3</v>
      </c>
      <c r="D12" s="1772">
        <f>'2.3 Enterprise Data'!$N$10</f>
        <v>5.357369326</v>
      </c>
      <c r="E12" s="1772">
        <f>IFERROR($D12-$C12,"-")</f>
        <v>1.057369326</v>
      </c>
      <c r="F12" s="1772">
        <f>'2.3 Enterprise Data'!$P$10</f>
        <v>5.357369326</v>
      </c>
      <c r="G12" s="1773">
        <f>'2.3 Enterprise Data'!$F$10</f>
        <v>25</v>
      </c>
      <c r="H12" s="1773">
        <f>'2.3 Enterprise Data'!$G$10</f>
        <v>16</v>
      </c>
      <c r="I12" s="1773">
        <f>'2.3 Enterprise Data'!$H$10</f>
        <v>9</v>
      </c>
      <c r="J12" s="1773">
        <f>'2.3 Enterprise Data'!$L$10</f>
        <v>25</v>
      </c>
    </row>
    <row r="13">
      <c r="B13" s="1530" t="inlineStr">
        <is>
          <t>TDD Group Functions</t>
        </is>
      </c>
      <c r="C13" s="1772">
        <f>'2.4 TDD Group Functions'!$M$11</f>
        <v>5.7</v>
      </c>
      <c r="D13" s="1772">
        <f>'2.4 TDD Group Functions'!$N$11</f>
        <v>7.3408897224</v>
      </c>
      <c r="E13" s="1772">
        <f>IFERROR($D13-$C13,"-")</f>
        <v>1.6408897224</v>
      </c>
      <c r="F13" s="1772">
        <f>'2.4 TDD Group Functions'!$P$11</f>
        <v>7.3408897224</v>
      </c>
      <c r="G13" s="1773">
        <f>'2.4 TDD Group Functions'!$F$11</f>
        <v>36</v>
      </c>
      <c r="H13" s="1773">
        <f>'2.4 TDD Group Functions'!$G$11</f>
        <v>27</v>
      </c>
      <c r="I13" s="1773">
        <f>'2.4 TDD Group Functions'!$H$11</f>
        <v>9</v>
      </c>
      <c r="J13" s="1773">
        <f>'2.4 TDD Group Functions'!$L$11</f>
        <v>36</v>
      </c>
    </row>
    <row r="14">
      <c r="B14" s="1530" t="inlineStr">
        <is>
          <t>P&amp;C</t>
        </is>
      </c>
      <c r="C14" s="1772">
        <f>'2.5 P&amp;C'!$M$9</f>
        <v>3.5</v>
      </c>
      <c r="D14" s="1772">
        <f>'2.5 P&amp;C'!$N$9</f>
        <v>3.02960608</v>
      </c>
      <c r="E14" s="1772">
        <f>IFERROR($D14-$C14,"-")</f>
        <v>-0.47039392</v>
      </c>
      <c r="F14" s="1772">
        <f>'2.5 P&amp;C'!$P$9</f>
        <v>3.02960608</v>
      </c>
      <c r="G14" s="1773">
        <f>'2.5 P&amp;C'!$F$9</f>
        <v>14</v>
      </c>
      <c r="H14" s="1773">
        <f>'2.5 P&amp;C'!$G$9</f>
        <v>6</v>
      </c>
      <c r="I14" s="1773">
        <f>'2.5 P&amp;C'!$H$9</f>
        <v>8</v>
      </c>
      <c r="J14" s="1773">
        <f>'2.5 P&amp;C'!$L$9</f>
        <v>14</v>
      </c>
    </row>
    <row r="15">
      <c r="B15" s="1530" t="inlineStr">
        <is>
          <t>Finance</t>
        </is>
      </c>
      <c r="C15" s="1772">
        <f>'2.6 Finance'!$M$9</f>
        <v>2.8</v>
      </c>
      <c r="D15" s="1772">
        <f>'2.6 Finance'!$N$9</f>
        <v>3.279327216</v>
      </c>
      <c r="E15" s="1772">
        <f>IFERROR($D15-$C15,"-")</f>
        <v>0.479327216</v>
      </c>
      <c r="F15" s="1772">
        <f>'2.6 Finance'!$P$9</f>
        <v>3.279327216</v>
      </c>
      <c r="G15" s="1773">
        <f>'2.6 Finance'!$F$9</f>
        <v>15</v>
      </c>
      <c r="H15" s="1773">
        <f>'2.6 Finance'!$G$9</f>
        <v>7</v>
      </c>
      <c r="I15" s="1773">
        <f>'2.6 Finance'!$H$9</f>
        <v>8</v>
      </c>
      <c r="J15" s="1773">
        <f>'2.6 Finance'!$L$9</f>
        <v>15</v>
      </c>
    </row>
    <row r="16">
      <c r="B16" s="1530" t="inlineStr">
        <is>
          <t>Infrastructure</t>
        </is>
      </c>
      <c r="C16" s="1772">
        <f>'2.7 Infrastructure'!$M$11</f>
        <v>6.4</v>
      </c>
      <c r="D16" s="1772">
        <f>'2.7 Infrastructure'!$N$11</f>
        <v>6.30063899</v>
      </c>
      <c r="E16" s="1772">
        <f>IFERROR($D16-$C16,"-")</f>
        <v>-0.09936101</v>
      </c>
      <c r="F16" s="1772">
        <f>'2.7 Infrastructure'!$P$11</f>
        <v>6.30063899</v>
      </c>
      <c r="G16" s="1773">
        <f>'2.7 Infrastructure'!$F$11</f>
        <v>31</v>
      </c>
      <c r="H16" s="1773">
        <f>'2.7 Infrastructure'!$G$11</f>
        <v>22</v>
      </c>
      <c r="I16" s="1773">
        <f>'2.7 Infrastructure'!$H$11</f>
        <v>9</v>
      </c>
      <c r="J16" s="1773">
        <f>'2.7 Infrastructure'!$L$11</f>
        <v>31</v>
      </c>
    </row>
    <row r="17">
      <c r="B17" s="1530" t="inlineStr">
        <is>
          <t>Energy Solutions &amp; B2B</t>
        </is>
      </c>
      <c r="C17" s="1772">
        <f>'2.8 Energy Solutions &amp; B2B'!$M$10</f>
        <v>7.9</v>
      </c>
      <c r="D17" s="1772">
        <f>'2.8 Energy Solutions &amp; B2B'!$N$10</f>
        <v>5.327874328</v>
      </c>
      <c r="E17" s="1772">
        <f>IFERROR($D17-$C17,"-")</f>
        <v>-2.572125672</v>
      </c>
      <c r="F17" s="1772">
        <f>'2.8 Energy Solutions &amp; B2B'!$P$10</f>
        <v>5.327874328</v>
      </c>
      <c r="G17" s="1773">
        <f>'2.8 Energy Solutions &amp; B2B'!$F$10</f>
        <v>29</v>
      </c>
      <c r="H17" s="1773">
        <f>'2.8 Energy Solutions &amp; B2B'!$G$10</f>
        <v>22</v>
      </c>
      <c r="I17" s="1773">
        <f>'2.8 Energy Solutions &amp; B2B'!$H$10</f>
        <v>7</v>
      </c>
      <c r="J17" s="1773">
        <f>'2.8 Energy Solutions &amp; B2B'!$L$10</f>
        <v>29</v>
      </c>
    </row>
    <row r="18">
      <c r="B18" s="1530" t="inlineStr">
        <is>
          <t>Commercial Fuels</t>
        </is>
      </c>
      <c r="C18" s="1772">
        <f>'2.9 Commercial Fuels'!$M$10</f>
        <v>4.88</v>
      </c>
      <c r="D18" s="1772">
        <f>'2.9 Commercial Fuels'!$N$10</f>
        <v>5.8445681607</v>
      </c>
      <c r="E18" s="1772">
        <f>IFERROR($D18-$C18,"-")</f>
        <v>0.9645681607</v>
      </c>
      <c r="F18" s="1772">
        <f>'2.9 Commercial Fuels'!$P$10</f>
        <v>5.8445681607</v>
      </c>
      <c r="G18" s="1773">
        <f>'2.9 Commercial Fuels'!$F$10</f>
        <v>24</v>
      </c>
      <c r="H18" s="1773">
        <f>'2.9 Commercial Fuels'!$G$10</f>
        <v>17</v>
      </c>
      <c r="I18" s="1773">
        <f>'2.9 Commercial Fuels'!$H$10</f>
        <v>7</v>
      </c>
      <c r="J18" s="1773">
        <f>'2.9 Commercial Fuels'!$L$10</f>
        <v>24</v>
      </c>
    </row>
    <row r="19">
      <c r="B19" s="1530" t="inlineStr">
        <is>
          <t>Z Retail</t>
        </is>
      </c>
      <c r="C19" s="1772">
        <f>'2.10 Z Retail'!$M$11</f>
        <v>6.78</v>
      </c>
      <c r="D19" s="1772">
        <f>'2.10 Z Retail'!$N$11</f>
        <v>6.119950684</v>
      </c>
      <c r="E19" s="1772">
        <f>IFERROR($D19-$C19,"-")</f>
        <v>-0.660049316</v>
      </c>
      <c r="F19" s="1772">
        <f>'2.10 Z Retail'!$P$11</f>
        <v>6.119950684</v>
      </c>
      <c r="G19" s="1773">
        <f>'2.10 Z Retail'!$F$11</f>
        <v>34</v>
      </c>
      <c r="H19" s="1773">
        <f>'2.10 Z Retail'!$G$11</f>
        <v>29</v>
      </c>
      <c r="I19" s="1773">
        <f>'2.10 Z Retail'!$H$11</f>
        <v>5</v>
      </c>
      <c r="J19" s="1773">
        <f>'2.10 Z Retail'!$L$11</f>
        <v>34</v>
      </c>
    </row>
    <row r="20">
      <c r="B20" s="1534" t="inlineStr">
        <is>
          <t>Priced by an archetype</t>
        </is>
      </c>
      <c r="C20" s="1774">
        <f>SUM(C10:C19)</f>
        <v>64.2</v>
      </c>
      <c r="D20" s="1774">
        <f>SUM(D10:D19)</f>
        <v>63.8112576151</v>
      </c>
      <c r="E20" s="1774">
        <f>SUM(E10:E19)</f>
        <v>-0.388742384899999</v>
      </c>
      <c r="F20" s="1774">
        <f>SUM(F10:F19)</f>
        <v>63.8112576151</v>
      </c>
      <c r="G20" s="1775">
        <f>SUM(G10:G19)</f>
        <v>316</v>
      </c>
      <c r="H20" s="1775">
        <f>SUM(H10:H19)</f>
        <v>221</v>
      </c>
      <c r="I20" s="1775">
        <f>SUM(I10:I19)</f>
        <v>95</v>
      </c>
      <c r="J20" s="1775">
        <f>SUM(J10:J19)</f>
        <v>316</v>
      </c>
    </row>
    <row r="21">
      <c r="B21" s="1545" t="inlineStr">
        <is>
          <t>Directly funded programmes and platforms - funded on the 1.x tab</t>
        </is>
      </c>
      <c r="C21" s="1545" t="n"/>
      <c r="D21" s="1545" t="n"/>
      <c r="E21" s="1545" t="n"/>
      <c r="F21" s="1545" t="n"/>
      <c r="G21" s="1545" t="n"/>
      <c r="H21" s="1545" t="n"/>
      <c r="I21" s="1545" t="n"/>
      <c r="J21" s="1545" t="n"/>
    </row>
    <row r="22">
      <c r="B22" s="1530" t="inlineStr">
        <is>
          <t>Ampol Retail</t>
        </is>
      </c>
      <c r="C22" s="1772">
        <f>'2.1 Ampol Retail'!$M$21</f>
        <v>2.925146614</v>
      </c>
      <c r="D22" s="1772">
        <f>'2.1 Ampol Retail'!$N$21</f>
        <v>3.636087332</v>
      </c>
      <c r="E22" s="1772">
        <f>IFERROR($D22-$C22,"-")</f>
        <v>0.710940718</v>
      </c>
      <c r="F22" s="1772">
        <f>'2.1 Ampol Retail'!$P$21</f>
        <v>3.636087332</v>
      </c>
      <c r="G22" s="1773">
        <f>'2.1 Ampol Retail'!$F$21</f>
        <v>17</v>
      </c>
      <c r="H22" s="1773">
        <f>'2.1 Ampol Retail'!$G$21</f>
        <v>17</v>
      </c>
      <c r="I22" s="1773">
        <f>'2.1 Ampol Retail'!$H$21</f>
        <v>0</v>
      </c>
      <c r="J22" s="1773">
        <f>'2.1 Ampol Retail'!$L$21</f>
        <v>17</v>
      </c>
    </row>
    <row r="23">
      <c r="B23" s="1530" t="inlineStr">
        <is>
          <t>Customer</t>
        </is>
      </c>
      <c r="C23" s="1772">
        <f>'2.2 Customer'!$M$20</f>
        <v>2.208135308</v>
      </c>
      <c r="D23" s="1772">
        <f>'2.2 Customer'!$N$20</f>
        <v>3.256385356</v>
      </c>
      <c r="E23" s="1772">
        <f>IFERROR($D23-$C23,"-")</f>
        <v>1.048250048</v>
      </c>
      <c r="F23" s="1772">
        <f>'2.2 Customer'!$P$20</f>
        <v>3.256385356</v>
      </c>
      <c r="G23" s="1773">
        <f>'2.2 Customer'!$F$20</f>
        <v>15</v>
      </c>
      <c r="H23" s="1773">
        <f>'2.2 Customer'!$G$20</f>
        <v>14</v>
      </c>
      <c r="I23" s="1773">
        <f>'2.2 Customer'!$H$20</f>
        <v>1</v>
      </c>
      <c r="J23" s="1773">
        <f>'2.2 Customer'!$L$20</f>
        <v>15</v>
      </c>
    </row>
    <row r="24">
      <c r="B24" s="1530" t="inlineStr">
        <is>
          <t>TDD Group Functions</t>
        </is>
      </c>
      <c r="C24" s="1772">
        <f>'2.4 TDD Group Functions'!$M$16</f>
        <v>1.02484851</v>
      </c>
      <c r="D24" s="1772">
        <f>'2.4 TDD Group Functions'!$N$16</f>
        <v>1.02484851</v>
      </c>
      <c r="E24" s="1772">
        <f>IFERROR($D24-$C24,"-")</f>
        <v>0</v>
      </c>
      <c r="F24" s="1772">
        <f>'2.4 TDD Group Functions'!$P$16</f>
        <v>1.02484851</v>
      </c>
      <c r="G24" s="1773">
        <f>'2.4 TDD Group Functions'!$F$16</f>
        <v>4</v>
      </c>
      <c r="H24" s="1773">
        <f>'2.4 TDD Group Functions'!$G$16</f>
        <v>4</v>
      </c>
      <c r="I24" s="1773">
        <f>'2.4 TDD Group Functions'!$H$16</f>
        <v>0</v>
      </c>
      <c r="J24" s="1773">
        <f>'2.4 TDD Group Functions'!$L$16</f>
        <v>4</v>
      </c>
    </row>
    <row r="25">
      <c r="B25" s="1530" t="inlineStr">
        <is>
          <t>P&amp;C</t>
        </is>
      </c>
      <c r="C25" s="1772">
        <f>'2.5 P&amp;C'!$M$14</f>
        <v>0.238965</v>
      </c>
      <c r="D25" s="1772">
        <f>'2.5 P&amp;C'!$N$14</f>
        <v>0.238965</v>
      </c>
      <c r="E25" s="1772">
        <f>IFERROR($D25-$C25,"-")</f>
        <v>0</v>
      </c>
      <c r="F25" s="1772">
        <f>'2.5 P&amp;C'!$P$14</f>
        <v>0.238965</v>
      </c>
      <c r="G25" s="1773">
        <f>'2.5 P&amp;C'!$F$14</f>
        <v>1</v>
      </c>
      <c r="H25" s="1773">
        <f>'2.5 P&amp;C'!$G$14</f>
        <v>1</v>
      </c>
      <c r="I25" s="1773">
        <f>'2.5 P&amp;C'!$H$14</f>
        <v>0</v>
      </c>
      <c r="J25" s="1773">
        <f>'2.5 P&amp;C'!$L$14</f>
        <v>1</v>
      </c>
    </row>
    <row r="26">
      <c r="B26" s="1530" t="inlineStr">
        <is>
          <t>Finance</t>
        </is>
      </c>
      <c r="C26" s="1772">
        <f>'2.6 Finance'!$M$14</f>
        <v>0.24172845</v>
      </c>
      <c r="D26" s="1772">
        <f>'2.6 Finance'!$N$14</f>
        <v>0.24172845</v>
      </c>
      <c r="E26" s="1772">
        <f>IFERROR($D26-$C26,"-")</f>
        <v>0</v>
      </c>
      <c r="F26" s="1772">
        <f>'2.6 Finance'!$P$14</f>
        <v>0.24172845</v>
      </c>
      <c r="G26" s="1773">
        <f>'2.6 Finance'!$F$14</f>
        <v>1</v>
      </c>
      <c r="H26" s="1773">
        <f>'2.6 Finance'!$G$14</f>
        <v>1</v>
      </c>
      <c r="I26" s="1773">
        <f>'2.6 Finance'!$H$14</f>
        <v>0</v>
      </c>
      <c r="J26" s="1773">
        <f>'2.6 Finance'!$L$14</f>
        <v>1</v>
      </c>
    </row>
    <row r="27">
      <c r="B27" s="1530" t="inlineStr">
        <is>
          <t>Infrastructure</t>
        </is>
      </c>
      <c r="C27" s="1772">
        <f>'2.7 Infrastructure'!$M$16</f>
        <v>0</v>
      </c>
      <c r="D27" s="1772">
        <f>'2.7 Infrastructure'!$N$16</f>
        <v>0.2566671</v>
      </c>
      <c r="E27" s="1772">
        <f>IFERROR($D27-$C27,"-")</f>
        <v>0.2566671</v>
      </c>
      <c r="F27" s="1772">
        <f>'2.7 Infrastructure'!$P$16</f>
        <v>0.2566671</v>
      </c>
      <c r="G27" s="1773">
        <f>'2.7 Infrastructure'!$F$16</f>
        <v>1</v>
      </c>
      <c r="H27" s="1773">
        <f>'2.7 Infrastructure'!$G$16</f>
        <v>1</v>
      </c>
      <c r="I27" s="1773">
        <f>'2.7 Infrastructure'!$H$16</f>
        <v>0</v>
      </c>
      <c r="J27" s="1773">
        <f>'2.7 Infrastructure'!$L$16</f>
        <v>1</v>
      </c>
    </row>
    <row r="28">
      <c r="B28" s="1530" t="inlineStr">
        <is>
          <t>Commercial Fuels</t>
        </is>
      </c>
      <c r="C28" s="1772">
        <f>'2.9 Commercial Fuels'!$M$15</f>
        <v>3.8</v>
      </c>
      <c r="D28" s="1772">
        <f>'2.9 Commercial Fuels'!$N$15</f>
        <v>3.221759232</v>
      </c>
      <c r="E28" s="1772">
        <f>IFERROR($D28-$C28,"-")</f>
        <v>-0.578240768</v>
      </c>
      <c r="F28" s="1772">
        <f>'2.9 Commercial Fuels'!$P$15</f>
        <v>3.221759232</v>
      </c>
      <c r="G28" s="1773">
        <f>'2.9 Commercial Fuels'!$F$15</f>
        <v>14</v>
      </c>
      <c r="H28" s="1773">
        <f>'2.9 Commercial Fuels'!$G$15</f>
        <v>14</v>
      </c>
      <c r="I28" s="1773">
        <f>'2.9 Commercial Fuels'!$H$15</f>
        <v>0</v>
      </c>
      <c r="J28" s="1773">
        <f>'2.9 Commercial Fuels'!$L$15</f>
        <v>14</v>
      </c>
    </row>
    <row r="29">
      <c r="B29" s="1534" t="inlineStr">
        <is>
          <t>Directly funded</t>
        </is>
      </c>
      <c r="C29" s="1774">
        <f>SUM(C22:C28)</f>
        <v>10.438823882</v>
      </c>
      <c r="D29" s="1774">
        <f>SUM(D22:D28)</f>
        <v>11.87644098</v>
      </c>
      <c r="E29" s="1774">
        <f>SUM(E22:E28)</f>
        <v>1.437617098</v>
      </c>
      <c r="F29" s="1774">
        <f>SUM(F22:F28)</f>
        <v>11.87644098</v>
      </c>
      <c r="G29" s="1775">
        <f>SUM(G22:G28)</f>
        <v>53</v>
      </c>
      <c r="H29" s="1775">
        <f>SUM(H22:H28)</f>
        <v>52</v>
      </c>
      <c r="I29" s="1775">
        <f>SUM(I22:I28)</f>
        <v>1</v>
      </c>
      <c r="J29" s="1775">
        <f>SUM(J22:J28)</f>
        <v>53</v>
      </c>
    </row>
    <row r="30">
      <c r="B30" s="1545" t="inlineStr">
        <is>
          <t>COEs and EGI - planned spend on their own 1.x tabs</t>
        </is>
      </c>
      <c r="C30" s="1545" t="n"/>
      <c r="D30" s="1545" t="n"/>
      <c r="E30" s="1545" t="n"/>
      <c r="F30" s="1545" t="n"/>
      <c r="G30" s="1545" t="n"/>
      <c r="H30" s="1545" t="n"/>
      <c r="I30" s="1545" t="n"/>
      <c r="J30" s="1545" t="n"/>
    </row>
    <row r="31">
      <c r="B31" s="1530" t="inlineStr">
        <is>
          <t>COE Cyber</t>
        </is>
      </c>
      <c r="C31" s="1772">
        <f>'1.13 Cyber Roles'!$F$6+'1.13 Cyber Roles'!$F$7</f>
        <v>9.897858294</v>
      </c>
      <c r="D31" s="1772">
        <f>'2.11 COE Cyber'!$N$24</f>
        <v>9.897858294</v>
      </c>
      <c r="E31" s="1772">
        <f>IFERROR($D31-$C31,"-")</f>
        <v>0</v>
      </c>
      <c r="F31" s="1772">
        <f>'2.11 COE Cyber'!$P$24</f>
        <v>9.897858294</v>
      </c>
      <c r="G31" s="1773">
        <f>'2.11 COE Cyber'!$F$24</f>
        <v>46</v>
      </c>
      <c r="H31" s="1773">
        <f>'2.11 COE Cyber'!$G$24</f>
        <v>42</v>
      </c>
      <c r="I31" s="1773">
        <f>'2.11 COE Cyber'!$H$24</f>
        <v>4</v>
      </c>
      <c r="J31" s="1773">
        <f>'2.11 COE Cyber'!$L$24</f>
        <v>46</v>
      </c>
    </row>
    <row r="32">
      <c r="B32" s="1530" t="inlineStr">
        <is>
          <t>COE BP&amp;T</t>
        </is>
      </c>
      <c r="C32" s="1772">
        <f>'1.11 BP&amp;T'!$F$6+'1.11 BP&amp;T'!$F$7</f>
        <v>6.400561822</v>
      </c>
      <c r="D32" s="1772">
        <f>'2.12 BP&amp;T'!$N$22</f>
        <v>6.400561822</v>
      </c>
      <c r="E32" s="1772">
        <f>IFERROR($D32-$C32,"-")</f>
        <v>0</v>
      </c>
      <c r="F32" s="1772">
        <f>'2.12 BP&amp;T'!$P$22</f>
        <v>6.400561822</v>
      </c>
      <c r="G32" s="1773">
        <f>'2.12 BP&amp;T'!$F$22</f>
        <v>24</v>
      </c>
      <c r="H32" s="1773">
        <f>'2.12 BP&amp;T'!$G$22</f>
        <v>15</v>
      </c>
      <c r="I32" s="1773">
        <f>'2.12 BP&amp;T'!$H$22</f>
        <v>9</v>
      </c>
      <c r="J32" s="1773">
        <f>'2.12 BP&amp;T'!$L$22</f>
        <v>24</v>
      </c>
    </row>
    <row r="33">
      <c r="B33" s="1530" t="inlineStr">
        <is>
          <t>COE SA&amp;D</t>
        </is>
      </c>
      <c r="C33" s="1772">
        <f>'1.12 SA&amp;D'!$G$6+'1.12 SA&amp;D'!$G$7</f>
        <v>6.529494052</v>
      </c>
      <c r="D33" s="1772">
        <f>'2.13 SA&amp;D'!$N$24</f>
        <v>6.529494052</v>
      </c>
      <c r="E33" s="1772">
        <f>IFERROR($D33-$C33,"-")</f>
        <v>0</v>
      </c>
      <c r="F33" s="1772">
        <f>'2.13 SA&amp;D'!$P$24</f>
        <v>6.529494052</v>
      </c>
      <c r="G33" s="1773">
        <f>'2.13 SA&amp;D'!$F$24</f>
        <v>26</v>
      </c>
      <c r="H33" s="1773">
        <f>'2.13 SA&amp;D'!$G$24</f>
        <v>17</v>
      </c>
      <c r="I33" s="1773">
        <f>'2.13 SA&amp;D'!$H$24</f>
        <v>9</v>
      </c>
      <c r="J33" s="1773">
        <f>'2.13 SA&amp;D'!$L$24</f>
        <v>26</v>
      </c>
    </row>
    <row r="34">
      <c r="B34" s="1530" t="inlineStr">
        <is>
          <t>EGI</t>
        </is>
      </c>
      <c r="C34" s="1772">
        <f>'2.14 EGI'!$N$20</f>
        <v>4.94341935</v>
      </c>
      <c r="D34" s="1772">
        <f>'2.14 EGI'!$N$20</f>
        <v>4.94341935</v>
      </c>
      <c r="E34" s="1772">
        <f>IFERROR($D34-$C34,"-")</f>
        <v>0</v>
      </c>
      <c r="F34" s="1772">
        <f>'2.14 EGI'!$P$20</f>
        <v>4.94341935</v>
      </c>
      <c r="G34" s="1773">
        <f>'2.14 EGI'!$F$20</f>
        <v>17</v>
      </c>
      <c r="H34" s="1773">
        <f>'2.14 EGI'!$G$20</f>
        <v>17</v>
      </c>
      <c r="I34" s="1773">
        <f>'2.14 EGI'!$H$20</f>
        <v>0</v>
      </c>
      <c r="J34" s="1773">
        <f>'2.14 EGI'!$L$20</f>
        <v>17</v>
      </c>
    </row>
    <row r="35">
      <c r="B35" s="1534" t="inlineStr">
        <is>
          <t>COEs and EGI</t>
        </is>
      </c>
      <c r="C35" s="1774">
        <f>SUM(C31:C34)</f>
        <v>27.771333518</v>
      </c>
      <c r="D35" s="1774">
        <f>SUM(D31:D34)</f>
        <v>27.771333518</v>
      </c>
      <c r="E35" s="1774">
        <f>SUM(E31:E34)</f>
        <v>0</v>
      </c>
      <c r="F35" s="1774">
        <f>SUM(F31:F34)</f>
        <v>27.771333518</v>
      </c>
      <c r="G35" s="1775">
        <f>SUM(G31:G34)</f>
        <v>113</v>
      </c>
      <c r="H35" s="1775">
        <f>SUM(H31:H34)</f>
        <v>91</v>
      </c>
      <c r="I35" s="1775">
        <f>SUM(I31:I34)</f>
        <v>22</v>
      </c>
      <c r="J35" s="1775">
        <f>SUM(J31:J34)</f>
        <v>113</v>
      </c>
    </row>
    <row r="36">
      <c r="B36" s="1534" t="inlineStr">
        <is>
          <t>Overhead roles in the portfolios</t>
        </is>
      </c>
      <c r="C36" s="1774">
        <f>N(Lists!$AJ$9)</f>
        <v>6.325</v>
      </c>
      <c r="D36" s="1774">
        <f>N('2.1 Ampol Retail'!$N$28)+N('2.2 Customer'!$N$27)+N('2.3 Enterprise Data'!$N$21)+N('2.4 TDD Group Functions'!$N$23)+N('2.5 P&amp;C'!$N$21)+N('2.6 Finance'!$N$19)+N('2.7 Infrastructure'!$N$23)+N('2.8 Energy Solutions &amp; B2B'!$N$22)+N('2.9 Commercial Fuels'!$N$22)+N('2.10 Z Retail'!$N$23)</f>
        <v>11.654230155</v>
      </c>
      <c r="E36" s="1774">
        <f>$D36-$C36</f>
        <v>5.329230155</v>
      </c>
      <c r="F36" s="1774">
        <f>N('2.1 Ampol Retail'!$P$28)+N('2.2 Customer'!$P$27)+N('2.3 Enterprise Data'!$P$21)+N('2.4 TDD Group Functions'!$P$23)+N('2.5 P&amp;C'!$P$21)+N('2.6 Finance'!$P$19)+N('2.7 Infrastructure'!$P$23)+N('2.8 Energy Solutions &amp; B2B'!$P$22)+N('2.9 Commercial Fuels'!$P$22)+N('2.10 Z Retail'!$P$23)</f>
        <v>11.654230155</v>
      </c>
      <c r="G36" s="1775">
        <f>N('2.1 Ampol Retail'!$F$28)+N('2.2 Customer'!$F$27)+N('2.3 Enterprise Data'!$F$21)+N('2.4 TDD Group Functions'!$F$23)+N('2.5 P&amp;C'!$F$21)+N('2.6 Finance'!$F$19)+N('2.7 Infrastructure'!$F$23)+N('2.8 Energy Solutions &amp; B2B'!$F$22)+N('2.9 Commercial Fuels'!$F$22)+N('2.10 Z Retail'!$F$23)</f>
        <v>43</v>
      </c>
      <c r="H36" s="1775">
        <f>N('2.1 Ampol Retail'!$G$28)+N('2.2 Customer'!$G$27)+N('2.3 Enterprise Data'!$G$21)+N('2.4 TDD Group Functions'!$G$23)+N('2.5 P&amp;C'!$G$21)+N('2.6 Finance'!$G$19)+N('2.7 Infrastructure'!$G$23)+N('2.8 Energy Solutions &amp; B2B'!$G$22)+N('2.9 Commercial Fuels'!$G$22)+N('2.10 Z Retail'!$G$23)</f>
        <v>26</v>
      </c>
      <c r="I36" s="1775">
        <f>N('2.1 Ampol Retail'!$H$28)+N('2.2 Customer'!$H$27)+N('2.3 Enterprise Data'!$H$21)+N('2.4 TDD Group Functions'!$H$23)+N('2.5 P&amp;C'!$H$21)+N('2.6 Finance'!$H$19)+N('2.7 Infrastructure'!$H$23)+N('2.8 Energy Solutions &amp; B2B'!$H$22)+N('2.9 Commercial Fuels'!$H$22)+N('2.10 Z Retail'!$H$23)</f>
        <v>17</v>
      </c>
      <c r="J36" s="1775">
        <f>N('2.1 Ampol Retail'!$L$28)+N('2.2 Customer'!$L$27)+N('2.3 Enterprise Data'!$L$21)+N('2.4 TDD Group Functions'!$L$23)+N('2.5 P&amp;C'!$L$21)+N('2.6 Finance'!$L$19)+N('2.7 Infrastructure'!$L$23)+N('2.8 Energy Solutions &amp; B2B'!$L$22)+N('2.9 Commercial Fuels'!$L$22)+N('2.10 Z Retail'!$L$23)</f>
        <v>43</v>
      </c>
    </row>
    <row r="37"/>
    <row r="38">
      <c r="B38" s="1539" t="inlineStr">
        <is>
          <t>Cost of the organisation today</t>
        </is>
      </c>
      <c r="C38" s="1776">
        <f>N(C20)+N(C29)+N(C35)+N(C36)</f>
        <v>108.7351574</v>
      </c>
      <c r="D38" s="1776">
        <f>N(D20)+N(D29)+N(D35)+N(D36)</f>
        <v>115.1132622681</v>
      </c>
      <c r="E38" s="1776">
        <f>N(E20)+N(E29)+N(E35)+N(E36)</f>
        <v>6.3781048681</v>
      </c>
      <c r="F38" s="1776">
        <f>N(F20)+N(F29)+N(F35)+N(F36)</f>
        <v>115.1132622681</v>
      </c>
      <c r="G38" s="1777">
        <f>N(G20)+N(G29)+N(G35)+N(G36)</f>
        <v>525</v>
      </c>
      <c r="H38" s="1777">
        <f>N(H20)+N(H29)+N(H35)+N(H36)</f>
        <v>390</v>
      </c>
      <c r="I38" s="1777">
        <f>N(I20)+N(I29)+N(I35)+N(I36)</f>
        <v>135</v>
      </c>
      <c r="J38" s="1777">
        <f>N(J20)+N(J29)+N(J35)+N(J36)</f>
        <v>525</v>
      </c>
    </row>
    <row r="39"/>
    <row r="40">
      <c r="B40" s="1526" t="inlineStr">
        <is>
          <t>Control - roles against the ledger, must be 0</t>
        </is>
      </c>
      <c r="G40" s="1778">
        <f>$G$38-COUNTA('REVIEW - Complete Role Mapping'!$B$2:$B$528)</f>
        <v>0</v>
      </c>
    </row>
    <row r="41">
      <c r="B41" s="1526" t="inlineStr">
        <is>
          <t>Control - cost against the ledger ($m), must be 0</t>
        </is>
      </c>
      <c r="D41" s="1779">
        <f>ROUND($D$38-SUM('REVIEW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3"/>
  <sheetViews>
    <sheetView showFormulas="0" showGridLines="0" showRowColHeaders="1" showZeros="1" rightToLeft="0" tabSelected="0" showOutlineSymbols="1" defaultGridColor="1" view="normal" topLeftCell="A1" colorId="64" zoomScale="120" zoomScaleNormal="120" zoomScalePageLayoutView="100" workbookViewId="0">
      <pane xSplit="2" ySplit="5" topLeftCell="C6"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42" customWidth="1" style="866" min="2" max="2"/>
    <col width="15" customWidth="1" style="866" min="3" max="3"/>
    <col width="14" customWidth="1" style="866" min="4" max="4"/>
    <col width="17" customWidth="1" style="866" min="5" max="5"/>
    <col width="19" customWidth="1" style="866" min="6" max="6"/>
    <col width="15" customWidth="1" style="866" min="7" max="7"/>
    <col width="19" customWidth="1" style="866" min="8" max="8"/>
    <col width="12" customWidth="1" style="866" min="9" max="9"/>
    <col width="15" customWidth="1" style="866" min="10" max="10"/>
    <col width="17" customWidth="1" style="866" min="11" max="11"/>
  </cols>
  <sheetData>
    <row r="1"/>
    <row r="2">
      <c r="B2" s="1524" t="inlineStr">
        <is>
          <t>Total Cost - archetype against actual</t>
        </is>
      </c>
    </row>
    <row r="3"/>
    <row r="4" ht="19" customHeight="1" s="866">
      <c r="B4" s="1527" t="inlineStr">
        <is>
          <t>How the organisation is funded</t>
        </is>
      </c>
      <c r="C4" s="1528" t="n"/>
      <c r="D4" s="1528" t="n"/>
      <c r="E4" s="1528" t="n"/>
      <c r="F4" s="1528" t="n"/>
      <c r="G4" s="1528" t="n"/>
    </row>
    <row r="5" ht="48" customHeight="1" s="866">
      <c r="B5" s="1529" t="inlineStr">
        <is>
          <t>How the cost is funded</t>
        </is>
      </c>
      <c r="C5" s="1529" t="inlineStr">
        <is>
          <t>Archetype cost ($m)</t>
        </is>
      </c>
      <c r="D5" s="1529" t="inlineStr">
        <is>
          <t>Actual cost ($m)</t>
        </is>
      </c>
      <c r="E5" s="1529" t="inlineStr">
        <is>
          <t>Over/(under) archetype ($m)</t>
        </is>
      </c>
      <c r="F5" s="1529" t="inlineStr">
        <is>
          <t>Cost after vacancy decisions ($m)</t>
        </is>
      </c>
      <c r="G5" s="1529" t="inlineStr">
        <is>
          <t>Roles</t>
        </is>
      </c>
    </row>
    <row r="6">
      <c r="B6" s="1530" t="inlineStr">
        <is>
          <t>Squads priced by an archetype</t>
        </is>
      </c>
      <c r="C6" s="1772">
        <f>'3.1 Group Summary'!$C$20</f>
        <v>64.2</v>
      </c>
      <c r="D6" s="1772">
        <f>'3.1 Group Summary'!$D$20</f>
        <v>63.8112576151</v>
      </c>
      <c r="E6" s="1772">
        <f>'3.1 Group Summary'!$E$20</f>
        <v>-0.388742384899999</v>
      </c>
      <c r="F6" s="1772">
        <f>'3.1 Group Summary'!$F$20</f>
        <v>63.8112576151</v>
      </c>
      <c r="G6" s="1773">
        <f>'3.1 Group Summary'!$G$20</f>
        <v>316</v>
      </c>
    </row>
    <row r="7">
      <c r="B7" s="1530" t="inlineStr">
        <is>
          <t>Directly funded programmes and platforms</t>
        </is>
      </c>
      <c r="C7" s="1772">
        <f>'3.1 Group Summary'!$C$29</f>
        <v>10.438823882</v>
      </c>
      <c r="D7" s="1772">
        <f>'3.1 Group Summary'!$D$29</f>
        <v>11.87644098</v>
      </c>
      <c r="E7" s="1772">
        <f>'3.1 Group Summary'!$E$29</f>
        <v>1.437617098</v>
      </c>
      <c r="F7" s="1772">
        <f>'3.1 Group Summary'!$F$29</f>
        <v>11.87644098</v>
      </c>
      <c r="G7" s="1773">
        <f>'3.1 Group Summary'!$G$29</f>
        <v>53</v>
      </c>
    </row>
    <row r="8">
      <c r="B8" s="1530" t="inlineStr">
        <is>
          <t>COEs and EGI</t>
        </is>
      </c>
      <c r="C8" s="1772">
        <f>'3.1 Group Summary'!$C$35</f>
        <v>27.771333518</v>
      </c>
      <c r="D8" s="1772">
        <f>'3.1 Group Summary'!$D$35</f>
        <v>27.771333518</v>
      </c>
      <c r="E8" s="1772">
        <f>'3.1 Group Summary'!$E$35</f>
        <v>0</v>
      </c>
      <c r="F8" s="1772">
        <f>'3.1 Group Summary'!$F$35</f>
        <v>27.771333518</v>
      </c>
      <c r="G8" s="1773">
        <f>'3.1 Group Summary'!$G$35</f>
        <v>113</v>
      </c>
    </row>
    <row r="9">
      <c r="B9" s="1530" t="inlineStr">
        <is>
          <t>Overhead roles in the portfolios</t>
        </is>
      </c>
      <c r="C9" s="1772">
        <f>'3.1 Group Summary'!$C$36</f>
        <v>6.325</v>
      </c>
      <c r="D9" s="1772">
        <f>'3.1 Group Summary'!$D$36</f>
        <v>11.654230155</v>
      </c>
      <c r="E9" s="1772">
        <f>'3.1 Group Summary'!$E$36</f>
        <v>5.329230155</v>
      </c>
      <c r="F9" s="1772">
        <f>'3.1 Group Summary'!$F$36</f>
        <v>11.654230155</v>
      </c>
      <c r="G9" s="1773">
        <f>'3.1 Group Summary'!$G$36</f>
        <v>43</v>
      </c>
    </row>
    <row r="10">
      <c r="B10" s="1539" t="inlineStr">
        <is>
          <t>Cost of the organisation today</t>
        </is>
      </c>
      <c r="C10" s="1776">
        <f>SUM(C6:C9)</f>
        <v>108.7351574</v>
      </c>
      <c r="D10" s="1776">
        <f>SUM(D6:D9)</f>
        <v>115.1132622681</v>
      </c>
      <c r="E10" s="1776">
        <f>SUM(E6:E9)</f>
        <v>6.3781048681</v>
      </c>
      <c r="F10" s="1776">
        <f>SUM(F6:F9)</f>
        <v>115.1132622681</v>
      </c>
      <c r="G10" s="1777">
        <f>SUM(G6:G9)</f>
        <v>525</v>
      </c>
    </row>
    <row r="11">
      <c r="B11" s="1530" t="inlineStr">
        <is>
          <t>Of which people in seat today</t>
        </is>
      </c>
      <c r="D11" s="1772">
        <f>SUMIFS('REVIEW - Complete Role Mapping'!$AA$2:$AA$528,'REVIEW - Complete Role Mapping'!$AK$2:$AK$528,"Filled")/1000000</f>
        <v>86.5787701821</v>
      </c>
      <c r="G11" s="1773">
        <f>COUNTIFS('REVIEW - Complete Role Mapping'!$AK$2:$AK$528,"Filled")</f>
        <v>390</v>
      </c>
    </row>
    <row r="12">
      <c r="B12" s="1530" t="inlineStr">
        <is>
          <t>Of which vacancies not yet filled</t>
        </is>
      </c>
      <c r="D12" s="1772">
        <f>SUMIFS('REVIEW - Complete Role Mapping'!$AA$2:$AA$528,'REVIEW - Complete Role Mapping'!$AK$2:$AK$528,"Vacant")/1000000</f>
        <v>28.534492086</v>
      </c>
      <c r="G12" s="1773">
        <f>COUNTIFS('REVIEW - Complete Role Mapping'!$AK$2:$AK$528,"Vacant")</f>
        <v>135</v>
      </c>
    </row>
    <row r="13"/>
    <row r="14" ht="19" customHeight="1" s="866">
      <c r="B14" s="1527" t="inlineStr">
        <is>
          <t>Overhead roles - line by line</t>
        </is>
      </c>
      <c r="C14" s="1528" t="n"/>
      <c r="D14" s="1528" t="n"/>
      <c r="E14" s="1528" t="n"/>
      <c r="F14" s="1528" t="n"/>
      <c r="G14" s="1528" t="n"/>
      <c r="H14" s="1528" t="n"/>
      <c r="I14" s="1528" t="n"/>
      <c r="J14" s="1528" t="n"/>
      <c r="K14" s="1528" t="n"/>
    </row>
    <row r="15" ht="48" customHeight="1" s="866">
      <c r="B15" s="1529" t="inlineStr">
        <is>
          <t>Overhead line</t>
        </is>
      </c>
      <c r="C15" s="1529" t="inlineStr">
        <is>
          <t>Rate ($m)</t>
        </is>
      </c>
      <c r="D15" s="1529" t="inlineStr">
        <is>
          <t>Times applied</t>
        </is>
      </c>
      <c r="E15" s="1529" t="inlineStr">
        <is>
          <t>Allowance ($m)</t>
        </is>
      </c>
      <c r="F15" s="1529" t="inlineStr">
        <is>
          <t>Roles in the portfolios</t>
        </is>
      </c>
      <c r="G15" s="1529" t="inlineStr">
        <is>
          <t>Cost in the portfolios ($m)</t>
        </is>
      </c>
      <c r="H15" s="1529" t="inlineStr">
        <is>
          <t>Not covered by the allowance ($m)</t>
        </is>
      </c>
      <c r="I15" s="1529" t="inlineStr">
        <is>
          <t>Roles inside the COEs</t>
        </is>
      </c>
      <c r="J15" s="1529" t="inlineStr">
        <is>
          <t>Cost inside the COEs ($m)</t>
        </is>
      </c>
      <c r="K15" s="1529" t="inlineStr">
        <is>
          <t>Allowance drawn in the portfolios</t>
        </is>
      </c>
    </row>
    <row r="16">
      <c r="B16" s="1530" t="str">
        <f>Lists!$AF$2</f>
        <v>Head of Technology</v>
      </c>
      <c r="C16" s="1801">
        <f>Lists!$AG$2</f>
        <v>0.1375</v>
      </c>
      <c r="D16" s="1773">
        <f>Lists!$AH$2</f>
        <v>10</v>
      </c>
      <c r="E16" s="1772">
        <f>Lists!$AJ$2</f>
        <v>1.375</v>
      </c>
      <c r="F16" s="1773">
        <f>IF($B16="Leadership - 8 GMs",N(Lists!$AG$11),COUNTIFS('REVIEW - Complete Role Mapping'!$AR$2:$AR$528,$B16,'REVIEW - Complete Role Mapping'!$AT$2:$AT$528,$B16))</f>
        <v>10</v>
      </c>
      <c r="G16" s="1772">
        <f>IF($B16="Leadership - 8 GMs",N(Lists!$AG$12),SUMIFS('REVIEW - Complete Role Mapping'!$AA$2:$AA$528,'REVIEW - Complete Role Mapping'!$AR$2:$AR$528,$B16,'REVIEW - Complete Role Mapping'!$AT$2:$AT$528,$B16)/1000000)</f>
        <v>3.050314036</v>
      </c>
      <c r="H16" s="1772">
        <f>$G16-$E16</f>
        <v>1.675314036</v>
      </c>
      <c r="I16" s="1773">
        <f>IF($B16="Leadership - 8 GMs",0,COUNTIFS('REVIEW - Complete Role Mapping'!$AR$2:$AR$528,$B16)-$F16)</f>
        <v>5</v>
      </c>
      <c r="J16" s="1772">
        <f>IF($B16="Leadership - 8 GMs",0,SUMIFS('REVIEW - Complete Role Mapping'!$AA$2:$AA$528,'REVIEW - Complete Role Mapping'!$AR$2:$AR$528,$B16)/1000000-$G16)</f>
        <v>1.8191523</v>
      </c>
      <c r="K16" s="1781" t="str">
        <f>Lists!$AM$2</f>
        <v>Yes</v>
      </c>
    </row>
    <row r="17">
      <c r="B17" s="1530" t="str">
        <f>Lists!$AF$3</f>
        <v>Business Partner</v>
      </c>
      <c r="C17" s="1801">
        <f>Lists!$AG$3</f>
        <v>0.22</v>
      </c>
      <c r="D17" s="1773">
        <f>Lists!$AH$3</f>
        <v>10</v>
      </c>
      <c r="E17" s="1772">
        <f>Lists!$AJ$3</f>
        <v>2.2</v>
      </c>
      <c r="F17" s="1773">
        <f>IF($B17="Leadership - 8 GMs",N(Lists!$AG$11),COUNTIFS('REVIEW - Complete Role Mapping'!$AR$2:$AR$528,$B17,'REVIEW - Complete Role Mapping'!$AT$2:$AT$528,$B17))</f>
        <v>0</v>
      </c>
      <c r="G17" s="1772">
        <f>IF($B17="Leadership - 8 GMs",N(Lists!$AG$12),SUMIFS('REVIEW - Complete Role Mapping'!$AA$2:$AA$528,'REVIEW - Complete Role Mapping'!$AR$2:$AR$528,$B17,'REVIEW - Complete Role Mapping'!$AT$2:$AT$528,$B17)/1000000)</f>
        <v>0</v>
      </c>
      <c r="H17" s="1772">
        <f>$G17-$E17</f>
        <v>-2.2</v>
      </c>
      <c r="I17" s="1773">
        <f>IF($B17="Leadership - 8 GMs",0,COUNTIFS('REVIEW - Complete Role Mapping'!$AR$2:$AR$528,$B17)-$F17)</f>
        <v>6</v>
      </c>
      <c r="J17" s="1772">
        <f>IF($B17="Leadership - 8 GMs",0,SUMIFS('REVIEW - Complete Role Mapping'!$AA$2:$AA$528,'REVIEW - Complete Role Mapping'!$AR$2:$AR$528,$B17)/1000000-$G17)</f>
        <v>2.3135484</v>
      </c>
      <c r="K17" s="1781" t="str">
        <f>Lists!$AM$3</f>
        <v>No</v>
      </c>
    </row>
    <row r="18">
      <c r="B18" s="1530" t="str">
        <f>Lists!$AF$4</f>
        <v>Domain Architect</v>
      </c>
      <c r="C18" s="1801">
        <f>Lists!$AG$4</f>
        <v>0.14</v>
      </c>
      <c r="D18" s="1773">
        <f>Lists!$AH$4</f>
        <v>10</v>
      </c>
      <c r="E18" s="1772">
        <f>Lists!$AJ$4</f>
        <v>1.4</v>
      </c>
      <c r="F18" s="1773">
        <f>IF($B18="Leadership - 8 GMs",N(Lists!$AG$11),COUNTIFS('REVIEW - Complete Role Mapping'!$AR$2:$AR$528,$B18,'REVIEW - Complete Role Mapping'!$AT$2:$AT$528,$B18))</f>
        <v>0</v>
      </c>
      <c r="G18" s="1772">
        <f>IF($B18="Leadership - 8 GMs",N(Lists!$AG$12),SUMIFS('REVIEW - Complete Role Mapping'!$AA$2:$AA$528,'REVIEW - Complete Role Mapping'!$AR$2:$AR$528,$B18,'REVIEW - Complete Role Mapping'!$AT$2:$AT$528,$B18)/1000000)</f>
        <v>0</v>
      </c>
      <c r="H18" s="1772">
        <f>$G18-$E18</f>
        <v>-1.4</v>
      </c>
      <c r="I18" s="1773">
        <f>IF($B18="Leadership - 8 GMs",0,COUNTIFS('REVIEW - Complete Role Mapping'!$AR$2:$AR$528,$B18)-$F18)</f>
        <v>7</v>
      </c>
      <c r="J18" s="1772">
        <f>IF($B18="Leadership - 8 GMs",0,SUMIFS('REVIEW - Complete Role Mapping'!$AA$2:$AA$528,'REVIEW - Complete Role Mapping'!$AR$2:$AR$528,$B18)/1000000-$G18)</f>
        <v>1.664746536</v>
      </c>
      <c r="K18" s="1781" t="str">
        <f>Lists!$AM$4</f>
        <v>No</v>
      </c>
    </row>
    <row r="19">
      <c r="B19" s="1530" t="str">
        <f>Lists!$AF$5</f>
        <v>Delivery Manager</v>
      </c>
      <c r="C19" s="1801">
        <f>Lists!$AG$5</f>
        <v>0.084</v>
      </c>
      <c r="D19" s="1773">
        <f>Lists!$AH$5</f>
        <v>30</v>
      </c>
      <c r="E19" s="1772">
        <f>Lists!$AJ$5</f>
        <v>2.52</v>
      </c>
      <c r="F19" s="1773">
        <f>IF($B19="Leadership - 8 GMs",N(Lists!$AG$11),COUNTIFS('REVIEW - Complete Role Mapping'!$AR$2:$AR$528,$B19,'REVIEW - Complete Role Mapping'!$AT$2:$AT$528,$B19))</f>
        <v>9</v>
      </c>
      <c r="G19" s="1772">
        <f>IF($B19="Leadership - 8 GMs",N(Lists!$AG$12),SUMIFS('REVIEW - Complete Role Mapping'!$AA$2:$AA$528,'REVIEW - Complete Role Mapping'!$AR$2:$AR$528,$B19,'REVIEW - Complete Role Mapping'!$AT$2:$AT$528,$B19)/1000000)</f>
        <v>2.30571395</v>
      </c>
      <c r="H19" s="1772">
        <f>$G19-$E19</f>
        <v>-0.21428605</v>
      </c>
      <c r="I19" s="1773">
        <f>IF($B19="Leadership - 8 GMs",0,COUNTIFS('REVIEW - Complete Role Mapping'!$AR$2:$AR$528,$B19)-$F19)</f>
        <v>1</v>
      </c>
      <c r="J19" s="1772">
        <f>IF($B19="Leadership - 8 GMs",0,SUMIFS('REVIEW - Complete Role Mapping'!$AA$2:$AA$528,'REVIEW - Complete Role Mapping'!$AR$2:$AR$528,$B19)/1000000-$G19)</f>
        <v>0.3690886</v>
      </c>
      <c r="K19" s="1781" t="str">
        <f>Lists!$AM$5</f>
        <v>Yes</v>
      </c>
    </row>
    <row r="20">
      <c r="B20" s="1530" t="str">
        <f>Lists!$AF$6</f>
        <v>Technology Manager</v>
      </c>
      <c r="C20" s="1801">
        <f>Lists!$AG$6</f>
        <v>0.081</v>
      </c>
      <c r="D20" s="1773">
        <f>Lists!$AH$6</f>
        <v>30</v>
      </c>
      <c r="E20" s="1772">
        <f>Lists!$AJ$6</f>
        <v>2.43</v>
      </c>
      <c r="F20" s="1773">
        <f>IF($B20="Leadership - 8 GMs",N(Lists!$AG$11),COUNTIFS('REVIEW - Complete Role Mapping'!$AR$2:$AR$528,$B20,'REVIEW - Complete Role Mapping'!$AT$2:$AT$528,$B20))</f>
        <v>24</v>
      </c>
      <c r="G20" s="1772">
        <f>IF($B20="Leadership - 8 GMs",N(Lists!$AG$12),SUMIFS('REVIEW - Complete Role Mapping'!$AA$2:$AA$528,'REVIEW - Complete Role Mapping'!$AR$2:$AR$528,$B20,'REVIEW - Complete Role Mapping'!$AT$2:$AT$528,$B20)/1000000)</f>
        <v>6.298202169</v>
      </c>
      <c r="H20" s="1772">
        <f>$G20-$E20</f>
        <v>3.868202169</v>
      </c>
      <c r="I20" s="1773">
        <f>IF($B20="Leadership - 8 GMs",0,COUNTIFS('REVIEW - Complete Role Mapping'!$AR$2:$AR$528,$B20)-$F20)</f>
        <v>0</v>
      </c>
      <c r="J20" s="1772">
        <f>IF($B20="Leadership - 8 GMs",0,SUMIFS('REVIEW - Complete Role Mapping'!$AA$2:$AA$528,'REVIEW - Complete Role Mapping'!$AR$2:$AR$528,$B20)/1000000-$G20)</f>
        <v>0</v>
      </c>
      <c r="K20" s="1781" t="str">
        <f>Lists!$AM$6</f>
        <v>Yes</v>
      </c>
    </row>
    <row r="21">
      <c r="B21" s="1530" t="str">
        <f>Lists!$AF$7</f>
        <v>Leadership - 8 GMs</v>
      </c>
      <c r="C21" s="1801">
        <f>Lists!$AG$7</f>
        <v>0.3</v>
      </c>
      <c r="D21" s="1773">
        <f>Lists!$AH$7</f>
        <v>10</v>
      </c>
      <c r="E21" s="1772">
        <f>Lists!$AJ$7</f>
        <v>3</v>
      </c>
      <c r="F21" s="1773">
        <f>IF($B21="Leadership - 8 GMs",N(Lists!$AG$11),COUNTIFS('REVIEW - Complete Role Mapping'!$AR$2:$AR$528,$B21,'REVIEW - Complete Role Mapping'!$AT$2:$AT$528,$B21))</f>
        <v>8</v>
      </c>
      <c r="G21" s="1772">
        <f>IF($B21="Leadership - 8 GMs",N(Lists!$AG$12),SUMIFS('REVIEW - Complete Role Mapping'!$AA$2:$AA$528,'REVIEW - Complete Role Mapping'!$AR$2:$AR$528,$B21,'REVIEW - Complete Role Mapping'!$AT$2:$AT$528,$B21)/1000000)</f>
        <v>5.1</v>
      </c>
      <c r="H21" s="1772">
        <f>$G21-$E21</f>
        <v>2.1</v>
      </c>
      <c r="I21" s="1773">
        <f>IF($B21="Leadership - 8 GMs",0,COUNTIFS('REVIEW - Complete Role Mapping'!$AR$2:$AR$528,$B21)-$F21)</f>
        <v>0</v>
      </c>
      <c r="J21" s="1772">
        <f>IF($B21="Leadership - 8 GMs",0,SUMIFS('REVIEW - Complete Role Mapping'!$AA$2:$AA$528,'REVIEW - Complete Role Mapping'!$AR$2:$AR$528,$B21)/1000000-$G21)</f>
        <v>0</v>
      </c>
      <c r="K21" s="1781" t="str">
        <f>Lists!$AM$7</f>
        <v>No</v>
      </c>
    </row>
    <row r="22">
      <c r="B22" s="1539" t="inlineStr">
        <is>
          <t>Every overhead line</t>
        </is>
      </c>
      <c r="C22" s="1539" t="n"/>
      <c r="D22" s="1539" t="n"/>
      <c r="E22" s="1776">
        <f>SUM(E16:E21)</f>
        <v>12.925</v>
      </c>
      <c r="F22" s="1777">
        <f>SUM(F16:F21)</f>
        <v>51</v>
      </c>
      <c r="G22" s="1776">
        <f>SUM(G16:G21)</f>
        <v>16.754230155</v>
      </c>
      <c r="H22" s="1776">
        <f>SUM(H16:H21)</f>
        <v>3.829230155</v>
      </c>
      <c r="I22" s="1777">
        <f>SUM(I16:I21)</f>
        <v>19</v>
      </c>
      <c r="J22" s="1776">
        <f>SUM(J16:J21)</f>
        <v>6.166535836</v>
      </c>
      <c r="K22" s="1539" t="n"/>
    </row>
    <row r="23">
      <c r="B23" s="1534" t="inlineStr">
        <is>
          <t>Of which drawn in the portfolios</t>
        </is>
      </c>
      <c r="C23" s="1534" t="n"/>
      <c r="D23" s="1534" t="n"/>
      <c r="E23" s="1774">
        <f>N(Lists!$AJ$9)</f>
        <v>6.325</v>
      </c>
      <c r="F23" s="1775">
        <f>'3.1 Group Summary'!$G$36</f>
        <v>43</v>
      </c>
      <c r="G23" s="1774">
        <f>'3.1 Group Summary'!$D$36</f>
        <v>11.654230155</v>
      </c>
      <c r="H23" s="1774">
        <f>$G23-$E23</f>
        <v>5.329230155</v>
      </c>
      <c r="I23" s="1534" t="n"/>
      <c r="J23" s="1534" t="n"/>
      <c r="K23" s="1534"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pane xSplit="4" ySplit="5" topLeftCell="E6" activePane="bottomRight" state="frozen"/>
      <selection pane="topRight" activeCell="A1" sqref="A1"/>
      <selection pane="bottomLeft" activeCell="A1" sqref="A1"/>
      <selection pane="bottomRigh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Size</t>
        </is>
      </c>
      <c r="G5" s="1529" t="inlineStr">
        <is>
          <t>Archetype roles</t>
        </is>
      </c>
      <c r="H5" s="1529" t="inlineStr">
        <is>
          <t>Roles</t>
        </is>
      </c>
      <c r="I5" s="1529" t="inlineStr">
        <is>
          <t>Filled</t>
        </is>
      </c>
      <c r="J5" s="1529" t="inlineStr">
        <is>
          <t>Vacant</t>
        </is>
      </c>
      <c r="K5" s="1529" t="inlineStr">
        <is>
          <t>Roles after decisions</t>
        </is>
      </c>
      <c r="L5" s="1529" t="inlineStr">
        <is>
          <t>Archetype cost ($m)</t>
        </is>
      </c>
      <c r="M5" s="1529" t="inlineStr">
        <is>
          <t>Actual cost ($m)</t>
        </is>
      </c>
      <c r="N5" s="1529" t="inlineStr">
        <is>
          <t>Variance to archetype ($m)</t>
        </is>
      </c>
      <c r="O5" s="1529" t="inlineStr">
        <is>
          <t>Cost after vacancy decisions ($m)</t>
        </is>
      </c>
    </row>
    <row r="6">
      <c r="B6" s="1530" t="inlineStr">
        <is>
          <t>Ampol Retail</t>
        </is>
      </c>
      <c r="C6" s="1530" t="inlineStr">
        <is>
          <t>Archetype</t>
        </is>
      </c>
      <c r="D6" s="1530" t="str">
        <f>'2.1 Ampol Retail'!$B$7</f>
        <v>Above Store</v>
      </c>
      <c r="E6" s="1530" t="str">
        <f>'2.1 Ampol Retail'!$C$7</f>
        <v>Configuration / Integration</v>
      </c>
      <c r="F6" s="1530" t="str">
        <f>'2.1 Ampol Retail'!$D$7</f>
        <v>M</v>
      </c>
      <c r="G6" s="1782">
        <f>'2.1 Ampol Retail'!$E$7</f>
        <v>9</v>
      </c>
      <c r="H6" s="1773">
        <f>'2.1 Ampol Retail'!$F$7</f>
        <v>11</v>
      </c>
      <c r="I6" s="1773">
        <f>'2.1 Ampol Retail'!$G$7</f>
        <v>7</v>
      </c>
      <c r="J6" s="1773">
        <f>'2.1 Ampol Retail'!$H$7</f>
        <v>4</v>
      </c>
      <c r="K6" s="1773">
        <f>'2.1 Ampol Retail'!$L$7</f>
        <v>11</v>
      </c>
      <c r="L6" s="1772">
        <f>'2.1 Ampol Retail'!$M$7</f>
        <v>2.1</v>
      </c>
      <c r="M6" s="1772">
        <f>'2.1 Ampol Retail'!$N$7</f>
        <v>2.097921857</v>
      </c>
      <c r="N6" s="1772">
        <f>'2.1 Ampol Retail'!$O$7</f>
        <v>-0.002078</v>
      </c>
      <c r="O6" s="1772">
        <f>'2.1 Ampol Retail'!$P$7</f>
        <v>2.097921857</v>
      </c>
    </row>
    <row r="7">
      <c r="B7" s="1530" t="inlineStr">
        <is>
          <t>Ampol Retail</t>
        </is>
      </c>
      <c r="C7" s="1530" t="inlineStr">
        <is>
          <t>Archetype</t>
        </is>
      </c>
      <c r="D7" s="1530" t="str">
        <f>'2.1 Ampol Retail'!$B$8</f>
        <v>Data AU</v>
      </c>
      <c r="E7" s="1530" t="str">
        <f>'2.1 Ampol Retail'!$C$8</f>
        <v>Enterprise Data and Insights</v>
      </c>
      <c r="F7" s="1530" t="str">
        <f>'2.1 Ampol Retail'!$D$8</f>
        <v>M</v>
      </c>
      <c r="G7" s="1782">
        <f>'2.1 Ampol Retail'!$E$8</f>
        <v>7.5</v>
      </c>
      <c r="H7" s="1773">
        <f>'2.1 Ampol Retail'!$F$8</f>
        <v>6</v>
      </c>
      <c r="I7" s="1773">
        <f>'2.1 Ampol Retail'!$G$8</f>
        <v>0</v>
      </c>
      <c r="J7" s="1773">
        <f>'2.1 Ampol Retail'!$H$8</f>
        <v>6</v>
      </c>
      <c r="K7" s="1773">
        <f>'2.1 Ampol Retail'!$L$8</f>
        <v>6</v>
      </c>
      <c r="L7" s="1772">
        <f>'2.1 Ampol Retail'!$M$8</f>
        <v>0.68</v>
      </c>
      <c r="M7" s="1772">
        <f>'2.1 Ampol Retail'!$N$8</f>
        <v>1.21232375</v>
      </c>
      <c r="N7" s="1772">
        <f>'2.1 Ampol Retail'!$O$8</f>
        <v>0.532324</v>
      </c>
      <c r="O7" s="1772">
        <f>'2.1 Ampol Retail'!$P$8</f>
        <v>1.21232375</v>
      </c>
    </row>
    <row r="8">
      <c r="B8" s="1530" t="inlineStr">
        <is>
          <t>Ampol Retail</t>
        </is>
      </c>
      <c r="C8" s="1530" t="inlineStr">
        <is>
          <t>Archetype</t>
        </is>
      </c>
      <c r="D8" s="1530" t="str">
        <f>'2.1 Ampol Retail'!$B$9</f>
        <v>Deployment</v>
      </c>
      <c r="E8" s="1530" t="str">
        <f>'2.1 Ampol Retail'!$C$9</f>
        <v>Operations</v>
      </c>
      <c r="F8" s="1530" t="str">
        <f>'2.1 Ampol Retail'!$D$9</f>
        <v>S</v>
      </c>
      <c r="G8" s="1782">
        <f>'2.1 Ampol Retail'!$E$9</f>
        <v>4</v>
      </c>
      <c r="H8" s="1773">
        <f>'2.1 Ampol Retail'!$F$9</f>
        <v>5</v>
      </c>
      <c r="I8" s="1773">
        <f>'2.1 Ampol Retail'!$G$9</f>
        <v>5</v>
      </c>
      <c r="J8" s="1773">
        <f>'2.1 Ampol Retail'!$H$9</f>
        <v>0</v>
      </c>
      <c r="K8" s="1773">
        <f>'2.1 Ampol Retail'!$L$9</f>
        <v>5</v>
      </c>
      <c r="L8" s="1772">
        <f>'2.1 Ampol Retail'!$M$9</f>
        <v>0.8</v>
      </c>
      <c r="M8" s="1772">
        <f>'2.1 Ampol Retail'!$N$9</f>
        <v>0.893835732</v>
      </c>
      <c r="N8" s="1772">
        <f>'2.1 Ampol Retail'!$O$9</f>
        <v>0.093836</v>
      </c>
      <c r="O8" s="1772">
        <f>'2.1 Ampol Retail'!$P$9</f>
        <v>0.893835732</v>
      </c>
    </row>
    <row r="9">
      <c r="B9" s="1530" t="inlineStr">
        <is>
          <t>Ampol Retail</t>
        </is>
      </c>
      <c r="C9" s="1530" t="inlineStr">
        <is>
          <t>Archetype</t>
        </is>
      </c>
      <c r="D9" s="1530" t="str">
        <f>'2.1 Ampol Retail'!$B$10</f>
        <v>Network &amp; QSR</v>
      </c>
      <c r="E9" s="1530" t="str">
        <f>'2.1 Ampol Retail'!$C$10</f>
        <v>Configuration / Integration</v>
      </c>
      <c r="F9" s="1530" t="str">
        <f>'2.1 Ampol Retail'!$D$10</f>
        <v>S</v>
      </c>
      <c r="G9" s="1782">
        <f>'2.1 Ampol Retail'!$E$10</f>
        <v>6</v>
      </c>
      <c r="H9" s="1773">
        <f>'2.1 Ampol Retail'!$F$10</f>
        <v>6</v>
      </c>
      <c r="I9" s="1773">
        <f>'2.1 Ampol Retail'!$G$10</f>
        <v>4</v>
      </c>
      <c r="J9" s="1773">
        <f>'2.1 Ampol Retail'!$H$10</f>
        <v>2</v>
      </c>
      <c r="K9" s="1773">
        <f>'2.1 Ampol Retail'!$L$10</f>
        <v>6</v>
      </c>
      <c r="L9" s="1772">
        <f>'2.1 Ampol Retail'!$M$10</f>
        <v>1.4</v>
      </c>
      <c r="M9" s="1772">
        <f>'2.1 Ampol Retail'!$N$10</f>
        <v>1.1140311</v>
      </c>
      <c r="N9" s="1772">
        <f>'2.1 Ampol Retail'!$O$10</f>
        <v>-0.285969</v>
      </c>
      <c r="O9" s="1772">
        <f>'2.1 Ampol Retail'!$P$10</f>
        <v>1.1140311</v>
      </c>
    </row>
    <row r="10">
      <c r="B10" s="1530" t="inlineStr">
        <is>
          <t>Ampol Retail</t>
        </is>
      </c>
      <c r="C10" s="1530" t="inlineStr">
        <is>
          <t>Archetype</t>
        </is>
      </c>
      <c r="D10" s="1530" t="str">
        <f>'2.1 Ampol Retail'!$B$11</f>
        <v>POS</v>
      </c>
      <c r="E10" s="1530" t="str">
        <f>'2.1 Ampol Retail'!$C$11</f>
        <v>Configuration / Integration</v>
      </c>
      <c r="F10" s="1530" t="str">
        <f>'2.1 Ampol Retail'!$D$11</f>
        <v>M</v>
      </c>
      <c r="G10" s="1782">
        <f>'2.1 Ampol Retail'!$E$11</f>
        <v>9</v>
      </c>
      <c r="H10" s="1773">
        <f>'2.1 Ampol Retail'!$F$11</f>
        <v>8</v>
      </c>
      <c r="I10" s="1773">
        <f>'2.1 Ampol Retail'!$G$11</f>
        <v>0</v>
      </c>
      <c r="J10" s="1773">
        <f>'2.1 Ampol Retail'!$H$11</f>
        <v>8</v>
      </c>
      <c r="K10" s="1773">
        <f>'2.1 Ampol Retail'!$L$11</f>
        <v>8</v>
      </c>
      <c r="L10" s="1772">
        <f>'2.1 Ampol Retail'!$M$11</f>
        <v>2.1</v>
      </c>
      <c r="M10" s="1772">
        <f>'2.1 Ampol Retail'!$N$11</f>
        <v>1.576223685</v>
      </c>
      <c r="N10" s="1772">
        <f>'2.1 Ampol Retail'!$O$11</f>
        <v>-0.523776</v>
      </c>
      <c r="O10" s="1772">
        <f>'2.1 Ampol Retail'!$P$11</f>
        <v>1.576223685</v>
      </c>
    </row>
    <row r="11">
      <c r="B11" s="1530" t="inlineStr">
        <is>
          <t>Ampol Retail</t>
        </is>
      </c>
      <c r="C11" s="1530" t="inlineStr">
        <is>
          <t>Archetype</t>
        </is>
      </c>
      <c r="D11" s="1530" t="str">
        <f>'2.1 Ampol Retail'!$B$12</f>
        <v>Payments</v>
      </c>
      <c r="E11" s="1530" t="str">
        <f>'2.1 Ampol Retail'!$C$12</f>
        <v>Configuration / Integration</v>
      </c>
      <c r="F11" s="1530" t="str">
        <f>'2.1 Ampol Retail'!$D$12</f>
        <v>S</v>
      </c>
      <c r="G11" s="1782">
        <f>'2.1 Ampol Retail'!$E$12</f>
        <v>6</v>
      </c>
      <c r="H11" s="1773">
        <f>'2.1 Ampol Retail'!$F$12</f>
        <v>4</v>
      </c>
      <c r="I11" s="1773">
        <f>'2.1 Ampol Retail'!$G$12</f>
        <v>3</v>
      </c>
      <c r="J11" s="1773">
        <f>'2.1 Ampol Retail'!$H$12</f>
        <v>1</v>
      </c>
      <c r="K11" s="1773">
        <f>'2.1 Ampol Retail'!$L$12</f>
        <v>4</v>
      </c>
      <c r="L11" s="1772">
        <f>'2.1 Ampol Retail'!$M$12</f>
        <v>1.4</v>
      </c>
      <c r="M11" s="1772">
        <f>'2.1 Ampol Retail'!$N$12</f>
        <v>0.789428585</v>
      </c>
      <c r="N11" s="1772">
        <f>'2.1 Ampol Retail'!$O$12</f>
        <v>-0.610571</v>
      </c>
      <c r="O11" s="1772">
        <f>'2.1 Ampol Retail'!$P$12</f>
        <v>0.789428585</v>
      </c>
    </row>
    <row r="12">
      <c r="B12" s="1530" t="inlineStr">
        <is>
          <t>Ampol Retail</t>
        </is>
      </c>
      <c r="C12" s="1530" t="inlineStr">
        <is>
          <t>Archetype</t>
        </is>
      </c>
      <c r="D12" s="1530" t="str">
        <f>'2.1 Ampol Retail'!$B$13</f>
        <v>Store Operations</v>
      </c>
      <c r="E12" s="1530" t="str">
        <f>'2.1 Ampol Retail'!$C$13</f>
        <v>Operations</v>
      </c>
      <c r="F12" s="1530" t="str">
        <f>'2.1 Ampol Retail'!$D$13</f>
        <v>M</v>
      </c>
      <c r="G12" s="1782">
        <f>'2.1 Ampol Retail'!$E$13</f>
        <v>6</v>
      </c>
      <c r="H12" s="1773">
        <f>'2.1 Ampol Retail'!$F$13</f>
        <v>8</v>
      </c>
      <c r="I12" s="1773">
        <f>'2.1 Ampol Retail'!$G$13</f>
        <v>7</v>
      </c>
      <c r="J12" s="1773">
        <f>'2.1 Ampol Retail'!$H$13</f>
        <v>1</v>
      </c>
      <c r="K12" s="1773">
        <f>'2.1 Ampol Retail'!$L$13</f>
        <v>8</v>
      </c>
      <c r="L12" s="1772">
        <f>'2.1 Ampol Retail'!$M$13</f>
        <v>1.4</v>
      </c>
      <c r="M12" s="1772">
        <f>'2.1 Ampol Retail'!$N$13</f>
        <v>1.429759453</v>
      </c>
      <c r="N12" s="1772">
        <f>'2.1 Ampol Retail'!$O$13</f>
        <v>0.029759</v>
      </c>
      <c r="O12" s="1772">
        <f>'2.1 Ampol Retail'!$P$13</f>
        <v>1.429759453</v>
      </c>
    </row>
    <row r="13">
      <c r="B13" s="1530" t="inlineStr">
        <is>
          <t>Ampol Retail</t>
        </is>
      </c>
      <c r="C13" s="1530" t="inlineStr">
        <is>
          <t>Directly funded</t>
        </is>
      </c>
      <c r="D13" s="1530" t="str">
        <f>'2.1 Ampol Retail'!$B$18</f>
        <v>AmPOS</v>
      </c>
      <c r="E13" s="1530" t="str">
        <f>'2.1 Ampol Retail'!$C$18</f>
        <v>Strategic Programs</v>
      </c>
      <c r="F13" s="1530" t="str">
        <f>'2.1 Ampol Retail'!$D$18</f>
        <v>-</v>
      </c>
      <c r="G13" s="1782" t="str">
        <f>'2.1 Ampol Retail'!$E$18</f>
        <v>-</v>
      </c>
      <c r="H13" s="1773">
        <f>'2.1 Ampol Retail'!$F$18</f>
        <v>10</v>
      </c>
      <c r="I13" s="1773">
        <f>'2.1 Ampol Retail'!$G$18</f>
        <v>10</v>
      </c>
      <c r="J13" s="1773">
        <f>'2.1 Ampol Retail'!$H$18</f>
        <v>0</v>
      </c>
      <c r="K13" s="1773">
        <f>'2.1 Ampol Retail'!$L$18</f>
        <v>10</v>
      </c>
      <c r="L13" s="1772">
        <f>'2.1 Ampol Retail'!$M$18</f>
        <v>1.404089</v>
      </c>
      <c r="M13" s="1772">
        <f>'2.1 Ampol Retail'!$N$18</f>
        <v>2.115029718</v>
      </c>
      <c r="N13" s="1772">
        <f>'2.1 Ampol Retail'!$O$18</f>
        <v>0.710941</v>
      </c>
      <c r="O13" s="1772">
        <f>'2.1 Ampol Retail'!$P$18</f>
        <v>2.115029718</v>
      </c>
    </row>
    <row r="14">
      <c r="B14" s="1530" t="inlineStr">
        <is>
          <t>Ampol Retail</t>
        </is>
      </c>
      <c r="C14" s="1530" t="inlineStr">
        <is>
          <t>Directly funded</t>
        </is>
      </c>
      <c r="D14" s="1530" t="str">
        <f>'2.1 Ampol Retail'!$B$19</f>
        <v>EGI Retail</v>
      </c>
      <c r="E14" s="1530" t="str">
        <f>'2.1 Ampol Retail'!$C$19</f>
        <v>Strategic Programs</v>
      </c>
      <c r="F14" s="1530" t="str">
        <f>'2.1 Ampol Retail'!$D$19</f>
        <v>-</v>
      </c>
      <c r="G14" s="1782" t="str">
        <f>'2.1 Ampol Retail'!$E$19</f>
        <v>-</v>
      </c>
      <c r="H14" s="1773">
        <f>'2.1 Ampol Retail'!$F$19</f>
        <v>6</v>
      </c>
      <c r="I14" s="1773">
        <f>'2.1 Ampol Retail'!$G$19</f>
        <v>6</v>
      </c>
      <c r="J14" s="1773">
        <f>'2.1 Ampol Retail'!$H$19</f>
        <v>0</v>
      </c>
      <c r="K14" s="1773">
        <f>'2.1 Ampol Retail'!$L$19</f>
        <v>6</v>
      </c>
      <c r="L14" s="1772">
        <f>'2.1 Ampol Retail'!$M$19</f>
        <v>1.221357614</v>
      </c>
      <c r="M14" s="1772">
        <f>'2.1 Ampol Retail'!$N$19</f>
        <v>1.221357614</v>
      </c>
      <c r="N14" s="1772">
        <f>'2.1 Ampol Retail'!$O$19</f>
        <v>0</v>
      </c>
      <c r="O14" s="1772">
        <f>'2.1 Ampol Retail'!$P$19</f>
        <v>1.221357614</v>
      </c>
    </row>
    <row r="15">
      <c r="B15" s="1530" t="inlineStr">
        <is>
          <t>Ampol Retail</t>
        </is>
      </c>
      <c r="C15" s="1530" t="inlineStr">
        <is>
          <t>Directly funded</t>
        </is>
      </c>
      <c r="D15" s="1530" t="str">
        <f>'2.1 Ampol Retail'!$B$20</f>
        <v>EGI TDD</v>
      </c>
      <c r="E15" s="1530" t="str">
        <f>'2.1 Ampol Retail'!$C$20</f>
        <v>Not on the 1.x tab</v>
      </c>
      <c r="F15" s="1530" t="str">
        <f>'2.1 Ampol Retail'!$D$20</f>
        <v>-</v>
      </c>
      <c r="G15" s="1782" t="str">
        <f>'2.1 Ampol Retail'!$E$20</f>
        <v>-</v>
      </c>
      <c r="H15" s="1773">
        <f>'2.1 Ampol Retail'!$F$20</f>
        <v>1</v>
      </c>
      <c r="I15" s="1773">
        <f>'2.1 Ampol Retail'!$G$20</f>
        <v>1</v>
      </c>
      <c r="J15" s="1773">
        <f>'2.1 Ampol Retail'!$H$20</f>
        <v>0</v>
      </c>
      <c r="K15" s="1773">
        <f>'2.1 Ampol Retail'!$L$20</f>
        <v>1</v>
      </c>
      <c r="L15" s="1772">
        <f>'2.1 Ampol Retail'!$M$20</f>
        <v>0.2997</v>
      </c>
      <c r="M15" s="1772">
        <f>'2.1 Ampol Retail'!$N$20</f>
        <v>0.2997</v>
      </c>
      <c r="N15" s="1772">
        <f>'2.1 Ampol Retail'!$O$20</f>
        <v>0</v>
      </c>
      <c r="O15" s="1772">
        <f>'2.1 Ampol Retail'!$P$20</f>
        <v>0.2997</v>
      </c>
    </row>
    <row r="16">
      <c r="B16" s="1530" t="inlineStr">
        <is>
          <t>Ampol Retail</t>
        </is>
      </c>
      <c r="C16" s="1530" t="inlineStr">
        <is>
          <t>Overhead</t>
        </is>
      </c>
      <c r="D16" s="1530" t="str">
        <f>'2.1 Ampol Retail'!$B$25</f>
        <v>Head of Technology</v>
      </c>
      <c r="E16" s="1530" t="str">
        <f>'2.1 Ampol Retail'!$C$25</f>
        <v>-</v>
      </c>
      <c r="F16" s="1530" t="str">
        <f>'2.1 Ampol Retail'!$D$25</f>
        <v>-</v>
      </c>
      <c r="G16" s="1782" t="str">
        <f>'2.1 Ampol Retail'!$E$25</f>
        <v>-</v>
      </c>
      <c r="H16" s="1773">
        <f>'2.1 Ampol Retail'!$F$25</f>
        <v>1</v>
      </c>
      <c r="I16" s="1773">
        <f>'2.1 Ampol Retail'!$G$25</f>
        <v>1</v>
      </c>
      <c r="J16" s="1773">
        <f>'2.1 Ampol Retail'!$H$25</f>
        <v>0</v>
      </c>
      <c r="K16" s="1773">
        <f>'2.1 Ampol Retail'!$L$25</f>
        <v>1</v>
      </c>
      <c r="L16" s="1772" t="str">
        <f>'2.1 Ampol Retail'!$M$25</f>
        <v>-</v>
      </c>
      <c r="M16" s="1772">
        <f>'2.1 Ampol Retail'!$N$25</f>
        <v>0.18603225</v>
      </c>
      <c r="N16" s="1772" t="str">
        <f>'2.1 Ampol Retail'!$O$25</f>
        <v>-</v>
      </c>
      <c r="O16" s="1772">
        <f>'2.1 Ampol Retail'!$P$25</f>
        <v>0.18603225</v>
      </c>
    </row>
    <row r="17">
      <c r="B17" s="1530" t="inlineStr">
        <is>
          <t>Ampol Retail</t>
        </is>
      </c>
      <c r="C17" s="1530" t="inlineStr">
        <is>
          <t>Overhead</t>
        </is>
      </c>
      <c r="D17" s="1530" t="str">
        <f>'2.1 Ampol Retail'!$B$26</f>
        <v>Delivery Manager</v>
      </c>
      <c r="E17" s="1530" t="str">
        <f>'2.1 Ampol Retail'!$C$26</f>
        <v>-</v>
      </c>
      <c r="F17" s="1530" t="str">
        <f>'2.1 Ampol Retail'!$D$26</f>
        <v>-</v>
      </c>
      <c r="G17" s="1782" t="str">
        <f>'2.1 Ampol Retail'!$E$26</f>
        <v>-</v>
      </c>
      <c r="H17" s="1773">
        <f>'2.1 Ampol Retail'!$F$26</f>
        <v>1</v>
      </c>
      <c r="I17" s="1773">
        <f>'2.1 Ampol Retail'!$G$26</f>
        <v>1</v>
      </c>
      <c r="J17" s="1773">
        <f>'2.1 Ampol Retail'!$H$26</f>
        <v>0</v>
      </c>
      <c r="K17" s="1773">
        <f>'2.1 Ampol Retail'!$L$26</f>
        <v>1</v>
      </c>
      <c r="L17" s="1772" t="str">
        <f>'2.1 Ampol Retail'!$M$26</f>
        <v>-</v>
      </c>
      <c r="M17" s="1772">
        <f>'2.1 Ampol Retail'!$N$26</f>
        <v>0.30293735</v>
      </c>
      <c r="N17" s="1772" t="str">
        <f>'2.1 Ampol Retail'!$O$26</f>
        <v>-</v>
      </c>
      <c r="O17" s="1772">
        <f>'2.1 Ampol Retail'!$P$26</f>
        <v>0.30293735</v>
      </c>
    </row>
    <row r="18">
      <c r="B18" s="1530" t="inlineStr">
        <is>
          <t>Ampol Retail</t>
        </is>
      </c>
      <c r="C18" s="1530" t="inlineStr">
        <is>
          <t>Overhead</t>
        </is>
      </c>
      <c r="D18" s="1530" t="str">
        <f>'2.1 Ampol Retail'!$B$27</f>
        <v>Technology Manager</v>
      </c>
      <c r="E18" s="1530" t="str">
        <f>'2.1 Ampol Retail'!$C$27</f>
        <v>-</v>
      </c>
      <c r="F18" s="1530" t="str">
        <f>'2.1 Ampol Retail'!$D$27</f>
        <v>-</v>
      </c>
      <c r="G18" s="1782" t="str">
        <f>'2.1 Ampol Retail'!$E$27</f>
        <v>-</v>
      </c>
      <c r="H18" s="1773">
        <f>'2.1 Ampol Retail'!$F$27</f>
        <v>3</v>
      </c>
      <c r="I18" s="1773">
        <f>'2.1 Ampol Retail'!$G$27</f>
        <v>3</v>
      </c>
      <c r="J18" s="1773">
        <f>'2.1 Ampol Retail'!$H$27</f>
        <v>0</v>
      </c>
      <c r="K18" s="1773">
        <f>'2.1 Ampol Retail'!$L$27</f>
        <v>3</v>
      </c>
      <c r="L18" s="1772" t="str">
        <f>'2.1 Ampol Retail'!$M$27</f>
        <v>-</v>
      </c>
      <c r="M18" s="1772">
        <f>'2.1 Ampol Retail'!$N$27</f>
        <v>0.766646363</v>
      </c>
      <c r="N18" s="1772" t="str">
        <f>'2.1 Ampol Retail'!$O$27</f>
        <v>-</v>
      </c>
      <c r="O18" s="1772">
        <f>'2.1 Ampol Retail'!$P$27</f>
        <v>0.766646363</v>
      </c>
    </row>
    <row r="19">
      <c r="B19" s="1534" t="inlineStr">
        <is>
          <t>Ampol Retail total</t>
        </is>
      </c>
      <c r="C19" s="1534" t="n"/>
      <c r="D19" s="1534" t="n"/>
      <c r="E19" s="1534" t="n"/>
      <c r="F19" s="1774" t="str">
        <f>"-"</f>
        <v>-</v>
      </c>
      <c r="G19" s="1783" t="str">
        <f>"-"</f>
        <v>-</v>
      </c>
      <c r="H19" s="1775">
        <f>SUM(H6:H18)</f>
        <v>70</v>
      </c>
      <c r="I19" s="1775">
        <f>SUM(I6:I18)</f>
        <v>48</v>
      </c>
      <c r="J19" s="1775">
        <f>SUM(J6:J18)</f>
        <v>22</v>
      </c>
      <c r="K19" s="1775">
        <f>SUM(K6:K18)</f>
        <v>70</v>
      </c>
      <c r="L19" s="1774" t="str">
        <f>"-"</f>
        <v>-</v>
      </c>
      <c r="M19" s="1774">
        <f>SUM(M6:M18)</f>
        <v>14.005227457</v>
      </c>
      <c r="N19" s="1774" t="str">
        <f>"-"</f>
        <v>-</v>
      </c>
      <c r="O19" s="1774">
        <f>SUM(O6:O18)</f>
        <v>14.005227457</v>
      </c>
    </row>
    <row r="20">
      <c r="B20" s="1530" t="inlineStr">
        <is>
          <t>Customer</t>
        </is>
      </c>
      <c r="C20" s="1530" t="inlineStr">
        <is>
          <t>Archetype</t>
        </is>
      </c>
      <c r="D20" s="1530" t="str">
        <f>'2.2 Customer'!$B$7</f>
        <v>Ampol App</v>
      </c>
      <c r="E20" s="1530" t="str">
        <f>'2.2 Customer'!$C$7</f>
        <v>Product</v>
      </c>
      <c r="F20" s="1530" t="str">
        <f>'2.2 Customer'!$D$7</f>
        <v>L</v>
      </c>
      <c r="G20" s="1782">
        <f>'2.2 Customer'!$E$7</f>
        <v>12</v>
      </c>
      <c r="H20" s="1773">
        <f>'2.2 Customer'!$F$7</f>
        <v>14</v>
      </c>
      <c r="I20" s="1773">
        <f>'2.2 Customer'!$G$7</f>
        <v>14</v>
      </c>
      <c r="J20" s="1773">
        <f>'2.2 Customer'!$H$7</f>
        <v>0</v>
      </c>
      <c r="K20" s="1773">
        <f>'2.2 Customer'!$L$7</f>
        <v>14</v>
      </c>
      <c r="L20" s="1772">
        <f>'2.2 Customer'!$M$7</f>
        <v>2.8</v>
      </c>
      <c r="M20" s="1772">
        <f>'2.2 Customer'!$N$7</f>
        <v>3.36059233</v>
      </c>
      <c r="N20" s="1772">
        <f>'2.2 Customer'!$O$7</f>
        <v>0.560592</v>
      </c>
      <c r="O20" s="1772">
        <f>'2.2 Customer'!$P$7</f>
        <v>3.36059233</v>
      </c>
    </row>
    <row r="21">
      <c r="B21" s="1530" t="inlineStr">
        <is>
          <t>Customer</t>
        </is>
      </c>
      <c r="C21" s="1530" t="inlineStr">
        <is>
          <t>Archetype</t>
        </is>
      </c>
      <c r="D21" s="1530" t="str">
        <f>'2.2 Customer'!$B$8</f>
        <v>Ampol Loyalty &amp; Martech</v>
      </c>
      <c r="E21" s="1530" t="str">
        <f>'2.2 Customer'!$C$8</f>
        <v>Product</v>
      </c>
      <c r="F21" s="1530" t="str">
        <f>'2.2 Customer'!$D$8</f>
        <v>M</v>
      </c>
      <c r="G21" s="1782">
        <f>'2.2 Customer'!$E$8</f>
        <v>8.5</v>
      </c>
      <c r="H21" s="1773">
        <f>'2.2 Customer'!$F$8</f>
        <v>9</v>
      </c>
      <c r="I21" s="1773">
        <f>'2.2 Customer'!$G$8</f>
        <v>3</v>
      </c>
      <c r="J21" s="1773">
        <f>'2.2 Customer'!$H$8</f>
        <v>6</v>
      </c>
      <c r="K21" s="1773">
        <f>'2.2 Customer'!$L$8</f>
        <v>9</v>
      </c>
      <c r="L21" s="1772">
        <f>'2.2 Customer'!$M$8</f>
        <v>1.9</v>
      </c>
      <c r="M21" s="1772">
        <f>'2.2 Customer'!$N$8</f>
        <v>1.331225988</v>
      </c>
      <c r="N21" s="1772">
        <f>'2.2 Customer'!$O$8</f>
        <v>-0.568774</v>
      </c>
      <c r="O21" s="1772">
        <f>'2.2 Customer'!$P$8</f>
        <v>1.331225988</v>
      </c>
    </row>
    <row r="22">
      <c r="B22" s="1530" t="inlineStr">
        <is>
          <t>Customer</t>
        </is>
      </c>
      <c r="C22" s="1530" t="inlineStr">
        <is>
          <t>Archetype</t>
        </is>
      </c>
      <c r="D22" s="1530" t="str">
        <f>'2.2 Customer'!$B$9</f>
        <v>Ampol Web</v>
      </c>
      <c r="E22" s="1530" t="str">
        <f>'2.2 Customer'!$C$9</f>
        <v>Product</v>
      </c>
      <c r="F22" s="1530" t="str">
        <f>'2.2 Customer'!$D$9</f>
        <v>M</v>
      </c>
      <c r="G22" s="1782">
        <f>'2.2 Customer'!$E$9</f>
        <v>8.5</v>
      </c>
      <c r="H22" s="1773">
        <f>'2.2 Customer'!$F$9</f>
        <v>9</v>
      </c>
      <c r="I22" s="1773">
        <f>'2.2 Customer'!$G$9</f>
        <v>9</v>
      </c>
      <c r="J22" s="1773">
        <f>'2.2 Customer'!$H$9</f>
        <v>0</v>
      </c>
      <c r="K22" s="1773">
        <f>'2.2 Customer'!$L$9</f>
        <v>9</v>
      </c>
      <c r="L22" s="1772">
        <f>'2.2 Customer'!$M$9</f>
        <v>1.9</v>
      </c>
      <c r="M22" s="1772">
        <f>'2.2 Customer'!$N$9</f>
        <v>1.7617192</v>
      </c>
      <c r="N22" s="1772">
        <f>'2.2 Customer'!$O$9</f>
        <v>-0.138281</v>
      </c>
      <c r="O22" s="1772">
        <f>'2.2 Customer'!$P$9</f>
        <v>1.7617192</v>
      </c>
    </row>
    <row r="23">
      <c r="B23" s="1530" t="inlineStr">
        <is>
          <t>Customer</t>
        </is>
      </c>
      <c r="C23" s="1530" t="inlineStr">
        <is>
          <t>Archetype</t>
        </is>
      </c>
      <c r="D23" s="1530" t="str">
        <f>'2.2 Customer'!$B$10</f>
        <v>Customer AI</v>
      </c>
      <c r="E23" s="1530" t="str">
        <f>'2.2 Customer'!$C$10</f>
        <v>Engineering</v>
      </c>
      <c r="F23" s="1530" t="str">
        <f>'2.2 Customer'!$D$10</f>
        <v>S</v>
      </c>
      <c r="G23" s="1782">
        <f>'2.2 Customer'!$E$10</f>
        <v>4.5</v>
      </c>
      <c r="H23" s="1773">
        <f>'2.2 Customer'!$F$10</f>
        <v>2</v>
      </c>
      <c r="I23" s="1773">
        <f>'2.2 Customer'!$G$10</f>
        <v>0</v>
      </c>
      <c r="J23" s="1773">
        <f>'2.2 Customer'!$H$10</f>
        <v>2</v>
      </c>
      <c r="K23" s="1773">
        <f>'2.2 Customer'!$L$10</f>
        <v>2</v>
      </c>
      <c r="L23" s="1772">
        <f>'2.2 Customer'!$M$10</f>
        <v>0.8</v>
      </c>
      <c r="M23" s="1772">
        <f>'2.2 Customer'!$N$10</f>
        <v>0.17103768</v>
      </c>
      <c r="N23" s="1772">
        <f>'2.2 Customer'!$O$10</f>
        <v>-0.628962</v>
      </c>
      <c r="O23" s="1772">
        <f>'2.2 Customer'!$P$10</f>
        <v>0.17103768</v>
      </c>
    </row>
    <row r="24">
      <c r="B24" s="1530" t="inlineStr">
        <is>
          <t>Customer</t>
        </is>
      </c>
      <c r="C24" s="1530" t="inlineStr">
        <is>
          <t>Archetype</t>
        </is>
      </c>
      <c r="D24" s="1530" t="str">
        <f>'2.2 Customer'!$B$11</f>
        <v>Digital Operations</v>
      </c>
      <c r="E24" s="1530" t="str">
        <f>'2.2 Customer'!$C$11</f>
        <v>Operations</v>
      </c>
      <c r="F24" s="1530" t="str">
        <f>'2.2 Customer'!$D$11</f>
        <v>M</v>
      </c>
      <c r="G24" s="1782">
        <f>'2.2 Customer'!$E$11</f>
        <v>6</v>
      </c>
      <c r="H24" s="1773">
        <f>'2.2 Customer'!$F$11</f>
        <v>7</v>
      </c>
      <c r="I24" s="1773">
        <f>'2.2 Customer'!$G$11</f>
        <v>4</v>
      </c>
      <c r="J24" s="1773">
        <f>'2.2 Customer'!$H$11</f>
        <v>3</v>
      </c>
      <c r="K24" s="1773">
        <f>'2.2 Customer'!$L$11</f>
        <v>7</v>
      </c>
      <c r="L24" s="1772">
        <f>'2.2 Customer'!$M$11</f>
        <v>0.56</v>
      </c>
      <c r="M24" s="1772">
        <f>'2.2 Customer'!$N$11</f>
        <v>1.303645928</v>
      </c>
      <c r="N24" s="1772">
        <f>'2.2 Customer'!$O$11</f>
        <v>0.743646</v>
      </c>
      <c r="O24" s="1772">
        <f>'2.2 Customer'!$P$11</f>
        <v>1.303645928</v>
      </c>
    </row>
    <row r="25">
      <c r="B25" s="1530" t="inlineStr">
        <is>
          <t>Customer</t>
        </is>
      </c>
      <c r="C25" s="1530" t="inlineStr">
        <is>
          <t>Archetype</t>
        </is>
      </c>
      <c r="D25" s="1530" t="str">
        <f>'2.2 Customer'!$B$12</f>
        <v>Z App and Web</v>
      </c>
      <c r="E25" s="1530" t="str">
        <f>'2.2 Customer'!$C$12</f>
        <v>Product</v>
      </c>
      <c r="F25" s="1530" t="str">
        <f>'2.2 Customer'!$D$12</f>
        <v>S</v>
      </c>
      <c r="G25" s="1782">
        <f>'2.2 Customer'!$E$12</f>
        <v>5.5</v>
      </c>
      <c r="H25" s="1773">
        <f>'2.2 Customer'!$F$12</f>
        <v>5</v>
      </c>
      <c r="I25" s="1773">
        <f>'2.2 Customer'!$G$12</f>
        <v>5</v>
      </c>
      <c r="J25" s="1773">
        <f>'2.2 Customer'!$H$12</f>
        <v>0</v>
      </c>
      <c r="K25" s="1773">
        <f>'2.2 Customer'!$L$12</f>
        <v>5</v>
      </c>
      <c r="L25" s="1772">
        <f>'2.2 Customer'!$M$12</f>
        <v>1.3</v>
      </c>
      <c r="M25" s="1772">
        <f>'2.2 Customer'!$N$12</f>
        <v>1.223286048</v>
      </c>
      <c r="N25" s="1772">
        <f>'2.2 Customer'!$O$12</f>
        <v>-0.076714</v>
      </c>
      <c r="O25" s="1772">
        <f>'2.2 Customer'!$P$12</f>
        <v>1.223286048</v>
      </c>
    </row>
    <row r="26">
      <c r="B26" s="1530" t="inlineStr">
        <is>
          <t>Customer</t>
        </is>
      </c>
      <c r="C26" s="1530" t="inlineStr">
        <is>
          <t>Archetype</t>
        </is>
      </c>
      <c r="D26" s="1530" t="str">
        <f>'2.2 Customer'!$B$13</f>
        <v>Z Loyalty &amp; Martech</v>
      </c>
      <c r="E26" s="1530" t="str">
        <f>'2.2 Customer'!$C$13</f>
        <v>Product</v>
      </c>
      <c r="F26" s="1530" t="str">
        <f>'2.2 Customer'!$D$13</f>
        <v>L</v>
      </c>
      <c r="G26" s="1782">
        <f>'2.2 Customer'!$E$13</f>
        <v>12</v>
      </c>
      <c r="H26" s="1773">
        <f>'2.2 Customer'!$F$13</f>
        <v>14</v>
      </c>
      <c r="I26" s="1773">
        <f>'2.2 Customer'!$G$13</f>
        <v>14</v>
      </c>
      <c r="J26" s="1773">
        <f>'2.2 Customer'!$H$13</f>
        <v>0</v>
      </c>
      <c r="K26" s="1773">
        <f>'2.2 Customer'!$L$13</f>
        <v>14</v>
      </c>
      <c r="L26" s="1772">
        <f>'2.2 Customer'!$M$13</f>
        <v>2.8</v>
      </c>
      <c r="M26" s="1772">
        <f>'2.2 Customer'!$N$13</f>
        <v>2.946001772</v>
      </c>
      <c r="N26" s="1772">
        <f>'2.2 Customer'!$O$13</f>
        <v>0.146002</v>
      </c>
      <c r="O26" s="1772">
        <f>'2.2 Customer'!$P$13</f>
        <v>2.946001772</v>
      </c>
    </row>
    <row r="27">
      <c r="B27" s="1530" t="inlineStr">
        <is>
          <t>Customer</t>
        </is>
      </c>
      <c r="C27" s="1530" t="inlineStr">
        <is>
          <t>Directly funded</t>
        </is>
      </c>
      <c r="D27" s="1530" t="str">
        <f>'2.2 Customer'!$B$18</f>
        <v>EGI Customer</v>
      </c>
      <c r="E27" s="1530" t="str">
        <f>'2.2 Customer'!$C$18</f>
        <v>Strategic Programs</v>
      </c>
      <c r="F27" s="1530" t="str">
        <f>'2.2 Customer'!$D$18</f>
        <v>-</v>
      </c>
      <c r="G27" s="1782" t="str">
        <f>'2.2 Customer'!$E$18</f>
        <v>-</v>
      </c>
      <c r="H27" s="1773">
        <f>'2.2 Customer'!$F$18</f>
        <v>10</v>
      </c>
      <c r="I27" s="1773">
        <f>'2.2 Customer'!$G$18</f>
        <v>10</v>
      </c>
      <c r="J27" s="1773">
        <f>'2.2 Customer'!$H$18</f>
        <v>0</v>
      </c>
      <c r="K27" s="1773">
        <f>'2.2 Customer'!$L$18</f>
        <v>10</v>
      </c>
      <c r="L27" s="1772">
        <f>'2.2 Customer'!$M$18</f>
        <v>2.208135308</v>
      </c>
      <c r="M27" s="1772">
        <f>'2.2 Customer'!$N$18</f>
        <v>2.208135308</v>
      </c>
      <c r="N27" s="1772">
        <f>'2.2 Customer'!$O$18</f>
        <v>0</v>
      </c>
      <c r="O27" s="1772">
        <f>'2.2 Customer'!$P$18</f>
        <v>2.208135308</v>
      </c>
    </row>
    <row r="28">
      <c r="B28" s="1530" t="inlineStr">
        <is>
          <t>Customer</t>
        </is>
      </c>
      <c r="C28" s="1530" t="inlineStr">
        <is>
          <t>Directly funded</t>
        </is>
      </c>
      <c r="D28" s="1530" t="str">
        <f>'2.2 Customer'!$B$19</f>
        <v>Leadership</v>
      </c>
      <c r="E28" s="1530" t="str">
        <f>'2.2 Customer'!$C$19</f>
        <v>Not on the 1.x tab</v>
      </c>
      <c r="F28" s="1530" t="str">
        <f>'2.2 Customer'!$D$19</f>
        <v>-</v>
      </c>
      <c r="G28" s="1782" t="str">
        <f>'2.2 Customer'!$E$19</f>
        <v>-</v>
      </c>
      <c r="H28" s="1773">
        <f>'2.2 Customer'!$F$19</f>
        <v>5</v>
      </c>
      <c r="I28" s="1773">
        <f>'2.2 Customer'!$G$19</f>
        <v>4</v>
      </c>
      <c r="J28" s="1773">
        <f>'2.2 Customer'!$H$19</f>
        <v>1</v>
      </c>
      <c r="K28" s="1773">
        <f>'2.2 Customer'!$L$19</f>
        <v>5</v>
      </c>
      <c r="L28" s="1772" t="str">
        <f>'2.2 Customer'!$M$19</f>
        <v>-</v>
      </c>
      <c r="M28" s="1772">
        <f>'2.2 Customer'!$N$19</f>
        <v>1.048250048</v>
      </c>
      <c r="N28" s="1772" t="str">
        <f>'2.2 Customer'!$O$19</f>
        <v>-</v>
      </c>
      <c r="O28" s="1772">
        <f>'2.2 Customer'!$P$19</f>
        <v>1.048250048</v>
      </c>
    </row>
    <row r="29">
      <c r="B29" s="1530" t="inlineStr">
        <is>
          <t>Customer</t>
        </is>
      </c>
      <c r="C29" s="1530" t="inlineStr">
        <is>
          <t>Overhead</t>
        </is>
      </c>
      <c r="D29" s="1530" t="str">
        <f>'2.2 Customer'!$B$24</f>
        <v>Head of Technology</v>
      </c>
      <c r="E29" s="1530" t="str">
        <f>'2.2 Customer'!$C$24</f>
        <v>-</v>
      </c>
      <c r="F29" s="1530" t="str">
        <f>'2.2 Customer'!$D$24</f>
        <v>-</v>
      </c>
      <c r="G29" s="1782" t="str">
        <f>'2.2 Customer'!$E$24</f>
        <v>-</v>
      </c>
      <c r="H29" s="1773">
        <f>'2.2 Customer'!$F$24</f>
        <v>2</v>
      </c>
      <c r="I29" s="1773">
        <f>'2.2 Customer'!$G$24</f>
        <v>2</v>
      </c>
      <c r="J29" s="1773">
        <f>'2.2 Customer'!$H$24</f>
        <v>0</v>
      </c>
      <c r="K29" s="1773">
        <f>'2.2 Customer'!$L$24</f>
        <v>2</v>
      </c>
      <c r="L29" s="1772" t="str">
        <f>'2.2 Customer'!$M$24</f>
        <v>-</v>
      </c>
      <c r="M29" s="1772">
        <f>'2.2 Customer'!$N$24</f>
        <v>0.5360151</v>
      </c>
      <c r="N29" s="1772" t="str">
        <f>'2.2 Customer'!$O$24</f>
        <v>-</v>
      </c>
      <c r="O29" s="1772">
        <f>'2.2 Customer'!$P$24</f>
        <v>0.5360151</v>
      </c>
    </row>
    <row r="30">
      <c r="B30" s="1530" t="inlineStr">
        <is>
          <t>Customer</t>
        </is>
      </c>
      <c r="C30" s="1530" t="inlineStr">
        <is>
          <t>Overhead</t>
        </is>
      </c>
      <c r="D30" s="1530" t="str">
        <f>'2.2 Customer'!$B$25</f>
        <v>Delivery Manager</v>
      </c>
      <c r="E30" s="1530" t="str">
        <f>'2.2 Customer'!$C$25</f>
        <v>-</v>
      </c>
      <c r="F30" s="1530" t="str">
        <f>'2.2 Customer'!$D$25</f>
        <v>-</v>
      </c>
      <c r="G30" s="1782" t="str">
        <f>'2.2 Customer'!$E$25</f>
        <v>-</v>
      </c>
      <c r="H30" s="1773">
        <f>'2.2 Customer'!$F$25</f>
        <v>2</v>
      </c>
      <c r="I30" s="1773">
        <f>'2.2 Customer'!$G$25</f>
        <v>2</v>
      </c>
      <c r="J30" s="1773">
        <f>'2.2 Customer'!$H$25</f>
        <v>0</v>
      </c>
      <c r="K30" s="1773">
        <f>'2.2 Customer'!$L$25</f>
        <v>2</v>
      </c>
      <c r="L30" s="1772" t="str">
        <f>'2.2 Customer'!$M$25</f>
        <v>-</v>
      </c>
      <c r="M30" s="1772">
        <f>'2.2 Customer'!$N$25</f>
        <v>0.4208721</v>
      </c>
      <c r="N30" s="1772" t="str">
        <f>'2.2 Customer'!$O$25</f>
        <v>-</v>
      </c>
      <c r="O30" s="1772">
        <f>'2.2 Customer'!$P$25</f>
        <v>0.4208721</v>
      </c>
    </row>
    <row r="31">
      <c r="B31" s="1530" t="inlineStr">
        <is>
          <t>Customer</t>
        </is>
      </c>
      <c r="C31" s="1530" t="inlineStr">
        <is>
          <t>Overhead</t>
        </is>
      </c>
      <c r="D31" s="1530" t="str">
        <f>'2.2 Customer'!$B$26</f>
        <v>Technology Manager</v>
      </c>
      <c r="E31" s="1530" t="str">
        <f>'2.2 Customer'!$C$26</f>
        <v>-</v>
      </c>
      <c r="F31" s="1530" t="str">
        <f>'2.2 Customer'!$D$26</f>
        <v>-</v>
      </c>
      <c r="G31" s="1782" t="str">
        <f>'2.2 Customer'!$E$26</f>
        <v>-</v>
      </c>
      <c r="H31" s="1773">
        <f>'2.2 Customer'!$F$26</f>
        <v>4</v>
      </c>
      <c r="I31" s="1773">
        <f>'2.2 Customer'!$G$26</f>
        <v>3</v>
      </c>
      <c r="J31" s="1773">
        <f>'2.2 Customer'!$H$26</f>
        <v>1</v>
      </c>
      <c r="K31" s="1773">
        <f>'2.2 Customer'!$L$26</f>
        <v>4</v>
      </c>
      <c r="L31" s="1772" t="str">
        <f>'2.2 Customer'!$M$26</f>
        <v>-</v>
      </c>
      <c r="M31" s="1772">
        <f>'2.2 Customer'!$N$26</f>
        <v>0.816085638</v>
      </c>
      <c r="N31" s="1772" t="str">
        <f>'2.2 Customer'!$O$26</f>
        <v>-</v>
      </c>
      <c r="O31" s="1772">
        <f>'2.2 Customer'!$P$26</f>
        <v>0.816085638</v>
      </c>
    </row>
    <row r="32">
      <c r="B32" s="1534" t="inlineStr">
        <is>
          <t>Customer total</t>
        </is>
      </c>
      <c r="C32" s="1534" t="n"/>
      <c r="D32" s="1534" t="n"/>
      <c r="E32" s="1534" t="n"/>
      <c r="F32" s="1774" t="str">
        <f>"-"</f>
        <v>-</v>
      </c>
      <c r="G32" s="1783" t="str">
        <f>"-"</f>
        <v>-</v>
      </c>
      <c r="H32" s="1775">
        <f>SUM(H20:H31)</f>
        <v>83</v>
      </c>
      <c r="I32" s="1775">
        <f>SUM(I20:I31)</f>
        <v>70</v>
      </c>
      <c r="J32" s="1775">
        <f>SUM(J20:J31)</f>
        <v>13</v>
      </c>
      <c r="K32" s="1775">
        <f>SUM(K20:K31)</f>
        <v>83</v>
      </c>
      <c r="L32" s="1774" t="str">
        <f>"-"</f>
        <v>-</v>
      </c>
      <c r="M32" s="1774">
        <f>SUM(M20:M31)</f>
        <v>17.12686714</v>
      </c>
      <c r="N32" s="1774" t="str">
        <f>"-"</f>
        <v>-</v>
      </c>
      <c r="O32" s="1774">
        <f>SUM(O20:O31)</f>
        <v>17.12686714</v>
      </c>
    </row>
    <row r="33">
      <c r="B33" s="1530" t="inlineStr">
        <is>
          <t>Enterprise Data</t>
        </is>
      </c>
      <c r="C33" s="1530" t="inlineStr">
        <is>
          <t>Archetype</t>
        </is>
      </c>
      <c r="D33" s="1530" t="str">
        <f>'2.3 Enterprise Data'!$B$7</f>
        <v>Data Platforms</v>
      </c>
      <c r="E33" s="1530" t="str">
        <f>'2.3 Enterprise Data'!$C$7</f>
        <v>Enterprise Data and Insights</v>
      </c>
      <c r="F33" s="1530" t="str">
        <f>'2.3 Enterprise Data'!$D$7</f>
        <v>M</v>
      </c>
      <c r="G33" s="1782">
        <f>'2.3 Enterprise Data'!$E$7</f>
        <v>7.5</v>
      </c>
      <c r="H33" s="1773">
        <f>'2.3 Enterprise Data'!$F$7</f>
        <v>9</v>
      </c>
      <c r="I33" s="1773">
        <f>'2.3 Enterprise Data'!$G$7</f>
        <v>3</v>
      </c>
      <c r="J33" s="1773">
        <f>'2.3 Enterprise Data'!$H$7</f>
        <v>6</v>
      </c>
      <c r="K33" s="1773">
        <f>'2.3 Enterprise Data'!$L$7</f>
        <v>9</v>
      </c>
      <c r="L33" s="1772">
        <f>'2.3 Enterprise Data'!$M$7</f>
        <v>1.7</v>
      </c>
      <c r="M33" s="1772">
        <f>'2.3 Enterprise Data'!$N$7</f>
        <v>1.786160296</v>
      </c>
      <c r="N33" s="1772">
        <f>'2.3 Enterprise Data'!$O$7</f>
        <v>0.08616</v>
      </c>
      <c r="O33" s="1772">
        <f>'2.3 Enterprise Data'!$P$7</f>
        <v>1.786160296</v>
      </c>
    </row>
    <row r="34">
      <c r="B34" s="1530" t="inlineStr">
        <is>
          <t>Enterprise Data</t>
        </is>
      </c>
      <c r="C34" s="1530" t="inlineStr">
        <is>
          <t>Archetype</t>
        </is>
      </c>
      <c r="D34" s="1530" t="str">
        <f>'2.3 Enterprise Data'!$B$8</f>
        <v>Data Science</v>
      </c>
      <c r="E34" s="1530" t="str">
        <f>'2.3 Enterprise Data'!$C$8</f>
        <v>Enterprise Data and Insights</v>
      </c>
      <c r="F34" s="1530" t="str">
        <f>'2.3 Enterprise Data'!$D$8</f>
        <v>S</v>
      </c>
      <c r="G34" s="1782">
        <f>'2.3 Enterprise Data'!$E$8</f>
        <v>4</v>
      </c>
      <c r="H34" s="1773">
        <f>'2.3 Enterprise Data'!$F$8</f>
        <v>4</v>
      </c>
      <c r="I34" s="1773">
        <f>'2.3 Enterprise Data'!$G$8</f>
        <v>4</v>
      </c>
      <c r="J34" s="1773">
        <f>'2.3 Enterprise Data'!$H$8</f>
        <v>0</v>
      </c>
      <c r="K34" s="1773">
        <f>'2.3 Enterprise Data'!$L$8</f>
        <v>4</v>
      </c>
      <c r="L34" s="1772">
        <f>'2.3 Enterprise Data'!$M$8</f>
        <v>0.9</v>
      </c>
      <c r="M34" s="1772">
        <f>'2.3 Enterprise Data'!$N$8</f>
        <v>0.80639733</v>
      </c>
      <c r="N34" s="1772">
        <f>'2.3 Enterprise Data'!$O$8</f>
        <v>-0.093603</v>
      </c>
      <c r="O34" s="1772">
        <f>'2.3 Enterprise Data'!$P$8</f>
        <v>0.80639733</v>
      </c>
    </row>
    <row r="35">
      <c r="B35" s="1530" t="inlineStr">
        <is>
          <t>Enterprise Data</t>
        </is>
      </c>
      <c r="C35" s="1530" t="inlineStr">
        <is>
          <t>Archetype</t>
        </is>
      </c>
      <c r="D35" s="1530" t="str">
        <f>'2.3 Enterprise Data'!$B$9</f>
        <v>Reporting &amp; Analytics</v>
      </c>
      <c r="E35" s="1530" t="str">
        <f>'2.3 Enterprise Data'!$C$9</f>
        <v>Enterprise Data and Insights</v>
      </c>
      <c r="F35" s="1530" t="str">
        <f>'2.3 Enterprise Data'!$D$9</f>
        <v>M</v>
      </c>
      <c r="G35" s="1782">
        <f>'2.3 Enterprise Data'!$E$9</f>
        <v>7.5</v>
      </c>
      <c r="H35" s="1773">
        <f>'2.3 Enterprise Data'!$F$9</f>
        <v>12</v>
      </c>
      <c r="I35" s="1773">
        <f>'2.3 Enterprise Data'!$G$9</f>
        <v>9</v>
      </c>
      <c r="J35" s="1773">
        <f>'2.3 Enterprise Data'!$H$9</f>
        <v>3</v>
      </c>
      <c r="K35" s="1773">
        <f>'2.3 Enterprise Data'!$L$9</f>
        <v>12</v>
      </c>
      <c r="L35" s="1772">
        <f>'2.3 Enterprise Data'!$M$9</f>
        <v>1.7</v>
      </c>
      <c r="M35" s="1772">
        <f>'2.3 Enterprise Data'!$N$9</f>
        <v>2.7648117</v>
      </c>
      <c r="N35" s="1772">
        <f>'2.3 Enterprise Data'!$O$9</f>
        <v>1.064812</v>
      </c>
      <c r="O35" s="1772">
        <f>'2.3 Enterprise Data'!$P$9</f>
        <v>2.7648117</v>
      </c>
    </row>
    <row r="36">
      <c r="B36" s="1530" t="inlineStr">
        <is>
          <t>Enterprise Data</t>
        </is>
      </c>
      <c r="C36" s="1530" t="inlineStr">
        <is>
          <t>Overhead</t>
        </is>
      </c>
      <c r="D36" s="1530" t="str">
        <f>'2.3 Enterprise Data'!$B$19</f>
        <v>Head of Technology</v>
      </c>
      <c r="E36" s="1530" t="str">
        <f>'2.3 Enterprise Data'!$C$19</f>
        <v>-</v>
      </c>
      <c r="F36" s="1530" t="str">
        <f>'2.3 Enterprise Data'!$D$19</f>
        <v>-</v>
      </c>
      <c r="G36" s="1782" t="str">
        <f>'2.3 Enterprise Data'!$E$19</f>
        <v>-</v>
      </c>
      <c r="H36" s="1773">
        <f>'2.3 Enterprise Data'!$F$19</f>
        <v>1</v>
      </c>
      <c r="I36" s="1773">
        <f>'2.3 Enterprise Data'!$G$19</f>
        <v>1</v>
      </c>
      <c r="J36" s="1773">
        <f>'2.3 Enterprise Data'!$H$19</f>
        <v>0</v>
      </c>
      <c r="K36" s="1773">
        <f>'2.3 Enterprise Data'!$L$19</f>
        <v>1</v>
      </c>
      <c r="L36" s="1772" t="str">
        <f>'2.3 Enterprise Data'!$M$19</f>
        <v>-</v>
      </c>
      <c r="M36" s="1772">
        <f>'2.3 Enterprise Data'!$N$19</f>
        <v>0.4097557</v>
      </c>
      <c r="N36" s="1772" t="str">
        <f>'2.3 Enterprise Data'!$O$19</f>
        <v>-</v>
      </c>
      <c r="O36" s="1772">
        <f>'2.3 Enterprise Data'!$P$19</f>
        <v>0.4097557</v>
      </c>
    </row>
    <row r="37">
      <c r="B37" s="1530" t="inlineStr">
        <is>
          <t>Enterprise Data</t>
        </is>
      </c>
      <c r="C37" s="1530" t="inlineStr">
        <is>
          <t>Overhead</t>
        </is>
      </c>
      <c r="D37" s="1530" t="str">
        <f>'2.3 Enterprise Data'!$B$20</f>
        <v>Technology Manager</v>
      </c>
      <c r="E37" s="1530" t="str">
        <f>'2.3 Enterprise Data'!$C$20</f>
        <v>-</v>
      </c>
      <c r="F37" s="1530" t="str">
        <f>'2.3 Enterprise Data'!$D$20</f>
        <v>-</v>
      </c>
      <c r="G37" s="1782" t="str">
        <f>'2.3 Enterprise Data'!$E$20</f>
        <v>-</v>
      </c>
      <c r="H37" s="1773">
        <f>'2.3 Enterprise Data'!$F$20</f>
        <v>2</v>
      </c>
      <c r="I37" s="1773">
        <f>'2.3 Enterprise Data'!$G$20</f>
        <v>2</v>
      </c>
      <c r="J37" s="1773">
        <f>'2.3 Enterprise Data'!$H$20</f>
        <v>0</v>
      </c>
      <c r="K37" s="1773">
        <f>'2.3 Enterprise Data'!$L$20</f>
        <v>2</v>
      </c>
      <c r="L37" s="1772" t="str">
        <f>'2.3 Enterprise Data'!$M$20</f>
        <v>-</v>
      </c>
      <c r="M37" s="1772">
        <f>'2.3 Enterprise Data'!$N$20</f>
        <v>0.65127875</v>
      </c>
      <c r="N37" s="1772" t="str">
        <f>'2.3 Enterprise Data'!$O$20</f>
        <v>-</v>
      </c>
      <c r="O37" s="1772">
        <f>'2.3 Enterprise Data'!$P$20</f>
        <v>0.65127875</v>
      </c>
    </row>
    <row r="38">
      <c r="B38" s="1534" t="inlineStr">
        <is>
          <t>Enterprise Data total</t>
        </is>
      </c>
      <c r="C38" s="1534" t="n"/>
      <c r="D38" s="1534" t="n"/>
      <c r="E38" s="1534" t="n"/>
      <c r="F38" s="1774" t="str">
        <f>"-"</f>
        <v>-</v>
      </c>
      <c r="G38" s="1783" t="str">
        <f>"-"</f>
        <v>-</v>
      </c>
      <c r="H38" s="1775">
        <f>SUM(H33:H37)</f>
        <v>28</v>
      </c>
      <c r="I38" s="1775">
        <f>SUM(I33:I37)</f>
        <v>19</v>
      </c>
      <c r="J38" s="1775">
        <f>SUM(J33:J37)</f>
        <v>9</v>
      </c>
      <c r="K38" s="1775">
        <f>SUM(K33:K37)</f>
        <v>28</v>
      </c>
      <c r="L38" s="1774" t="str">
        <f>"-"</f>
        <v>-</v>
      </c>
      <c r="M38" s="1774">
        <f>SUM(M33:M37)</f>
        <v>6.418403776</v>
      </c>
      <c r="N38" s="1774" t="str">
        <f>"-"</f>
        <v>-</v>
      </c>
      <c r="O38" s="1774">
        <f>SUM(O33:O37)</f>
        <v>6.418403776</v>
      </c>
    </row>
    <row r="39">
      <c r="B39" s="1530" t="inlineStr">
        <is>
          <t>TDD Group Functions</t>
        </is>
      </c>
      <c r="C39" s="1530" t="inlineStr">
        <is>
          <t>Archetype</t>
        </is>
      </c>
      <c r="D39" s="1530" t="str">
        <f>'2.4 TDD Group Functions'!$B$7</f>
        <v>Cloud, Network &amp; Infra Ops</v>
      </c>
      <c r="E39" s="1530" t="str">
        <f>'2.4 TDD Group Functions'!$C$7</f>
        <v>Operations</v>
      </c>
      <c r="F39" s="1530" t="str">
        <f>'2.4 TDD Group Functions'!$D$7</f>
        <v>M</v>
      </c>
      <c r="G39" s="1782">
        <f>'2.4 TDD Group Functions'!$E$7</f>
        <v>6</v>
      </c>
      <c r="H39" s="1773">
        <f>'2.4 TDD Group Functions'!$F$7</f>
        <v>12</v>
      </c>
      <c r="I39" s="1773">
        <f>'2.4 TDD Group Functions'!$G$7</f>
        <v>11</v>
      </c>
      <c r="J39" s="1773">
        <f>'2.4 TDD Group Functions'!$H$7</f>
        <v>1</v>
      </c>
      <c r="K39" s="1773">
        <f>'2.4 TDD Group Functions'!$L$7</f>
        <v>12</v>
      </c>
      <c r="L39" s="1772">
        <f>'2.4 TDD Group Functions'!$M$7</f>
        <v>1.4</v>
      </c>
      <c r="M39" s="1772">
        <f>'2.4 TDD Group Functions'!$N$7</f>
        <v>2.8267209564</v>
      </c>
      <c r="N39" s="1772">
        <f>'2.4 TDD Group Functions'!$O$7</f>
        <v>1.426721</v>
      </c>
      <c r="O39" s="1772">
        <f>'2.4 TDD Group Functions'!$P$7</f>
        <v>2.8267209564</v>
      </c>
    </row>
    <row r="40">
      <c r="B40" s="1530" t="inlineStr">
        <is>
          <t>TDD Group Functions</t>
        </is>
      </c>
      <c r="C40" s="1530" t="inlineStr">
        <is>
          <t>Archetype</t>
        </is>
      </c>
      <c r="D40" s="1530" t="str">
        <f>'2.4 TDD Group Functions'!$B$8</f>
        <v>DevOps &amp; QE</v>
      </c>
      <c r="E40" s="1530" t="str">
        <f>'2.4 TDD Group Functions'!$C$8</f>
        <v>Engineering</v>
      </c>
      <c r="F40" s="1530" t="str">
        <f>'2.4 TDD Group Functions'!$D$8</f>
        <v>S</v>
      </c>
      <c r="G40" s="1782">
        <f>'2.4 TDD Group Functions'!$E$8</f>
        <v>4.5</v>
      </c>
      <c r="H40" s="1773">
        <f>'2.4 TDD Group Functions'!$F$8</f>
        <v>8</v>
      </c>
      <c r="I40" s="1773">
        <f>'2.4 TDD Group Functions'!$G$8</f>
        <v>4</v>
      </c>
      <c r="J40" s="1773">
        <f>'2.4 TDD Group Functions'!$H$8</f>
        <v>4</v>
      </c>
      <c r="K40" s="1773">
        <f>'2.4 TDD Group Functions'!$L$8</f>
        <v>8</v>
      </c>
      <c r="L40" s="1772">
        <f>'2.4 TDD Group Functions'!$M$8</f>
        <v>0.8</v>
      </c>
      <c r="M40" s="1772">
        <f>'2.4 TDD Group Functions'!$N$8</f>
        <v>1.581591798</v>
      </c>
      <c r="N40" s="1772">
        <f>'2.4 TDD Group Functions'!$O$8</f>
        <v>0.781592</v>
      </c>
      <c r="O40" s="1772">
        <f>'2.4 TDD Group Functions'!$P$8</f>
        <v>1.581591798</v>
      </c>
    </row>
    <row r="41">
      <c r="B41" s="1530" t="inlineStr">
        <is>
          <t>TDD Group Functions</t>
        </is>
      </c>
      <c r="C41" s="1530" t="inlineStr">
        <is>
          <t>Archetype</t>
        </is>
      </c>
      <c r="D41" s="1530" t="str">
        <f>'2.4 TDD Group Functions'!$B$9</f>
        <v>Integration &amp; Process Automation</v>
      </c>
      <c r="E41" s="1530" t="str">
        <f>'2.4 TDD Group Functions'!$C$9</f>
        <v>Configuration / Integration</v>
      </c>
      <c r="F41" s="1530" t="str">
        <f>'2.4 TDD Group Functions'!$D$9</f>
        <v>M</v>
      </c>
      <c r="G41" s="1782">
        <f>'2.4 TDD Group Functions'!$E$9</f>
        <v>9</v>
      </c>
      <c r="H41" s="1773">
        <f>'2.4 TDD Group Functions'!$F$9</f>
        <v>10</v>
      </c>
      <c r="I41" s="1773">
        <f>'2.4 TDD Group Functions'!$G$9</f>
        <v>8</v>
      </c>
      <c r="J41" s="1773">
        <f>'2.4 TDD Group Functions'!$H$9</f>
        <v>2</v>
      </c>
      <c r="K41" s="1773">
        <f>'2.4 TDD Group Functions'!$L$9</f>
        <v>10</v>
      </c>
      <c r="L41" s="1772">
        <f>'2.4 TDD Group Functions'!$M$9</f>
        <v>2.1</v>
      </c>
      <c r="M41" s="1772">
        <f>'2.4 TDD Group Functions'!$N$9</f>
        <v>1.815247746</v>
      </c>
      <c r="N41" s="1772">
        <f>'2.4 TDD Group Functions'!$O$9</f>
        <v>-0.284752</v>
      </c>
      <c r="O41" s="1772">
        <f>'2.4 TDD Group Functions'!$P$9</f>
        <v>1.815247746</v>
      </c>
    </row>
    <row r="42">
      <c r="B42" s="1530" t="inlineStr">
        <is>
          <t>TDD Group Functions</t>
        </is>
      </c>
      <c r="C42" s="1530" t="inlineStr">
        <is>
          <t>Archetype</t>
        </is>
      </c>
      <c r="D42" s="1530" t="str">
        <f>'2.4 TDD Group Functions'!$B$10</f>
        <v>Workplace &amp; Enterprise Tooling</v>
      </c>
      <c r="E42" s="1530" t="str">
        <f>'2.4 TDD Group Functions'!$C$10</f>
        <v>Configuration / Integration</v>
      </c>
      <c r="F42" s="1530" t="str">
        <f>'2.4 TDD Group Functions'!$D$10</f>
        <v>S</v>
      </c>
      <c r="G42" s="1782">
        <f>'2.4 TDD Group Functions'!$E$10</f>
        <v>6</v>
      </c>
      <c r="H42" s="1773">
        <f>'2.4 TDD Group Functions'!$F$10</f>
        <v>6</v>
      </c>
      <c r="I42" s="1773">
        <f>'2.4 TDD Group Functions'!$G$10</f>
        <v>4</v>
      </c>
      <c r="J42" s="1773">
        <f>'2.4 TDD Group Functions'!$H$10</f>
        <v>2</v>
      </c>
      <c r="K42" s="1773">
        <f>'2.4 TDD Group Functions'!$L$10</f>
        <v>6</v>
      </c>
      <c r="L42" s="1772">
        <f>'2.4 TDD Group Functions'!$M$10</f>
        <v>1.4</v>
      </c>
      <c r="M42" s="1772">
        <f>'2.4 TDD Group Functions'!$N$10</f>
        <v>1.117329222</v>
      </c>
      <c r="N42" s="1772">
        <f>'2.4 TDD Group Functions'!$O$10</f>
        <v>-0.282671</v>
      </c>
      <c r="O42" s="1772">
        <f>'2.4 TDD Group Functions'!$P$10</f>
        <v>1.117329222</v>
      </c>
    </row>
    <row r="43">
      <c r="B43" s="1530" t="inlineStr">
        <is>
          <t>TDD Group Functions</t>
        </is>
      </c>
      <c r="C43" s="1530" t="inlineStr">
        <is>
          <t>Directly funded</t>
        </is>
      </c>
      <c r="D43" s="1530" t="str">
        <f>'2.4 TDD Group Functions'!$B$15</f>
        <v>EGI TDD</v>
      </c>
      <c r="E43" s="1530" t="str">
        <f>'2.4 TDD Group Functions'!$C$15</f>
        <v>Strategic Programs</v>
      </c>
      <c r="F43" s="1530" t="str">
        <f>'2.4 TDD Group Functions'!$D$15</f>
        <v>-</v>
      </c>
      <c r="G43" s="1782" t="str">
        <f>'2.4 TDD Group Functions'!$E$15</f>
        <v>-</v>
      </c>
      <c r="H43" s="1773">
        <f>'2.4 TDD Group Functions'!$F$15</f>
        <v>4</v>
      </c>
      <c r="I43" s="1773">
        <f>'2.4 TDD Group Functions'!$G$15</f>
        <v>4</v>
      </c>
      <c r="J43" s="1773">
        <f>'2.4 TDD Group Functions'!$H$15</f>
        <v>0</v>
      </c>
      <c r="K43" s="1773">
        <f>'2.4 TDD Group Functions'!$L$15</f>
        <v>4</v>
      </c>
      <c r="L43" s="1772">
        <f>'2.4 TDD Group Functions'!$M$15</f>
        <v>1.02484851</v>
      </c>
      <c r="M43" s="1772">
        <f>'2.4 TDD Group Functions'!$N$15</f>
        <v>1.02484851</v>
      </c>
      <c r="N43" s="1772">
        <f>'2.4 TDD Group Functions'!$O$15</f>
        <v>0</v>
      </c>
      <c r="O43" s="1772">
        <f>'2.4 TDD Group Functions'!$P$15</f>
        <v>1.02484851</v>
      </c>
    </row>
    <row r="44">
      <c r="B44" s="1530" t="inlineStr">
        <is>
          <t>TDD Group Functions</t>
        </is>
      </c>
      <c r="C44" s="1530" t="inlineStr">
        <is>
          <t>Overhead</t>
        </is>
      </c>
      <c r="D44" s="1530" t="str">
        <f>'2.4 TDD Group Functions'!$B$20</f>
        <v>Head of Technology</v>
      </c>
      <c r="E44" s="1530" t="str">
        <f>'2.4 TDD Group Functions'!$C$20</f>
        <v>-</v>
      </c>
      <c r="F44" s="1530" t="str">
        <f>'2.4 TDD Group Functions'!$D$20</f>
        <v>-</v>
      </c>
      <c r="G44" s="1782" t="str">
        <f>'2.4 TDD Group Functions'!$E$20</f>
        <v>-</v>
      </c>
      <c r="H44" s="1773">
        <f>'2.4 TDD Group Functions'!$F$20</f>
        <v>1</v>
      </c>
      <c r="I44" s="1773">
        <f>'2.4 TDD Group Functions'!$G$20</f>
        <v>0</v>
      </c>
      <c r="J44" s="1773">
        <f>'2.4 TDD Group Functions'!$H$20</f>
        <v>1</v>
      </c>
      <c r="K44" s="1773">
        <f>'2.4 TDD Group Functions'!$L$20</f>
        <v>1</v>
      </c>
      <c r="L44" s="1772" t="str">
        <f>'2.4 TDD Group Functions'!$M$20</f>
        <v>-</v>
      </c>
      <c r="M44" s="1772">
        <f>'2.4 TDD Group Functions'!$N$20</f>
        <v>0.33302025</v>
      </c>
      <c r="N44" s="1772" t="str">
        <f>'2.4 TDD Group Functions'!$O$20</f>
        <v>-</v>
      </c>
      <c r="O44" s="1772">
        <f>'2.4 TDD Group Functions'!$P$20</f>
        <v>0.33302025</v>
      </c>
    </row>
    <row r="45">
      <c r="B45" s="1530" t="inlineStr">
        <is>
          <t>TDD Group Functions</t>
        </is>
      </c>
      <c r="C45" s="1530" t="inlineStr">
        <is>
          <t>Overhead</t>
        </is>
      </c>
      <c r="D45" s="1530" t="str">
        <f>'2.4 TDD Group Functions'!$B$21</f>
        <v>Delivery Manager</v>
      </c>
      <c r="E45" s="1530" t="str">
        <f>'2.4 TDD Group Functions'!$C$21</f>
        <v>-</v>
      </c>
      <c r="F45" s="1530" t="str">
        <f>'2.4 TDD Group Functions'!$D$21</f>
        <v>-</v>
      </c>
      <c r="G45" s="1782" t="str">
        <f>'2.4 TDD Group Functions'!$E$21</f>
        <v>-</v>
      </c>
      <c r="H45" s="1773">
        <f>'2.4 TDD Group Functions'!$F$21</f>
        <v>1</v>
      </c>
      <c r="I45" s="1773">
        <f>'2.4 TDD Group Functions'!$G$21</f>
        <v>0</v>
      </c>
      <c r="J45" s="1773">
        <f>'2.4 TDD Group Functions'!$H$21</f>
        <v>1</v>
      </c>
      <c r="K45" s="1773">
        <f>'2.4 TDD Group Functions'!$L$21</f>
        <v>1</v>
      </c>
      <c r="L45" s="1772" t="str">
        <f>'2.4 TDD Group Functions'!$M$21</f>
        <v>-</v>
      </c>
      <c r="M45" s="1772">
        <f>'2.4 TDD Group Functions'!$N$21</f>
        <v>0.27581025</v>
      </c>
      <c r="N45" s="1772" t="str">
        <f>'2.4 TDD Group Functions'!$O$21</f>
        <v>-</v>
      </c>
      <c r="O45" s="1772">
        <f>'2.4 TDD Group Functions'!$P$21</f>
        <v>0.27581025</v>
      </c>
    </row>
    <row r="46">
      <c r="B46" s="1530" t="inlineStr">
        <is>
          <t>TDD Group Functions</t>
        </is>
      </c>
      <c r="C46" s="1530" t="inlineStr">
        <is>
          <t>Overhead</t>
        </is>
      </c>
      <c r="D46" s="1530" t="str">
        <f>'2.4 TDD Group Functions'!$B$22</f>
        <v>Technology Manager</v>
      </c>
      <c r="E46" s="1530" t="str">
        <f>'2.4 TDD Group Functions'!$C$22</f>
        <v>-</v>
      </c>
      <c r="F46" s="1530" t="str">
        <f>'2.4 TDD Group Functions'!$D$22</f>
        <v>-</v>
      </c>
      <c r="G46" s="1782" t="str">
        <f>'2.4 TDD Group Functions'!$E$22</f>
        <v>-</v>
      </c>
      <c r="H46" s="1773">
        <f>'2.4 TDD Group Functions'!$F$22</f>
        <v>4</v>
      </c>
      <c r="I46" s="1773">
        <f>'2.4 TDD Group Functions'!$G$22</f>
        <v>1</v>
      </c>
      <c r="J46" s="1773">
        <f>'2.4 TDD Group Functions'!$H$22</f>
        <v>3</v>
      </c>
      <c r="K46" s="1773">
        <f>'2.4 TDD Group Functions'!$L$22</f>
        <v>4</v>
      </c>
      <c r="L46" s="1772" t="str">
        <f>'2.4 TDD Group Functions'!$M$22</f>
        <v>-</v>
      </c>
      <c r="M46" s="1772">
        <f>'2.4 TDD Group Functions'!$N$22</f>
        <v>1.05666075</v>
      </c>
      <c r="N46" s="1772" t="str">
        <f>'2.4 TDD Group Functions'!$O$22</f>
        <v>-</v>
      </c>
      <c r="O46" s="1772">
        <f>'2.4 TDD Group Functions'!$P$22</f>
        <v>1.05666075</v>
      </c>
    </row>
    <row r="47">
      <c r="B47" s="1534" t="inlineStr">
        <is>
          <t>TDD Group Functions total</t>
        </is>
      </c>
      <c r="C47" s="1534" t="n"/>
      <c r="D47" s="1534" t="n"/>
      <c r="E47" s="1534" t="n"/>
      <c r="F47" s="1774" t="str">
        <f>"-"</f>
        <v>-</v>
      </c>
      <c r="G47" s="1783" t="str">
        <f>"-"</f>
        <v>-</v>
      </c>
      <c r="H47" s="1775">
        <f>SUM(H39:H46)</f>
        <v>46</v>
      </c>
      <c r="I47" s="1775">
        <f>SUM(I39:I46)</f>
        <v>32</v>
      </c>
      <c r="J47" s="1775">
        <f>SUM(J39:J46)</f>
        <v>14</v>
      </c>
      <c r="K47" s="1775">
        <f>SUM(K39:K46)</f>
        <v>46</v>
      </c>
      <c r="L47" s="1774" t="str">
        <f>"-"</f>
        <v>-</v>
      </c>
      <c r="M47" s="1774">
        <f>SUM(M39:M46)</f>
        <v>10.0312294824</v>
      </c>
      <c r="N47" s="1774" t="str">
        <f>"-"</f>
        <v>-</v>
      </c>
      <c r="O47" s="1774">
        <f>SUM(O39:O46)</f>
        <v>10.0312294824</v>
      </c>
    </row>
    <row r="48">
      <c r="B48" s="1530" t="inlineStr">
        <is>
          <t>P&amp;C</t>
        </is>
      </c>
      <c r="C48" s="1530" t="inlineStr">
        <is>
          <t>Archetype</t>
        </is>
      </c>
      <c r="D48" s="1530" t="str">
        <f>'2.5 P&amp;C'!$B$7</f>
        <v>P&amp;C</v>
      </c>
      <c r="E48" s="1530" t="str">
        <f>'2.5 P&amp;C'!$C$7</f>
        <v>Configuration / Integration</v>
      </c>
      <c r="F48" s="1530" t="str">
        <f>'2.5 P&amp;C'!$D$7</f>
        <v>M</v>
      </c>
      <c r="G48" s="1782">
        <f>'2.5 P&amp;C'!$E$7</f>
        <v>9</v>
      </c>
      <c r="H48" s="1773">
        <f>'2.5 P&amp;C'!$F$7</f>
        <v>8</v>
      </c>
      <c r="I48" s="1773">
        <f>'2.5 P&amp;C'!$G$7</f>
        <v>5</v>
      </c>
      <c r="J48" s="1773">
        <f>'2.5 P&amp;C'!$H$7</f>
        <v>3</v>
      </c>
      <c r="K48" s="1773">
        <f>'2.5 P&amp;C'!$L$7</f>
        <v>8</v>
      </c>
      <c r="L48" s="1772">
        <f>'2.5 P&amp;C'!$M$7</f>
        <v>2.1</v>
      </c>
      <c r="M48" s="1772">
        <f>'2.5 P&amp;C'!$N$7</f>
        <v>1.76551793</v>
      </c>
      <c r="N48" s="1772">
        <f>'2.5 P&amp;C'!$O$7</f>
        <v>-0.334482</v>
      </c>
      <c r="O48" s="1772">
        <f>'2.5 P&amp;C'!$P$7</f>
        <v>1.76551793</v>
      </c>
    </row>
    <row r="49">
      <c r="B49" s="1530" t="inlineStr">
        <is>
          <t>P&amp;C</t>
        </is>
      </c>
      <c r="C49" s="1530" t="inlineStr">
        <is>
          <t>Archetype</t>
        </is>
      </c>
      <c r="D49" s="1530" t="str">
        <f>'2.5 P&amp;C'!$B$8</f>
        <v>P&amp;C RTA</v>
      </c>
      <c r="E49" s="1530" t="str">
        <f>'2.5 P&amp;C'!$C$8</f>
        <v>Configuration / Integration</v>
      </c>
      <c r="F49" s="1530" t="str">
        <f>'2.5 P&amp;C'!$D$8</f>
        <v>S</v>
      </c>
      <c r="G49" s="1782">
        <f>'2.5 P&amp;C'!$E$8</f>
        <v>6</v>
      </c>
      <c r="H49" s="1773">
        <f>'2.5 P&amp;C'!$F$8</f>
        <v>6</v>
      </c>
      <c r="I49" s="1773">
        <f>'2.5 P&amp;C'!$G$8</f>
        <v>1</v>
      </c>
      <c r="J49" s="1773">
        <f>'2.5 P&amp;C'!$H$8</f>
        <v>5</v>
      </c>
      <c r="K49" s="1773">
        <f>'2.5 P&amp;C'!$L$8</f>
        <v>6</v>
      </c>
      <c r="L49" s="1772">
        <f>'2.5 P&amp;C'!$M$8</f>
        <v>1.4</v>
      </c>
      <c r="M49" s="1772">
        <f>'2.5 P&amp;C'!$N$8</f>
        <v>1.26408815</v>
      </c>
      <c r="N49" s="1772">
        <f>'2.5 P&amp;C'!$O$8</f>
        <v>-0.135912</v>
      </c>
      <c r="O49" s="1772">
        <f>'2.5 P&amp;C'!$P$8</f>
        <v>1.26408815</v>
      </c>
    </row>
    <row r="50">
      <c r="B50" s="1530" t="inlineStr">
        <is>
          <t>P&amp;C</t>
        </is>
      </c>
      <c r="C50" s="1530" t="inlineStr">
        <is>
          <t>Directly funded</t>
        </is>
      </c>
      <c r="D50" s="1530" t="str">
        <f>'2.5 P&amp;C'!$B$13</f>
        <v>EGI P&amp;C</v>
      </c>
      <c r="E50" s="1530" t="str">
        <f>'2.5 P&amp;C'!$C$13</f>
        <v>Strategic Programs</v>
      </c>
      <c r="F50" s="1530" t="str">
        <f>'2.5 P&amp;C'!$D$13</f>
        <v>-</v>
      </c>
      <c r="G50" s="1782" t="str">
        <f>'2.5 P&amp;C'!$E$13</f>
        <v>-</v>
      </c>
      <c r="H50" s="1773">
        <f>'2.5 P&amp;C'!$F$13</f>
        <v>1</v>
      </c>
      <c r="I50" s="1773">
        <f>'2.5 P&amp;C'!$G$13</f>
        <v>1</v>
      </c>
      <c r="J50" s="1773">
        <f>'2.5 P&amp;C'!$H$13</f>
        <v>0</v>
      </c>
      <c r="K50" s="1773">
        <f>'2.5 P&amp;C'!$L$13</f>
        <v>1</v>
      </c>
      <c r="L50" s="1772">
        <f>'2.5 P&amp;C'!$M$13</f>
        <v>0.238965</v>
      </c>
      <c r="M50" s="1772">
        <f>'2.5 P&amp;C'!$N$13</f>
        <v>0.238965</v>
      </c>
      <c r="N50" s="1772">
        <f>'2.5 P&amp;C'!$O$13</f>
        <v>0</v>
      </c>
      <c r="O50" s="1772">
        <f>'2.5 P&amp;C'!$P$13</f>
        <v>0.238965</v>
      </c>
    </row>
    <row r="51">
      <c r="B51" s="1530" t="inlineStr">
        <is>
          <t>P&amp;C</t>
        </is>
      </c>
      <c r="C51" s="1530" t="inlineStr">
        <is>
          <t>Overhead</t>
        </is>
      </c>
      <c r="D51" s="1530" t="str">
        <f>'2.5 P&amp;C'!$B$18</f>
        <v>Head of Technology</v>
      </c>
      <c r="E51" s="1530" t="str">
        <f>'2.5 P&amp;C'!$C$18</f>
        <v>-</v>
      </c>
      <c r="F51" s="1530" t="str">
        <f>'2.5 P&amp;C'!$D$18</f>
        <v>-</v>
      </c>
      <c r="G51" s="1782" t="str">
        <f>'2.5 P&amp;C'!$E$18</f>
        <v>-</v>
      </c>
      <c r="H51" s="1773">
        <f>'2.5 P&amp;C'!$F$18</f>
        <v>1</v>
      </c>
      <c r="I51" s="1773">
        <f>'2.5 P&amp;C'!$G$18</f>
        <v>1</v>
      </c>
      <c r="J51" s="1773">
        <f>'2.5 P&amp;C'!$H$18</f>
        <v>0</v>
      </c>
      <c r="K51" s="1773">
        <f>'2.5 P&amp;C'!$L$18</f>
        <v>1</v>
      </c>
      <c r="L51" s="1772" t="str">
        <f>'2.5 P&amp;C'!$M$18</f>
        <v>-</v>
      </c>
      <c r="M51" s="1772">
        <f>'2.5 P&amp;C'!$N$18</f>
        <v>0.3642493</v>
      </c>
      <c r="N51" s="1772" t="str">
        <f>'2.5 P&amp;C'!$O$18</f>
        <v>-</v>
      </c>
      <c r="O51" s="1772">
        <f>'2.5 P&amp;C'!$P$18</f>
        <v>0.3642493</v>
      </c>
    </row>
    <row r="52">
      <c r="B52" s="1530" t="inlineStr">
        <is>
          <t>P&amp;C</t>
        </is>
      </c>
      <c r="C52" s="1530" t="inlineStr">
        <is>
          <t>Overhead</t>
        </is>
      </c>
      <c r="D52" s="1530" t="str">
        <f>'2.5 P&amp;C'!$B$19</f>
        <v>Delivery Manager</v>
      </c>
      <c r="E52" s="1530" t="str">
        <f>'2.5 P&amp;C'!$C$19</f>
        <v>-</v>
      </c>
      <c r="F52" s="1530" t="str">
        <f>'2.5 P&amp;C'!$D$19</f>
        <v>-</v>
      </c>
      <c r="G52" s="1782" t="str">
        <f>'2.5 P&amp;C'!$E$19</f>
        <v>-</v>
      </c>
      <c r="H52" s="1773">
        <f>'2.5 P&amp;C'!$F$19</f>
        <v>1</v>
      </c>
      <c r="I52" s="1773">
        <f>'2.5 P&amp;C'!$G$19</f>
        <v>0</v>
      </c>
      <c r="J52" s="1773">
        <f>'2.5 P&amp;C'!$H$19</f>
        <v>1</v>
      </c>
      <c r="K52" s="1773">
        <f>'2.5 P&amp;C'!$L$19</f>
        <v>1</v>
      </c>
      <c r="L52" s="1772" t="str">
        <f>'2.5 P&amp;C'!$M$19</f>
        <v>-</v>
      </c>
      <c r="M52" s="1772">
        <f>'2.5 P&amp;C'!$N$19</f>
        <v>0.27581025</v>
      </c>
      <c r="N52" s="1772" t="str">
        <f>'2.5 P&amp;C'!$O$19</f>
        <v>-</v>
      </c>
      <c r="O52" s="1772">
        <f>'2.5 P&amp;C'!$P$19</f>
        <v>0.27581025</v>
      </c>
    </row>
    <row r="53">
      <c r="B53" s="1530" t="inlineStr">
        <is>
          <t>P&amp;C</t>
        </is>
      </c>
      <c r="C53" s="1530" t="inlineStr">
        <is>
          <t>Overhead</t>
        </is>
      </c>
      <c r="D53" s="1530" t="str">
        <f>'2.5 P&amp;C'!$B$20</f>
        <v>Technology Manager</v>
      </c>
      <c r="E53" s="1530" t="str">
        <f>'2.5 P&amp;C'!$C$20</f>
        <v>-</v>
      </c>
      <c r="F53" s="1530" t="str">
        <f>'2.5 P&amp;C'!$D$20</f>
        <v>-</v>
      </c>
      <c r="G53" s="1782" t="str">
        <f>'2.5 P&amp;C'!$E$20</f>
        <v>-</v>
      </c>
      <c r="H53" s="1773">
        <f>'2.5 P&amp;C'!$F$20</f>
        <v>1</v>
      </c>
      <c r="I53" s="1773">
        <f>'2.5 P&amp;C'!$G$20</f>
        <v>0</v>
      </c>
      <c r="J53" s="1773">
        <f>'2.5 P&amp;C'!$H$20</f>
        <v>1</v>
      </c>
      <c r="K53" s="1773">
        <f>'2.5 P&amp;C'!$L$20</f>
        <v>1</v>
      </c>
      <c r="L53" s="1772" t="str">
        <f>'2.5 P&amp;C'!$M$20</f>
        <v>-</v>
      </c>
      <c r="M53" s="1772">
        <f>'2.5 P&amp;C'!$N$20</f>
        <v>0.27581025</v>
      </c>
      <c r="N53" s="1772" t="str">
        <f>'2.5 P&amp;C'!$O$20</f>
        <v>-</v>
      </c>
      <c r="O53" s="1772">
        <f>'2.5 P&amp;C'!$P$20</f>
        <v>0.27581025</v>
      </c>
    </row>
    <row r="54">
      <c r="B54" s="1534" t="inlineStr">
        <is>
          <t>P&amp;C total</t>
        </is>
      </c>
      <c r="C54" s="1534" t="n"/>
      <c r="D54" s="1534" t="n"/>
      <c r="E54" s="1534" t="n"/>
      <c r="F54" s="1774" t="str">
        <f>"-"</f>
        <v>-</v>
      </c>
      <c r="G54" s="1783" t="str">
        <f>"-"</f>
        <v>-</v>
      </c>
      <c r="H54" s="1775">
        <f>SUM(H48:H53)</f>
        <v>18</v>
      </c>
      <c r="I54" s="1775">
        <f>SUM(I48:I53)</f>
        <v>8</v>
      </c>
      <c r="J54" s="1775">
        <f>SUM(J48:J53)</f>
        <v>10</v>
      </c>
      <c r="K54" s="1775">
        <f>SUM(K48:K53)</f>
        <v>18</v>
      </c>
      <c r="L54" s="1774" t="str">
        <f>"-"</f>
        <v>-</v>
      </c>
      <c r="M54" s="1774">
        <f>SUM(M48:M53)</f>
        <v>4.18444088</v>
      </c>
      <c r="N54" s="1774" t="str">
        <f>"-"</f>
        <v>-</v>
      </c>
      <c r="O54" s="1774">
        <f>SUM(O48:O53)</f>
        <v>4.18444088</v>
      </c>
    </row>
    <row r="55">
      <c r="B55" s="1530" t="inlineStr">
        <is>
          <t>Finance</t>
        </is>
      </c>
      <c r="C55" s="1530" t="inlineStr">
        <is>
          <t>Archetype</t>
        </is>
      </c>
      <c r="D55" s="1530" t="str">
        <f>'2.6 Finance'!$B$7</f>
        <v>NZ Finance</v>
      </c>
      <c r="E55" s="1530" t="str">
        <f>'2.6 Finance'!$C$7</f>
        <v>Configuration / Integration</v>
      </c>
      <c r="F55" s="1530" t="str">
        <f>'2.6 Finance'!$D$7</f>
        <v>S</v>
      </c>
      <c r="G55" s="1782">
        <f>'2.6 Finance'!$E$7</f>
        <v>6</v>
      </c>
      <c r="H55" s="1773">
        <f>'2.6 Finance'!$F$7</f>
        <v>5</v>
      </c>
      <c r="I55" s="1773">
        <f>'2.6 Finance'!$G$7</f>
        <v>4</v>
      </c>
      <c r="J55" s="1773">
        <f>'2.6 Finance'!$H$7</f>
        <v>1</v>
      </c>
      <c r="K55" s="1773">
        <f>'2.6 Finance'!$L$7</f>
        <v>5</v>
      </c>
      <c r="L55" s="1772">
        <f>'2.6 Finance'!$M$7</f>
        <v>1.4</v>
      </c>
      <c r="M55" s="1772">
        <f>'2.6 Finance'!$N$7</f>
        <v>0.905141646</v>
      </c>
      <c r="N55" s="1772">
        <f>'2.6 Finance'!$O$7</f>
        <v>-0.494858</v>
      </c>
      <c r="O55" s="1772">
        <f>'2.6 Finance'!$P$7</f>
        <v>0.905141646</v>
      </c>
    </row>
    <row r="56">
      <c r="B56" s="1530" t="inlineStr">
        <is>
          <t>Finance</t>
        </is>
      </c>
      <c r="C56" s="1530" t="inlineStr">
        <is>
          <t>Archetype</t>
        </is>
      </c>
      <c r="D56" s="1530" t="str">
        <f>'2.6 Finance'!$B$8</f>
        <v>SAP ERP</v>
      </c>
      <c r="E56" s="1530" t="str">
        <f>'2.6 Finance'!$C$8</f>
        <v>Configuration / Integration</v>
      </c>
      <c r="F56" s="1530" t="str">
        <f>'2.6 Finance'!$D$8</f>
        <v>S</v>
      </c>
      <c r="G56" s="1782">
        <f>'2.6 Finance'!$E$8</f>
        <v>6</v>
      </c>
      <c r="H56" s="1773">
        <f>'2.6 Finance'!$F$8</f>
        <v>10</v>
      </c>
      <c r="I56" s="1773">
        <f>'2.6 Finance'!$G$8</f>
        <v>3</v>
      </c>
      <c r="J56" s="1773">
        <f>'2.6 Finance'!$H$8</f>
        <v>7</v>
      </c>
      <c r="K56" s="1773">
        <f>'2.6 Finance'!$L$8</f>
        <v>10</v>
      </c>
      <c r="L56" s="1772">
        <f>'2.6 Finance'!$M$8</f>
        <v>1.4</v>
      </c>
      <c r="M56" s="1772">
        <f>'2.6 Finance'!$N$8</f>
        <v>2.37418557</v>
      </c>
      <c r="N56" s="1772">
        <f>'2.6 Finance'!$O$8</f>
        <v>0.974186</v>
      </c>
      <c r="O56" s="1772">
        <f>'2.6 Finance'!$P$8</f>
        <v>2.37418557</v>
      </c>
    </row>
    <row r="57">
      <c r="B57" s="1530" t="inlineStr">
        <is>
          <t>Finance</t>
        </is>
      </c>
      <c r="C57" s="1530" t="inlineStr">
        <is>
          <t>Directly funded</t>
        </is>
      </c>
      <c r="D57" s="1530" t="str">
        <f>'2.6 Finance'!$B$13</f>
        <v>EGI Finance</v>
      </c>
      <c r="E57" s="1530" t="str">
        <f>'2.6 Finance'!$C$13</f>
        <v>Strategic Programs</v>
      </c>
      <c r="F57" s="1530" t="str">
        <f>'2.6 Finance'!$D$13</f>
        <v>-</v>
      </c>
      <c r="G57" s="1782" t="str">
        <f>'2.6 Finance'!$E$13</f>
        <v>-</v>
      </c>
      <c r="H57" s="1773">
        <f>'2.6 Finance'!$F$13</f>
        <v>1</v>
      </c>
      <c r="I57" s="1773">
        <f>'2.6 Finance'!$G$13</f>
        <v>1</v>
      </c>
      <c r="J57" s="1773">
        <f>'2.6 Finance'!$H$13</f>
        <v>0</v>
      </c>
      <c r="K57" s="1773">
        <f>'2.6 Finance'!$L$13</f>
        <v>1</v>
      </c>
      <c r="L57" s="1772">
        <f>'2.6 Finance'!$M$13</f>
        <v>0.24172845</v>
      </c>
      <c r="M57" s="1772">
        <f>'2.6 Finance'!$N$13</f>
        <v>0.24172845</v>
      </c>
      <c r="N57" s="1772">
        <f>'2.6 Finance'!$O$13</f>
        <v>0</v>
      </c>
      <c r="O57" s="1772">
        <f>'2.6 Finance'!$P$13</f>
        <v>0.24172845</v>
      </c>
    </row>
    <row r="58">
      <c r="B58" s="1530" t="inlineStr">
        <is>
          <t>Finance</t>
        </is>
      </c>
      <c r="C58" s="1530" t="inlineStr">
        <is>
          <t>Overhead</t>
        </is>
      </c>
      <c r="D58" s="1530" t="str">
        <f>'2.6 Finance'!$B$18</f>
        <v>Technology Manager</v>
      </c>
      <c r="E58" s="1530" t="str">
        <f>'2.6 Finance'!$C$18</f>
        <v>-</v>
      </c>
      <c r="F58" s="1530" t="str">
        <f>'2.6 Finance'!$D$18</f>
        <v>-</v>
      </c>
      <c r="G58" s="1782" t="str">
        <f>'2.6 Finance'!$E$18</f>
        <v>-</v>
      </c>
      <c r="H58" s="1773">
        <f>'2.6 Finance'!$F$18</f>
        <v>1</v>
      </c>
      <c r="I58" s="1773">
        <f>'2.6 Finance'!$G$18</f>
        <v>1</v>
      </c>
      <c r="J58" s="1773">
        <f>'2.6 Finance'!$H$18</f>
        <v>0</v>
      </c>
      <c r="K58" s="1773">
        <f>'2.6 Finance'!$L$18</f>
        <v>1</v>
      </c>
      <c r="L58" s="1772" t="str">
        <f>'2.6 Finance'!$M$18</f>
        <v>-</v>
      </c>
      <c r="M58" s="1772">
        <f>'2.6 Finance'!$N$18</f>
        <v>0.32356045</v>
      </c>
      <c r="N58" s="1772" t="str">
        <f>'2.6 Finance'!$O$18</f>
        <v>-</v>
      </c>
      <c r="O58" s="1772">
        <f>'2.6 Finance'!$P$18</f>
        <v>0.32356045</v>
      </c>
    </row>
    <row r="59">
      <c r="B59" s="1534" t="inlineStr">
        <is>
          <t>Finance total</t>
        </is>
      </c>
      <c r="C59" s="1534" t="n"/>
      <c r="D59" s="1534" t="n"/>
      <c r="E59" s="1534" t="n"/>
      <c r="F59" s="1774" t="str">
        <f>"-"</f>
        <v>-</v>
      </c>
      <c r="G59" s="1783" t="str">
        <f>"-"</f>
        <v>-</v>
      </c>
      <c r="H59" s="1775">
        <f>SUM(H55:H58)</f>
        <v>17</v>
      </c>
      <c r="I59" s="1775">
        <f>SUM(I55:I58)</f>
        <v>9</v>
      </c>
      <c r="J59" s="1775">
        <f>SUM(J55:J58)</f>
        <v>8</v>
      </c>
      <c r="K59" s="1775">
        <f>SUM(K55:K58)</f>
        <v>17</v>
      </c>
      <c r="L59" s="1774" t="str">
        <f>"-"</f>
        <v>-</v>
      </c>
      <c r="M59" s="1774">
        <f>SUM(M55:M58)</f>
        <v>3.844616116</v>
      </c>
      <c r="N59" s="1774" t="str">
        <f>"-"</f>
        <v>-</v>
      </c>
      <c r="O59" s="1774">
        <f>SUM(O55:O58)</f>
        <v>3.844616116</v>
      </c>
    </row>
    <row r="60">
      <c r="B60" s="1530" t="inlineStr">
        <is>
          <t>Infrastructure</t>
        </is>
      </c>
      <c r="C60" s="1530" t="inlineStr">
        <is>
          <t>Archetype</t>
        </is>
      </c>
      <c r="D60" s="1530" t="str">
        <f>'2.7 Infrastructure'!$B$7</f>
        <v>Data &amp; Insights</v>
      </c>
      <c r="E60" s="1530" t="str">
        <f>'2.7 Infrastructure'!$C$7</f>
        <v>Configuration / Integration</v>
      </c>
      <c r="F60" s="1530" t="str">
        <f>'2.7 Infrastructure'!$D$7</f>
        <v>S</v>
      </c>
      <c r="G60" s="1782">
        <f>'2.7 Infrastructure'!$E$7</f>
        <v>6</v>
      </c>
      <c r="H60" s="1773">
        <f>'2.7 Infrastructure'!$F$7</f>
        <v>7</v>
      </c>
      <c r="I60" s="1773">
        <f>'2.7 Infrastructure'!$G$7</f>
        <v>2</v>
      </c>
      <c r="J60" s="1773">
        <f>'2.7 Infrastructure'!$H$7</f>
        <v>5</v>
      </c>
      <c r="K60" s="1773">
        <f>'2.7 Infrastructure'!$L$7</f>
        <v>7</v>
      </c>
      <c r="L60" s="1772">
        <f>'2.7 Infrastructure'!$M$7</f>
        <v>1.4</v>
      </c>
      <c r="M60" s="1772">
        <f>'2.7 Infrastructure'!$N$7</f>
        <v>1.51725675</v>
      </c>
      <c r="N60" s="1772">
        <f>'2.7 Infrastructure'!$O$7</f>
        <v>0.117257</v>
      </c>
      <c r="O60" s="1772">
        <f>'2.7 Infrastructure'!$P$7</f>
        <v>1.51725675</v>
      </c>
    </row>
    <row r="61">
      <c r="B61" s="1530" t="inlineStr">
        <is>
          <t>Infrastructure</t>
        </is>
      </c>
      <c r="C61" s="1530" t="inlineStr">
        <is>
          <t>Archetype</t>
        </is>
      </c>
      <c r="D61" s="1530" t="str">
        <f>'2.7 Infrastructure'!$B$8</f>
        <v>Distribution, Sales &amp; Services</v>
      </c>
      <c r="E61" s="1530" t="str">
        <f>'2.7 Infrastructure'!$C$8</f>
        <v>Configuration / Integration</v>
      </c>
      <c r="F61" s="1530" t="str">
        <f>'2.7 Infrastructure'!$D$8</f>
        <v>M</v>
      </c>
      <c r="G61" s="1782">
        <f>'2.7 Infrastructure'!$E$8</f>
        <v>9</v>
      </c>
      <c r="H61" s="1773">
        <f>'2.7 Infrastructure'!$F$8</f>
        <v>10</v>
      </c>
      <c r="I61" s="1773">
        <f>'2.7 Infrastructure'!$G$8</f>
        <v>8</v>
      </c>
      <c r="J61" s="1773">
        <f>'2.7 Infrastructure'!$H$8</f>
        <v>2</v>
      </c>
      <c r="K61" s="1773">
        <f>'2.7 Infrastructure'!$L$8</f>
        <v>10</v>
      </c>
      <c r="L61" s="1772">
        <f>'2.7 Infrastructure'!$M$8</f>
        <v>2.1</v>
      </c>
      <c r="M61" s="1772">
        <f>'2.7 Infrastructure'!$N$8</f>
        <v>2.12727365</v>
      </c>
      <c r="N61" s="1772">
        <f>'2.7 Infrastructure'!$O$8</f>
        <v>0.027274</v>
      </c>
      <c r="O61" s="1772">
        <f>'2.7 Infrastructure'!$P$8</f>
        <v>2.12727365</v>
      </c>
    </row>
    <row r="62">
      <c r="B62" s="1530" t="inlineStr">
        <is>
          <t>Infrastructure</t>
        </is>
      </c>
      <c r="C62" s="1530" t="inlineStr">
        <is>
          <t>Archetype</t>
        </is>
      </c>
      <c r="D62" s="1530" t="str">
        <f>'2.7 Infrastructure'!$B$9</f>
        <v>Manufacturing Group Projects</v>
      </c>
      <c r="E62" s="1530" t="str">
        <f>'2.7 Infrastructure'!$C$9</f>
        <v>Configuration / Integration</v>
      </c>
      <c r="F62" s="1530" t="str">
        <f>'2.7 Infrastructure'!$D$9</f>
        <v>M</v>
      </c>
      <c r="G62" s="1782">
        <f>'2.7 Infrastructure'!$E$9</f>
        <v>9</v>
      </c>
      <c r="H62" s="1773">
        <f>'2.7 Infrastructure'!$F$9</f>
        <v>9</v>
      </c>
      <c r="I62" s="1773">
        <f>'2.7 Infrastructure'!$G$9</f>
        <v>7</v>
      </c>
      <c r="J62" s="1773">
        <f>'2.7 Infrastructure'!$H$9</f>
        <v>2</v>
      </c>
      <c r="K62" s="1773">
        <f>'2.7 Infrastructure'!$L$9</f>
        <v>9</v>
      </c>
      <c r="L62" s="1772">
        <f>'2.7 Infrastructure'!$M$9</f>
        <v>2.1</v>
      </c>
      <c r="M62" s="1772">
        <f>'2.7 Infrastructure'!$N$9</f>
        <v>1.9147733</v>
      </c>
      <c r="N62" s="1772">
        <f>'2.7 Infrastructure'!$O$9</f>
        <v>-0.185227</v>
      </c>
      <c r="O62" s="1772">
        <f>'2.7 Infrastructure'!$P$9</f>
        <v>1.9147733</v>
      </c>
    </row>
    <row r="63">
      <c r="B63" s="1530" t="inlineStr">
        <is>
          <t>Infrastructure</t>
        </is>
      </c>
      <c r="C63" s="1530" t="inlineStr">
        <is>
          <t>Archetype</t>
        </is>
      </c>
      <c r="D63" s="1530" t="str">
        <f>'2.7 Infrastructure'!$B$10</f>
        <v>Technology Support</v>
      </c>
      <c r="E63" s="1530" t="str">
        <f>'2.7 Infrastructure'!$C$10</f>
        <v>Operations</v>
      </c>
      <c r="F63" s="1530" t="str">
        <f>'2.7 Infrastructure'!$D$10</f>
        <v>S</v>
      </c>
      <c r="G63" s="1782">
        <f>'2.7 Infrastructure'!$E$10</f>
        <v>4</v>
      </c>
      <c r="H63" s="1773">
        <f>'2.7 Infrastructure'!$F$10</f>
        <v>5</v>
      </c>
      <c r="I63" s="1773">
        <f>'2.7 Infrastructure'!$G$10</f>
        <v>5</v>
      </c>
      <c r="J63" s="1773">
        <f>'2.7 Infrastructure'!$H$10</f>
        <v>0</v>
      </c>
      <c r="K63" s="1773">
        <f>'2.7 Infrastructure'!$L$10</f>
        <v>5</v>
      </c>
      <c r="L63" s="1772">
        <f>'2.7 Infrastructure'!$M$10</f>
        <v>0.8</v>
      </c>
      <c r="M63" s="1772">
        <f>'2.7 Infrastructure'!$N$10</f>
        <v>0.74133529</v>
      </c>
      <c r="N63" s="1772">
        <f>'2.7 Infrastructure'!$O$10</f>
        <v>-0.058665</v>
      </c>
      <c r="O63" s="1772">
        <f>'2.7 Infrastructure'!$P$10</f>
        <v>0.74133529</v>
      </c>
    </row>
    <row r="64">
      <c r="B64" s="1530" t="inlineStr">
        <is>
          <t>Infrastructure</t>
        </is>
      </c>
      <c r="C64" s="1530" t="inlineStr">
        <is>
          <t>Directly funded</t>
        </is>
      </c>
      <c r="D64" s="1530" t="str">
        <f>'2.7 Infrastructure'!$B$15</f>
        <v>Leadership</v>
      </c>
      <c r="E64" s="1530" t="str">
        <f>'2.7 Infrastructure'!$C$15</f>
        <v>Not on the 1.x tab</v>
      </c>
      <c r="F64" s="1530" t="str">
        <f>'2.7 Infrastructure'!$D$15</f>
        <v>-</v>
      </c>
      <c r="G64" s="1782" t="str">
        <f>'2.7 Infrastructure'!$E$15</f>
        <v>-</v>
      </c>
      <c r="H64" s="1773">
        <f>'2.7 Infrastructure'!$F$15</f>
        <v>1</v>
      </c>
      <c r="I64" s="1773">
        <f>'2.7 Infrastructure'!$G$15</f>
        <v>1</v>
      </c>
      <c r="J64" s="1773">
        <f>'2.7 Infrastructure'!$H$15</f>
        <v>0</v>
      </c>
      <c r="K64" s="1773">
        <f>'2.7 Infrastructure'!$L$15</f>
        <v>1</v>
      </c>
      <c r="L64" s="1772" t="str">
        <f>'2.7 Infrastructure'!$M$15</f>
        <v>-</v>
      </c>
      <c r="M64" s="1772">
        <f>'2.7 Infrastructure'!$N$15</f>
        <v>0.2566671</v>
      </c>
      <c r="N64" s="1772" t="str">
        <f>'2.7 Infrastructure'!$O$15</f>
        <v>-</v>
      </c>
      <c r="O64" s="1772">
        <f>'2.7 Infrastructure'!$P$15</f>
        <v>0.2566671</v>
      </c>
    </row>
    <row r="65">
      <c r="B65" s="1530" t="inlineStr">
        <is>
          <t>Infrastructure</t>
        </is>
      </c>
      <c r="C65" s="1530" t="inlineStr">
        <is>
          <t>Overhead</t>
        </is>
      </c>
      <c r="D65" s="1530" t="str">
        <f>'2.7 Infrastructure'!$B$20</f>
        <v>Head of Technology</v>
      </c>
      <c r="E65" s="1530" t="str">
        <f>'2.7 Infrastructure'!$C$20</f>
        <v>-</v>
      </c>
      <c r="F65" s="1530" t="str">
        <f>'2.7 Infrastructure'!$D$20</f>
        <v>-</v>
      </c>
      <c r="G65" s="1782" t="str">
        <f>'2.7 Infrastructure'!$E$20</f>
        <v>-</v>
      </c>
      <c r="H65" s="1773">
        <f>'2.7 Infrastructure'!$F$20</f>
        <v>1</v>
      </c>
      <c r="I65" s="1773">
        <f>'2.7 Infrastructure'!$G$20</f>
        <v>1</v>
      </c>
      <c r="J65" s="1773">
        <f>'2.7 Infrastructure'!$H$20</f>
        <v>0</v>
      </c>
      <c r="K65" s="1773">
        <f>'2.7 Infrastructure'!$L$20</f>
        <v>1</v>
      </c>
      <c r="L65" s="1772" t="str">
        <f>'2.7 Infrastructure'!$M$20</f>
        <v>-</v>
      </c>
      <c r="M65" s="1772">
        <f>'2.7 Infrastructure'!$N$20</f>
        <v>0.3636267</v>
      </c>
      <c r="N65" s="1772" t="str">
        <f>'2.7 Infrastructure'!$O$20</f>
        <v>-</v>
      </c>
      <c r="O65" s="1772">
        <f>'2.7 Infrastructure'!$P$20</f>
        <v>0.3636267</v>
      </c>
    </row>
    <row r="66">
      <c r="B66" s="1530" t="inlineStr">
        <is>
          <t>Infrastructure</t>
        </is>
      </c>
      <c r="C66" s="1530" t="inlineStr">
        <is>
          <t>Overhead</t>
        </is>
      </c>
      <c r="D66" s="1530" t="str">
        <f>'2.7 Infrastructure'!$B$21</f>
        <v>Delivery Manager</v>
      </c>
      <c r="E66" s="1530" t="str">
        <f>'2.7 Infrastructure'!$C$21</f>
        <v>-</v>
      </c>
      <c r="F66" s="1530" t="str">
        <f>'2.7 Infrastructure'!$D$21</f>
        <v>-</v>
      </c>
      <c r="G66" s="1782" t="str">
        <f>'2.7 Infrastructure'!$E$21</f>
        <v>-</v>
      </c>
      <c r="H66" s="1773">
        <f>'2.7 Infrastructure'!$F$21</f>
        <v>1</v>
      </c>
      <c r="I66" s="1773">
        <f>'2.7 Infrastructure'!$G$21</f>
        <v>0</v>
      </c>
      <c r="J66" s="1773">
        <f>'2.7 Infrastructure'!$H$21</f>
        <v>1</v>
      </c>
      <c r="K66" s="1773">
        <f>'2.7 Infrastructure'!$L$21</f>
        <v>1</v>
      </c>
      <c r="L66" s="1772" t="str">
        <f>'2.7 Infrastructure'!$M$21</f>
        <v>-</v>
      </c>
      <c r="M66" s="1772">
        <f>'2.7 Infrastructure'!$N$21</f>
        <v>0.27581025</v>
      </c>
      <c r="N66" s="1772" t="str">
        <f>'2.7 Infrastructure'!$O$21</f>
        <v>-</v>
      </c>
      <c r="O66" s="1772">
        <f>'2.7 Infrastructure'!$P$21</f>
        <v>0.27581025</v>
      </c>
    </row>
    <row r="67">
      <c r="B67" s="1530" t="inlineStr">
        <is>
          <t>Infrastructure</t>
        </is>
      </c>
      <c r="C67" s="1530" t="inlineStr">
        <is>
          <t>Overhead</t>
        </is>
      </c>
      <c r="D67" s="1530" t="str">
        <f>'2.7 Infrastructure'!$B$22</f>
        <v>Technology Manager</v>
      </c>
      <c r="E67" s="1530" t="str">
        <f>'2.7 Infrastructure'!$C$22</f>
        <v>-</v>
      </c>
      <c r="F67" s="1530" t="str">
        <f>'2.7 Infrastructure'!$D$22</f>
        <v>-</v>
      </c>
      <c r="G67" s="1782" t="str">
        <f>'2.7 Infrastructure'!$E$22</f>
        <v>-</v>
      </c>
      <c r="H67" s="1773">
        <f>'2.7 Infrastructure'!$F$22</f>
        <v>2</v>
      </c>
      <c r="I67" s="1773">
        <f>'2.7 Infrastructure'!$G$22</f>
        <v>0</v>
      </c>
      <c r="J67" s="1773">
        <f>'2.7 Infrastructure'!$H$22</f>
        <v>2</v>
      </c>
      <c r="K67" s="1773">
        <f>'2.7 Infrastructure'!$L$22</f>
        <v>2</v>
      </c>
      <c r="L67" s="1772" t="str">
        <f>'2.7 Infrastructure'!$M$22</f>
        <v>-</v>
      </c>
      <c r="M67" s="1772">
        <f>'2.7 Infrastructure'!$N$22</f>
        <v>0.5516205</v>
      </c>
      <c r="N67" s="1772" t="str">
        <f>'2.7 Infrastructure'!$O$22</f>
        <v>-</v>
      </c>
      <c r="O67" s="1772">
        <f>'2.7 Infrastructure'!$P$22</f>
        <v>0.5516205</v>
      </c>
    </row>
    <row r="68">
      <c r="B68" s="1534" t="inlineStr">
        <is>
          <t>Infrastructure total</t>
        </is>
      </c>
      <c r="C68" s="1534" t="n"/>
      <c r="D68" s="1534" t="n"/>
      <c r="E68" s="1534" t="n"/>
      <c r="F68" s="1774" t="str">
        <f>"-"</f>
        <v>-</v>
      </c>
      <c r="G68" s="1783" t="str">
        <f>"-"</f>
        <v>-</v>
      </c>
      <c r="H68" s="1775">
        <f>SUM(H60:H67)</f>
        <v>36</v>
      </c>
      <c r="I68" s="1775">
        <f>SUM(I60:I67)</f>
        <v>24</v>
      </c>
      <c r="J68" s="1775">
        <f>SUM(J60:J67)</f>
        <v>12</v>
      </c>
      <c r="K68" s="1775">
        <f>SUM(K60:K67)</f>
        <v>36</v>
      </c>
      <c r="L68" s="1774" t="str">
        <f>"-"</f>
        <v>-</v>
      </c>
      <c r="M68" s="1774">
        <f>SUM(M60:M67)</f>
        <v>7.74836354</v>
      </c>
      <c r="N68" s="1774" t="str">
        <f>"-"</f>
        <v>-</v>
      </c>
      <c r="O68" s="1774">
        <f>SUM(O60:O67)</f>
        <v>7.74836354</v>
      </c>
    </row>
    <row r="69">
      <c r="B69" s="1530" t="inlineStr">
        <is>
          <t>Energy Solutions &amp; B2B</t>
        </is>
      </c>
      <c r="C69" s="1530" t="inlineStr">
        <is>
          <t>Archetype</t>
        </is>
      </c>
      <c r="D69" s="1530" t="str">
        <f>'2.8 Energy Solutions &amp; B2B'!$B$7</f>
        <v>B2B</v>
      </c>
      <c r="E69" s="1530" t="str">
        <f>'2.8 Energy Solutions &amp; B2B'!$C$7</f>
        <v>Configuration / Integration</v>
      </c>
      <c r="F69" s="1530" t="str">
        <f>'2.8 Energy Solutions &amp; B2B'!$D$7</f>
        <v>L</v>
      </c>
      <c r="G69" s="1782">
        <f>'2.8 Energy Solutions &amp; B2B'!$E$7</f>
        <v>14</v>
      </c>
      <c r="H69" s="1773">
        <f>'2.8 Energy Solutions &amp; B2B'!$F$7</f>
        <v>14</v>
      </c>
      <c r="I69" s="1773">
        <f>'2.8 Energy Solutions &amp; B2B'!$G$7</f>
        <v>11</v>
      </c>
      <c r="J69" s="1773">
        <f>'2.8 Energy Solutions &amp; B2B'!$H$7</f>
        <v>3</v>
      </c>
      <c r="K69" s="1773">
        <f>'2.8 Energy Solutions &amp; B2B'!$L$7</f>
        <v>14</v>
      </c>
      <c r="L69" s="1772">
        <f>'2.8 Energy Solutions &amp; B2B'!$M$7</f>
        <v>3.2</v>
      </c>
      <c r="M69" s="1772">
        <f>'2.8 Energy Solutions &amp; B2B'!$N$7</f>
        <v>2.59351107</v>
      </c>
      <c r="N69" s="1772">
        <f>'2.8 Energy Solutions &amp; B2B'!$O$7</f>
        <v>-0.606489</v>
      </c>
      <c r="O69" s="1772">
        <f>'2.8 Energy Solutions &amp; B2B'!$P$7</f>
        <v>2.59351107</v>
      </c>
    </row>
    <row r="70">
      <c r="B70" s="1530" t="inlineStr">
        <is>
          <t>Energy Solutions &amp; B2B</t>
        </is>
      </c>
      <c r="C70" s="1530" t="inlineStr">
        <is>
          <t>Archetype</t>
        </is>
      </c>
      <c r="D70" s="1530" t="str">
        <f>'2.8 Energy Solutions &amp; B2B'!$B$8</f>
        <v>EVCI</v>
      </c>
      <c r="E70" s="1530" t="str">
        <f>'2.8 Energy Solutions &amp; B2B'!$C$8</f>
        <v>Engineering</v>
      </c>
      <c r="F70" s="1530" t="str">
        <f>'2.8 Energy Solutions &amp; B2B'!$D$8</f>
        <v>M</v>
      </c>
      <c r="G70" s="1782">
        <f>'2.8 Energy Solutions &amp; B2B'!$E$8</f>
        <v>9</v>
      </c>
      <c r="H70" s="1773">
        <f>'2.8 Energy Solutions &amp; B2B'!$F$8</f>
        <v>6</v>
      </c>
      <c r="I70" s="1773">
        <f>'2.8 Energy Solutions &amp; B2B'!$G$8</f>
        <v>6</v>
      </c>
      <c r="J70" s="1773">
        <f>'2.8 Energy Solutions &amp; B2B'!$H$8</f>
        <v>0</v>
      </c>
      <c r="K70" s="1773">
        <f>'2.8 Energy Solutions &amp; B2B'!$L$8</f>
        <v>6</v>
      </c>
      <c r="L70" s="1772">
        <f>'2.8 Energy Solutions &amp; B2B'!$M$8</f>
        <v>2</v>
      </c>
      <c r="M70" s="1772">
        <f>'2.8 Energy Solutions &amp; B2B'!$N$8</f>
        <v>0.930799292</v>
      </c>
      <c r="N70" s="1772">
        <f>'2.8 Energy Solutions &amp; B2B'!$O$8</f>
        <v>-1.069201</v>
      </c>
      <c r="O70" s="1772">
        <f>'2.8 Energy Solutions &amp; B2B'!$P$8</f>
        <v>0.930799292</v>
      </c>
    </row>
    <row r="71">
      <c r="B71" s="1530" t="inlineStr">
        <is>
          <t>Energy Solutions &amp; B2B</t>
        </is>
      </c>
      <c r="C71" s="1530" t="inlineStr">
        <is>
          <t>Archetype</t>
        </is>
      </c>
      <c r="D71" s="1530" t="str">
        <f>'2.8 Energy Solutions &amp; B2B'!$B$9</f>
        <v>Energy</v>
      </c>
      <c r="E71" s="1530" t="str">
        <f>'2.8 Energy Solutions &amp; B2B'!$C$9</f>
        <v>Engineering</v>
      </c>
      <c r="F71" s="1530" t="str">
        <f>'2.8 Energy Solutions &amp; B2B'!$D$9</f>
        <v>L</v>
      </c>
      <c r="G71" s="1782">
        <f>'2.8 Energy Solutions &amp; B2B'!$E$9</f>
        <v>12</v>
      </c>
      <c r="H71" s="1773">
        <f>'2.8 Energy Solutions &amp; B2B'!$F$9</f>
        <v>9</v>
      </c>
      <c r="I71" s="1773">
        <f>'2.8 Energy Solutions &amp; B2B'!$G$9</f>
        <v>5</v>
      </c>
      <c r="J71" s="1773">
        <f>'2.8 Energy Solutions &amp; B2B'!$H$9</f>
        <v>4</v>
      </c>
      <c r="K71" s="1773">
        <f>'2.8 Energy Solutions &amp; B2B'!$L$9</f>
        <v>9</v>
      </c>
      <c r="L71" s="1772">
        <f>'2.8 Energy Solutions &amp; B2B'!$M$9</f>
        <v>2.7</v>
      </c>
      <c r="M71" s="1772">
        <f>'2.8 Energy Solutions &amp; B2B'!$N$9</f>
        <v>1.803563966</v>
      </c>
      <c r="N71" s="1772">
        <f>'2.8 Energy Solutions &amp; B2B'!$O$9</f>
        <v>-0.896436</v>
      </c>
      <c r="O71" s="1772">
        <f>'2.8 Energy Solutions &amp; B2B'!$P$9</f>
        <v>1.803563966</v>
      </c>
    </row>
    <row r="72">
      <c r="B72" s="1530" t="inlineStr">
        <is>
          <t>Energy Solutions &amp; B2B</t>
        </is>
      </c>
      <c r="C72" s="1530" t="inlineStr">
        <is>
          <t>Overhead</t>
        </is>
      </c>
      <c r="D72" s="1530" t="str">
        <f>'2.8 Energy Solutions &amp; B2B'!$B$19</f>
        <v>Head of Technology</v>
      </c>
      <c r="E72" s="1530" t="str">
        <f>'2.8 Energy Solutions &amp; B2B'!$C$19</f>
        <v>-</v>
      </c>
      <c r="F72" s="1530" t="str">
        <f>'2.8 Energy Solutions &amp; B2B'!$D$19</f>
        <v>-</v>
      </c>
      <c r="G72" s="1782" t="str">
        <f>'2.8 Energy Solutions &amp; B2B'!$E$19</f>
        <v>-</v>
      </c>
      <c r="H72" s="1773">
        <f>'2.8 Energy Solutions &amp; B2B'!$F$19</f>
        <v>1</v>
      </c>
      <c r="I72" s="1773">
        <f>'2.8 Energy Solutions &amp; B2B'!$G$19</f>
        <v>1</v>
      </c>
      <c r="J72" s="1773">
        <f>'2.8 Energy Solutions &amp; B2B'!$H$19</f>
        <v>0</v>
      </c>
      <c r="K72" s="1773">
        <f>'2.8 Energy Solutions &amp; B2B'!$L$19</f>
        <v>1</v>
      </c>
      <c r="L72" s="1772" t="str">
        <f>'2.8 Energy Solutions &amp; B2B'!$M$19</f>
        <v>-</v>
      </c>
      <c r="M72" s="1772">
        <f>'2.8 Energy Solutions &amp; B2B'!$N$19</f>
        <v>0.273758</v>
      </c>
      <c r="N72" s="1772" t="str">
        <f>'2.8 Energy Solutions &amp; B2B'!$O$19</f>
        <v>-</v>
      </c>
      <c r="O72" s="1772">
        <f>'2.8 Energy Solutions &amp; B2B'!$P$19</f>
        <v>0.273758</v>
      </c>
    </row>
    <row r="73">
      <c r="B73" s="1530" t="inlineStr">
        <is>
          <t>Energy Solutions &amp; B2B</t>
        </is>
      </c>
      <c r="C73" s="1530" t="inlineStr">
        <is>
          <t>Overhead</t>
        </is>
      </c>
      <c r="D73" s="1530" t="str">
        <f>'2.8 Energy Solutions &amp; B2B'!$B$20</f>
        <v>Delivery Manager</v>
      </c>
      <c r="E73" s="1530" t="str">
        <f>'2.8 Energy Solutions &amp; B2B'!$C$20</f>
        <v>-</v>
      </c>
      <c r="F73" s="1530" t="str">
        <f>'2.8 Energy Solutions &amp; B2B'!$D$20</f>
        <v>-</v>
      </c>
      <c r="G73" s="1782" t="str">
        <f>'2.8 Energy Solutions &amp; B2B'!$E$20</f>
        <v>-</v>
      </c>
      <c r="H73" s="1773">
        <f>'2.8 Energy Solutions &amp; B2B'!$F$20</f>
        <v>1</v>
      </c>
      <c r="I73" s="1773">
        <f>'2.8 Energy Solutions &amp; B2B'!$G$20</f>
        <v>0</v>
      </c>
      <c r="J73" s="1773">
        <f>'2.8 Energy Solutions &amp; B2B'!$H$20</f>
        <v>1</v>
      </c>
      <c r="K73" s="1773">
        <f>'2.8 Energy Solutions &amp; B2B'!$L$20</f>
        <v>1</v>
      </c>
      <c r="L73" s="1772" t="str">
        <f>'2.8 Energy Solutions &amp; B2B'!$M$20</f>
        <v>-</v>
      </c>
      <c r="M73" s="1772">
        <f>'2.8 Energy Solutions &amp; B2B'!$N$20</f>
        <v>0.27581025</v>
      </c>
      <c r="N73" s="1772" t="str">
        <f>'2.8 Energy Solutions &amp; B2B'!$O$20</f>
        <v>-</v>
      </c>
      <c r="O73" s="1772">
        <f>'2.8 Energy Solutions &amp; B2B'!$P$20</f>
        <v>0.27581025</v>
      </c>
    </row>
    <row r="74">
      <c r="B74" s="1530" t="inlineStr">
        <is>
          <t>Energy Solutions &amp; B2B</t>
        </is>
      </c>
      <c r="C74" s="1530" t="inlineStr">
        <is>
          <t>Overhead</t>
        </is>
      </c>
      <c r="D74" s="1530" t="str">
        <f>'2.8 Energy Solutions &amp; B2B'!$B$21</f>
        <v>Technology Manager</v>
      </c>
      <c r="E74" s="1530" t="str">
        <f>'2.8 Energy Solutions &amp; B2B'!$C$21</f>
        <v>-</v>
      </c>
      <c r="F74" s="1530" t="str">
        <f>'2.8 Energy Solutions &amp; B2B'!$D$21</f>
        <v>-</v>
      </c>
      <c r="G74" s="1782" t="str">
        <f>'2.8 Energy Solutions &amp; B2B'!$E$21</f>
        <v>-</v>
      </c>
      <c r="H74" s="1773">
        <f>'2.8 Energy Solutions &amp; B2B'!$F$21</f>
        <v>2</v>
      </c>
      <c r="I74" s="1773">
        <f>'2.8 Energy Solutions &amp; B2B'!$G$21</f>
        <v>1</v>
      </c>
      <c r="J74" s="1773">
        <f>'2.8 Energy Solutions &amp; B2B'!$H$21</f>
        <v>1</v>
      </c>
      <c r="K74" s="1773">
        <f>'2.8 Energy Solutions &amp; B2B'!$L$21</f>
        <v>2</v>
      </c>
      <c r="L74" s="1772" t="str">
        <f>'2.8 Energy Solutions &amp; B2B'!$M$21</f>
        <v>-</v>
      </c>
      <c r="M74" s="1772">
        <f>'2.8 Energy Solutions &amp; B2B'!$N$21</f>
        <v>0.5703737</v>
      </c>
      <c r="N74" s="1772" t="str">
        <f>'2.8 Energy Solutions &amp; B2B'!$O$21</f>
        <v>-</v>
      </c>
      <c r="O74" s="1772">
        <f>'2.8 Energy Solutions &amp; B2B'!$P$21</f>
        <v>0.5703737</v>
      </c>
    </row>
    <row r="75">
      <c r="B75" s="1534" t="inlineStr">
        <is>
          <t>Energy Solutions &amp; B2B total</t>
        </is>
      </c>
      <c r="C75" s="1534" t="n"/>
      <c r="D75" s="1534" t="n"/>
      <c r="E75" s="1534" t="n"/>
      <c r="F75" s="1774" t="str">
        <f>"-"</f>
        <v>-</v>
      </c>
      <c r="G75" s="1783" t="str">
        <f>"-"</f>
        <v>-</v>
      </c>
      <c r="H75" s="1775">
        <f>SUM(H69:H74)</f>
        <v>33</v>
      </c>
      <c r="I75" s="1775">
        <f>SUM(I69:I74)</f>
        <v>24</v>
      </c>
      <c r="J75" s="1775">
        <f>SUM(J69:J74)</f>
        <v>9</v>
      </c>
      <c r="K75" s="1775">
        <f>SUM(K69:K74)</f>
        <v>33</v>
      </c>
      <c r="L75" s="1774" t="str">
        <f>"-"</f>
        <v>-</v>
      </c>
      <c r="M75" s="1774">
        <f>SUM(M69:M74)</f>
        <v>6.447816278</v>
      </c>
      <c r="N75" s="1774" t="str">
        <f>"-"</f>
        <v>-</v>
      </c>
      <c r="O75" s="1774">
        <f>SUM(O69:O74)</f>
        <v>6.447816278</v>
      </c>
    </row>
    <row r="76">
      <c r="B76" s="1530" t="inlineStr">
        <is>
          <t>Commercial Fuels</t>
        </is>
      </c>
      <c r="C76" s="1530" t="inlineStr">
        <is>
          <t>Archetype</t>
        </is>
      </c>
      <c r="D76" s="1530" t="str">
        <f>'2.9 Commercial Fuels'!$B$7</f>
        <v>Supply</v>
      </c>
      <c r="E76" s="1530" t="str">
        <f>'2.9 Commercial Fuels'!$C$7</f>
        <v>Configuration / Integration</v>
      </c>
      <c r="F76" s="1530" t="str">
        <f>'2.9 Commercial Fuels'!$D$7</f>
        <v>M</v>
      </c>
      <c r="G76" s="1782">
        <f>'2.9 Commercial Fuels'!$E$7</f>
        <v>9</v>
      </c>
      <c r="H76" s="1773">
        <f>'2.9 Commercial Fuels'!$F$7</f>
        <v>5</v>
      </c>
      <c r="I76" s="1773">
        <f>'2.9 Commercial Fuels'!$G$7</f>
        <v>1</v>
      </c>
      <c r="J76" s="1773">
        <f>'2.9 Commercial Fuels'!$H$7</f>
        <v>4</v>
      </c>
      <c r="K76" s="1773">
        <f>'2.9 Commercial Fuels'!$L$7</f>
        <v>5</v>
      </c>
      <c r="L76" s="1772">
        <f>'2.9 Commercial Fuels'!$M$7</f>
        <v>2.1</v>
      </c>
      <c r="M76" s="1772">
        <f>'2.9 Commercial Fuels'!$N$7</f>
        <v>1.05925575</v>
      </c>
      <c r="N76" s="1772">
        <f>'2.9 Commercial Fuels'!$O$7</f>
        <v>-1.040744</v>
      </c>
      <c r="O76" s="1772">
        <f>'2.9 Commercial Fuels'!$P$7</f>
        <v>1.05925575</v>
      </c>
    </row>
    <row r="77">
      <c r="B77" s="1530" t="inlineStr">
        <is>
          <t>Commercial Fuels</t>
        </is>
      </c>
      <c r="C77" s="1530" t="inlineStr">
        <is>
          <t>Archetype</t>
        </is>
      </c>
      <c r="D77" s="1530" t="str">
        <f>'2.9 Commercial Fuels'!$B$8</f>
        <v>Trading &amp; Shipping</v>
      </c>
      <c r="E77" s="1530" t="str">
        <f>'2.9 Commercial Fuels'!$C$8</f>
        <v>Configuration / Integration</v>
      </c>
      <c r="F77" s="1530" t="str">
        <f>'2.9 Commercial Fuels'!$D$8</f>
        <v>M</v>
      </c>
      <c r="G77" s="1782">
        <f>'2.9 Commercial Fuels'!$E$8</f>
        <v>9</v>
      </c>
      <c r="H77" s="1773">
        <f>'2.9 Commercial Fuels'!$F$8</f>
        <v>12</v>
      </c>
      <c r="I77" s="1773">
        <f>'2.9 Commercial Fuels'!$G$8</f>
        <v>9</v>
      </c>
      <c r="J77" s="1773">
        <f>'2.9 Commercial Fuels'!$H$8</f>
        <v>3</v>
      </c>
      <c r="K77" s="1773">
        <f>'2.9 Commercial Fuels'!$L$8</f>
        <v>12</v>
      </c>
      <c r="L77" s="1772">
        <f>'2.9 Commercial Fuels'!$M$8</f>
        <v>2.1</v>
      </c>
      <c r="M77" s="1772">
        <f>'2.9 Commercial Fuels'!$N$8</f>
        <v>2.6791435617</v>
      </c>
      <c r="N77" s="1772">
        <f>'2.9 Commercial Fuels'!$O$8</f>
        <v>0.579144</v>
      </c>
      <c r="O77" s="1772">
        <f>'2.9 Commercial Fuels'!$P$8</f>
        <v>2.6791435617</v>
      </c>
    </row>
    <row r="78">
      <c r="B78" s="1530" t="inlineStr">
        <is>
          <t>Commercial Fuels</t>
        </is>
      </c>
      <c r="C78" s="1530" t="inlineStr">
        <is>
          <t>Archetype</t>
        </is>
      </c>
      <c r="D78" s="1530" t="str">
        <f>'2.9 Commercial Fuels'!$B$9</f>
        <v>Trading &amp; Shipping Data</v>
      </c>
      <c r="E78" s="1530" t="str">
        <f>'2.9 Commercial Fuels'!$C$9</f>
        <v>Enterprise Data and Insights</v>
      </c>
      <c r="F78" s="1530" t="str">
        <f>'2.9 Commercial Fuels'!$D$9</f>
        <v>M</v>
      </c>
      <c r="G78" s="1782">
        <f>'2.9 Commercial Fuels'!$E$9</f>
        <v>7.5</v>
      </c>
      <c r="H78" s="1773">
        <f>'2.9 Commercial Fuels'!$F$9</f>
        <v>7</v>
      </c>
      <c r="I78" s="1773">
        <f>'2.9 Commercial Fuels'!$G$9</f>
        <v>7</v>
      </c>
      <c r="J78" s="1773">
        <f>'2.9 Commercial Fuels'!$H$9</f>
        <v>0</v>
      </c>
      <c r="K78" s="1773">
        <f>'2.9 Commercial Fuels'!$L$9</f>
        <v>7</v>
      </c>
      <c r="L78" s="1772">
        <f>'2.9 Commercial Fuels'!$M$9</f>
        <v>0.68</v>
      </c>
      <c r="M78" s="1772">
        <f>'2.9 Commercial Fuels'!$N$9</f>
        <v>2.106168849</v>
      </c>
      <c r="N78" s="1772">
        <f>'2.9 Commercial Fuels'!$O$9</f>
        <v>1.426169</v>
      </c>
      <c r="O78" s="1772">
        <f>'2.9 Commercial Fuels'!$P$9</f>
        <v>2.106168849</v>
      </c>
    </row>
    <row r="79">
      <c r="B79" s="1530" t="inlineStr">
        <is>
          <t>Commercial Fuels</t>
        </is>
      </c>
      <c r="C79" s="1530" t="inlineStr">
        <is>
          <t>Directly funded</t>
        </is>
      </c>
      <c r="D79" s="1530" t="str">
        <f>'2.9 Commercial Fuels'!$B$14</f>
        <v>CTRM</v>
      </c>
      <c r="E79" s="1530" t="str">
        <f>'2.9 Commercial Fuels'!$C$14</f>
        <v>Strategic Programs</v>
      </c>
      <c r="F79" s="1530" t="str">
        <f>'2.9 Commercial Fuels'!$D$14</f>
        <v>-</v>
      </c>
      <c r="G79" s="1782" t="str">
        <f>'2.9 Commercial Fuels'!$E$14</f>
        <v>-</v>
      </c>
      <c r="H79" s="1773">
        <f>'2.9 Commercial Fuels'!$F$14</f>
        <v>14</v>
      </c>
      <c r="I79" s="1773">
        <f>'2.9 Commercial Fuels'!$G$14</f>
        <v>14</v>
      </c>
      <c r="J79" s="1773">
        <f>'2.9 Commercial Fuels'!$H$14</f>
        <v>0</v>
      </c>
      <c r="K79" s="1773">
        <f>'2.9 Commercial Fuels'!$L$14</f>
        <v>14</v>
      </c>
      <c r="L79" s="1772">
        <f>'2.9 Commercial Fuels'!$M$14</f>
        <v>3.8</v>
      </c>
      <c r="M79" s="1772">
        <f>'2.9 Commercial Fuels'!$N$14</f>
        <v>3.221759232</v>
      </c>
      <c r="N79" s="1772">
        <f>'2.9 Commercial Fuels'!$O$14</f>
        <v>-0.578241</v>
      </c>
      <c r="O79" s="1772">
        <f>'2.9 Commercial Fuels'!$P$14</f>
        <v>3.221759232</v>
      </c>
    </row>
    <row r="80">
      <c r="B80" s="1530" t="inlineStr">
        <is>
          <t>Commercial Fuels</t>
        </is>
      </c>
      <c r="C80" s="1530" t="inlineStr">
        <is>
          <t>Overhead</t>
        </is>
      </c>
      <c r="D80" s="1530" t="str">
        <f>'2.9 Commercial Fuels'!$B$19</f>
        <v>Head of Technology</v>
      </c>
      <c r="E80" s="1530" t="str">
        <f>'2.9 Commercial Fuels'!$C$19</f>
        <v>-</v>
      </c>
      <c r="F80" s="1530" t="str">
        <f>'2.9 Commercial Fuels'!$D$19</f>
        <v>-</v>
      </c>
      <c r="G80" s="1782" t="str">
        <f>'2.9 Commercial Fuels'!$E$19</f>
        <v>-</v>
      </c>
      <c r="H80" s="1773">
        <f>'2.9 Commercial Fuels'!$F$19</f>
        <v>1</v>
      </c>
      <c r="I80" s="1773">
        <f>'2.9 Commercial Fuels'!$G$19</f>
        <v>1</v>
      </c>
      <c r="J80" s="1773">
        <f>'2.9 Commercial Fuels'!$H$19</f>
        <v>0</v>
      </c>
      <c r="K80" s="1773">
        <f>'2.9 Commercial Fuels'!$L$19</f>
        <v>1</v>
      </c>
      <c r="L80" s="1772" t="str">
        <f>'2.9 Commercial Fuels'!$M$19</f>
        <v>-</v>
      </c>
      <c r="M80" s="1772">
        <f>'2.9 Commercial Fuels'!$N$19</f>
        <v>0.292434736</v>
      </c>
      <c r="N80" s="1772" t="str">
        <f>'2.9 Commercial Fuels'!$O$19</f>
        <v>-</v>
      </c>
      <c r="O80" s="1772">
        <f>'2.9 Commercial Fuels'!$P$19</f>
        <v>0.292434736</v>
      </c>
    </row>
    <row r="81">
      <c r="B81" s="1530" t="inlineStr">
        <is>
          <t>Commercial Fuels</t>
        </is>
      </c>
      <c r="C81" s="1530" t="inlineStr">
        <is>
          <t>Overhead</t>
        </is>
      </c>
      <c r="D81" s="1530" t="str">
        <f>'2.9 Commercial Fuels'!$B$20</f>
        <v>Delivery Manager</v>
      </c>
      <c r="E81" s="1530" t="str">
        <f>'2.9 Commercial Fuels'!$C$20</f>
        <v>-</v>
      </c>
      <c r="F81" s="1530" t="str">
        <f>'2.9 Commercial Fuels'!$D$20</f>
        <v>-</v>
      </c>
      <c r="G81" s="1782" t="str">
        <f>'2.9 Commercial Fuels'!$E$20</f>
        <v>-</v>
      </c>
      <c r="H81" s="1773">
        <f>'2.9 Commercial Fuels'!$F$20</f>
        <v>1</v>
      </c>
      <c r="I81" s="1773">
        <f>'2.9 Commercial Fuels'!$G$20</f>
        <v>0</v>
      </c>
      <c r="J81" s="1773">
        <f>'2.9 Commercial Fuels'!$H$20</f>
        <v>1</v>
      </c>
      <c r="K81" s="1773">
        <f>'2.9 Commercial Fuels'!$L$20</f>
        <v>1</v>
      </c>
      <c r="L81" s="1772" t="str">
        <f>'2.9 Commercial Fuels'!$M$20</f>
        <v>-</v>
      </c>
      <c r="M81" s="1772">
        <f>'2.9 Commercial Fuels'!$N$20</f>
        <v>0.27581025</v>
      </c>
      <c r="N81" s="1772" t="str">
        <f>'2.9 Commercial Fuels'!$O$20</f>
        <v>-</v>
      </c>
      <c r="O81" s="1772">
        <f>'2.9 Commercial Fuels'!$P$20</f>
        <v>0.27581025</v>
      </c>
    </row>
    <row r="82">
      <c r="B82" s="1530" t="inlineStr">
        <is>
          <t>Commercial Fuels</t>
        </is>
      </c>
      <c r="C82" s="1530" t="inlineStr">
        <is>
          <t>Overhead</t>
        </is>
      </c>
      <c r="D82" s="1530" t="str">
        <f>'2.9 Commercial Fuels'!$B$21</f>
        <v>Technology Manager</v>
      </c>
      <c r="E82" s="1530" t="str">
        <f>'2.9 Commercial Fuels'!$C$21</f>
        <v>-</v>
      </c>
      <c r="F82" s="1530" t="str">
        <f>'2.9 Commercial Fuels'!$D$21</f>
        <v>-</v>
      </c>
      <c r="G82" s="1782" t="str">
        <f>'2.9 Commercial Fuels'!$E$21</f>
        <v>-</v>
      </c>
      <c r="H82" s="1773">
        <f>'2.9 Commercial Fuels'!$F$21</f>
        <v>2</v>
      </c>
      <c r="I82" s="1773">
        <f>'2.9 Commercial Fuels'!$G$21</f>
        <v>1</v>
      </c>
      <c r="J82" s="1773">
        <f>'2.9 Commercial Fuels'!$H$21</f>
        <v>1</v>
      </c>
      <c r="K82" s="1773">
        <f>'2.9 Commercial Fuels'!$L$21</f>
        <v>2</v>
      </c>
      <c r="L82" s="1772" t="str">
        <f>'2.9 Commercial Fuels'!$M$21</f>
        <v>-</v>
      </c>
      <c r="M82" s="1772">
        <f>'2.9 Commercial Fuels'!$N$21</f>
        <v>0.56309735</v>
      </c>
      <c r="N82" s="1772" t="str">
        <f>'2.9 Commercial Fuels'!$O$21</f>
        <v>-</v>
      </c>
      <c r="O82" s="1772">
        <f>'2.9 Commercial Fuels'!$P$21</f>
        <v>0.56309735</v>
      </c>
    </row>
    <row r="83">
      <c r="B83" s="1534" t="inlineStr">
        <is>
          <t>Commercial Fuels total</t>
        </is>
      </c>
      <c r="C83" s="1534" t="n"/>
      <c r="D83" s="1534" t="n"/>
      <c r="E83" s="1534" t="n"/>
      <c r="F83" s="1774" t="str">
        <f>"-"</f>
        <v>-</v>
      </c>
      <c r="G83" s="1783" t="str">
        <f>"-"</f>
        <v>-</v>
      </c>
      <c r="H83" s="1775">
        <f>SUM(H76:H82)</f>
        <v>42</v>
      </c>
      <c r="I83" s="1775">
        <f>SUM(I76:I82)</f>
        <v>33</v>
      </c>
      <c r="J83" s="1775">
        <f>SUM(J76:J82)</f>
        <v>9</v>
      </c>
      <c r="K83" s="1775">
        <f>SUM(K76:K82)</f>
        <v>42</v>
      </c>
      <c r="L83" s="1774" t="str">
        <f>"-"</f>
        <v>-</v>
      </c>
      <c r="M83" s="1774">
        <f>SUM(M76:M82)</f>
        <v>10.1976697287</v>
      </c>
      <c r="N83" s="1774" t="str">
        <f>"-"</f>
        <v>-</v>
      </c>
      <c r="O83" s="1774">
        <f>SUM(O76:O82)</f>
        <v>10.1976697287</v>
      </c>
    </row>
    <row r="84">
      <c r="B84" s="1530" t="inlineStr">
        <is>
          <t>Z Retail</t>
        </is>
      </c>
      <c r="C84" s="1530" t="inlineStr">
        <is>
          <t>Archetype</t>
        </is>
      </c>
      <c r="D84" s="1530" t="str">
        <f>'2.10 Z Retail'!$B$7</f>
        <v>Data NZ</v>
      </c>
      <c r="E84" s="1530" t="str">
        <f>'2.10 Z Retail'!$C$7</f>
        <v>Enterprise Data and Insights</v>
      </c>
      <c r="F84" s="1530" t="str">
        <f>'2.10 Z Retail'!$D$7</f>
        <v>M</v>
      </c>
      <c r="G84" s="1782">
        <f>'2.10 Z Retail'!$E$7</f>
        <v>7.5</v>
      </c>
      <c r="H84" s="1773">
        <f>'2.10 Z Retail'!$F$7</f>
        <v>7</v>
      </c>
      <c r="I84" s="1773">
        <f>'2.10 Z Retail'!$G$7</f>
        <v>5</v>
      </c>
      <c r="J84" s="1773">
        <f>'2.10 Z Retail'!$H$7</f>
        <v>2</v>
      </c>
      <c r="K84" s="1773">
        <f>'2.10 Z Retail'!$L$7</f>
        <v>7</v>
      </c>
      <c r="L84" s="1772">
        <f>'2.10 Z Retail'!$M$7</f>
        <v>0.68</v>
      </c>
      <c r="M84" s="1772">
        <f>'2.10 Z Retail'!$N$7</f>
        <v>1.223843362</v>
      </c>
      <c r="N84" s="1772">
        <f>'2.10 Z Retail'!$O$7</f>
        <v>0.543843</v>
      </c>
      <c r="O84" s="1772">
        <f>'2.10 Z Retail'!$P$7</f>
        <v>1.223843362</v>
      </c>
    </row>
    <row r="85">
      <c r="B85" s="1530" t="inlineStr">
        <is>
          <t>Z Retail</t>
        </is>
      </c>
      <c r="C85" s="1530" t="inlineStr">
        <is>
          <t>Archetype</t>
        </is>
      </c>
      <c r="D85" s="1530" t="str">
        <f>'2.10 Z Retail'!$B$8</f>
        <v>Site Systems</v>
      </c>
      <c r="E85" s="1530" t="str">
        <f>'2.10 Z Retail'!$C$8</f>
        <v>Configuration / Integration</v>
      </c>
      <c r="F85" s="1530" t="str">
        <f>'2.10 Z Retail'!$D$8</f>
        <v>M</v>
      </c>
      <c r="G85" s="1782">
        <f>'2.10 Z Retail'!$E$8</f>
        <v>9</v>
      </c>
      <c r="H85" s="1773">
        <f>'2.10 Z Retail'!$F$8</f>
        <v>9</v>
      </c>
      <c r="I85" s="1773">
        <f>'2.10 Z Retail'!$G$8</f>
        <v>9</v>
      </c>
      <c r="J85" s="1773">
        <f>'2.10 Z Retail'!$H$8</f>
        <v>0</v>
      </c>
      <c r="K85" s="1773">
        <f>'2.10 Z Retail'!$L$8</f>
        <v>9</v>
      </c>
      <c r="L85" s="1772">
        <f>'2.10 Z Retail'!$M$8</f>
        <v>2.1</v>
      </c>
      <c r="M85" s="1772">
        <f>'2.10 Z Retail'!$N$8</f>
        <v>1.374665758</v>
      </c>
      <c r="N85" s="1772">
        <f>'2.10 Z Retail'!$O$8</f>
        <v>-0.725334</v>
      </c>
      <c r="O85" s="1772">
        <f>'2.10 Z Retail'!$P$8</f>
        <v>1.374665758</v>
      </c>
    </row>
    <row r="86">
      <c r="B86" s="1530" t="inlineStr">
        <is>
          <t>Z Retail</t>
        </is>
      </c>
      <c r="C86" s="1530" t="inlineStr">
        <is>
          <t>Archetype</t>
        </is>
      </c>
      <c r="D86" s="1530" t="str">
        <f>'2.10 Z Retail'!$B$9</f>
        <v>Z Retail Backend</v>
      </c>
      <c r="E86" s="1530" t="str">
        <f>'2.10 Z Retail'!$C$9</f>
        <v>Build and Run</v>
      </c>
      <c r="F86" s="1530" t="str">
        <f>'2.10 Z Retail'!$D$9</f>
        <v>M</v>
      </c>
      <c r="G86" s="1782">
        <f>'2.10 Z Retail'!$E$9</f>
        <v>9</v>
      </c>
      <c r="H86" s="1773">
        <f>'2.10 Z Retail'!$F$9</f>
        <v>9</v>
      </c>
      <c r="I86" s="1773">
        <f>'2.10 Z Retail'!$G$9</f>
        <v>7</v>
      </c>
      <c r="J86" s="1773">
        <f>'2.10 Z Retail'!$H$9</f>
        <v>2</v>
      </c>
      <c r="K86" s="1773">
        <f>'2.10 Z Retail'!$L$9</f>
        <v>9</v>
      </c>
      <c r="L86" s="1772">
        <f>'2.10 Z Retail'!$M$9</f>
        <v>2</v>
      </c>
      <c r="M86" s="1772">
        <f>'2.10 Z Retail'!$N$9</f>
        <v>1.857667168</v>
      </c>
      <c r="N86" s="1772">
        <f>'2.10 Z Retail'!$O$9</f>
        <v>-0.142333</v>
      </c>
      <c r="O86" s="1772">
        <f>'2.10 Z Retail'!$P$9</f>
        <v>1.857667168</v>
      </c>
    </row>
    <row r="87">
      <c r="B87" s="1530" t="inlineStr">
        <is>
          <t>Z Retail</t>
        </is>
      </c>
      <c r="C87" s="1530" t="inlineStr">
        <is>
          <t>Archetype</t>
        </is>
      </c>
      <c r="D87" s="1530" t="str">
        <f>'2.10 Z Retail'!$B$10</f>
        <v>Z Supply</v>
      </c>
      <c r="E87" s="1530" t="str">
        <f>'2.10 Z Retail'!$C$10</f>
        <v>Build and Run</v>
      </c>
      <c r="F87" s="1530" t="str">
        <f>'2.10 Z Retail'!$D$10</f>
        <v>M</v>
      </c>
      <c r="G87" s="1782">
        <f>'2.10 Z Retail'!$E$10</f>
        <v>9</v>
      </c>
      <c r="H87" s="1773">
        <f>'2.10 Z Retail'!$F$10</f>
        <v>9</v>
      </c>
      <c r="I87" s="1773">
        <f>'2.10 Z Retail'!$G$10</f>
        <v>8</v>
      </c>
      <c r="J87" s="1773">
        <f>'2.10 Z Retail'!$H$10</f>
        <v>1</v>
      </c>
      <c r="K87" s="1773">
        <f>'2.10 Z Retail'!$L$10</f>
        <v>9</v>
      </c>
      <c r="L87" s="1772">
        <f>'2.10 Z Retail'!$M$10</f>
        <v>2</v>
      </c>
      <c r="M87" s="1772">
        <f>'2.10 Z Retail'!$N$10</f>
        <v>1.663774396</v>
      </c>
      <c r="N87" s="1772">
        <f>'2.10 Z Retail'!$O$10</f>
        <v>-0.336226</v>
      </c>
      <c r="O87" s="1772">
        <f>'2.10 Z Retail'!$P$10</f>
        <v>1.663774396</v>
      </c>
    </row>
    <row r="88">
      <c r="B88" s="1530" t="inlineStr">
        <is>
          <t>Z Retail</t>
        </is>
      </c>
      <c r="C88" s="1530" t="inlineStr">
        <is>
          <t>Overhead</t>
        </is>
      </c>
      <c r="D88" s="1530" t="str">
        <f>'2.10 Z Retail'!$B$20</f>
        <v>Head of Technology</v>
      </c>
      <c r="E88" s="1530" t="str">
        <f>'2.10 Z Retail'!$C$20</f>
        <v>-</v>
      </c>
      <c r="F88" s="1530" t="str">
        <f>'2.10 Z Retail'!$D$20</f>
        <v>-</v>
      </c>
      <c r="G88" s="1782" t="str">
        <f>'2.10 Z Retail'!$E$20</f>
        <v>-</v>
      </c>
      <c r="H88" s="1773">
        <f>'2.10 Z Retail'!$F$20</f>
        <v>1</v>
      </c>
      <c r="I88" s="1773">
        <f>'2.10 Z Retail'!$G$20</f>
        <v>0</v>
      </c>
      <c r="J88" s="1773">
        <f>'2.10 Z Retail'!$H$20</f>
        <v>1</v>
      </c>
      <c r="K88" s="1773">
        <f>'2.10 Z Retail'!$L$20</f>
        <v>1</v>
      </c>
      <c r="L88" s="1772" t="str">
        <f>'2.10 Z Retail'!$M$20</f>
        <v>-</v>
      </c>
      <c r="M88" s="1772">
        <f>'2.10 Z Retail'!$N$20</f>
        <v>0.291422</v>
      </c>
      <c r="N88" s="1772" t="str">
        <f>'2.10 Z Retail'!$O$20</f>
        <v>-</v>
      </c>
      <c r="O88" s="1772">
        <f>'2.10 Z Retail'!$P$20</f>
        <v>0.291422</v>
      </c>
    </row>
    <row r="89">
      <c r="B89" s="1530" t="inlineStr">
        <is>
          <t>Z Retail</t>
        </is>
      </c>
      <c r="C89" s="1530" t="inlineStr">
        <is>
          <t>Overhead</t>
        </is>
      </c>
      <c r="D89" s="1530" t="str">
        <f>'2.10 Z Retail'!$B$21</f>
        <v>Delivery Manager</v>
      </c>
      <c r="E89" s="1530" t="str">
        <f>'2.10 Z Retail'!$C$21</f>
        <v>-</v>
      </c>
      <c r="F89" s="1530" t="str">
        <f>'2.10 Z Retail'!$D$21</f>
        <v>-</v>
      </c>
      <c r="G89" s="1782" t="str">
        <f>'2.10 Z Retail'!$E$21</f>
        <v>-</v>
      </c>
      <c r="H89" s="1773">
        <f>'2.10 Z Retail'!$F$21</f>
        <v>1</v>
      </c>
      <c r="I89" s="1773">
        <f>'2.10 Z Retail'!$G$21</f>
        <v>0</v>
      </c>
      <c r="J89" s="1773">
        <f>'2.10 Z Retail'!$H$21</f>
        <v>1</v>
      </c>
      <c r="K89" s="1773">
        <f>'2.10 Z Retail'!$L$21</f>
        <v>1</v>
      </c>
      <c r="L89" s="1772" t="str">
        <f>'2.10 Z Retail'!$M$21</f>
        <v>-</v>
      </c>
      <c r="M89" s="1772">
        <f>'2.10 Z Retail'!$N$21</f>
        <v>0.20285325</v>
      </c>
      <c r="N89" s="1772" t="str">
        <f>'2.10 Z Retail'!$O$21</f>
        <v>-</v>
      </c>
      <c r="O89" s="1772">
        <f>'2.10 Z Retail'!$P$21</f>
        <v>0.20285325</v>
      </c>
    </row>
    <row r="90">
      <c r="B90" s="1530" t="inlineStr">
        <is>
          <t>Z Retail</t>
        </is>
      </c>
      <c r="C90" s="1530" t="inlineStr">
        <is>
          <t>Overhead</t>
        </is>
      </c>
      <c r="D90" s="1530" t="str">
        <f>'2.10 Z Retail'!$B$22</f>
        <v>Technology Manager</v>
      </c>
      <c r="E90" s="1530" t="str">
        <f>'2.10 Z Retail'!$C$22</f>
        <v>-</v>
      </c>
      <c r="F90" s="1530" t="str">
        <f>'2.10 Z Retail'!$D$22</f>
        <v>-</v>
      </c>
      <c r="G90" s="1782" t="str">
        <f>'2.10 Z Retail'!$E$22</f>
        <v>-</v>
      </c>
      <c r="H90" s="1773">
        <f>'2.10 Z Retail'!$F$22</f>
        <v>3</v>
      </c>
      <c r="I90" s="1773">
        <f>'2.10 Z Retail'!$G$22</f>
        <v>3</v>
      </c>
      <c r="J90" s="1773">
        <f>'2.10 Z Retail'!$H$22</f>
        <v>0</v>
      </c>
      <c r="K90" s="1773">
        <f>'2.10 Z Retail'!$L$22</f>
        <v>3</v>
      </c>
      <c r="L90" s="1772" t="str">
        <f>'2.10 Z Retail'!$M$22</f>
        <v>-</v>
      </c>
      <c r="M90" s="1772">
        <f>'2.10 Z Retail'!$N$22</f>
        <v>0.723068418</v>
      </c>
      <c r="N90" s="1772" t="str">
        <f>'2.10 Z Retail'!$O$22</f>
        <v>-</v>
      </c>
      <c r="O90" s="1772">
        <f>'2.10 Z Retail'!$P$22</f>
        <v>0.723068418</v>
      </c>
    </row>
    <row r="91">
      <c r="B91" s="1534" t="inlineStr">
        <is>
          <t>Z Retail total</t>
        </is>
      </c>
      <c r="C91" s="1534" t="n"/>
      <c r="D91" s="1534" t="n"/>
      <c r="E91" s="1534" t="n"/>
      <c r="F91" s="1774" t="str">
        <f>"-"</f>
        <v>-</v>
      </c>
      <c r="G91" s="1783" t="str">
        <f>"-"</f>
        <v>-</v>
      </c>
      <c r="H91" s="1775">
        <f>SUM(H84:H90)</f>
        <v>39</v>
      </c>
      <c r="I91" s="1775">
        <f>SUM(I84:I90)</f>
        <v>32</v>
      </c>
      <c r="J91" s="1775">
        <f>SUM(J84:J90)</f>
        <v>7</v>
      </c>
      <c r="K91" s="1775">
        <f>SUM(K84:K90)</f>
        <v>39</v>
      </c>
      <c r="L91" s="1774" t="str">
        <f>"-"</f>
        <v>-</v>
      </c>
      <c r="M91" s="1774">
        <f>SUM(M84:M90)</f>
        <v>7.337294352</v>
      </c>
      <c r="N91" s="1774" t="str">
        <f>"-"</f>
        <v>-</v>
      </c>
      <c r="O91" s="1774">
        <f>SUM(O84:O90)</f>
        <v>7.337294352</v>
      </c>
    </row>
    <row r="92">
      <c r="B92" s="1530" t="inlineStr">
        <is>
          <t>COE Cyber</t>
        </is>
      </c>
      <c r="C92" s="1530" t="inlineStr">
        <is>
          <t>Directly funded</t>
        </is>
      </c>
      <c r="D92" s="1530" t="str">
        <f>'2.11 COE Cyber'!$B$12</f>
        <v>Cyber GRC</v>
      </c>
      <c r="E92" s="1530" t="str">
        <f>'2.11 COE Cyber'!$C$12</f>
        <v>-</v>
      </c>
      <c r="F92" s="1530" t="str">
        <f>'2.11 COE Cyber'!$D$12</f>
        <v>-</v>
      </c>
      <c r="G92" s="1782" t="str">
        <f>'2.11 COE Cyber'!$E$12</f>
        <v>-</v>
      </c>
      <c r="H92" s="1773">
        <f>'2.11 COE Cyber'!$F$12</f>
        <v>5</v>
      </c>
      <c r="I92" s="1773">
        <f>'2.11 COE Cyber'!$G$12</f>
        <v>5</v>
      </c>
      <c r="J92" s="1773">
        <f>'2.11 COE Cyber'!$H$12</f>
        <v>0</v>
      </c>
      <c r="K92" s="1773">
        <f>'2.11 COE Cyber'!$L$12</f>
        <v>5</v>
      </c>
      <c r="L92" s="1772">
        <f>'2.11 COE Cyber'!$M$12</f>
        <v>1.071477788</v>
      </c>
      <c r="M92" s="1772">
        <f>'2.11 COE Cyber'!$N$12</f>
        <v>1.071477788</v>
      </c>
      <c r="N92" s="1772">
        <f>'2.11 COE Cyber'!$O$12</f>
        <v>0</v>
      </c>
      <c r="O92" s="1772">
        <f>'2.11 COE Cyber'!$P$12</f>
        <v>1.071477788</v>
      </c>
    </row>
    <row r="93">
      <c r="B93" s="1530" t="inlineStr">
        <is>
          <t>COE Cyber</t>
        </is>
      </c>
      <c r="C93" s="1530" t="inlineStr">
        <is>
          <t>Directly funded</t>
        </is>
      </c>
      <c r="D93" s="1530" t="str">
        <f>'2.11 COE Cyber'!$B$13</f>
        <v>Cyber Risk</v>
      </c>
      <c r="E93" s="1530" t="str">
        <f>'2.11 COE Cyber'!$C$13</f>
        <v>-</v>
      </c>
      <c r="F93" s="1530" t="str">
        <f>'2.11 COE Cyber'!$D$13</f>
        <v>-</v>
      </c>
      <c r="G93" s="1782" t="str">
        <f>'2.11 COE Cyber'!$E$13</f>
        <v>-</v>
      </c>
      <c r="H93" s="1773">
        <f>'2.11 COE Cyber'!$F$13</f>
        <v>2</v>
      </c>
      <c r="I93" s="1773">
        <f>'2.11 COE Cyber'!$G$13</f>
        <v>2</v>
      </c>
      <c r="J93" s="1773">
        <f>'2.11 COE Cyber'!$H$13</f>
        <v>0</v>
      </c>
      <c r="K93" s="1773">
        <f>'2.11 COE Cyber'!$L$13</f>
        <v>2</v>
      </c>
      <c r="L93" s="1772">
        <f>'2.11 COE Cyber'!$M$13</f>
        <v>0.475558232</v>
      </c>
      <c r="M93" s="1772">
        <f>'2.11 COE Cyber'!$N$13</f>
        <v>0.475558232</v>
      </c>
      <c r="N93" s="1772">
        <f>'2.11 COE Cyber'!$O$13</f>
        <v>0</v>
      </c>
      <c r="O93" s="1772">
        <f>'2.11 COE Cyber'!$P$13</f>
        <v>0.475558232</v>
      </c>
    </row>
    <row r="94">
      <c r="B94" s="1530" t="inlineStr">
        <is>
          <t>COE Cyber</t>
        </is>
      </c>
      <c r="C94" s="1530" t="inlineStr">
        <is>
          <t>Directly funded</t>
        </is>
      </c>
      <c r="D94" s="1530" t="str">
        <f>'2.11 COE Cyber'!$B$14</f>
        <v>Cyber Sec Ops</v>
      </c>
      <c r="E94" s="1530" t="str">
        <f>'2.11 COE Cyber'!$C$14</f>
        <v>-</v>
      </c>
      <c r="F94" s="1530" t="str">
        <f>'2.11 COE Cyber'!$D$14</f>
        <v>-</v>
      </c>
      <c r="G94" s="1782" t="str">
        <f>'2.11 COE Cyber'!$E$14</f>
        <v>-</v>
      </c>
      <c r="H94" s="1773">
        <f>'2.11 COE Cyber'!$F$14</f>
        <v>5</v>
      </c>
      <c r="I94" s="1773">
        <f>'2.11 COE Cyber'!$G$14</f>
        <v>5</v>
      </c>
      <c r="J94" s="1773">
        <f>'2.11 COE Cyber'!$H$14</f>
        <v>0</v>
      </c>
      <c r="K94" s="1773">
        <f>'2.11 COE Cyber'!$L$14</f>
        <v>5</v>
      </c>
      <c r="L94" s="1772">
        <f>'2.11 COE Cyber'!$M$14</f>
        <v>1.111589344</v>
      </c>
      <c r="M94" s="1772">
        <f>'2.11 COE Cyber'!$N$14</f>
        <v>1.111589344</v>
      </c>
      <c r="N94" s="1772">
        <f>'2.11 COE Cyber'!$O$14</f>
        <v>0</v>
      </c>
      <c r="O94" s="1772">
        <f>'2.11 COE Cyber'!$P$14</f>
        <v>1.111589344</v>
      </c>
    </row>
    <row r="95">
      <c r="B95" s="1530" t="inlineStr">
        <is>
          <t>COE Cyber</t>
        </is>
      </c>
      <c r="C95" s="1530" t="inlineStr">
        <is>
          <t>Directly funded</t>
        </is>
      </c>
      <c r="D95" s="1530" t="str">
        <f>'2.11 COE Cyber'!$B$15</f>
        <v>Cyber Strat &amp; Tech</v>
      </c>
      <c r="E95" s="1530" t="str">
        <f>'2.11 COE Cyber'!$C$15</f>
        <v>-</v>
      </c>
      <c r="F95" s="1530" t="str">
        <f>'2.11 COE Cyber'!$D$15</f>
        <v>-</v>
      </c>
      <c r="G95" s="1782" t="str">
        <f>'2.11 COE Cyber'!$E$15</f>
        <v>-</v>
      </c>
      <c r="H95" s="1773">
        <f>'2.11 COE Cyber'!$F$15</f>
        <v>13</v>
      </c>
      <c r="I95" s="1773">
        <f>'2.11 COE Cyber'!$G$15</f>
        <v>13</v>
      </c>
      <c r="J95" s="1773">
        <f>'2.11 COE Cyber'!$H$15</f>
        <v>0</v>
      </c>
      <c r="K95" s="1773">
        <f>'2.11 COE Cyber'!$L$15</f>
        <v>13</v>
      </c>
      <c r="L95" s="1772">
        <f>'2.11 COE Cyber'!$M$15</f>
        <v>3.31576355</v>
      </c>
      <c r="M95" s="1772">
        <f>'2.11 COE Cyber'!$N$15</f>
        <v>3.31576355</v>
      </c>
      <c r="N95" s="1772">
        <f>'2.11 COE Cyber'!$O$15</f>
        <v>0</v>
      </c>
      <c r="O95" s="1772">
        <f>'2.11 COE Cyber'!$P$15</f>
        <v>3.31576355</v>
      </c>
    </row>
    <row r="96">
      <c r="B96" s="1530" t="inlineStr">
        <is>
          <t>COE Cyber</t>
        </is>
      </c>
      <c r="C96" s="1530" t="inlineStr">
        <is>
          <t>Directly funded</t>
        </is>
      </c>
      <c r="D96" s="1530" t="str">
        <f>'2.11 COE Cyber'!$B$16</f>
        <v>Service Op &amp; Assurance</v>
      </c>
      <c r="E96" s="1530" t="str">
        <f>'2.11 COE Cyber'!$C$16</f>
        <v>-</v>
      </c>
      <c r="F96" s="1530" t="str">
        <f>'2.11 COE Cyber'!$D$16</f>
        <v>-</v>
      </c>
      <c r="G96" s="1782" t="str">
        <f>'2.11 COE Cyber'!$E$16</f>
        <v>-</v>
      </c>
      <c r="H96" s="1773">
        <f>'2.11 COE Cyber'!$F$16</f>
        <v>21</v>
      </c>
      <c r="I96" s="1773">
        <f>'2.11 COE Cyber'!$G$16</f>
        <v>17</v>
      </c>
      <c r="J96" s="1773">
        <f>'2.11 COE Cyber'!$H$16</f>
        <v>4</v>
      </c>
      <c r="K96" s="1773">
        <f>'2.11 COE Cyber'!$L$16</f>
        <v>21</v>
      </c>
      <c r="L96" s="1772">
        <f>'2.11 COE Cyber'!$M$16</f>
        <v>3.92346938</v>
      </c>
      <c r="M96" s="1772">
        <f>'2.11 COE Cyber'!$N$16</f>
        <v>3.92346938</v>
      </c>
      <c r="N96" s="1772">
        <f>'2.11 COE Cyber'!$O$16</f>
        <v>0</v>
      </c>
      <c r="O96" s="1772">
        <f>'2.11 COE Cyber'!$P$16</f>
        <v>3.92346938</v>
      </c>
    </row>
    <row r="97">
      <c r="B97" s="1534" t="inlineStr">
        <is>
          <t>COE Cyber total</t>
        </is>
      </c>
      <c r="C97" s="1534" t="n"/>
      <c r="D97" s="1534" t="n"/>
      <c r="E97" s="1534" t="n"/>
      <c r="F97" s="1774" t="str">
        <f>"-"</f>
        <v>-</v>
      </c>
      <c r="G97" s="1783" t="str">
        <f>"-"</f>
        <v>-</v>
      </c>
      <c r="H97" s="1775">
        <f>SUM(H92:H96)</f>
        <v>46</v>
      </c>
      <c r="I97" s="1775">
        <f>SUM(I92:I96)</f>
        <v>42</v>
      </c>
      <c r="J97" s="1775">
        <f>SUM(J92:J96)</f>
        <v>4</v>
      </c>
      <c r="K97" s="1775">
        <f>SUM(K92:K96)</f>
        <v>46</v>
      </c>
      <c r="L97" s="1774" t="str">
        <f>"-"</f>
        <v>-</v>
      </c>
      <c r="M97" s="1774">
        <f>SUM(M92:M96)</f>
        <v>9.897858294</v>
      </c>
      <c r="N97" s="1774" t="str">
        <f>"-"</f>
        <v>-</v>
      </c>
      <c r="O97" s="1774">
        <f>SUM(O92:O96)</f>
        <v>9.897858294</v>
      </c>
    </row>
    <row r="98">
      <c r="B98" s="1530" t="inlineStr">
        <is>
          <t>COE BP&amp;T</t>
        </is>
      </c>
      <c r="C98" s="1530" t="inlineStr">
        <is>
          <t>Directly funded</t>
        </is>
      </c>
      <c r="D98" s="1530" t="str">
        <f>'2.12 BP&amp;T'!$B$12</f>
        <v>Commercial</v>
      </c>
      <c r="E98" s="1530" t="str">
        <f>'2.12 BP&amp;T'!$C$12</f>
        <v>-</v>
      </c>
      <c r="F98" s="1530" t="str">
        <f>'2.12 BP&amp;T'!$D$12</f>
        <v>-</v>
      </c>
      <c r="G98" s="1782" t="str">
        <f>'2.12 BP&amp;T'!$E$12</f>
        <v>-</v>
      </c>
      <c r="H98" s="1773">
        <f>'2.12 BP&amp;T'!$F$12</f>
        <v>4</v>
      </c>
      <c r="I98" s="1773">
        <f>'2.12 BP&amp;T'!$G$12</f>
        <v>3</v>
      </c>
      <c r="J98" s="1773">
        <f>'2.12 BP&amp;T'!$H$12</f>
        <v>1</v>
      </c>
      <c r="K98" s="1773">
        <f>'2.12 BP&amp;T'!$L$12</f>
        <v>4</v>
      </c>
      <c r="L98" s="1772">
        <f>'2.12 BP&amp;T'!$M$12</f>
        <v>0.979014192</v>
      </c>
      <c r="M98" s="1772">
        <f>'2.12 BP&amp;T'!$N$12</f>
        <v>0.979014192</v>
      </c>
      <c r="N98" s="1772">
        <f>'2.12 BP&amp;T'!$O$12</f>
        <v>0</v>
      </c>
      <c r="O98" s="1772">
        <f>'2.12 BP&amp;T'!$P$12</f>
        <v>0.979014192</v>
      </c>
    </row>
    <row r="99">
      <c r="B99" s="1530" t="inlineStr">
        <is>
          <t>COE BP&amp;T</t>
        </is>
      </c>
      <c r="C99" s="1530" t="inlineStr">
        <is>
          <t>Directly funded</t>
        </is>
      </c>
      <c r="D99" s="1530" t="str">
        <f>'2.12 BP&amp;T'!$B$13</f>
        <v>TDD Business Partner</v>
      </c>
      <c r="E99" s="1530" t="str">
        <f>'2.12 BP&amp;T'!$C$13</f>
        <v>-</v>
      </c>
      <c r="F99" s="1530" t="str">
        <f>'2.12 BP&amp;T'!$D$13</f>
        <v>-</v>
      </c>
      <c r="G99" s="1782" t="str">
        <f>'2.12 BP&amp;T'!$E$13</f>
        <v>-</v>
      </c>
      <c r="H99" s="1773">
        <f>'2.12 BP&amp;T'!$F$13</f>
        <v>6</v>
      </c>
      <c r="I99" s="1773">
        <f>'2.12 BP&amp;T'!$G$13</f>
        <v>6</v>
      </c>
      <c r="J99" s="1773">
        <f>'2.12 BP&amp;T'!$H$13</f>
        <v>0</v>
      </c>
      <c r="K99" s="1773">
        <f>'2.12 BP&amp;T'!$L$13</f>
        <v>6</v>
      </c>
      <c r="L99" s="1772">
        <f>'2.12 BP&amp;T'!$M$13</f>
        <v>2.3135484</v>
      </c>
      <c r="M99" s="1772">
        <f>'2.12 BP&amp;T'!$N$13</f>
        <v>2.3135484</v>
      </c>
      <c r="N99" s="1772">
        <f>'2.12 BP&amp;T'!$O$13</f>
        <v>0</v>
      </c>
      <c r="O99" s="1772">
        <f>'2.12 BP&amp;T'!$P$13</f>
        <v>2.3135484</v>
      </c>
    </row>
    <row r="100">
      <c r="B100" s="1530" t="inlineStr">
        <is>
          <t>COE BP&amp;T</t>
        </is>
      </c>
      <c r="C100" s="1530" t="inlineStr">
        <is>
          <t>Directly funded</t>
        </is>
      </c>
      <c r="D100" s="1530" t="str">
        <f>'2.12 BP&amp;T'!$B$14</f>
        <v>Transformation</v>
      </c>
      <c r="E100" s="1530" t="str">
        <f>'2.12 BP&amp;T'!$C$14</f>
        <v>-</v>
      </c>
      <c r="F100" s="1530" t="str">
        <f>'2.12 BP&amp;T'!$D$14</f>
        <v>-</v>
      </c>
      <c r="G100" s="1782" t="str">
        <f>'2.12 BP&amp;T'!$E$14</f>
        <v>-</v>
      </c>
      <c r="H100" s="1773">
        <f>'2.12 BP&amp;T'!$F$14</f>
        <v>14</v>
      </c>
      <c r="I100" s="1773">
        <f>'2.12 BP&amp;T'!$G$14</f>
        <v>6</v>
      </c>
      <c r="J100" s="1773">
        <f>'2.12 BP&amp;T'!$H$14</f>
        <v>8</v>
      </c>
      <c r="K100" s="1773">
        <f>'2.12 BP&amp;T'!$L$14</f>
        <v>14</v>
      </c>
      <c r="L100" s="1772">
        <f>'2.12 BP&amp;T'!$M$14</f>
        <v>3.10799923</v>
      </c>
      <c r="M100" s="1772">
        <f>'2.12 BP&amp;T'!$N$14</f>
        <v>3.10799923</v>
      </c>
      <c r="N100" s="1772">
        <f>'2.12 BP&amp;T'!$O$14</f>
        <v>0</v>
      </c>
      <c r="O100" s="1772">
        <f>'2.12 BP&amp;T'!$P$14</f>
        <v>3.10799923</v>
      </c>
    </row>
    <row r="101">
      <c r="B101" s="1534" t="inlineStr">
        <is>
          <t>COE BP&amp;T total</t>
        </is>
      </c>
      <c r="C101" s="1534" t="n"/>
      <c r="D101" s="1534" t="n"/>
      <c r="E101" s="1534" t="n"/>
      <c r="F101" s="1774" t="str">
        <f>"-"</f>
        <v>-</v>
      </c>
      <c r="G101" s="1783" t="str">
        <f>"-"</f>
        <v>-</v>
      </c>
      <c r="H101" s="1775">
        <f>SUM(H98:H100)</f>
        <v>24</v>
      </c>
      <c r="I101" s="1775">
        <f>SUM(I98:I100)</f>
        <v>15</v>
      </c>
      <c r="J101" s="1775">
        <f>SUM(J98:J100)</f>
        <v>9</v>
      </c>
      <c r="K101" s="1775">
        <f>SUM(K98:K100)</f>
        <v>24</v>
      </c>
      <c r="L101" s="1774" t="str">
        <f>"-"</f>
        <v>-</v>
      </c>
      <c r="M101" s="1774">
        <f>SUM(M98:M100)</f>
        <v>6.400561822</v>
      </c>
      <c r="N101" s="1774" t="str">
        <f>"-"</f>
        <v>-</v>
      </c>
      <c r="O101" s="1774">
        <f>SUM(O98:O100)</f>
        <v>6.400561822</v>
      </c>
    </row>
    <row r="102">
      <c r="B102" s="1530" t="inlineStr">
        <is>
          <t>COE SA&amp;D</t>
        </is>
      </c>
      <c r="C102" s="1530" t="inlineStr">
        <is>
          <t>Directly funded</t>
        </is>
      </c>
      <c r="D102" s="1530" t="str">
        <f>'2.13 SA&amp;D'!$B$12</f>
        <v>Architecture</v>
      </c>
      <c r="E102" s="1530" t="str">
        <f>'2.13 SA&amp;D'!$C$12</f>
        <v>-</v>
      </c>
      <c r="F102" s="1530" t="str">
        <f>'2.13 SA&amp;D'!$D$12</f>
        <v>-</v>
      </c>
      <c r="G102" s="1782" t="str">
        <f>'2.13 SA&amp;D'!$E$12</f>
        <v>-</v>
      </c>
      <c r="H102" s="1773">
        <f>'2.13 SA&amp;D'!$F$12</f>
        <v>7</v>
      </c>
      <c r="I102" s="1773">
        <f>'2.13 SA&amp;D'!$G$12</f>
        <v>7</v>
      </c>
      <c r="J102" s="1773">
        <f>'2.13 SA&amp;D'!$H$12</f>
        <v>0</v>
      </c>
      <c r="K102" s="1773">
        <f>'2.13 SA&amp;D'!$L$12</f>
        <v>7</v>
      </c>
      <c r="L102" s="1772">
        <f>'2.13 SA&amp;D'!$M$12</f>
        <v>1.664746536</v>
      </c>
      <c r="M102" s="1772">
        <f>'2.13 SA&amp;D'!$N$12</f>
        <v>1.664746536</v>
      </c>
      <c r="N102" s="1772">
        <f>'2.13 SA&amp;D'!$O$12</f>
        <v>0</v>
      </c>
      <c r="O102" s="1772">
        <f>'2.13 SA&amp;D'!$P$12</f>
        <v>1.664746536</v>
      </c>
    </row>
    <row r="103">
      <c r="B103" s="1530" t="inlineStr">
        <is>
          <t>COE SA&amp;D</t>
        </is>
      </c>
      <c r="C103" s="1530" t="inlineStr">
        <is>
          <t>Directly funded</t>
        </is>
      </c>
      <c r="D103" s="1530" t="str">
        <f>'2.13 SA&amp;D'!$B$13</f>
        <v>Data Platforms</v>
      </c>
      <c r="E103" s="1530" t="str">
        <f>'2.13 SA&amp;D'!$C$13</f>
        <v>-</v>
      </c>
      <c r="F103" s="1530" t="str">
        <f>'2.13 SA&amp;D'!$D$13</f>
        <v>-</v>
      </c>
      <c r="G103" s="1782" t="str">
        <f>'2.13 SA&amp;D'!$E$13</f>
        <v>-</v>
      </c>
      <c r="H103" s="1773">
        <f>'2.13 SA&amp;D'!$F$13</f>
        <v>1</v>
      </c>
      <c r="I103" s="1773">
        <f>'2.13 SA&amp;D'!$G$13</f>
        <v>1</v>
      </c>
      <c r="J103" s="1773">
        <f>'2.13 SA&amp;D'!$H$13</f>
        <v>0</v>
      </c>
      <c r="K103" s="1773">
        <f>'2.13 SA&amp;D'!$L$13</f>
        <v>1</v>
      </c>
      <c r="L103" s="1772">
        <f>'2.13 SA&amp;D'!$M$13</f>
        <v>0.2655849</v>
      </c>
      <c r="M103" s="1772">
        <f>'2.13 SA&amp;D'!$N$13</f>
        <v>0.2655849</v>
      </c>
      <c r="N103" s="1772">
        <f>'2.13 SA&amp;D'!$O$13</f>
        <v>0</v>
      </c>
      <c r="O103" s="1772">
        <f>'2.13 SA&amp;D'!$P$13</f>
        <v>0.2655849</v>
      </c>
    </row>
    <row r="104">
      <c r="B104" s="1530" t="inlineStr">
        <is>
          <t>COE SA&amp;D</t>
        </is>
      </c>
      <c r="C104" s="1530" t="inlineStr">
        <is>
          <t>Directly funded</t>
        </is>
      </c>
      <c r="D104" s="1530" t="str">
        <f>'2.13 SA&amp;D'!$B$14</f>
        <v>Group Data</v>
      </c>
      <c r="E104" s="1530" t="str">
        <f>'2.13 SA&amp;D'!$C$14</f>
        <v>-</v>
      </c>
      <c r="F104" s="1530" t="str">
        <f>'2.13 SA&amp;D'!$D$14</f>
        <v>-</v>
      </c>
      <c r="G104" s="1782" t="str">
        <f>'2.13 SA&amp;D'!$E$14</f>
        <v>-</v>
      </c>
      <c r="H104" s="1773">
        <f>'2.13 SA&amp;D'!$F$14</f>
        <v>9</v>
      </c>
      <c r="I104" s="1773">
        <f>'2.13 SA&amp;D'!$G$14</f>
        <v>7</v>
      </c>
      <c r="J104" s="1773">
        <f>'2.13 SA&amp;D'!$H$14</f>
        <v>2</v>
      </c>
      <c r="K104" s="1773">
        <f>'2.13 SA&amp;D'!$L$14</f>
        <v>9</v>
      </c>
      <c r="L104" s="1772">
        <f>'2.13 SA&amp;D'!$M$14</f>
        <v>2.305292066</v>
      </c>
      <c r="M104" s="1772">
        <f>'2.13 SA&amp;D'!$N$14</f>
        <v>2.305292066</v>
      </c>
      <c r="N104" s="1772">
        <f>'2.13 SA&amp;D'!$O$14</f>
        <v>0</v>
      </c>
      <c r="O104" s="1772">
        <f>'2.13 SA&amp;D'!$P$14</f>
        <v>2.305292066</v>
      </c>
    </row>
    <row r="105">
      <c r="B105" s="1530" t="inlineStr">
        <is>
          <t>COE SA&amp;D</t>
        </is>
      </c>
      <c r="C105" s="1530" t="inlineStr">
        <is>
          <t>Directly funded</t>
        </is>
      </c>
      <c r="D105" s="1530" t="str">
        <f>'2.13 SA&amp;D'!$B$15</f>
        <v>Leadership</v>
      </c>
      <c r="E105" s="1530" t="str">
        <f>'2.13 SA&amp;D'!$C$15</f>
        <v>-</v>
      </c>
      <c r="F105" s="1530" t="str">
        <f>'2.13 SA&amp;D'!$D$15</f>
        <v>-</v>
      </c>
      <c r="G105" s="1782" t="str">
        <f>'2.13 SA&amp;D'!$E$15</f>
        <v>-</v>
      </c>
      <c r="H105" s="1773">
        <f>'2.13 SA&amp;D'!$F$15</f>
        <v>4</v>
      </c>
      <c r="I105" s="1773">
        <f>'2.13 SA&amp;D'!$G$15</f>
        <v>1</v>
      </c>
      <c r="J105" s="1773">
        <f>'2.13 SA&amp;D'!$H$15</f>
        <v>3</v>
      </c>
      <c r="K105" s="1773">
        <f>'2.13 SA&amp;D'!$L$15</f>
        <v>4</v>
      </c>
      <c r="L105" s="1772">
        <f>'2.13 SA&amp;D'!$M$15</f>
        <v>1.2239818</v>
      </c>
      <c r="M105" s="1772">
        <f>'2.13 SA&amp;D'!$N$15</f>
        <v>1.2239818</v>
      </c>
      <c r="N105" s="1772">
        <f>'2.13 SA&amp;D'!$O$15</f>
        <v>0</v>
      </c>
      <c r="O105" s="1772">
        <f>'2.13 SA&amp;D'!$P$15</f>
        <v>1.2239818</v>
      </c>
    </row>
    <row r="106">
      <c r="B106" s="1530" t="inlineStr">
        <is>
          <t>COE SA&amp;D</t>
        </is>
      </c>
      <c r="C106" s="1530" t="inlineStr">
        <is>
          <t>Directly funded</t>
        </is>
      </c>
      <c r="D106" s="1530" t="str">
        <f>'2.13 SA&amp;D'!$B$16</f>
        <v>Technology Strategy &amp; AI Capability</v>
      </c>
      <c r="E106" s="1530" t="str">
        <f>'2.13 SA&amp;D'!$C$16</f>
        <v>-</v>
      </c>
      <c r="F106" s="1530" t="str">
        <f>'2.13 SA&amp;D'!$D$16</f>
        <v>-</v>
      </c>
      <c r="G106" s="1782" t="str">
        <f>'2.13 SA&amp;D'!$E$16</f>
        <v>-</v>
      </c>
      <c r="H106" s="1773">
        <f>'2.13 SA&amp;D'!$F$16</f>
        <v>5</v>
      </c>
      <c r="I106" s="1773">
        <f>'2.13 SA&amp;D'!$G$16</f>
        <v>1</v>
      </c>
      <c r="J106" s="1773">
        <f>'2.13 SA&amp;D'!$H$16</f>
        <v>4</v>
      </c>
      <c r="K106" s="1773">
        <f>'2.13 SA&amp;D'!$L$16</f>
        <v>5</v>
      </c>
      <c r="L106" s="1772">
        <f>'2.13 SA&amp;D'!$M$16</f>
        <v>1.06988875</v>
      </c>
      <c r="M106" s="1772">
        <f>'2.13 SA&amp;D'!$N$16</f>
        <v>1.06988875</v>
      </c>
      <c r="N106" s="1772">
        <f>'2.13 SA&amp;D'!$O$16</f>
        <v>0</v>
      </c>
      <c r="O106" s="1772">
        <f>'2.13 SA&amp;D'!$P$16</f>
        <v>1.06988875</v>
      </c>
    </row>
    <row r="107">
      <c r="B107" s="1534" t="inlineStr">
        <is>
          <t>COE SA&amp;D total</t>
        </is>
      </c>
      <c r="C107" s="1534" t="n"/>
      <c r="D107" s="1534" t="n"/>
      <c r="E107" s="1534" t="n"/>
      <c r="F107" s="1774" t="str">
        <f>"-"</f>
        <v>-</v>
      </c>
      <c r="G107" s="1783" t="str">
        <f>"-"</f>
        <v>-</v>
      </c>
      <c r="H107" s="1775">
        <f>SUM(H102:H106)</f>
        <v>26</v>
      </c>
      <c r="I107" s="1775">
        <f>SUM(I102:I106)</f>
        <v>17</v>
      </c>
      <c r="J107" s="1775">
        <f>SUM(J102:J106)</f>
        <v>9</v>
      </c>
      <c r="K107" s="1775">
        <f>SUM(K102:K106)</f>
        <v>26</v>
      </c>
      <c r="L107" s="1774" t="str">
        <f>"-"</f>
        <v>-</v>
      </c>
      <c r="M107" s="1774">
        <f>SUM(M102:M106)</f>
        <v>6.529494052</v>
      </c>
      <c r="N107" s="1774" t="str">
        <f>"-"</f>
        <v>-</v>
      </c>
      <c r="O107" s="1774">
        <f>SUM(O102:O106)</f>
        <v>6.529494052</v>
      </c>
    </row>
    <row r="108">
      <c r="B108" s="1530" t="inlineStr">
        <is>
          <t>EGI</t>
        </is>
      </c>
      <c r="C108" s="1530" t="inlineStr">
        <is>
          <t>Directly funded</t>
        </is>
      </c>
      <c r="D108" s="1530" t="str">
        <f>'2.14 EGI'!$B$12</f>
        <v>EGI</v>
      </c>
      <c r="E108" s="1530" t="str">
        <f>'2.14 EGI'!$C$12</f>
        <v>-</v>
      </c>
      <c r="F108" s="1530" t="str">
        <f>'2.14 EGI'!$D$12</f>
        <v>-</v>
      </c>
      <c r="G108" s="1782" t="str">
        <f>'2.14 EGI'!$E$12</f>
        <v>-</v>
      </c>
      <c r="H108" s="1773">
        <f>'2.14 EGI'!$F$12</f>
        <v>17</v>
      </c>
      <c r="I108" s="1773">
        <f>'2.14 EGI'!$G$12</f>
        <v>17</v>
      </c>
      <c r="J108" s="1773">
        <f>'2.14 EGI'!$H$12</f>
        <v>0</v>
      </c>
      <c r="K108" s="1773">
        <f>'2.14 EGI'!$L$12</f>
        <v>17</v>
      </c>
      <c r="L108" s="1772">
        <f>'2.14 EGI'!$M$12</f>
        <v>4.94341935</v>
      </c>
      <c r="M108" s="1772">
        <f>'2.14 EGI'!$N$12</f>
        <v>4.94341935</v>
      </c>
      <c r="N108" s="1772">
        <f>'2.14 EGI'!$O$12</f>
        <v>0</v>
      </c>
      <c r="O108" s="1772">
        <f>'2.14 EGI'!$P$12</f>
        <v>4.94341935</v>
      </c>
    </row>
    <row r="109">
      <c r="B109" s="1534" t="inlineStr">
        <is>
          <t>EGI total</t>
        </is>
      </c>
      <c r="C109" s="1534" t="n"/>
      <c r="D109" s="1534" t="n"/>
      <c r="E109" s="1534" t="n"/>
      <c r="F109" s="1774" t="str">
        <f>"-"</f>
        <v>-</v>
      </c>
      <c r="G109" s="1783" t="str">
        <f>"-"</f>
        <v>-</v>
      </c>
      <c r="H109" s="1775">
        <f>SUM(H108:H108)</f>
        <v>17</v>
      </c>
      <c r="I109" s="1775">
        <f>SUM(I108:I108)</f>
        <v>17</v>
      </c>
      <c r="J109" s="1775">
        <f>SUM(J108:J108)</f>
        <v>0</v>
      </c>
      <c r="K109" s="1775">
        <f>SUM(K108:K108)</f>
        <v>17</v>
      </c>
      <c r="L109" s="1774" t="str">
        <f>"-"</f>
        <v>-</v>
      </c>
      <c r="M109" s="1774">
        <f>SUM(M108:M108)</f>
        <v>4.94341935</v>
      </c>
      <c r="N109" s="1774" t="str">
        <f>"-"</f>
        <v>-</v>
      </c>
      <c r="O109" s="1774">
        <f>SUM(O108:O108)</f>
        <v>4.94341935</v>
      </c>
    </row>
    <row r="110">
      <c r="B110" s="1539" t="inlineStr">
        <is>
          <t>Group total</t>
        </is>
      </c>
      <c r="C110" s="1539" t="n"/>
      <c r="D110" s="1539" t="n"/>
      <c r="E110" s="1539" t="n"/>
      <c r="F110" s="1776" t="str">
        <f>"-"</f>
        <v>-</v>
      </c>
      <c r="G110" s="1784" t="str">
        <f>"-"</f>
        <v>-</v>
      </c>
      <c r="H110" s="1777">
        <f>H19+H32+H38+H47+H54+H59+H68+H75+H83+H91+H97+H101+H107+H109</f>
        <v>525</v>
      </c>
      <c r="I110" s="1777">
        <f>I19+I32+I38+I47+I54+I59+I68+I75+I83+I91+I97+I101+I107+I109</f>
        <v>390</v>
      </c>
      <c r="J110" s="1777">
        <f>J19+J32+J38+J47+J54+J59+J68+J75+J83+J91+J97+J101+J107+J109</f>
        <v>135</v>
      </c>
      <c r="K110" s="1777">
        <f>K19+K32+K38+K47+K54+K59+K68+K75+K83+K91+K97+K101+K107+K109</f>
        <v>525</v>
      </c>
      <c r="L110" s="1776" t="str">
        <f>"-"</f>
        <v>-</v>
      </c>
      <c r="M110" s="1776">
        <f>M19+M32+M38+M47+M54+M59+M68+M75+M83+M91+M97+M101+M107+M109</f>
        <v>115.1132622681</v>
      </c>
      <c r="N110" s="1776" t="str">
        <f>"-"</f>
        <v>-</v>
      </c>
      <c r="O110" s="1776">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0" t="inlineStr">
        <is>
          <t>COE Cyber</t>
        </is>
      </c>
      <c r="C6" s="1530" t="inlineStr">
        <is>
          <t>Cyber GRC</t>
        </is>
      </c>
      <c r="D6" s="1773">
        <f>COUNTIFS('REVIEW - Complete Role Mapping'!$AJ$2:$AJ$528,$B6,'REVIEW - Complete Role Mapping'!$AT$2:$AT$528,$C6)</f>
        <v>5</v>
      </c>
      <c r="E6" s="1773">
        <f>COUNTIFS('REVIEW - Complete Role Mapping'!$AJ$2:$AJ$528,$B6,'REVIEW - Complete Role Mapping'!$AT$2:$AT$528,$C6,'REVIEW - Complete Role Mapping'!$AK$2:$AK$528,"Filled")</f>
        <v>5</v>
      </c>
      <c r="F6" s="1773">
        <f>COUNTIFS('REVIEW - Complete Role Mapping'!$AJ$2:$AJ$528,$B6,'REVIEW - Complete Role Mapping'!$AT$2:$AT$528,$C6,'REVIEW - Complete Role Mapping'!$AK$2:$AK$528,"Vacant")</f>
        <v>0</v>
      </c>
      <c r="G6" s="1772">
        <f>SUMIFS('REVIEW - Complete Role Mapping'!$AA$2:$AA$528,'REVIEW - Complete Role Mapping'!$AJ$2:$AJ$528,$B6,'REVIEW - Complete Role Mapping'!$AT$2:$AT$528,$C6)/1000000</f>
        <v>1.071477788</v>
      </c>
      <c r="H6" s="1772">
        <f>SUMIFS('REVIEW - Complete Role Mapping'!$AA$2:$AA$528,'REVIEW - Complete Role Mapping'!$AJ$2:$AJ$528,$B6,'REVIEW - Complete Role Mapping'!$AT$2:$AT$528,$C6,'REVIEW - Complete Role Mapping'!$M$2:$M$528,"Australia")/1000000</f>
        <v>0.9396446</v>
      </c>
      <c r="I6" s="1772">
        <f>SUMIFS('REVIEW - Complete Role Mapping'!$AA$2:$AA$528,'REVIEW - Complete Role Mapping'!$AJ$2:$AJ$528,$B6,'REVIEW - Complete Role Mapping'!$AT$2:$AT$528,$C6,'REVIEW - Complete Role Mapping'!$AL$2:$AL$528,"NZ")/1000000</f>
        <v>0.131833188</v>
      </c>
      <c r="J6" s="1772">
        <f>$G6-$H6-$I6</f>
        <v>0</v>
      </c>
      <c r="K6" s="1773">
        <f>COUNTIFS('REVIEW - Complete Role Mapping'!$AJ$2:$AJ$528,$B6,'REVIEW - Complete Role Mapping'!$AT$2:$AT$528,$C6,'REVIEW - Complete Role Mapping'!$AR$2:$AR$528,"&lt;&gt;Squad")</f>
        <v>0</v>
      </c>
      <c r="L6" s="1772">
        <f>SUMIFS('REVIEW - Complete Role Mapping'!$AA$2:$AA$528,'REVIEW - Complete Role Mapping'!$AJ$2:$AJ$528,$B6,'REVIEW - Complete Role Mapping'!$AT$2:$AT$528,$C6,'REVIEW - Complete Role Mapping'!$AR$2:$AR$528,"&lt;&gt;Squad")/1000000</f>
        <v>0</v>
      </c>
    </row>
    <row r="7">
      <c r="B7" s="1530" t="inlineStr">
        <is>
          <t>COE Cyber</t>
        </is>
      </c>
      <c r="C7" s="1530" t="inlineStr">
        <is>
          <t>Cyber Risk</t>
        </is>
      </c>
      <c r="D7" s="1773">
        <f>COUNTIFS('REVIEW - Complete Role Mapping'!$AJ$2:$AJ$528,$B7,'REVIEW - Complete Role Mapping'!$AT$2:$AT$528,$C7)</f>
        <v>2</v>
      </c>
      <c r="E7" s="1773">
        <f>COUNTIFS('REVIEW - Complete Role Mapping'!$AJ$2:$AJ$528,$B7,'REVIEW - Complete Role Mapping'!$AT$2:$AT$528,$C7,'REVIEW - Complete Role Mapping'!$AK$2:$AK$528,"Filled")</f>
        <v>2</v>
      </c>
      <c r="F7" s="1773">
        <f>COUNTIFS('REVIEW - Complete Role Mapping'!$AJ$2:$AJ$528,$B7,'REVIEW - Complete Role Mapping'!$AT$2:$AT$528,$C7,'REVIEW - Complete Role Mapping'!$AK$2:$AK$528,"Vacant")</f>
        <v>0</v>
      </c>
      <c r="G7" s="1772">
        <f>SUMIFS('REVIEW - Complete Role Mapping'!$AA$2:$AA$528,'REVIEW - Complete Role Mapping'!$AJ$2:$AJ$528,$B7,'REVIEW - Complete Role Mapping'!$AT$2:$AT$528,$C7)/1000000</f>
        <v>0.475558232</v>
      </c>
      <c r="H7" s="1772">
        <f>SUMIFS('REVIEW - Complete Role Mapping'!$AA$2:$AA$528,'REVIEW - Complete Role Mapping'!$AJ$2:$AJ$528,$B7,'REVIEW - Complete Role Mapping'!$AT$2:$AT$528,$C7,'REVIEW - Complete Role Mapping'!$M$2:$M$528,"Australia")/1000000</f>
        <v>0.2870432</v>
      </c>
      <c r="I7" s="1772">
        <f>SUMIFS('REVIEW - Complete Role Mapping'!$AA$2:$AA$528,'REVIEW - Complete Role Mapping'!$AJ$2:$AJ$528,$B7,'REVIEW - Complete Role Mapping'!$AT$2:$AT$528,$C7,'REVIEW - Complete Role Mapping'!$AL$2:$AL$528,"NZ")/1000000</f>
        <v>0.188515032</v>
      </c>
      <c r="J7" s="1772">
        <f>$G7-$H7-$I7</f>
        <v>0</v>
      </c>
      <c r="K7" s="1773">
        <f>COUNTIFS('REVIEW - Complete Role Mapping'!$AJ$2:$AJ$528,$B7,'REVIEW - Complete Role Mapping'!$AT$2:$AT$528,$C7,'REVIEW - Complete Role Mapping'!$AR$2:$AR$528,"&lt;&gt;Squad")</f>
        <v>0</v>
      </c>
      <c r="L7" s="1772">
        <f>SUMIFS('REVIEW - Complete Role Mapping'!$AA$2:$AA$528,'REVIEW - Complete Role Mapping'!$AJ$2:$AJ$528,$B7,'REVIEW - Complete Role Mapping'!$AT$2:$AT$528,$C7,'REVIEW - Complete Role Mapping'!$AR$2:$AR$528,"&lt;&gt;Squad")/1000000</f>
        <v>0</v>
      </c>
    </row>
    <row r="8">
      <c r="B8" s="1530" t="inlineStr">
        <is>
          <t>COE Cyber</t>
        </is>
      </c>
      <c r="C8" s="1530" t="inlineStr">
        <is>
          <t>Cyber Sec Ops</t>
        </is>
      </c>
      <c r="D8" s="1773">
        <f>COUNTIFS('REVIEW - Complete Role Mapping'!$AJ$2:$AJ$528,$B8,'REVIEW - Complete Role Mapping'!$AT$2:$AT$528,$C8)</f>
        <v>5</v>
      </c>
      <c r="E8" s="1773">
        <f>COUNTIFS('REVIEW - Complete Role Mapping'!$AJ$2:$AJ$528,$B8,'REVIEW - Complete Role Mapping'!$AT$2:$AT$528,$C8,'REVIEW - Complete Role Mapping'!$AK$2:$AK$528,"Filled")</f>
        <v>5</v>
      </c>
      <c r="F8" s="1773">
        <f>COUNTIFS('REVIEW - Complete Role Mapping'!$AJ$2:$AJ$528,$B8,'REVIEW - Complete Role Mapping'!$AT$2:$AT$528,$C8,'REVIEW - Complete Role Mapping'!$AK$2:$AK$528,"Vacant")</f>
        <v>0</v>
      </c>
      <c r="G8" s="1772">
        <f>SUMIFS('REVIEW - Complete Role Mapping'!$AA$2:$AA$528,'REVIEW - Complete Role Mapping'!$AJ$2:$AJ$528,$B8,'REVIEW - Complete Role Mapping'!$AT$2:$AT$528,$C8)/1000000</f>
        <v>1.111589344</v>
      </c>
      <c r="H8" s="1772">
        <f>SUMIFS('REVIEW - Complete Role Mapping'!$AA$2:$AA$528,'REVIEW - Complete Role Mapping'!$AJ$2:$AJ$528,$B8,'REVIEW - Complete Role Mapping'!$AT$2:$AT$528,$C8,'REVIEW - Complete Role Mapping'!$M$2:$M$528,"Australia")/1000000</f>
        <v>0.7509109</v>
      </c>
      <c r="I8" s="1772">
        <f>SUMIFS('REVIEW - Complete Role Mapping'!$AA$2:$AA$528,'REVIEW - Complete Role Mapping'!$AJ$2:$AJ$528,$B8,'REVIEW - Complete Role Mapping'!$AT$2:$AT$528,$C8,'REVIEW - Complete Role Mapping'!$AL$2:$AL$528,"NZ")/1000000</f>
        <v>0.360678444</v>
      </c>
      <c r="J8" s="1772">
        <f>$G8-$H8-$I8</f>
        <v>0</v>
      </c>
      <c r="K8" s="1773">
        <f>COUNTIFS('REVIEW - Complete Role Mapping'!$AJ$2:$AJ$528,$B8,'REVIEW - Complete Role Mapping'!$AT$2:$AT$528,$C8,'REVIEW - Complete Role Mapping'!$AR$2:$AR$528,"&lt;&gt;Squad")</f>
        <v>0</v>
      </c>
      <c r="L8" s="1772">
        <f>SUMIFS('REVIEW - Complete Role Mapping'!$AA$2:$AA$528,'REVIEW - Complete Role Mapping'!$AJ$2:$AJ$528,$B8,'REVIEW - Complete Role Mapping'!$AT$2:$AT$528,$C8,'REVIEW - Complete Role Mapping'!$AR$2:$AR$528,"&lt;&gt;Squad")/1000000</f>
        <v>0</v>
      </c>
    </row>
    <row r="9">
      <c r="B9" s="1530" t="inlineStr">
        <is>
          <t>COE Cyber</t>
        </is>
      </c>
      <c r="C9" s="1530" t="inlineStr">
        <is>
          <t>Cyber Strat &amp; Tech</t>
        </is>
      </c>
      <c r="D9" s="1773">
        <f>COUNTIFS('REVIEW - Complete Role Mapping'!$AJ$2:$AJ$528,$B9,'REVIEW - Complete Role Mapping'!$AT$2:$AT$528,$C9)</f>
        <v>13</v>
      </c>
      <c r="E9" s="1773">
        <f>COUNTIFS('REVIEW - Complete Role Mapping'!$AJ$2:$AJ$528,$B9,'REVIEW - Complete Role Mapping'!$AT$2:$AT$528,$C9,'REVIEW - Complete Role Mapping'!$AK$2:$AK$528,"Filled")</f>
        <v>13</v>
      </c>
      <c r="F9" s="1773">
        <f>COUNTIFS('REVIEW - Complete Role Mapping'!$AJ$2:$AJ$528,$B9,'REVIEW - Complete Role Mapping'!$AT$2:$AT$528,$C9,'REVIEW - Complete Role Mapping'!$AK$2:$AK$528,"Vacant")</f>
        <v>0</v>
      </c>
      <c r="G9" s="1772">
        <f>SUMIFS('REVIEW - Complete Role Mapping'!$AA$2:$AA$528,'REVIEW - Complete Role Mapping'!$AJ$2:$AJ$528,$B9,'REVIEW - Complete Role Mapping'!$AT$2:$AT$528,$C9)/1000000</f>
        <v>3.31576355</v>
      </c>
      <c r="H9" s="1772">
        <f>SUMIFS('REVIEW - Complete Role Mapping'!$AA$2:$AA$528,'REVIEW - Complete Role Mapping'!$AJ$2:$AJ$528,$B9,'REVIEW - Complete Role Mapping'!$AT$2:$AT$528,$C9,'REVIEW - Complete Role Mapping'!$M$2:$M$528,"Australia")/1000000</f>
        <v>3.31576355</v>
      </c>
      <c r="I9" s="1772">
        <f>SUMIFS('REVIEW - Complete Role Mapping'!$AA$2:$AA$528,'REVIEW - Complete Role Mapping'!$AJ$2:$AJ$528,$B9,'REVIEW - Complete Role Mapping'!$AT$2:$AT$528,$C9,'REVIEW - Complete Role Mapping'!$AL$2:$AL$528,"NZ")/1000000</f>
        <v>0</v>
      </c>
      <c r="J9" s="1772">
        <f>$G9-$H9-$I9</f>
        <v>0</v>
      </c>
      <c r="K9" s="1773">
        <f>COUNTIFS('REVIEW - Complete Role Mapping'!$AJ$2:$AJ$528,$B9,'REVIEW - Complete Role Mapping'!$AT$2:$AT$528,$C9,'REVIEW - Complete Role Mapping'!$AR$2:$AR$528,"&lt;&gt;Squad")</f>
        <v>1</v>
      </c>
      <c r="L9" s="1772">
        <f>SUMIFS('REVIEW - Complete Role Mapping'!$AA$2:$AA$528,'REVIEW - Complete Role Mapping'!$AJ$2:$AJ$528,$B9,'REVIEW - Complete Role Mapping'!$AT$2:$AT$528,$C9,'REVIEW - Complete Role Mapping'!$AR$2:$AR$528,"&lt;&gt;Squad")/1000000</f>
        <v>0.3825877</v>
      </c>
    </row>
    <row r="10">
      <c r="B10" s="1530" t="inlineStr">
        <is>
          <t>COE Cyber</t>
        </is>
      </c>
      <c r="C10" s="1530" t="inlineStr">
        <is>
          <t>Service Op &amp; Assurance</t>
        </is>
      </c>
      <c r="D10" s="1773">
        <f>COUNTIFS('REVIEW - Complete Role Mapping'!$AJ$2:$AJ$528,$B10,'REVIEW - Complete Role Mapping'!$AT$2:$AT$528,$C10)</f>
        <v>21</v>
      </c>
      <c r="E10" s="1773">
        <f>COUNTIFS('REVIEW - Complete Role Mapping'!$AJ$2:$AJ$528,$B10,'REVIEW - Complete Role Mapping'!$AT$2:$AT$528,$C10,'REVIEW - Complete Role Mapping'!$AK$2:$AK$528,"Filled")</f>
        <v>17</v>
      </c>
      <c r="F10" s="1773">
        <f>COUNTIFS('REVIEW - Complete Role Mapping'!$AJ$2:$AJ$528,$B10,'REVIEW - Complete Role Mapping'!$AT$2:$AT$528,$C10,'REVIEW - Complete Role Mapping'!$AK$2:$AK$528,"Vacant")</f>
        <v>4</v>
      </c>
      <c r="G10" s="1772">
        <f>SUMIFS('REVIEW - Complete Role Mapping'!$AA$2:$AA$528,'REVIEW - Complete Role Mapping'!$AJ$2:$AJ$528,$B10,'REVIEW - Complete Role Mapping'!$AT$2:$AT$528,$C10)/1000000</f>
        <v>3.92346938</v>
      </c>
      <c r="H10" s="1772">
        <f>SUMIFS('REVIEW - Complete Role Mapping'!$AA$2:$AA$528,'REVIEW - Complete Role Mapping'!$AJ$2:$AJ$528,$B10,'REVIEW - Complete Role Mapping'!$AT$2:$AT$528,$C10,'REVIEW - Complete Role Mapping'!$M$2:$M$528,"Australia")/1000000</f>
        <v>3.5464988</v>
      </c>
      <c r="I10" s="1772">
        <f>SUMIFS('REVIEW - Complete Role Mapping'!$AA$2:$AA$528,'REVIEW - Complete Role Mapping'!$AJ$2:$AJ$528,$B10,'REVIEW - Complete Role Mapping'!$AT$2:$AT$528,$C10,'REVIEW - Complete Role Mapping'!$AL$2:$AL$528,"NZ")/1000000</f>
        <v>0.37697058</v>
      </c>
      <c r="J10" s="1772">
        <f>$G10-$H10-$I10</f>
        <v>0</v>
      </c>
      <c r="K10" s="1773">
        <f>COUNTIFS('REVIEW - Complete Role Mapping'!$AJ$2:$AJ$528,$B10,'REVIEW - Complete Role Mapping'!$AT$2:$AT$528,$C10,'REVIEW - Complete Role Mapping'!$AR$2:$AR$528,"&lt;&gt;Squad")</f>
        <v>1</v>
      </c>
      <c r="L10" s="1772">
        <f>SUMIFS('REVIEW - Complete Role Mapping'!$AA$2:$AA$528,'REVIEW - Complete Role Mapping'!$AJ$2:$AJ$528,$B10,'REVIEW - Complete Role Mapping'!$AT$2:$AT$528,$C10,'REVIEW - Complete Role Mapping'!$AR$2:$AR$528,"&lt;&gt;Squad")/1000000</f>
        <v>0.4006714</v>
      </c>
    </row>
    <row r="11">
      <c r="B11" s="1534" t="inlineStr">
        <is>
          <t>COE Cyber total</t>
        </is>
      </c>
      <c r="C11" s="1534" t="n"/>
      <c r="D11" s="1775">
        <f>SUM(D6:D10)</f>
        <v>46</v>
      </c>
      <c r="E11" s="1775">
        <f>SUM(E6:E10)</f>
        <v>42</v>
      </c>
      <c r="F11" s="1775">
        <f>SUM(F6:F10)</f>
        <v>4</v>
      </c>
      <c r="G11" s="1774">
        <f>SUM(G6:G10)</f>
        <v>9.897858294</v>
      </c>
      <c r="H11" s="1774">
        <f>SUM(H6:H10)</f>
        <v>8.83986105</v>
      </c>
      <c r="I11" s="1774">
        <f>SUM(I6:I10)</f>
        <v>1.057997244</v>
      </c>
      <c r="J11" s="1774">
        <f>SUM(J6:J10)</f>
        <v>0</v>
      </c>
      <c r="K11" s="1775">
        <f>SUM(K6:K10)</f>
        <v>2</v>
      </c>
      <c r="L11" s="1774">
        <f>SUM(L6:L10)</f>
        <v>0.7832591</v>
      </c>
    </row>
    <row r="12">
      <c r="B12" s="1530" t="inlineStr">
        <is>
          <t>COE BP&amp;T</t>
        </is>
      </c>
      <c r="C12" s="1530" t="inlineStr">
        <is>
          <t>Commercial</t>
        </is>
      </c>
      <c r="D12" s="1773">
        <f>COUNTIFS('REVIEW - Complete Role Mapping'!$AJ$2:$AJ$528,$B12,'REVIEW - Complete Role Mapping'!$AT$2:$AT$528,$C12)</f>
        <v>4</v>
      </c>
      <c r="E12" s="1773">
        <f>COUNTIFS('REVIEW - Complete Role Mapping'!$AJ$2:$AJ$528,$B12,'REVIEW - Complete Role Mapping'!$AT$2:$AT$528,$C12,'REVIEW - Complete Role Mapping'!$AK$2:$AK$528,"Filled")</f>
        <v>3</v>
      </c>
      <c r="F12" s="1773">
        <f>COUNTIFS('REVIEW - Complete Role Mapping'!$AJ$2:$AJ$528,$B12,'REVIEW - Complete Role Mapping'!$AT$2:$AT$528,$C12,'REVIEW - Complete Role Mapping'!$AK$2:$AK$528,"Vacant")</f>
        <v>1</v>
      </c>
      <c r="G12" s="1772">
        <f>SUMIFS('REVIEW - Complete Role Mapping'!$AA$2:$AA$528,'REVIEW - Complete Role Mapping'!$AJ$2:$AJ$528,$B12,'REVIEW - Complete Role Mapping'!$AT$2:$AT$528,$C12)/1000000</f>
        <v>0.979014192</v>
      </c>
      <c r="H12" s="1772">
        <f>SUMIFS('REVIEW - Complete Role Mapping'!$AA$2:$AA$528,'REVIEW - Complete Role Mapping'!$AJ$2:$AJ$528,$B12,'REVIEW - Complete Role Mapping'!$AT$2:$AT$528,$C12,'REVIEW - Complete Role Mapping'!$M$2:$M$528,"Australia")/1000000</f>
        <v>0.8280117</v>
      </c>
      <c r="I12" s="1772">
        <f>SUMIFS('REVIEW - Complete Role Mapping'!$AA$2:$AA$528,'REVIEW - Complete Role Mapping'!$AJ$2:$AJ$528,$B12,'REVIEW - Complete Role Mapping'!$AT$2:$AT$528,$C12,'REVIEW - Complete Role Mapping'!$AL$2:$AL$528,"NZ")/1000000</f>
        <v>0.151002492</v>
      </c>
      <c r="J12" s="1772">
        <f>$G12-$H12-$I12</f>
        <v>0</v>
      </c>
      <c r="K12" s="1773">
        <f>COUNTIFS('REVIEW - Complete Role Mapping'!$AJ$2:$AJ$528,$B12,'REVIEW - Complete Role Mapping'!$AT$2:$AT$528,$C12,'REVIEW - Complete Role Mapping'!$AR$2:$AR$528,"&lt;&gt;Squad")</f>
        <v>0</v>
      </c>
      <c r="L12" s="1772">
        <f>SUMIFS('REVIEW - Complete Role Mapping'!$AA$2:$AA$528,'REVIEW - Complete Role Mapping'!$AJ$2:$AJ$528,$B12,'REVIEW - Complete Role Mapping'!$AT$2:$AT$528,$C12,'REVIEW - Complete Role Mapping'!$AR$2:$AR$528,"&lt;&gt;Squad")/1000000</f>
        <v>0</v>
      </c>
    </row>
    <row r="13">
      <c r="B13" s="1530" t="inlineStr">
        <is>
          <t>COE BP&amp;T</t>
        </is>
      </c>
      <c r="C13" s="1530" t="inlineStr">
        <is>
          <t>TDD Business Partner</t>
        </is>
      </c>
      <c r="D13" s="1773">
        <f>COUNTIFS('REVIEW - Complete Role Mapping'!$AJ$2:$AJ$528,$B13,'REVIEW - Complete Role Mapping'!$AT$2:$AT$528,$C13)</f>
        <v>6</v>
      </c>
      <c r="E13" s="1773">
        <f>COUNTIFS('REVIEW - Complete Role Mapping'!$AJ$2:$AJ$528,$B13,'REVIEW - Complete Role Mapping'!$AT$2:$AT$528,$C13,'REVIEW - Complete Role Mapping'!$AK$2:$AK$528,"Filled")</f>
        <v>6</v>
      </c>
      <c r="F13" s="1773">
        <f>COUNTIFS('REVIEW - Complete Role Mapping'!$AJ$2:$AJ$528,$B13,'REVIEW - Complete Role Mapping'!$AT$2:$AT$528,$C13,'REVIEW - Complete Role Mapping'!$AK$2:$AK$528,"Vacant")</f>
        <v>0</v>
      </c>
      <c r="G13" s="1772">
        <f>SUMIFS('REVIEW - Complete Role Mapping'!$AA$2:$AA$528,'REVIEW - Complete Role Mapping'!$AJ$2:$AJ$528,$B13,'REVIEW - Complete Role Mapping'!$AT$2:$AT$528,$C13)/1000000</f>
        <v>2.3135484</v>
      </c>
      <c r="H13" s="1772">
        <f>SUMIFS('REVIEW - Complete Role Mapping'!$AA$2:$AA$528,'REVIEW - Complete Role Mapping'!$AJ$2:$AJ$528,$B13,'REVIEW - Complete Role Mapping'!$AT$2:$AT$528,$C13,'REVIEW - Complete Role Mapping'!$M$2:$M$528,"Australia")/1000000</f>
        <v>1.3560389</v>
      </c>
      <c r="I13" s="1772">
        <f>SUMIFS('REVIEW - Complete Role Mapping'!$AA$2:$AA$528,'REVIEW - Complete Role Mapping'!$AJ$2:$AJ$528,$B13,'REVIEW - Complete Role Mapping'!$AT$2:$AT$528,$C13,'REVIEW - Complete Role Mapping'!$AL$2:$AL$528,"NZ")/1000000</f>
        <v>0.291422</v>
      </c>
      <c r="J13" s="1772">
        <f>$G13-$H13-$I13</f>
        <v>0.6660875</v>
      </c>
      <c r="K13" s="1773">
        <f>COUNTIFS('REVIEW - Complete Role Mapping'!$AJ$2:$AJ$528,$B13,'REVIEW - Complete Role Mapping'!$AT$2:$AT$528,$C13,'REVIEW - Complete Role Mapping'!$AR$2:$AR$528,"&lt;&gt;Squad")</f>
        <v>6</v>
      </c>
      <c r="L13" s="1772">
        <f>SUMIFS('REVIEW - Complete Role Mapping'!$AA$2:$AA$528,'REVIEW - Complete Role Mapping'!$AJ$2:$AJ$528,$B13,'REVIEW - Complete Role Mapping'!$AT$2:$AT$528,$C13,'REVIEW - Complete Role Mapping'!$AR$2:$AR$528,"&lt;&gt;Squad")/1000000</f>
        <v>2.3135484</v>
      </c>
    </row>
    <row r="14">
      <c r="B14" s="1530" t="inlineStr">
        <is>
          <t>COE BP&amp;T</t>
        </is>
      </c>
      <c r="C14" s="1530" t="inlineStr">
        <is>
          <t>Transformation</t>
        </is>
      </c>
      <c r="D14" s="1773">
        <f>COUNTIFS('REVIEW - Complete Role Mapping'!$AJ$2:$AJ$528,$B14,'REVIEW - Complete Role Mapping'!$AT$2:$AT$528,$C14)</f>
        <v>14</v>
      </c>
      <c r="E14" s="1773">
        <f>COUNTIFS('REVIEW - Complete Role Mapping'!$AJ$2:$AJ$528,$B14,'REVIEW - Complete Role Mapping'!$AT$2:$AT$528,$C14,'REVIEW - Complete Role Mapping'!$AK$2:$AK$528,"Filled")</f>
        <v>6</v>
      </c>
      <c r="F14" s="1773">
        <f>COUNTIFS('REVIEW - Complete Role Mapping'!$AJ$2:$AJ$528,$B14,'REVIEW - Complete Role Mapping'!$AT$2:$AT$528,$C14,'REVIEW - Complete Role Mapping'!$AK$2:$AK$528,"Vacant")</f>
        <v>8</v>
      </c>
      <c r="G14" s="1772">
        <f>SUMIFS('REVIEW - Complete Role Mapping'!$AA$2:$AA$528,'REVIEW - Complete Role Mapping'!$AJ$2:$AJ$528,$B14,'REVIEW - Complete Role Mapping'!$AT$2:$AT$528,$C14)/1000000</f>
        <v>3.10799923</v>
      </c>
      <c r="H14" s="1772">
        <f>SUMIFS('REVIEW - Complete Role Mapping'!$AA$2:$AA$528,'REVIEW - Complete Role Mapping'!$AJ$2:$AJ$528,$B14,'REVIEW - Complete Role Mapping'!$AT$2:$AT$528,$C14,'REVIEW - Complete Role Mapping'!$M$2:$M$528,"Australia")/1000000</f>
        <v>2.80847245</v>
      </c>
      <c r="I14" s="1772">
        <f>SUMIFS('REVIEW - Complete Role Mapping'!$AA$2:$AA$528,'REVIEW - Complete Role Mapping'!$AJ$2:$AJ$528,$B14,'REVIEW - Complete Role Mapping'!$AT$2:$AT$528,$C14,'REVIEW - Complete Role Mapping'!$AL$2:$AL$528,"NZ")/1000000</f>
        <v>0.29952678</v>
      </c>
      <c r="J14" s="1772">
        <f>$G14-$H14-$I14</f>
        <v>0</v>
      </c>
      <c r="K14" s="1773">
        <f>COUNTIFS('REVIEW - Complete Role Mapping'!$AJ$2:$AJ$528,$B14,'REVIEW - Complete Role Mapping'!$AT$2:$AT$528,$C14,'REVIEW - Complete Role Mapping'!$AR$2:$AR$528,"&lt;&gt;Squad")</f>
        <v>1</v>
      </c>
      <c r="L14" s="1772">
        <f>SUMIFS('REVIEW - Complete Role Mapping'!$AA$2:$AA$528,'REVIEW - Complete Role Mapping'!$AJ$2:$AJ$528,$B14,'REVIEW - Complete Role Mapping'!$AT$2:$AT$528,$C14,'REVIEW - Complete Role Mapping'!$AR$2:$AR$528,"&lt;&gt;Squad")/1000000</f>
        <v>0.3679</v>
      </c>
    </row>
    <row r="15">
      <c r="B15" s="1534" t="inlineStr">
        <is>
          <t>COE BP&amp;T total</t>
        </is>
      </c>
      <c r="C15" s="1534" t="n"/>
      <c r="D15" s="1775">
        <f>SUM(D12:D14)</f>
        <v>24</v>
      </c>
      <c r="E15" s="1775">
        <f>SUM(E12:E14)</f>
        <v>15</v>
      </c>
      <c r="F15" s="1775">
        <f>SUM(F12:F14)</f>
        <v>9</v>
      </c>
      <c r="G15" s="1774">
        <f>SUM(G12:G14)</f>
        <v>6.400561822</v>
      </c>
      <c r="H15" s="1774">
        <f>SUM(H12:H14)</f>
        <v>4.99252305</v>
      </c>
      <c r="I15" s="1774">
        <f>SUM(I12:I14)</f>
        <v>0.741951272</v>
      </c>
      <c r="J15" s="1774">
        <f>SUM(J12:J14)</f>
        <v>0.6660875</v>
      </c>
      <c r="K15" s="1775">
        <f>SUM(K12:K14)</f>
        <v>7</v>
      </c>
      <c r="L15" s="1774">
        <f>SUM(L12:L14)</f>
        <v>2.6814484</v>
      </c>
    </row>
    <row r="16">
      <c r="B16" s="1530" t="inlineStr">
        <is>
          <t>COE SA&amp;D</t>
        </is>
      </c>
      <c r="C16" s="1530" t="inlineStr">
        <is>
          <t>Architecture</t>
        </is>
      </c>
      <c r="D16" s="1773">
        <f>COUNTIFS('REVIEW - Complete Role Mapping'!$AJ$2:$AJ$528,$B16,'REVIEW - Complete Role Mapping'!$AT$2:$AT$528,$C16)</f>
        <v>7</v>
      </c>
      <c r="E16" s="1773">
        <f>COUNTIFS('REVIEW - Complete Role Mapping'!$AJ$2:$AJ$528,$B16,'REVIEW - Complete Role Mapping'!$AT$2:$AT$528,$C16,'REVIEW - Complete Role Mapping'!$AK$2:$AK$528,"Filled")</f>
        <v>7</v>
      </c>
      <c r="F16" s="1773">
        <f>COUNTIFS('REVIEW - Complete Role Mapping'!$AJ$2:$AJ$528,$B16,'REVIEW - Complete Role Mapping'!$AT$2:$AT$528,$C16,'REVIEW - Complete Role Mapping'!$AK$2:$AK$528,"Vacant")</f>
        <v>0</v>
      </c>
      <c r="G16" s="1772">
        <f>SUMIFS('REVIEW - Complete Role Mapping'!$AA$2:$AA$528,'REVIEW - Complete Role Mapping'!$AJ$2:$AJ$528,$B16,'REVIEW - Complete Role Mapping'!$AT$2:$AT$528,$C16)/1000000</f>
        <v>1.664746536</v>
      </c>
      <c r="H16" s="1772">
        <f>SUMIFS('REVIEW - Complete Role Mapping'!$AA$2:$AA$528,'REVIEW - Complete Role Mapping'!$AJ$2:$AJ$528,$B16,'REVIEW - Complete Role Mapping'!$AT$2:$AT$528,$C16,'REVIEW - Complete Role Mapping'!$M$2:$M$528,"Australia")/1000000</f>
        <v>0.970878</v>
      </c>
      <c r="I16" s="1772">
        <f>SUMIFS('REVIEW - Complete Role Mapping'!$AA$2:$AA$528,'REVIEW - Complete Role Mapping'!$AJ$2:$AJ$528,$B16,'REVIEW - Complete Role Mapping'!$AT$2:$AT$528,$C16,'REVIEW - Complete Role Mapping'!$AL$2:$AL$528,"NZ")/1000000</f>
        <v>0.693868536</v>
      </c>
      <c r="J16" s="1772">
        <f>$G16-$H16-$I16</f>
        <v>0</v>
      </c>
      <c r="K16" s="1773">
        <f>COUNTIFS('REVIEW - Complete Role Mapping'!$AJ$2:$AJ$528,$B16,'REVIEW - Complete Role Mapping'!$AT$2:$AT$528,$C16,'REVIEW - Complete Role Mapping'!$AR$2:$AR$528,"&lt;&gt;Squad")</f>
        <v>7</v>
      </c>
      <c r="L16" s="1772">
        <f>SUMIFS('REVIEW - Complete Role Mapping'!$AA$2:$AA$528,'REVIEW - Complete Role Mapping'!$AJ$2:$AJ$528,$B16,'REVIEW - Complete Role Mapping'!$AT$2:$AT$528,$C16,'REVIEW - Complete Role Mapping'!$AR$2:$AR$528,"&lt;&gt;Squad")/1000000</f>
        <v>1.664746536</v>
      </c>
    </row>
    <row r="17">
      <c r="B17" s="1530" t="inlineStr">
        <is>
          <t>COE SA&amp;D</t>
        </is>
      </c>
      <c r="C17" s="1530" t="inlineStr">
        <is>
          <t>Data Platforms</t>
        </is>
      </c>
      <c r="D17" s="1773">
        <f>COUNTIFS('REVIEW - Complete Role Mapping'!$AJ$2:$AJ$528,$B17,'REVIEW - Complete Role Mapping'!$AT$2:$AT$528,$C17)</f>
        <v>1</v>
      </c>
      <c r="E17" s="1773">
        <f>COUNTIFS('REVIEW - Complete Role Mapping'!$AJ$2:$AJ$528,$B17,'REVIEW - Complete Role Mapping'!$AT$2:$AT$528,$C17,'REVIEW - Complete Role Mapping'!$AK$2:$AK$528,"Filled")</f>
        <v>1</v>
      </c>
      <c r="F17" s="1773">
        <f>COUNTIFS('REVIEW - Complete Role Mapping'!$AJ$2:$AJ$528,$B17,'REVIEW - Complete Role Mapping'!$AT$2:$AT$528,$C17,'REVIEW - Complete Role Mapping'!$AK$2:$AK$528,"Vacant")</f>
        <v>0</v>
      </c>
      <c r="G17" s="1772">
        <f>SUMIFS('REVIEW - Complete Role Mapping'!$AA$2:$AA$528,'REVIEW - Complete Role Mapping'!$AJ$2:$AJ$528,$B17,'REVIEW - Complete Role Mapping'!$AT$2:$AT$528,$C17)/1000000</f>
        <v>0.2655849</v>
      </c>
      <c r="H17" s="1772">
        <f>SUMIFS('REVIEW - Complete Role Mapping'!$AA$2:$AA$528,'REVIEW - Complete Role Mapping'!$AJ$2:$AJ$528,$B17,'REVIEW - Complete Role Mapping'!$AT$2:$AT$528,$C17,'REVIEW - Complete Role Mapping'!$M$2:$M$528,"Australia")/1000000</f>
        <v>0.2655849</v>
      </c>
      <c r="I17" s="1772">
        <f>SUMIFS('REVIEW - Complete Role Mapping'!$AA$2:$AA$528,'REVIEW - Complete Role Mapping'!$AJ$2:$AJ$528,$B17,'REVIEW - Complete Role Mapping'!$AT$2:$AT$528,$C17,'REVIEW - Complete Role Mapping'!$AL$2:$AL$528,"NZ")/1000000</f>
        <v>0</v>
      </c>
      <c r="J17" s="1772">
        <f>$G17-$H17-$I17</f>
        <v>0</v>
      </c>
      <c r="K17" s="1773">
        <f>COUNTIFS('REVIEW - Complete Role Mapping'!$AJ$2:$AJ$528,$B17,'REVIEW - Complete Role Mapping'!$AT$2:$AT$528,$C17,'REVIEW - Complete Role Mapping'!$AR$2:$AR$528,"&lt;&gt;Squad")</f>
        <v>0</v>
      </c>
      <c r="L17" s="1772">
        <f>SUMIFS('REVIEW - Complete Role Mapping'!$AA$2:$AA$528,'REVIEW - Complete Role Mapping'!$AJ$2:$AJ$528,$B17,'REVIEW - Complete Role Mapping'!$AT$2:$AT$528,$C17,'REVIEW - Complete Role Mapping'!$AR$2:$AR$528,"&lt;&gt;Squad")/1000000</f>
        <v>0</v>
      </c>
    </row>
    <row r="18">
      <c r="B18" s="1530" t="inlineStr">
        <is>
          <t>COE SA&amp;D</t>
        </is>
      </c>
      <c r="C18" s="1530" t="inlineStr">
        <is>
          <t>Group Data</t>
        </is>
      </c>
      <c r="D18" s="1773">
        <f>COUNTIFS('REVIEW - Complete Role Mapping'!$AJ$2:$AJ$528,$B18,'REVIEW - Complete Role Mapping'!$AT$2:$AT$528,$C18)</f>
        <v>9</v>
      </c>
      <c r="E18" s="1773">
        <f>COUNTIFS('REVIEW - Complete Role Mapping'!$AJ$2:$AJ$528,$B18,'REVIEW - Complete Role Mapping'!$AT$2:$AT$528,$C18,'REVIEW - Complete Role Mapping'!$AK$2:$AK$528,"Filled")</f>
        <v>7</v>
      </c>
      <c r="F18" s="1773">
        <f>COUNTIFS('REVIEW - Complete Role Mapping'!$AJ$2:$AJ$528,$B18,'REVIEW - Complete Role Mapping'!$AT$2:$AT$528,$C18,'REVIEW - Complete Role Mapping'!$AK$2:$AK$528,"Vacant")</f>
        <v>2</v>
      </c>
      <c r="G18" s="1772">
        <f>SUMIFS('REVIEW - Complete Role Mapping'!$AA$2:$AA$528,'REVIEW - Complete Role Mapping'!$AJ$2:$AJ$528,$B18,'REVIEW - Complete Role Mapping'!$AT$2:$AT$528,$C18)/1000000</f>
        <v>2.305292066</v>
      </c>
      <c r="H18" s="1772">
        <f>SUMIFS('REVIEW - Complete Role Mapping'!$AA$2:$AA$528,'REVIEW - Complete Role Mapping'!$AJ$2:$AJ$528,$B18,'REVIEW - Complete Role Mapping'!$AT$2:$AT$528,$C18,'REVIEW - Complete Role Mapping'!$M$2:$M$528,"Australia")/1000000</f>
        <v>2.15554565</v>
      </c>
      <c r="I18" s="1772">
        <f>SUMIFS('REVIEW - Complete Role Mapping'!$AA$2:$AA$528,'REVIEW - Complete Role Mapping'!$AJ$2:$AJ$528,$B18,'REVIEW - Complete Role Mapping'!$AT$2:$AT$528,$C18,'REVIEW - Complete Role Mapping'!$AL$2:$AL$528,"NZ")/1000000</f>
        <v>0.149746416</v>
      </c>
      <c r="J18" s="1772">
        <f>$G18-$H18-$I18</f>
        <v>0</v>
      </c>
      <c r="K18" s="1773">
        <f>COUNTIFS('REVIEW - Complete Role Mapping'!$AJ$2:$AJ$528,$B18,'REVIEW - Complete Role Mapping'!$AT$2:$AT$528,$C18,'REVIEW - Complete Role Mapping'!$AR$2:$AR$528,"&lt;&gt;Squad")</f>
        <v>0</v>
      </c>
      <c r="L18" s="1772">
        <f>SUMIFS('REVIEW - Complete Role Mapping'!$AA$2:$AA$528,'REVIEW - Complete Role Mapping'!$AJ$2:$AJ$528,$B18,'REVIEW - Complete Role Mapping'!$AT$2:$AT$528,$C18,'REVIEW - Complete Role Mapping'!$AR$2:$AR$528,"&lt;&gt;Squad")/1000000</f>
        <v>0</v>
      </c>
    </row>
    <row r="19">
      <c r="B19" s="1530" t="inlineStr">
        <is>
          <t>COE SA&amp;D</t>
        </is>
      </c>
      <c r="C19" s="1530" t="inlineStr">
        <is>
          <t>Leadership</t>
        </is>
      </c>
      <c r="D19" s="1773">
        <f>COUNTIFS('REVIEW - Complete Role Mapping'!$AJ$2:$AJ$528,$B19,'REVIEW - Complete Role Mapping'!$AT$2:$AT$528,$C19)</f>
        <v>4</v>
      </c>
      <c r="E19" s="1773">
        <f>COUNTIFS('REVIEW - Complete Role Mapping'!$AJ$2:$AJ$528,$B19,'REVIEW - Complete Role Mapping'!$AT$2:$AT$528,$C19,'REVIEW - Complete Role Mapping'!$AK$2:$AK$528,"Filled")</f>
        <v>1</v>
      </c>
      <c r="F19" s="1773">
        <f>COUNTIFS('REVIEW - Complete Role Mapping'!$AJ$2:$AJ$528,$B19,'REVIEW - Complete Role Mapping'!$AT$2:$AT$528,$C19,'REVIEW - Complete Role Mapping'!$AK$2:$AK$528,"Vacant")</f>
        <v>3</v>
      </c>
      <c r="G19" s="1772">
        <f>SUMIFS('REVIEW - Complete Role Mapping'!$AA$2:$AA$528,'REVIEW - Complete Role Mapping'!$AJ$2:$AJ$528,$B19,'REVIEW - Complete Role Mapping'!$AT$2:$AT$528,$C19)/1000000</f>
        <v>1.2239818</v>
      </c>
      <c r="H19" s="1772">
        <f>SUMIFS('REVIEW - Complete Role Mapping'!$AA$2:$AA$528,'REVIEW - Complete Role Mapping'!$AJ$2:$AJ$528,$B19,'REVIEW - Complete Role Mapping'!$AT$2:$AT$528,$C19,'REVIEW - Complete Role Mapping'!$M$2:$M$528,"Australia")/1000000</f>
        <v>1.2239818</v>
      </c>
      <c r="I19" s="1772">
        <f>SUMIFS('REVIEW - Complete Role Mapping'!$AA$2:$AA$528,'REVIEW - Complete Role Mapping'!$AJ$2:$AJ$528,$B19,'REVIEW - Complete Role Mapping'!$AT$2:$AT$528,$C19,'REVIEW - Complete Role Mapping'!$AL$2:$AL$528,"NZ")/1000000</f>
        <v>0</v>
      </c>
      <c r="J19" s="1772">
        <f>$G19-$H19-$I19</f>
        <v>0</v>
      </c>
      <c r="K19" s="1773">
        <f>COUNTIFS('REVIEW - Complete Role Mapping'!$AJ$2:$AJ$528,$B19,'REVIEW - Complete Role Mapping'!$AT$2:$AT$528,$C19,'REVIEW - Complete Role Mapping'!$AR$2:$AR$528,"&lt;&gt;Squad")</f>
        <v>3</v>
      </c>
      <c r="L19" s="1772">
        <f>SUMIFS('REVIEW - Complete Role Mapping'!$AA$2:$AA$528,'REVIEW - Complete Role Mapping'!$AJ$2:$AJ$528,$B19,'REVIEW - Complete Role Mapping'!$AT$2:$AT$528,$C19,'REVIEW - Complete Role Mapping'!$AR$2:$AR$528,"&lt;&gt;Squad")/1000000</f>
        <v>1.0370818</v>
      </c>
    </row>
    <row r="20">
      <c r="B20" s="1530" t="inlineStr">
        <is>
          <t>COE SA&amp;D</t>
        </is>
      </c>
      <c r="C20" s="1530" t="inlineStr">
        <is>
          <t>Technology Strategy &amp; AI Capability</t>
        </is>
      </c>
      <c r="D20" s="1773">
        <f>COUNTIFS('REVIEW - Complete Role Mapping'!$AJ$2:$AJ$528,$B20,'REVIEW - Complete Role Mapping'!$AT$2:$AT$528,$C20)</f>
        <v>5</v>
      </c>
      <c r="E20" s="1773">
        <f>COUNTIFS('REVIEW - Complete Role Mapping'!$AJ$2:$AJ$528,$B20,'REVIEW - Complete Role Mapping'!$AT$2:$AT$528,$C20,'REVIEW - Complete Role Mapping'!$AK$2:$AK$528,"Filled")</f>
        <v>1</v>
      </c>
      <c r="F20" s="1773">
        <f>COUNTIFS('REVIEW - Complete Role Mapping'!$AJ$2:$AJ$528,$B20,'REVIEW - Complete Role Mapping'!$AT$2:$AT$528,$C20,'REVIEW - Complete Role Mapping'!$AK$2:$AK$528,"Vacant")</f>
        <v>4</v>
      </c>
      <c r="G20" s="1772">
        <f>SUMIFS('REVIEW - Complete Role Mapping'!$AA$2:$AA$528,'REVIEW - Complete Role Mapping'!$AJ$2:$AJ$528,$B20,'REVIEW - Complete Role Mapping'!$AT$2:$AT$528,$C20)/1000000</f>
        <v>1.06988875</v>
      </c>
      <c r="H20" s="1772">
        <f>SUMIFS('REVIEW - Complete Role Mapping'!$AA$2:$AA$528,'REVIEW - Complete Role Mapping'!$AJ$2:$AJ$528,$B20,'REVIEW - Complete Role Mapping'!$AT$2:$AT$528,$C20,'REVIEW - Complete Role Mapping'!$M$2:$M$528,"Australia")/1000000</f>
        <v>1.06988875</v>
      </c>
      <c r="I20" s="1772">
        <f>SUMIFS('REVIEW - Complete Role Mapping'!$AA$2:$AA$528,'REVIEW - Complete Role Mapping'!$AJ$2:$AJ$528,$B20,'REVIEW - Complete Role Mapping'!$AT$2:$AT$528,$C20,'REVIEW - Complete Role Mapping'!$AL$2:$AL$528,"NZ")/1000000</f>
        <v>0</v>
      </c>
      <c r="J20" s="1772">
        <f>$G20-$H20-$I20</f>
        <v>0</v>
      </c>
      <c r="K20" s="1773">
        <f>COUNTIFS('REVIEW - Complete Role Mapping'!$AJ$2:$AJ$528,$B20,'REVIEW - Complete Role Mapping'!$AT$2:$AT$528,$C20,'REVIEW - Complete Role Mapping'!$AR$2:$AR$528,"&lt;&gt;Squad")</f>
        <v>0</v>
      </c>
      <c r="L20" s="1772">
        <f>SUMIFS('REVIEW - Complete Role Mapping'!$AA$2:$AA$528,'REVIEW - Complete Role Mapping'!$AJ$2:$AJ$528,$B20,'REVIEW - Complete Role Mapping'!$AT$2:$AT$528,$C20,'REVIEW - Complete Role Mapping'!$AR$2:$AR$528,"&lt;&gt;Squad")/1000000</f>
        <v>0</v>
      </c>
    </row>
    <row r="21">
      <c r="B21" s="1534" t="inlineStr">
        <is>
          <t>COE SA&amp;D total</t>
        </is>
      </c>
      <c r="C21" s="1534" t="n"/>
      <c r="D21" s="1775">
        <f>SUM(D16:D20)</f>
        <v>26</v>
      </c>
      <c r="E21" s="1775">
        <f>SUM(E16:E20)</f>
        <v>17</v>
      </c>
      <c r="F21" s="1775">
        <f>SUM(F16:F20)</f>
        <v>9</v>
      </c>
      <c r="G21" s="1774">
        <f>SUM(G16:G20)</f>
        <v>6.529494052</v>
      </c>
      <c r="H21" s="1774">
        <f>SUM(H16:H20)</f>
        <v>5.6858791</v>
      </c>
      <c r="I21" s="1774">
        <f>SUM(I16:I20)</f>
        <v>0.843614952</v>
      </c>
      <c r="J21" s="1774">
        <f>SUM(J16:J20)</f>
        <v>0</v>
      </c>
      <c r="K21" s="1775">
        <f>SUM(K16:K20)</f>
        <v>10</v>
      </c>
      <c r="L21" s="1774">
        <f>SUM(L16:L20)</f>
        <v>2.701828336</v>
      </c>
    </row>
    <row r="22">
      <c r="B22" s="1530" t="inlineStr">
        <is>
          <t>EGI</t>
        </is>
      </c>
      <c r="C22" s="1530" t="inlineStr">
        <is>
          <t>EGI</t>
        </is>
      </c>
      <c r="D22" s="1773">
        <f>COUNTIFS('REVIEW - Complete Role Mapping'!$AJ$2:$AJ$528,$B22,'REVIEW - Complete Role Mapping'!$AT$2:$AT$528,$C22)</f>
        <v>17</v>
      </c>
      <c r="E22" s="1773">
        <f>COUNTIFS('REVIEW - Complete Role Mapping'!$AJ$2:$AJ$528,$B22,'REVIEW - Complete Role Mapping'!$AT$2:$AT$528,$C22,'REVIEW - Complete Role Mapping'!$AK$2:$AK$528,"Filled")</f>
        <v>17</v>
      </c>
      <c r="F22" s="1773">
        <f>COUNTIFS('REVIEW - Complete Role Mapping'!$AJ$2:$AJ$528,$B22,'REVIEW - Complete Role Mapping'!$AT$2:$AT$528,$C22,'REVIEW - Complete Role Mapping'!$AK$2:$AK$528,"Vacant")</f>
        <v>0</v>
      </c>
      <c r="G22" s="1772">
        <f>SUMIFS('REVIEW - Complete Role Mapping'!$AA$2:$AA$528,'REVIEW - Complete Role Mapping'!$AJ$2:$AJ$528,$B22,'REVIEW - Complete Role Mapping'!$AT$2:$AT$528,$C22)/1000000</f>
        <v>4.94341935</v>
      </c>
      <c r="H22" s="1772">
        <f>SUMIFS('REVIEW - Complete Role Mapping'!$AA$2:$AA$528,'REVIEW - Complete Role Mapping'!$AJ$2:$AJ$528,$B22,'REVIEW - Complete Role Mapping'!$AT$2:$AT$528,$C22,'REVIEW - Complete Role Mapping'!$M$2:$M$528,"Australia")/1000000</f>
        <v>4.94341935</v>
      </c>
      <c r="I22" s="1772">
        <f>SUMIFS('REVIEW - Complete Role Mapping'!$AA$2:$AA$528,'REVIEW - Complete Role Mapping'!$AJ$2:$AJ$528,$B22,'REVIEW - Complete Role Mapping'!$AT$2:$AT$528,$C22,'REVIEW - Complete Role Mapping'!$AL$2:$AL$528,"NZ")/1000000</f>
        <v>0</v>
      </c>
      <c r="J22" s="1772">
        <f>$G22-$H22-$I22</f>
        <v>0</v>
      </c>
      <c r="K22" s="1773">
        <f>COUNTIFS('REVIEW - Complete Role Mapping'!$AJ$2:$AJ$528,$B22,'REVIEW - Complete Role Mapping'!$AT$2:$AT$528,$C22,'REVIEW - Complete Role Mapping'!$AR$2:$AR$528,"&lt;&gt;Squad")</f>
        <v>0</v>
      </c>
      <c r="L22" s="1772">
        <f>SUMIFS('REVIEW - Complete Role Mapping'!$AA$2:$AA$528,'REVIEW - Complete Role Mapping'!$AJ$2:$AJ$528,$B22,'REVIEW - Complete Role Mapping'!$AT$2:$AT$528,$C22,'REVIEW - Complete Role Mapping'!$AR$2:$AR$528,"&lt;&gt;Squad")/1000000</f>
        <v>0</v>
      </c>
    </row>
    <row r="23">
      <c r="B23" s="1534" t="inlineStr">
        <is>
          <t>EGI total</t>
        </is>
      </c>
      <c r="C23" s="1534" t="n"/>
      <c r="D23" s="1775">
        <f>SUM(D22:D22)</f>
        <v>17</v>
      </c>
      <c r="E23" s="1775">
        <f>SUM(E22:E22)</f>
        <v>17</v>
      </c>
      <c r="F23" s="1775">
        <f>SUM(F22:F22)</f>
        <v>0</v>
      </c>
      <c r="G23" s="1774">
        <f>SUM(G22:G22)</f>
        <v>4.94341935</v>
      </c>
      <c r="H23" s="1774">
        <f>SUM(H22:H22)</f>
        <v>4.94341935</v>
      </c>
      <c r="I23" s="1774">
        <f>SUM(I22:I22)</f>
        <v>0</v>
      </c>
      <c r="J23" s="1774">
        <f>SUM(J22:J22)</f>
        <v>0</v>
      </c>
      <c r="K23" s="1775">
        <f>SUM(K22:K22)</f>
        <v>0</v>
      </c>
      <c r="L23" s="1774">
        <f>SUM(L22:L22)</f>
        <v>0</v>
      </c>
    </row>
    <row r="24">
      <c r="B24" s="1539" t="inlineStr">
        <is>
          <t>COEs and EGI total</t>
        </is>
      </c>
      <c r="C24" s="1539" t="n"/>
      <c r="D24" s="1777">
        <f>D11+D15+D21+D23</f>
        <v>113</v>
      </c>
      <c r="E24" s="1777">
        <f>E11+E15+E21+E23</f>
        <v>91</v>
      </c>
      <c r="F24" s="1777">
        <f>F11+F15+F21+F23</f>
        <v>22</v>
      </c>
      <c r="G24" s="1776">
        <f>G11+G15+G21+G23</f>
        <v>27.771333518</v>
      </c>
      <c r="H24" s="1776">
        <f>H11+H15+H21+H23</f>
        <v>24.46168255</v>
      </c>
      <c r="I24" s="1776">
        <f>I11+I15+I21+I23</f>
        <v>2.643563468</v>
      </c>
      <c r="J24" s="1776">
        <f>J11+J15+J21+J23</f>
        <v>0.6660875</v>
      </c>
      <c r="K24" s="1777">
        <f>K11+K15+K21+K23</f>
        <v>19</v>
      </c>
      <c r="L24" s="1776">
        <f>L11+L15+L21+L23</f>
        <v>6.166535836</v>
      </c>
    </row>
    <row r="25"/>
    <row r="26">
      <c r="B26" s="1530"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0"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0"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L23"/>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activeCell="A1" sqref="A1"/>
      <selection pane="bottomLeft" activeCell="A1" sqref="A1"/>
      <selection pane="bottomRight" activeCell="C7" activeCellId="0" sqref="C7"/>
    </sheetView>
  </sheetViews>
  <sheetFormatPr baseColWidth="8" defaultColWidth="8.5390625" defaultRowHeight="14.25" zeroHeight="0" outlineLevelRow="0"/>
  <cols>
    <col width="2" customWidth="1" style="866" min="1" max="1"/>
    <col width="34" customWidth="1" style="865" min="2" max="2"/>
    <col width="12" customWidth="1" style="865" min="3" max="3"/>
    <col width="12" customWidth="1" style="865" min="4" max="8"/>
    <col width="12" customWidth="1" style="866" min="5" max="5"/>
    <col width="12" customWidth="1" style="866" min="6" max="6"/>
    <col width="12" customWidth="1" style="866" min="7" max="7"/>
    <col width="12" customWidth="1" style="866" min="8" max="8"/>
    <col width="13" customWidth="1" style="865" min="9" max="11"/>
    <col width="13" customWidth="1" style="866" min="10" max="10"/>
    <col width="13" customWidth="1" style="866" min="11" max="11"/>
  </cols>
  <sheetData>
    <row r="1"/>
    <row r="2" ht="18" customHeight="1" s="866">
      <c r="B2" s="1808" t="inlineStr">
        <is>
          <t>Source Reconciliation - the retired Squads tab against REVIEW</t>
        </is>
      </c>
      <c r="C2" s="865" t="n"/>
      <c r="D2" s="865" t="n"/>
      <c r="E2" s="865" t="n"/>
      <c r="F2" s="865" t="n"/>
      <c r="G2" s="865" t="n"/>
      <c r="H2" s="865" t="n"/>
      <c r="I2" s="865" t="n"/>
      <c r="J2" s="865" t="n"/>
      <c r="K2" s="865" t="n"/>
    </row>
    <row r="3" ht="14.25" customHeight="1" s="866">
      <c r="B3" s="1020" t="n"/>
      <c r="C3" s="865" t="n"/>
      <c r="D3" s="865" t="n"/>
      <c r="E3" s="865" t="n"/>
      <c r="F3" s="865" t="n"/>
      <c r="G3" s="865" t="n"/>
      <c r="H3" s="865" t="n"/>
      <c r="I3" s="865" t="n"/>
      <c r="J3" s="865" t="n"/>
      <c r="K3" s="865" t="n"/>
    </row>
    <row r="4" ht="19" customHeight="1" s="866">
      <c r="B4" s="1527" t="inlineStr">
        <is>
          <t>Where the two sources disagree, role by role</t>
        </is>
      </c>
      <c r="C4" s="1528" t="n"/>
      <c r="D4" s="1528" t="n"/>
      <c r="E4" s="1528" t="n"/>
      <c r="F4" s="1528" t="n"/>
      <c r="G4" s="1528" t="n"/>
      <c r="H4" s="1528" t="n"/>
      <c r="I4" s="1528" t="n"/>
      <c r="J4" s="1528" t="n"/>
      <c r="K4" s="1528" t="n"/>
    </row>
    <row r="5" ht="34" customHeight="1" s="866">
      <c r="B5" s="1529" t="inlineStr">
        <is>
          <t>Portfolio</t>
        </is>
      </c>
      <c r="C5" s="1529" t="inlineStr">
        <is>
          <t>Squads roles</t>
        </is>
      </c>
      <c r="D5" s="1529" t="inlineStr">
        <is>
          <t>Squads filled</t>
        </is>
      </c>
      <c r="E5" s="1529" t="inlineStr">
        <is>
          <t>Squads vacant</t>
        </is>
      </c>
      <c r="F5" s="1529" t="inlineStr">
        <is>
          <t>REVIEW roles</t>
        </is>
      </c>
      <c r="G5" s="1529" t="inlineStr">
        <is>
          <t>REVIEW filled</t>
        </is>
      </c>
      <c r="H5" s="1529" t="inlineStr">
        <is>
          <t>REVIEW vacant</t>
        </is>
      </c>
      <c r="I5" s="1529" t="inlineStr">
        <is>
          <t>Difference - roles</t>
        </is>
      </c>
      <c r="J5" s="1529" t="inlineStr">
        <is>
          <t>Difference - filled</t>
        </is>
      </c>
      <c r="K5" s="1529" t="inlineStr">
        <is>
          <t>Difference - vacant</t>
        </is>
      </c>
    </row>
    <row r="6" ht="14.25" customHeight="1" s="866">
      <c r="B6" s="1787" t="inlineStr">
        <is>
          <t>Ampol Retail</t>
        </is>
      </c>
      <c r="C6" s="1789">
        <f>COUNTIF(Squads!$N:$N,"Ampol Retail")</f>
        <v>80</v>
      </c>
      <c r="D6" s="1789">
        <f>C6-E6</f>
        <v>52</v>
      </c>
      <c r="E6" s="1789">
        <f>COUNTIFS(Squads!$N:$N,"Ampol Retail",Squads!$R:$R,"Vacant")</f>
        <v>28</v>
      </c>
      <c r="F6" s="1789">
        <f>COUNTIF('REVIEW - Complete Role Mapping'!$AJ:$AJ,"Ampol Retail")</f>
        <v>70</v>
      </c>
      <c r="G6" s="1789">
        <f>F6-H6</f>
        <v>48</v>
      </c>
      <c r="H6" s="1789">
        <f>COUNTIFS('REVIEW - Complete Role Mapping'!$AJ:$AJ,"Ampol Retail",'REVIEW - Complete Role Mapping'!$AK:$AK,"Vacant")</f>
        <v>22</v>
      </c>
      <c r="I6" s="1789">
        <f>F6-C6</f>
        <v>-10</v>
      </c>
      <c r="J6" s="1789">
        <f>G6-D6</f>
        <v>-4</v>
      </c>
      <c r="K6" s="1789">
        <f>H6-E6</f>
        <v>-6</v>
      </c>
    </row>
    <row r="7" ht="14.25" customHeight="1" s="866">
      <c r="B7" s="1809" t="inlineStr">
        <is>
          <t>Customer</t>
        </is>
      </c>
      <c r="C7" s="1810">
        <f>COUNTIF(Squads!$N:$N,"Customer")</f>
        <v>90</v>
      </c>
      <c r="D7" s="1810">
        <f>C7-E7</f>
        <v>69</v>
      </c>
      <c r="E7" s="1810">
        <f>COUNTIFS(Squads!$N:$N,"Customer",Squads!$R:$R,"Vacant")</f>
        <v>21</v>
      </c>
      <c r="F7" s="1810">
        <f>COUNTIF('REVIEW - Complete Role Mapping'!$AJ:$AJ,"Customer")</f>
        <v>83</v>
      </c>
      <c r="G7" s="1810">
        <f>F7-H7</f>
        <v>70</v>
      </c>
      <c r="H7" s="1810">
        <f>COUNTIFS('REVIEW - Complete Role Mapping'!$AJ:$AJ,"Customer",'REVIEW - Complete Role Mapping'!$AK:$AK,"Vacant")</f>
        <v>13</v>
      </c>
      <c r="I7" s="1810">
        <f>F7-C7</f>
        <v>-7</v>
      </c>
      <c r="J7" s="1810">
        <f>G7-D7</f>
        <v>1</v>
      </c>
      <c r="K7" s="1810">
        <f>H7-E7</f>
        <v>-8</v>
      </c>
    </row>
    <row r="8" ht="14.25" customHeight="1" s="866">
      <c r="B8" s="1787" t="inlineStr">
        <is>
          <t>Enterprise Data</t>
        </is>
      </c>
      <c r="C8" s="1789">
        <f>COUNTIF(Squads!$N:$N,"Enterprise Data")</f>
        <v>30</v>
      </c>
      <c r="D8" s="1789">
        <f>C8-E8</f>
        <v>16</v>
      </c>
      <c r="E8" s="1789">
        <f>COUNTIFS(Squads!$N:$N,"Enterprise Data",Squads!$R:$R,"Vacant")</f>
        <v>14</v>
      </c>
      <c r="F8" s="1789">
        <f>COUNTIF('REVIEW - Complete Role Mapping'!$AJ:$AJ,"Enterprise Data")</f>
        <v>28</v>
      </c>
      <c r="G8" s="1789">
        <f>F8-H8</f>
        <v>19</v>
      </c>
      <c r="H8" s="1789">
        <f>COUNTIFS('REVIEW - Complete Role Mapping'!$AJ:$AJ,"Enterprise Data",'REVIEW - Complete Role Mapping'!$AK:$AK,"Vacant")</f>
        <v>9</v>
      </c>
      <c r="I8" s="1789">
        <f>F8-C8</f>
        <v>-2</v>
      </c>
      <c r="J8" s="1789">
        <f>G8-D8</f>
        <v>3</v>
      </c>
      <c r="K8" s="1789">
        <f>H8-E8</f>
        <v>-5</v>
      </c>
    </row>
    <row r="9" ht="14.25" customHeight="1" s="866">
      <c r="B9" s="1809" t="inlineStr">
        <is>
          <t>TDD Group Functions</t>
        </is>
      </c>
      <c r="C9" s="1810">
        <f>COUNTIF(Squads!$N:$N,"TDD Group Functions")</f>
        <v>45</v>
      </c>
      <c r="D9" s="1810">
        <f>C9-E9</f>
        <v>31</v>
      </c>
      <c r="E9" s="1810">
        <f>COUNTIFS(Squads!$N:$N,"TDD Group Functions",Squads!$R:$R,"Vacant")</f>
        <v>14</v>
      </c>
      <c r="F9" s="1810">
        <f>COUNTIF('REVIEW - Complete Role Mapping'!$AJ:$AJ,"TDD Group Functions")</f>
        <v>46</v>
      </c>
      <c r="G9" s="1810">
        <f>F9-H9</f>
        <v>32</v>
      </c>
      <c r="H9" s="1810">
        <f>COUNTIFS('REVIEW - Complete Role Mapping'!$AJ:$AJ,"TDD Group Functions",'REVIEW - Complete Role Mapping'!$AK:$AK,"Vacant")</f>
        <v>14</v>
      </c>
      <c r="I9" s="1810">
        <f>F9-C9</f>
        <v>1</v>
      </c>
      <c r="J9" s="1810">
        <f>G9-D9</f>
        <v>1</v>
      </c>
      <c r="K9" s="1810">
        <f>H9-E9</f>
        <v>0</v>
      </c>
    </row>
    <row r="10" ht="14.25" customHeight="1" s="866">
      <c r="B10" s="1787" t="inlineStr">
        <is>
          <t>P&amp;C</t>
        </is>
      </c>
      <c r="C10" s="1789">
        <f>COUNTIF(Squads!$N:$N,"P&amp;C")</f>
        <v>18</v>
      </c>
      <c r="D10" s="1789">
        <f>C10-E10</f>
        <v>9</v>
      </c>
      <c r="E10" s="1789">
        <f>COUNTIFS(Squads!$N:$N,"P&amp;C",Squads!$R:$R,"Vacant")</f>
        <v>9</v>
      </c>
      <c r="F10" s="1789">
        <f>COUNTIF('REVIEW - Complete Role Mapping'!$AJ:$AJ,"P&amp;C")</f>
        <v>18</v>
      </c>
      <c r="G10" s="1789">
        <f>F10-H10</f>
        <v>8</v>
      </c>
      <c r="H10" s="1789">
        <f>COUNTIFS('REVIEW - Complete Role Mapping'!$AJ:$AJ,"P&amp;C",'REVIEW - Complete Role Mapping'!$AK:$AK,"Vacant")</f>
        <v>10</v>
      </c>
      <c r="I10" s="1789">
        <f>F10-C10</f>
        <v>0</v>
      </c>
      <c r="J10" s="1789">
        <f>G10-D10</f>
        <v>-1</v>
      </c>
      <c r="K10" s="1789">
        <f>H10-E10</f>
        <v>1</v>
      </c>
    </row>
    <row r="11" ht="14.25" customHeight="1" s="866">
      <c r="B11" s="1809" t="inlineStr">
        <is>
          <t>Finance</t>
        </is>
      </c>
      <c r="C11" s="1810">
        <f>COUNTIF(Squads!$N:$N,"Finance")</f>
        <v>16</v>
      </c>
      <c r="D11" s="1810">
        <f>C11-E11</f>
        <v>8</v>
      </c>
      <c r="E11" s="1810">
        <f>COUNTIFS(Squads!$N:$N,"Finance",Squads!$R:$R,"Vacant")</f>
        <v>8</v>
      </c>
      <c r="F11" s="1810">
        <f>COUNTIF('REVIEW - Complete Role Mapping'!$AJ:$AJ,"Finance")</f>
        <v>17</v>
      </c>
      <c r="G11" s="1810">
        <f>F11-H11</f>
        <v>9</v>
      </c>
      <c r="H11" s="1810">
        <f>COUNTIFS('REVIEW - Complete Role Mapping'!$AJ:$AJ,"Finance",'REVIEW - Complete Role Mapping'!$AK:$AK,"Vacant")</f>
        <v>8</v>
      </c>
      <c r="I11" s="1810">
        <f>F11-C11</f>
        <v>1</v>
      </c>
      <c r="J11" s="1810">
        <f>G11-D11</f>
        <v>1</v>
      </c>
      <c r="K11" s="1810">
        <f>H11-E11</f>
        <v>0</v>
      </c>
    </row>
    <row r="12" ht="14.25" customHeight="1" s="866">
      <c r="B12" s="1787" t="inlineStr">
        <is>
          <t>Infrastructure</t>
        </is>
      </c>
      <c r="C12" s="1789">
        <f>COUNTIF(Squads!$N:$N,"Infrastructure")</f>
        <v>35</v>
      </c>
      <c r="D12" s="1789">
        <f>C12-E12</f>
        <v>21</v>
      </c>
      <c r="E12" s="1789">
        <f>COUNTIFS(Squads!$N:$N,"Infrastructure",Squads!$R:$R,"Vacant")</f>
        <v>14</v>
      </c>
      <c r="F12" s="1789">
        <f>COUNTIF('REVIEW - Complete Role Mapping'!$AJ:$AJ,"Infrastructure")</f>
        <v>36</v>
      </c>
      <c r="G12" s="1789">
        <f>F12-H12</f>
        <v>24</v>
      </c>
      <c r="H12" s="1789">
        <f>COUNTIFS('REVIEW - Complete Role Mapping'!$AJ:$AJ,"Infrastructure",'REVIEW - Complete Role Mapping'!$AK:$AK,"Vacant")</f>
        <v>12</v>
      </c>
      <c r="I12" s="1789">
        <f>F12-C12</f>
        <v>1</v>
      </c>
      <c r="J12" s="1789">
        <f>G12-D12</f>
        <v>3</v>
      </c>
      <c r="K12" s="1789">
        <f>H12-E12</f>
        <v>-2</v>
      </c>
    </row>
    <row r="13" ht="14.25" customHeight="1" s="866">
      <c r="B13" s="1809" t="inlineStr">
        <is>
          <t>Energy Solutions &amp; B2B</t>
        </is>
      </c>
      <c r="C13" s="1810">
        <f>COUNTIF(Squads!$N:$N,"Energy Solutions &amp; B2B")</f>
        <v>37</v>
      </c>
      <c r="D13" s="1810">
        <f>C13-E13</f>
        <v>25</v>
      </c>
      <c r="E13" s="1810">
        <f>COUNTIFS(Squads!$N:$N,"Energy Solutions &amp; B2B",Squads!$R:$R,"Vacant")</f>
        <v>12</v>
      </c>
      <c r="F13" s="1810">
        <f>COUNTIF('REVIEW - Complete Role Mapping'!$AJ:$AJ,"Energy Solutions &amp; B2B")</f>
        <v>33</v>
      </c>
      <c r="G13" s="1810">
        <f>F13-H13</f>
        <v>24</v>
      </c>
      <c r="H13" s="1810">
        <f>COUNTIFS('REVIEW - Complete Role Mapping'!$AJ:$AJ,"Energy Solutions &amp; B2B",'REVIEW - Complete Role Mapping'!$AK:$AK,"Vacant")</f>
        <v>9</v>
      </c>
      <c r="I13" s="1810">
        <f>F13-C13</f>
        <v>-4</v>
      </c>
      <c r="J13" s="1810">
        <f>G13-D13</f>
        <v>-1</v>
      </c>
      <c r="K13" s="1810">
        <f>H13-E13</f>
        <v>-3</v>
      </c>
    </row>
    <row r="14" ht="14.25" customHeight="1" s="866">
      <c r="B14" s="1787" t="inlineStr">
        <is>
          <t>Commercial Fuels</t>
        </is>
      </c>
      <c r="C14" s="1789">
        <f>COUNTIF(Squads!$N:$N,"Commercial Fuels")</f>
        <v>42</v>
      </c>
      <c r="D14" s="1789">
        <f>C14-E14</f>
        <v>32</v>
      </c>
      <c r="E14" s="1789">
        <f>COUNTIFS(Squads!$N:$N,"Commercial Fuels",Squads!$R:$R,"Vacant")</f>
        <v>10</v>
      </c>
      <c r="F14" s="1789">
        <f>COUNTIF('REVIEW - Complete Role Mapping'!$AJ:$AJ,"Commercial Fuels")</f>
        <v>42</v>
      </c>
      <c r="G14" s="1789">
        <f>F14-H14</f>
        <v>33</v>
      </c>
      <c r="H14" s="1789">
        <f>COUNTIFS('REVIEW - Complete Role Mapping'!$AJ:$AJ,"Commercial Fuels",'REVIEW - Complete Role Mapping'!$AK:$AK,"Vacant")</f>
        <v>9</v>
      </c>
      <c r="I14" s="1789">
        <f>F14-C14</f>
        <v>0</v>
      </c>
      <c r="J14" s="1789">
        <f>G14-D14</f>
        <v>1</v>
      </c>
      <c r="K14" s="1789">
        <f>H14-E14</f>
        <v>-1</v>
      </c>
    </row>
    <row r="15" ht="14.25" customHeight="1" s="866">
      <c r="B15" s="1809" t="inlineStr">
        <is>
          <t>Z Retail</t>
        </is>
      </c>
      <c r="C15" s="1810">
        <f>COUNTIF(Squads!$N:$N,"Z Retail")</f>
        <v>34</v>
      </c>
      <c r="D15" s="1810">
        <f>C15-E15</f>
        <v>28</v>
      </c>
      <c r="E15" s="1810">
        <f>COUNTIFS(Squads!$N:$N,"Z Retail",Squads!$R:$R,"Vacant")</f>
        <v>6</v>
      </c>
      <c r="F15" s="1810">
        <f>COUNTIF('REVIEW - Complete Role Mapping'!$AJ:$AJ,"Z Retail")</f>
        <v>39</v>
      </c>
      <c r="G15" s="1810">
        <f>F15-H15</f>
        <v>32</v>
      </c>
      <c r="H15" s="1810">
        <f>COUNTIFS('REVIEW - Complete Role Mapping'!$AJ:$AJ,"Z Retail",'REVIEW - Complete Role Mapping'!$AK:$AK,"Vacant")</f>
        <v>7</v>
      </c>
      <c r="I15" s="1810">
        <f>F15-C15</f>
        <v>5</v>
      </c>
      <c r="J15" s="1810">
        <f>G15-D15</f>
        <v>4</v>
      </c>
      <c r="K15" s="1810">
        <f>H15-E15</f>
        <v>1</v>
      </c>
    </row>
    <row r="16" ht="14.25" customHeight="1" s="866">
      <c r="B16" s="1787" t="inlineStr">
        <is>
          <t>COE - Cyber</t>
        </is>
      </c>
      <c r="C16" s="1789">
        <f>COUNTIF(Squads!$N:$N,"TDD Cyber")</f>
        <v>48</v>
      </c>
      <c r="D16" s="1789">
        <f>C16-E16</f>
        <v>40</v>
      </c>
      <c r="E16" s="1789">
        <f>COUNTIFS(Squads!$N:$N,"TDD Cyber",Squads!$R:$R,"Vacant")</f>
        <v>8</v>
      </c>
      <c r="F16" s="1789">
        <f>COUNTIF('REVIEW - Complete Role Mapping'!$AJ:$AJ,"COE Cyber")</f>
        <v>46</v>
      </c>
      <c r="G16" s="1789">
        <f>F16-H16</f>
        <v>42</v>
      </c>
      <c r="H16" s="1789">
        <f>COUNTIFS('REVIEW - Complete Role Mapping'!$AJ:$AJ,"COE Cyber",'REVIEW - Complete Role Mapping'!$AK:$AK,"Vacant")</f>
        <v>4</v>
      </c>
      <c r="I16" s="1789">
        <f>F16-C16</f>
        <v>-2</v>
      </c>
      <c r="J16" s="1789">
        <f>G16-D16</f>
        <v>2</v>
      </c>
      <c r="K16" s="1789">
        <f>H16-E16</f>
        <v>-4</v>
      </c>
    </row>
    <row r="17" ht="14.25" customHeight="1" s="866">
      <c r="B17" s="1809" t="inlineStr">
        <is>
          <t>COE - Partnering, Strategy, Arch &amp; Data</t>
        </is>
      </c>
      <c r="C17" s="1810">
        <f>COUNTIF(Squads!$N:$N,"COE")</f>
        <v>52</v>
      </c>
      <c r="D17" s="1810">
        <f>C17-E17</f>
        <v>31</v>
      </c>
      <c r="E17" s="1810">
        <f>COUNTIFS(Squads!$N:$N,"COE",Squads!$R:$R,"Vacant")</f>
        <v>21</v>
      </c>
      <c r="F17" s="1810">
        <f>COUNTIF('REVIEW - Complete Role Mapping'!$AJ:$AJ,"COE BP&amp;T")+COUNTIF('REVIEW - Complete Role Mapping'!$AJ:$AJ,"COE SA&amp;D")</f>
        <v>50</v>
      </c>
      <c r="G17" s="1810">
        <f>F17-H17</f>
        <v>32</v>
      </c>
      <c r="H17" s="1810">
        <f>COUNTIFS('REVIEW - Complete Role Mapping'!$AJ:$AJ,"COE BP&amp;T",'REVIEW - Complete Role Mapping'!$AK:$AK,"Vacant")+COUNTIFS('REVIEW - Complete Role Mapping'!$AJ:$AJ,"COE SA&amp;D",'REVIEW - Complete Role Mapping'!$AK:$AK,"Vacant")</f>
        <v>18</v>
      </c>
      <c r="I17" s="1810">
        <f>F17-C17</f>
        <v>-2</v>
      </c>
      <c r="J17" s="1810">
        <f>G17-D17</f>
        <v>1</v>
      </c>
      <c r="K17" s="1810">
        <f>H17-E17</f>
        <v>-3</v>
      </c>
    </row>
    <row r="18" ht="14.25" customHeight="1" s="866">
      <c r="B18" s="1787" t="inlineStr">
        <is>
          <t>EGI</t>
        </is>
      </c>
      <c r="C18" s="1789">
        <f>COUNTIF(Squads!$N:$N,"EGI")</f>
        <v>5</v>
      </c>
      <c r="D18" s="1789">
        <f>C18-E18</f>
        <v>5</v>
      </c>
      <c r="E18" s="1789">
        <f>COUNTIFS(Squads!$N:$N,"EGI",Squads!$R:$R,"Vacant")</f>
        <v>0</v>
      </c>
      <c r="F18" s="1789">
        <f>COUNTIF('REVIEW - Complete Role Mapping'!$AJ:$AJ,"EGI")</f>
        <v>17</v>
      </c>
      <c r="G18" s="1789">
        <f>F18-H18</f>
        <v>17</v>
      </c>
      <c r="H18" s="1789">
        <f>COUNTIFS('REVIEW - Complete Role Mapping'!$AJ:$AJ,"EGI",'REVIEW - Complete Role Mapping'!$AK:$AK,"Vacant")</f>
        <v>0</v>
      </c>
      <c r="I18" s="1789">
        <f>F18-C18</f>
        <v>12</v>
      </c>
      <c r="J18" s="1789">
        <f>G18-D18</f>
        <v>12</v>
      </c>
      <c r="K18" s="1789">
        <f>H18-E18</f>
        <v>0</v>
      </c>
    </row>
    <row r="19" ht="14.25" customHeight="1" s="866">
      <c r="B19" s="1809" t="inlineStr">
        <is>
          <t>Unmapped (Squads only)</t>
        </is>
      </c>
      <c r="C19" s="1810">
        <f>COUNTIF(Squads!$N:$N,"Unmapped")</f>
        <v>4</v>
      </c>
      <c r="D19" s="1810">
        <f>C19-E19</f>
        <v>3</v>
      </c>
      <c r="E19" s="1810">
        <f>COUNTIFS(Squads!$N:$N,"Unmapped",Squads!$R:$R,"Vacant")</f>
        <v>1</v>
      </c>
      <c r="F19" s="1810">
        <f>0</f>
        <v>0</v>
      </c>
      <c r="G19" s="1810">
        <f>F19-H19</f>
        <v>0</v>
      </c>
      <c r="H19" s="1810">
        <f>0</f>
        <v>0</v>
      </c>
      <c r="I19" s="1810">
        <f>F19-C19</f>
        <v>-4</v>
      </c>
      <c r="J19" s="1810">
        <f>G19-D19</f>
        <v>-3</v>
      </c>
      <c r="K19" s="1810">
        <f>H19-E19</f>
        <v>-1</v>
      </c>
    </row>
    <row r="20" ht="14.25" customHeight="1" s="866">
      <c r="B20" s="1811" t="inlineStr">
        <is>
          <t>Total</t>
        </is>
      </c>
      <c r="C20" s="1812">
        <f>SUM(C6:C19)</f>
        <v>536</v>
      </c>
      <c r="D20" s="1812">
        <f>SUM(D6:D19)</f>
        <v>370</v>
      </c>
      <c r="E20" s="1812">
        <f>SUM(E6:E19)</f>
        <v>166</v>
      </c>
      <c r="F20" s="1812">
        <f>SUM(F6:F19)</f>
        <v>525</v>
      </c>
      <c r="G20" s="1812">
        <f>SUM(G6:G19)</f>
        <v>390</v>
      </c>
      <c r="H20" s="1812">
        <f>SUM(H6:H19)</f>
        <v>135</v>
      </c>
      <c r="I20" s="1812">
        <f>SUM(I6:I19)</f>
        <v>-11</v>
      </c>
      <c r="J20" s="1812">
        <f>SUM(J6:J19)</f>
        <v>20</v>
      </c>
      <c r="K20" s="1812">
        <f>SUM(K6:K19)</f>
        <v>-31</v>
      </c>
    </row>
    <row r="21"/>
    <row r="22" ht="14.25" customHeight="1" s="866">
      <c r="B22" s="1552" t="n"/>
      <c r="C22" s="865" t="n"/>
      <c r="D22" s="865" t="n"/>
      <c r="E22" s="865" t="n"/>
      <c r="F22" s="865" t="n"/>
      <c r="G22" s="865" t="n"/>
      <c r="H22" s="865" t="n"/>
      <c r="I22" s="865" t="n"/>
      <c r="J22" s="865" t="n"/>
      <c r="K22" s="865" t="n"/>
    </row>
    <row r="23" ht="14.25" customHeight="1" s="866">
      <c r="B23" s="1552" t="n"/>
      <c r="C23" s="865" t="n"/>
      <c r="D23" s="865" t="n"/>
      <c r="E23" s="865" t="n"/>
      <c r="F23" s="865" t="n"/>
      <c r="G23" s="865" t="n"/>
      <c r="H23" s="865" t="n"/>
      <c r="I23" s="865" t="n"/>
      <c r="J23" s="865" t="n"/>
      <c r="K23" s="865"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tabColor rgb="FF375623"/>
    <outlinePr summaryBelow="1" summaryRight="1"/>
    <pageSetUpPr fitToPage="1"/>
  </sheetPr>
  <dimension ref="A1:E60"/>
  <sheetViews>
    <sheetView showFormulas="0" showGridLines="0" showRowColHeaders="1" showZeros="1" rightToLeft="0" tabSelected="0" showOutlineSymbols="1" defaultGridColor="1" view="normal" topLeftCell="A66" colorId="64" zoomScale="100" zoomScaleNormal="100" zoomScalePageLayoutView="100" workbookViewId="0">
      <pane xSplit="2" ySplit="4" topLeftCell="C5" activePane="bottomRight" state="frozen"/>
      <selection pane="topRight" activeCell="A1" sqref="A1"/>
      <selection pane="bottomLeft" activeCell="A1" sqref="A1"/>
      <selection pane="bottomRigh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7" t="inlineStr">
        <is>
          <t>Roles on 3.1 against the ledger</t>
        </is>
      </c>
      <c r="C5" s="1789">
        <f>'3.1 Group Summary'!$G$38</f>
        <v>525</v>
      </c>
      <c r="D5" s="1789">
        <f>COUNTA('REVIEW - Complete Role Mapping'!$B$2:$B$528)</f>
        <v>525</v>
      </c>
      <c r="E5" s="1804">
        <f>ROUND($C5-$D5,6)</f>
        <v>0</v>
      </c>
    </row>
    <row r="6">
      <c r="B6" s="1787" t="inlineStr">
        <is>
          <t>Filled on 3.1 against the ledger</t>
        </is>
      </c>
      <c r="C6" s="1789">
        <f>'3.1 Group Summary'!$H$38</f>
        <v>390</v>
      </c>
      <c r="D6" s="1789">
        <f>COUNTIFS('REVIEW - Complete Role Mapping'!$AK$2:$AK$528,"Filled")</f>
        <v>390</v>
      </c>
      <c r="E6" s="1804">
        <f>ROUND($C6-$D6,6)</f>
        <v>0</v>
      </c>
    </row>
    <row r="7">
      <c r="B7" s="1787" t="inlineStr">
        <is>
          <t>Vacant on 3.1 against the ledger</t>
        </is>
      </c>
      <c r="C7" s="1789">
        <f>'3.1 Group Summary'!$I$38</f>
        <v>135</v>
      </c>
      <c r="D7" s="1789">
        <f>COUNTIFS('REVIEW - Complete Role Mapping'!$AK$2:$AK$528,"Vacant")</f>
        <v>135</v>
      </c>
      <c r="E7" s="1804">
        <f>ROUND($C7-$D7,6)</f>
        <v>0</v>
      </c>
    </row>
    <row r="8">
      <c r="B8" s="1787" t="inlineStr">
        <is>
          <t>Filled plus vacant against roles on 3.1</t>
        </is>
      </c>
      <c r="C8" s="1789">
        <f>'3.1 Group Summary'!$H$38+'3.1 Group Summary'!$I$38</f>
        <v>525</v>
      </c>
      <c r="D8" s="1789">
        <f>'3.1 Group Summary'!$G$38</f>
        <v>525</v>
      </c>
      <c r="E8" s="1804">
        <f>ROUND($C8-$D8,6)</f>
        <v>0</v>
      </c>
    </row>
    <row r="9">
      <c r="B9" s="1787" t="inlineStr">
        <is>
          <t>Cost on 3.1 against the ledger ($m)</t>
        </is>
      </c>
      <c r="C9" s="1790">
        <f>'3.1 Group Summary'!$D$38</f>
        <v>115.1132622681</v>
      </c>
      <c r="D9" s="1790">
        <f>SUM('REVIEW - Complete Role Mapping'!$AA$2:$AA$528)/1000000</f>
        <v>115.1132622681</v>
      </c>
      <c r="E9" s="1805">
        <f>ROUND($C9-$D9,6)</f>
        <v>0</v>
      </c>
    </row>
    <row r="10">
      <c r="B10" s="1787" t="inlineStr">
        <is>
          <t>People in seat plus vacancies against cost today ($m)</t>
        </is>
      </c>
      <c r="C10" s="1790">
        <f>(SUMIFS('REVIEW - Complete Role Mapping'!$AA$2:$AA$528,'REVIEW - Complete Role Mapping'!$AK$2:$AK$528,"Filled")+SUMIFS('REVIEW - Complete Role Mapping'!$AA$2:$AA$528,'REVIEW - Complete Role Mapping'!$AK$2:$AK$528,"Vacant"))/1000000</f>
        <v>115.1132622681</v>
      </c>
      <c r="D10" s="1790">
        <f>'3.1 Group Summary'!$D$38</f>
        <v>115.1132622681</v>
      </c>
      <c r="E10" s="1805">
        <f>ROUND($C10-$D10,6)</f>
        <v>0</v>
      </c>
    </row>
    <row r="11">
      <c r="B11" s="1787" t="inlineStr">
        <is>
          <t>Roles on 3.3 against 3.1</t>
        </is>
      </c>
      <c r="C11" s="1789">
        <f>'3.3 Squad Detail'!$H$110</f>
        <v>525</v>
      </c>
      <c r="D11" s="1789">
        <f>'3.1 Group Summary'!$G$38</f>
        <v>525</v>
      </c>
      <c r="E11" s="1804">
        <f>ROUND($C11-$D11,6)</f>
        <v>0</v>
      </c>
    </row>
    <row r="12">
      <c r="B12" s="1787" t="inlineStr">
        <is>
          <t>Cost on 3.3 against 3.1 ($m)</t>
        </is>
      </c>
      <c r="C12" s="1790">
        <f>'3.3 Squad Detail'!$M$110</f>
        <v>115.1132622681</v>
      </c>
      <c r="D12" s="1790">
        <f>'3.1 Group Summary'!$D$38</f>
        <v>115.1132622681</v>
      </c>
      <c r="E12" s="1805">
        <f>ROUND($C12-$D12,6)</f>
        <v>0</v>
      </c>
    </row>
    <row r="13">
      <c r="B13" s="1787" t="inlineStr">
        <is>
          <t>Cost on 3.2 against 3.1 ($m)</t>
        </is>
      </c>
      <c r="C13" s="1790">
        <f>'3.2 Total Cost'!$D$10</f>
        <v>115.1132622681</v>
      </c>
      <c r="D13" s="1790">
        <f>'3.1 Group Summary'!$D$38</f>
        <v>115.1132622681</v>
      </c>
      <c r="E13" s="1805">
        <f>ROUND($C13-$D13,6)</f>
        <v>0</v>
      </c>
    </row>
    <row r="14">
      <c r="B14" s="1787" t="inlineStr">
        <is>
          <t>Archetype cost on 3.2 against 3.1 ($m)</t>
        </is>
      </c>
      <c r="C14" s="1790">
        <f>'3.2 Total Cost'!$C$10</f>
        <v>108.7351574</v>
      </c>
      <c r="D14" s="1790">
        <f>'3.1 Group Summary'!$C$38</f>
        <v>108.7351574</v>
      </c>
      <c r="E14" s="1805">
        <f>ROUND($C14-$D14,6)</f>
        <v>0</v>
      </c>
    </row>
    <row r="15">
      <c r="B15" s="1787" t="inlineStr">
        <is>
          <t>Archetype cost, squad by squad on 3.3, against 3.1 ($m)</t>
        </is>
      </c>
      <c r="C15" s="1790">
        <f>SUMIFS('3.3 Squad Detail'!$L$6:$L$109,'3.3 Squad Detail'!$C$6:$C$109,"Archetype")</f>
        <v>64.2</v>
      </c>
      <c r="D15" s="1790">
        <f>'3.1 Group Summary'!$C$20</f>
        <v>64.2</v>
      </c>
      <c r="E15" s="1805">
        <f>ROUND($C15-$D15,6)</f>
        <v>0</v>
      </c>
    </row>
    <row r="16">
      <c r="B16" s="1787" t="inlineStr">
        <is>
          <t>Directly funded amount, squad by squad on 3.3, against 3.1 ($m)</t>
        </is>
      </c>
      <c r="C16" s="1790">
        <f>SUMIFS('3.3 Squad Detail'!$L$6:$L$109,'3.3 Squad Detail'!$C$6:$C$109,"Directly funded")</f>
        <v>38.2101574</v>
      </c>
      <c r="D16" s="1790">
        <f>'3.1 Group Summary'!$C$29+'3.1 Group Summary'!$C$35</f>
        <v>38.2101574</v>
      </c>
      <c r="E16" s="1805">
        <f>ROUND($C16-$D16,6)</f>
        <v>0</v>
      </c>
    </row>
    <row r="17">
      <c r="B17" s="1787" t="inlineStr">
        <is>
          <t>Archetype roles on 3.3 against the priced-per-portfolio list on Lists</t>
        </is>
      </c>
      <c r="C17" s="1806">
        <f>SUMIFS('3.3 Squad Detail'!$G$6:$G$109,'3.3 Squad Detail'!$C$6:$C$109,"Archetype")</f>
        <v>299</v>
      </c>
      <c r="D17" s="1806">
        <f>SUM(Lists!$K$2:$K$11)</f>
        <v>299</v>
      </c>
      <c r="E17" s="1804">
        <f>ROUND($C17-$D17,6)</f>
        <v>0</v>
      </c>
    </row>
    <row r="18">
      <c r="B18" s="1787" t="inlineStr">
        <is>
          <t>Offshore archetype against 40% of onshore, first archetype</t>
        </is>
      </c>
      <c r="C18" s="1806">
        <f>ROUND('0.3 Squad Archetypes'!$H$5/'0.3 Squad Archetypes'!$G$5,6)</f>
        <v>0.4</v>
      </c>
      <c r="D18" s="1806">
        <f>ROUND('0.3 Squad Archetypes'!$K$5,6)</f>
        <v>0.4</v>
      </c>
      <c r="E18" s="1804">
        <f>ROUND($C18-$D18,6)</f>
        <v>0</v>
      </c>
    </row>
    <row r="19">
      <c r="B19" s="1787" t="inlineStr">
        <is>
          <t>Overhead allowance on 3.2 against Lists ($m)</t>
        </is>
      </c>
      <c r="C19" s="1790">
        <f>'3.2 Total Cost'!$E$22</f>
        <v>12.925</v>
      </c>
      <c r="D19" s="1790">
        <f>N(Lists!$AJ$8)</f>
        <v>12.925</v>
      </c>
      <c r="E19" s="1805">
        <f>ROUND($C19-$D19,6)</f>
        <v>0</v>
      </c>
    </row>
    <row r="20">
      <c r="B20" s="1787" t="inlineStr">
        <is>
          <t>Allowance drawn in the portfolios against the lines that draw it ($m)</t>
        </is>
      </c>
      <c r="C20" s="1790">
        <f>N(Lists!$AJ$9)</f>
        <v>6.325</v>
      </c>
      <c r="D20" s="1790">
        <f>SUMIF(Lists!$AM$2:$AM$7,"Yes",Lists!$AJ$2:$AJ$7)</f>
        <v>6.325</v>
      </c>
      <c r="E20" s="1805">
        <f>ROUND($C20-$D20,6)</f>
        <v>0</v>
      </c>
    </row>
    <row r="21">
      <c r="B21" s="1787" t="inlineStr">
        <is>
          <t>Overhead roles in the portfolios plus those inside the COEs against every overhead role</t>
        </is>
      </c>
      <c r="C21" s="1789">
        <f>'3.2 Total Cost'!$F$23+'3.2 Total Cost'!$I$22</f>
        <v>62</v>
      </c>
      <c r="D21" s="1789">
        <f>COUNTIFS('REVIEW - Complete Role Mapping'!$AR$2:$AR$528,"&lt;&gt;Squad",'REVIEW - Complete Role Mapping'!$B$2:$B$528,"&lt;&gt;")</f>
        <v>62</v>
      </c>
      <c r="E21" s="1804">
        <f>ROUND($C21-$D21,6)</f>
        <v>0</v>
      </c>
    </row>
    <row r="22">
      <c r="B22" s="1787" t="inlineStr">
        <is>
          <t>Overhead cost in the portfolios plus inside the COEs against every overhead role ($m)</t>
        </is>
      </c>
      <c r="C22" s="1790">
        <f>'3.2 Total Cost'!$G$23+'3.2 Total Cost'!$J$22</f>
        <v>17.820765991</v>
      </c>
      <c r="D22" s="1790">
        <f>SUMIFS('REVIEW - Complete Role Mapping'!$AA$2:$AA$528,'REVIEW - Complete Role Mapping'!$AR$2:$AR$528,"&lt;&gt;Squad",'REVIEW - Complete Role Mapping'!$B$2:$B$528,"&lt;&gt;")/1000000</f>
        <v>17.820765991</v>
      </c>
      <c r="E22" s="1805">
        <f>ROUND($C22-$D22,6)</f>
        <v>0</v>
      </c>
    </row>
    <row r="23">
      <c r="B23" s="1787" t="inlineStr">
        <is>
          <t>Overhead on 3.1 against the portfolio lines on 3.2 ($m)</t>
        </is>
      </c>
      <c r="C23" s="1790">
        <f>'3.1 Group Summary'!$D$36</f>
        <v>11.654230155</v>
      </c>
      <c r="D23" s="1790">
        <f>'3.2 Total Cost'!$G$23</f>
        <v>11.654230155</v>
      </c>
      <c r="E23" s="1805">
        <f>ROUND($C23-$D23,6)</f>
        <v>0</v>
      </c>
    </row>
    <row r="24">
      <c r="B24" s="1787" t="inlineStr">
        <is>
          <t>Roles after decisions against roles less anything on hold</t>
        </is>
      </c>
      <c r="C24" s="1789">
        <f>'3.1 Group Summary'!$J$38</f>
        <v>525</v>
      </c>
      <c r="D24" s="1789">
        <f>'3.1 Group Summary'!$G$38-N('2.1 Ampol Retail'!$K$30)-N('2.2 Customer'!$K$29)-N('2.3 Enterprise Data'!$K$23)-N('2.4 TDD Group Functions'!$K$25)-N('2.5 P&amp;C'!$K$23)-N('2.6 Finance'!$K$21)-N('2.7 Infrastructure'!$K$25)-N('2.8 Energy Solutions &amp; B2B'!$K$24)-N('2.9 Commercial Fuels'!$K$24)-N('2.10 Z Retail'!$K$25)-N('2.11 COE Cyber'!$K$24)-N('2.12 BP&amp;T'!$K$22)-N('2.13 SA&amp;D'!$K$24)-N('2.14 EGI'!$K$20)</f>
        <v>525</v>
      </c>
      <c r="E24" s="1804">
        <f>ROUND($C24-$D24,6)</f>
        <v>0</v>
      </c>
    </row>
    <row r="25">
      <c r="B25" s="1787" t="inlineStr">
        <is>
          <t>Cost after decisions against cost today, with no lever pulled ($m)</t>
        </is>
      </c>
      <c r="C25" s="1790">
        <f>'3.1 Group Summary'!$F$38</f>
        <v>115.1132622681</v>
      </c>
      <c r="D25" s="1790">
        <f>'3.1 Group Summary'!$D$38</f>
        <v>115.1132622681</v>
      </c>
      <c r="E25" s="1805">
        <f>ROUND($C25-$D25,6)</f>
        <v>0</v>
      </c>
    </row>
    <row r="26">
      <c r="B26" s="1787" t="inlineStr">
        <is>
          <t>1.11 BP&amp;T planned spend against the ledger ($m)</t>
        </is>
      </c>
      <c r="C26" s="1790">
        <f>'1.11 BP&amp;T'!$F$6+'1.11 BP&amp;T'!$F$7</f>
        <v>6.400561822</v>
      </c>
      <c r="D26" s="1790">
        <f>SUMIFS('REVIEW - Complete Role Mapping'!$AA$2:$AA$528,'REVIEW - Complete Role Mapping'!$AJ$2:$AJ$528,"COE BP&amp;T")/1000000</f>
        <v>6.400561822</v>
      </c>
      <c r="E26" s="1805">
        <f>ROUND($C26-$D26,6)</f>
        <v>0</v>
      </c>
    </row>
    <row r="27">
      <c r="B27" s="1787" t="inlineStr">
        <is>
          <t>1.12 SA&amp;D planned spend against the ledger ($m)</t>
        </is>
      </c>
      <c r="C27" s="1790">
        <f>'1.12 SA&amp;D'!$G$6+'1.12 SA&amp;D'!$G$7</f>
        <v>6.529494052</v>
      </c>
      <c r="D27" s="1790">
        <f>SUMIFS('REVIEW - Complete Role Mapping'!$AA$2:$AA$528,'REVIEW - Complete Role Mapping'!$AJ$2:$AJ$528,"COE SA&amp;D")/1000000</f>
        <v>6.529494052</v>
      </c>
      <c r="E27" s="1805">
        <f>ROUND($C27-$D27,6)</f>
        <v>0</v>
      </c>
    </row>
    <row r="28">
      <c r="B28" s="1787" t="inlineStr">
        <is>
          <t>1.13 Cyber Roles planned spend against the ledger ($m)</t>
        </is>
      </c>
      <c r="C28" s="1790">
        <f>'1.13 Cyber Roles'!$F$6+'1.13 Cyber Roles'!$F$7</f>
        <v>9.897858294</v>
      </c>
      <c r="D28" s="1790">
        <f>SUMIFS('REVIEW - Complete Role Mapping'!$AA$2:$AA$528,'REVIEW - Complete Role Mapping'!$AJ$2:$AJ$528,"COE Cyber")/1000000</f>
        <v>9.897858294</v>
      </c>
      <c r="E28" s="1805">
        <f>ROUND($C28-$D28,6)</f>
        <v>0</v>
      </c>
    </row>
    <row r="29">
      <c r="B29" s="1787" t="inlineStr">
        <is>
          <t>1.11 BP&amp;T own control - roles listed against roles counted</t>
        </is>
      </c>
      <c r="C29" s="1789">
        <f>'1.11 BP&amp;T'!C45</f>
        <v>0</v>
      </c>
      <c r="D29" s="1789">
        <f>0</f>
        <v>0</v>
      </c>
      <c r="E29" s="1804">
        <f>ROUND($C29-$D29,6)</f>
        <v>0</v>
      </c>
    </row>
    <row r="30">
      <c r="B30" s="1787" t="inlineStr">
        <is>
          <t>1.12 SA&amp;D own control - roles listed against roles counted</t>
        </is>
      </c>
      <c r="C30" s="1789">
        <f>'1.12 SA&amp;D'!C51</f>
        <v>0</v>
      </c>
      <c r="D30" s="1789">
        <f>0</f>
        <v>0</v>
      </c>
      <c r="E30" s="1804">
        <f>ROUND($C30-$D30,6)</f>
        <v>0</v>
      </c>
    </row>
    <row r="31">
      <c r="B31" s="1787" t="inlineStr">
        <is>
          <t>1.13 Cyber Roles own control - roles listed against roles counted</t>
        </is>
      </c>
      <c r="C31" s="1789">
        <f>'1.13 Cyber Roles'!C71</f>
        <v>0</v>
      </c>
      <c r="D31" s="1789">
        <f>0</f>
        <v>0</v>
      </c>
      <c r="E31" s="1804">
        <f>ROUND($C31-$D31,6)</f>
        <v>0</v>
      </c>
    </row>
    <row r="32">
      <c r="B32" s="1787" t="inlineStr">
        <is>
          <t>2.1 Ampol Retail roles against the ledger</t>
        </is>
      </c>
      <c r="C32" s="1789">
        <f>'2.1 Ampol Retail'!$F$30</f>
        <v>70</v>
      </c>
      <c r="D32" s="1789">
        <f>COUNTIFS('REVIEW - Complete Role Mapping'!$AJ$2:$AJ$528,"Ampol Retail")</f>
        <v>70</v>
      </c>
      <c r="E32" s="1804">
        <f>ROUND($C32-$D32,6)</f>
        <v>0</v>
      </c>
    </row>
    <row r="33">
      <c r="B33" s="1787" t="inlineStr">
        <is>
          <t>2.1 Ampol Retail cost against the ledger ($m)</t>
        </is>
      </c>
      <c r="C33" s="1790">
        <f>'2.1 Ampol Retail'!$N$30</f>
        <v>14.005227457</v>
      </c>
      <c r="D33" s="1790">
        <f>SUMIFS('REVIEW - Complete Role Mapping'!$AA$2:$AA$528,'REVIEW - Complete Role Mapping'!$AJ$2:$AJ$528,"Ampol Retail")/1000000</f>
        <v>14.005227457</v>
      </c>
      <c r="E33" s="1805">
        <f>ROUND($C33-$D33,6)</f>
        <v>0</v>
      </c>
    </row>
    <row r="34">
      <c r="B34" s="1787" t="inlineStr">
        <is>
          <t>2.2 Customer roles against the ledger</t>
        </is>
      </c>
      <c r="C34" s="1789">
        <f>'2.2 Customer'!$F$29</f>
        <v>83</v>
      </c>
      <c r="D34" s="1789">
        <f>COUNTIFS('REVIEW - Complete Role Mapping'!$AJ$2:$AJ$528,"Customer")</f>
        <v>83</v>
      </c>
      <c r="E34" s="1804">
        <f>ROUND($C34-$D34,6)</f>
        <v>0</v>
      </c>
    </row>
    <row r="35">
      <c r="B35" s="1787" t="inlineStr">
        <is>
          <t>2.2 Customer cost against the ledger ($m)</t>
        </is>
      </c>
      <c r="C35" s="1790">
        <f>'2.2 Customer'!$N$29</f>
        <v>17.12686714</v>
      </c>
      <c r="D35" s="1790">
        <f>SUMIFS('REVIEW - Complete Role Mapping'!$AA$2:$AA$528,'REVIEW - Complete Role Mapping'!$AJ$2:$AJ$528,"Customer")/1000000</f>
        <v>17.12686714</v>
      </c>
      <c r="E35" s="1805">
        <f>ROUND($C35-$D35,6)</f>
        <v>0</v>
      </c>
    </row>
    <row r="36">
      <c r="B36" s="1787" t="inlineStr">
        <is>
          <t>2.3 Enterprise Data roles against the ledger</t>
        </is>
      </c>
      <c r="C36" s="1789">
        <f>'2.3 Enterprise Data'!$F$23</f>
        <v>28</v>
      </c>
      <c r="D36" s="1789">
        <f>COUNTIFS('REVIEW - Complete Role Mapping'!$AJ$2:$AJ$528,"Enterprise Data")</f>
        <v>28</v>
      </c>
      <c r="E36" s="1804">
        <f>ROUND($C36-$D36,6)</f>
        <v>0</v>
      </c>
    </row>
    <row r="37">
      <c r="B37" s="1787" t="inlineStr">
        <is>
          <t>2.3 Enterprise Data cost against the ledger ($m)</t>
        </is>
      </c>
      <c r="C37" s="1790">
        <f>'2.3 Enterprise Data'!$N$23</f>
        <v>6.418403776</v>
      </c>
      <c r="D37" s="1790">
        <f>SUMIFS('REVIEW - Complete Role Mapping'!$AA$2:$AA$528,'REVIEW - Complete Role Mapping'!$AJ$2:$AJ$528,"Enterprise Data")/1000000</f>
        <v>6.418403776</v>
      </c>
      <c r="E37" s="1805">
        <f>ROUND($C37-$D37,6)</f>
        <v>0</v>
      </c>
    </row>
    <row r="38">
      <c r="B38" s="1787" t="inlineStr">
        <is>
          <t>2.4 TDD Group Functions roles against the ledger</t>
        </is>
      </c>
      <c r="C38" s="1789">
        <f>'2.4 TDD Group Functions'!$F$25</f>
        <v>46</v>
      </c>
      <c r="D38" s="1789">
        <f>COUNTIFS('REVIEW - Complete Role Mapping'!$AJ$2:$AJ$528,"TDD Group Functions")</f>
        <v>46</v>
      </c>
      <c r="E38" s="1804">
        <f>ROUND($C38-$D38,6)</f>
        <v>0</v>
      </c>
    </row>
    <row r="39">
      <c r="B39" s="1787" t="inlineStr">
        <is>
          <t>2.4 TDD Group Functions cost against the ledger ($m)</t>
        </is>
      </c>
      <c r="C39" s="1790">
        <f>'2.4 TDD Group Functions'!$N$25</f>
        <v>10.0312294824</v>
      </c>
      <c r="D39" s="1790">
        <f>SUMIFS('REVIEW - Complete Role Mapping'!$AA$2:$AA$528,'REVIEW - Complete Role Mapping'!$AJ$2:$AJ$528,"TDD Group Functions")/1000000</f>
        <v>10.0312294824</v>
      </c>
      <c r="E39" s="1805">
        <f>ROUND($C39-$D39,6)</f>
        <v>0</v>
      </c>
    </row>
    <row r="40">
      <c r="B40" s="1787" t="inlineStr">
        <is>
          <t>2.5 P&amp;C roles against the ledger</t>
        </is>
      </c>
      <c r="C40" s="1789">
        <f>'2.5 P&amp;C'!$F$23</f>
        <v>18</v>
      </c>
      <c r="D40" s="1789">
        <f>COUNTIFS('REVIEW - Complete Role Mapping'!$AJ$2:$AJ$528,"P&amp;C")</f>
        <v>18</v>
      </c>
      <c r="E40" s="1804">
        <f>ROUND($C40-$D40,6)</f>
        <v>0</v>
      </c>
    </row>
    <row r="41">
      <c r="B41" s="1787" t="inlineStr">
        <is>
          <t>2.5 P&amp;C cost against the ledger ($m)</t>
        </is>
      </c>
      <c r="C41" s="1790">
        <f>'2.5 P&amp;C'!$N$23</f>
        <v>4.18444088</v>
      </c>
      <c r="D41" s="1790">
        <f>SUMIFS('REVIEW - Complete Role Mapping'!$AA$2:$AA$528,'REVIEW - Complete Role Mapping'!$AJ$2:$AJ$528,"P&amp;C")/1000000</f>
        <v>4.18444088</v>
      </c>
      <c r="E41" s="1805">
        <f>ROUND($C41-$D41,6)</f>
        <v>0</v>
      </c>
    </row>
    <row r="42">
      <c r="B42" s="1787" t="inlineStr">
        <is>
          <t>2.6 Finance roles against the ledger</t>
        </is>
      </c>
      <c r="C42" s="1789">
        <f>'2.6 Finance'!$F$21</f>
        <v>17</v>
      </c>
      <c r="D42" s="1789">
        <f>COUNTIFS('REVIEW - Complete Role Mapping'!$AJ$2:$AJ$528,"Finance")</f>
        <v>17</v>
      </c>
      <c r="E42" s="1804">
        <f>ROUND($C42-$D42,6)</f>
        <v>0</v>
      </c>
    </row>
    <row r="43">
      <c r="B43" s="1787" t="inlineStr">
        <is>
          <t>2.6 Finance cost against the ledger ($m)</t>
        </is>
      </c>
      <c r="C43" s="1790">
        <f>'2.6 Finance'!$N$21</f>
        <v>3.844616116</v>
      </c>
      <c r="D43" s="1790">
        <f>SUMIFS('REVIEW - Complete Role Mapping'!$AA$2:$AA$528,'REVIEW - Complete Role Mapping'!$AJ$2:$AJ$528,"Finance")/1000000</f>
        <v>3.844616116</v>
      </c>
      <c r="E43" s="1805">
        <f>ROUND($C43-$D43,6)</f>
        <v>0</v>
      </c>
    </row>
    <row r="44">
      <c r="B44" s="1787" t="inlineStr">
        <is>
          <t>2.7 Infrastructure roles against the ledger</t>
        </is>
      </c>
      <c r="C44" s="1789">
        <f>'2.7 Infrastructure'!$F$25</f>
        <v>36</v>
      </c>
      <c r="D44" s="1789">
        <f>COUNTIFS('REVIEW - Complete Role Mapping'!$AJ$2:$AJ$528,"Infrastructure")</f>
        <v>36</v>
      </c>
      <c r="E44" s="1804">
        <f>ROUND($C44-$D44,6)</f>
        <v>0</v>
      </c>
    </row>
    <row r="45">
      <c r="B45" s="1787" t="inlineStr">
        <is>
          <t>2.7 Infrastructure cost against the ledger ($m)</t>
        </is>
      </c>
      <c r="C45" s="1790">
        <f>'2.7 Infrastructure'!$N$25</f>
        <v>7.74836354</v>
      </c>
      <c r="D45" s="1790">
        <f>SUMIFS('REVIEW - Complete Role Mapping'!$AA$2:$AA$528,'REVIEW - Complete Role Mapping'!$AJ$2:$AJ$528,"Infrastructure")/1000000</f>
        <v>7.74836354</v>
      </c>
      <c r="E45" s="1805">
        <f>ROUND($C45-$D45,6)</f>
        <v>0</v>
      </c>
    </row>
    <row r="46">
      <c r="B46" s="1787" t="inlineStr">
        <is>
          <t>2.8 Energy Solutions &amp; B2B roles against the ledger</t>
        </is>
      </c>
      <c r="C46" s="1789">
        <f>'2.8 Energy Solutions &amp; B2B'!$F$24</f>
        <v>33</v>
      </c>
      <c r="D46" s="1789">
        <f>COUNTIFS('REVIEW - Complete Role Mapping'!$AJ$2:$AJ$528,"Energy Solutions &amp; B2B")</f>
        <v>33</v>
      </c>
      <c r="E46" s="1804">
        <f>ROUND($C46-$D46,6)</f>
        <v>0</v>
      </c>
    </row>
    <row r="47">
      <c r="B47" s="1787" t="inlineStr">
        <is>
          <t>2.8 Energy Solutions &amp; B2B cost against the ledger ($m)</t>
        </is>
      </c>
      <c r="C47" s="1790">
        <f>'2.8 Energy Solutions &amp; B2B'!$N$24</f>
        <v>6.447816278</v>
      </c>
      <c r="D47" s="1790">
        <f>SUMIFS('REVIEW - Complete Role Mapping'!$AA$2:$AA$528,'REVIEW - Complete Role Mapping'!$AJ$2:$AJ$528,"Energy Solutions &amp; B2B")/1000000</f>
        <v>6.447816278</v>
      </c>
      <c r="E47" s="1805">
        <f>ROUND($C47-$D47,6)</f>
        <v>0</v>
      </c>
    </row>
    <row r="48">
      <c r="B48" s="1787" t="inlineStr">
        <is>
          <t>2.9 Commercial Fuels roles against the ledger</t>
        </is>
      </c>
      <c r="C48" s="1789">
        <f>'2.9 Commercial Fuels'!$F$24</f>
        <v>42</v>
      </c>
      <c r="D48" s="1789">
        <f>COUNTIFS('REVIEW - Complete Role Mapping'!$AJ$2:$AJ$528,"Commercial Fuels")</f>
        <v>42</v>
      </c>
      <c r="E48" s="1804">
        <f>ROUND($C48-$D48,6)</f>
        <v>0</v>
      </c>
    </row>
    <row r="49">
      <c r="B49" s="1787" t="inlineStr">
        <is>
          <t>2.9 Commercial Fuels cost against the ledger ($m)</t>
        </is>
      </c>
      <c r="C49" s="1790">
        <f>'2.9 Commercial Fuels'!$N$24</f>
        <v>10.1976697287</v>
      </c>
      <c r="D49" s="1790">
        <f>SUMIFS('REVIEW - Complete Role Mapping'!$AA$2:$AA$528,'REVIEW - Complete Role Mapping'!$AJ$2:$AJ$528,"Commercial Fuels")/1000000</f>
        <v>10.1976697287</v>
      </c>
      <c r="E49" s="1805">
        <f>ROUND($C49-$D49,6)</f>
        <v>0</v>
      </c>
    </row>
    <row r="50">
      <c r="B50" s="1787" t="inlineStr">
        <is>
          <t>2.10 Z Retail roles against the ledger</t>
        </is>
      </c>
      <c r="C50" s="1789">
        <f>'2.10 Z Retail'!$F$25</f>
        <v>39</v>
      </c>
      <c r="D50" s="1789">
        <f>COUNTIFS('REVIEW - Complete Role Mapping'!$AJ$2:$AJ$528,"Z Retail")</f>
        <v>39</v>
      </c>
      <c r="E50" s="1804">
        <f>ROUND($C50-$D50,6)</f>
        <v>0</v>
      </c>
    </row>
    <row r="51">
      <c r="B51" s="1787" t="inlineStr">
        <is>
          <t>2.10 Z Retail cost against the ledger ($m)</t>
        </is>
      </c>
      <c r="C51" s="1790">
        <f>'2.10 Z Retail'!$N$25</f>
        <v>7.337294352</v>
      </c>
      <c r="D51" s="1790">
        <f>SUMIFS('REVIEW - Complete Role Mapping'!$AA$2:$AA$528,'REVIEW - Complete Role Mapping'!$AJ$2:$AJ$528,"Z Retail")/1000000</f>
        <v>7.337294352</v>
      </c>
      <c r="E51" s="1805">
        <f>ROUND($C51-$D51,6)</f>
        <v>0</v>
      </c>
    </row>
    <row r="52">
      <c r="B52" s="1787" t="inlineStr">
        <is>
          <t>2.11 COE Cyber roles against the ledger</t>
        </is>
      </c>
      <c r="C52" s="1789">
        <f>'2.11 COE Cyber'!$F$24</f>
        <v>46</v>
      </c>
      <c r="D52" s="1789">
        <f>COUNTIFS('REVIEW - Complete Role Mapping'!$AJ$2:$AJ$528,"COE Cyber")</f>
        <v>46</v>
      </c>
      <c r="E52" s="1804">
        <f>ROUND($C52-$D52,6)</f>
        <v>0</v>
      </c>
    </row>
    <row r="53">
      <c r="B53" s="1787" t="inlineStr">
        <is>
          <t>2.11 COE Cyber cost against the ledger ($m)</t>
        </is>
      </c>
      <c r="C53" s="1790">
        <f>'2.11 COE Cyber'!$N$24</f>
        <v>9.897858294</v>
      </c>
      <c r="D53" s="1790">
        <f>SUMIFS('REVIEW - Complete Role Mapping'!$AA$2:$AA$528,'REVIEW - Complete Role Mapping'!$AJ$2:$AJ$528,"COE Cyber")/1000000</f>
        <v>9.897858294</v>
      </c>
      <c r="E53" s="1805">
        <f>ROUND($C53-$D53,6)</f>
        <v>0</v>
      </c>
    </row>
    <row r="54">
      <c r="B54" s="1787" t="inlineStr">
        <is>
          <t>2.12 BP&amp;T roles against the ledger</t>
        </is>
      </c>
      <c r="C54" s="1789">
        <f>'2.12 BP&amp;T'!$F$22</f>
        <v>24</v>
      </c>
      <c r="D54" s="1789">
        <f>COUNTIFS('REVIEW - Complete Role Mapping'!$AJ$2:$AJ$528,"COE BP&amp;T")</f>
        <v>24</v>
      </c>
      <c r="E54" s="1804">
        <f>ROUND($C54-$D54,6)</f>
        <v>0</v>
      </c>
    </row>
    <row r="55">
      <c r="B55" s="1787" t="inlineStr">
        <is>
          <t>2.12 BP&amp;T cost against the ledger ($m)</t>
        </is>
      </c>
      <c r="C55" s="1790">
        <f>'2.12 BP&amp;T'!$N$22</f>
        <v>6.400561822</v>
      </c>
      <c r="D55" s="1790">
        <f>SUMIFS('REVIEW - Complete Role Mapping'!$AA$2:$AA$528,'REVIEW - Complete Role Mapping'!$AJ$2:$AJ$528,"COE BP&amp;T")/1000000</f>
        <v>6.400561822</v>
      </c>
      <c r="E55" s="1805">
        <f>ROUND($C55-$D55,6)</f>
        <v>0</v>
      </c>
    </row>
    <row r="56">
      <c r="B56" s="1787" t="inlineStr">
        <is>
          <t>2.13 SA&amp;D roles against the ledger</t>
        </is>
      </c>
      <c r="C56" s="1789">
        <f>'2.13 SA&amp;D'!$F$24</f>
        <v>26</v>
      </c>
      <c r="D56" s="1789">
        <f>COUNTIFS('REVIEW - Complete Role Mapping'!$AJ$2:$AJ$528,"COE SA&amp;D")</f>
        <v>26</v>
      </c>
      <c r="E56" s="1804">
        <f>ROUND($C56-$D56,6)</f>
        <v>0</v>
      </c>
    </row>
    <row r="57">
      <c r="B57" s="1787" t="inlineStr">
        <is>
          <t>2.13 SA&amp;D cost against the ledger ($m)</t>
        </is>
      </c>
      <c r="C57" s="1790">
        <f>'2.13 SA&amp;D'!$N$24</f>
        <v>6.529494052</v>
      </c>
      <c r="D57" s="1790">
        <f>SUMIFS('REVIEW - Complete Role Mapping'!$AA$2:$AA$528,'REVIEW - Complete Role Mapping'!$AJ$2:$AJ$528,"COE SA&amp;D")/1000000</f>
        <v>6.529494052</v>
      </c>
      <c r="E57" s="1805">
        <f>ROUND($C57-$D57,6)</f>
        <v>0</v>
      </c>
    </row>
    <row r="58">
      <c r="B58" s="1787" t="inlineStr">
        <is>
          <t>2.14 EGI roles against the ledger</t>
        </is>
      </c>
      <c r="C58" s="1789">
        <f>'2.14 EGI'!$F$20</f>
        <v>17</v>
      </c>
      <c r="D58" s="1789">
        <f>COUNTIFS('REVIEW - Complete Role Mapping'!$AJ$2:$AJ$528,"EGI")</f>
        <v>17</v>
      </c>
      <c r="E58" s="1804">
        <f>ROUND($C58-$D58,6)</f>
        <v>0</v>
      </c>
    </row>
    <row r="59">
      <c r="B59" s="1787" t="inlineStr">
        <is>
          <t>2.14 EGI cost against the ledger ($m)</t>
        </is>
      </c>
      <c r="C59" s="1790">
        <f>'2.14 EGI'!$N$20</f>
        <v>4.94341935</v>
      </c>
      <c r="D59" s="1790">
        <f>SUMIFS('REVIEW - Complete Role Mapping'!$AA$2:$AA$528,'REVIEW - Complete Role Mapping'!$AJ$2:$AJ$528,"EGI")/1000000</f>
        <v>4.94341935</v>
      </c>
      <c r="E59" s="1805">
        <f>ROUND($C59-$D59,6)</f>
        <v>0</v>
      </c>
    </row>
    <row r="60">
      <c r="B60" s="1539" t="inlineStr">
        <is>
          <t>Checks failing</t>
        </is>
      </c>
      <c r="C60" s="1539" t="n"/>
      <c r="D60" s="1539" t="n"/>
      <c r="E60" s="1807">
        <f>COUNTIF($E5:$E59,"&lt;&gt;0")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0"/>
  </sheetPr>
  <dimension ref="A1:BX538"/>
  <sheetViews>
    <sheetView showFormulas="0" showGridLines="0" showRowColHeaders="1" showZeros="1" rightToLeft="0" tabSelected="0" showOutlineSymbols="1" defaultGridColor="1" view="normal" topLeftCell="A1" colorId="64" zoomScale="93" zoomScaleNormal="93" zoomScalePageLayoutView="100" workbookViewId="0">
      <selection pane="topLeft" activeCell="A1" activeCellId="0" sqref="A1"/>
    </sheetView>
  </sheetViews>
  <sheetFormatPr baseColWidth="8" defaultColWidth="8.81640625" defaultRowHeight="18" zeroHeight="0" outlineLevelRow="0"/>
  <cols>
    <col width="15.18" customWidth="1" style="1556" min="1" max="1"/>
    <col width="26.18" customWidth="1" style="1557" min="2" max="2"/>
    <col width="35.54" customWidth="1" style="1557" min="3" max="3"/>
    <col width="33.45" customWidth="1" style="1557" min="4" max="4"/>
    <col width="59.54" customWidth="1" style="1557" min="5" max="5"/>
    <col width="26.18" customWidth="1" style="1557" min="6" max="6"/>
    <col width="31.54" customWidth="1" style="1557" min="7" max="8"/>
    <col width="21" customWidth="1" style="1557" min="9" max="9"/>
    <col width="41.54" customWidth="1" style="1557" min="10" max="10"/>
    <col width="30.18" customWidth="1" style="1557" min="11" max="11"/>
    <col width="5.45" customWidth="1" style="1557" min="12" max="12"/>
    <col width="11.18" customWidth="1" style="1557" min="13" max="13"/>
    <col width="20.81" customWidth="1" style="1557" min="14" max="14"/>
    <col width="8.82" customWidth="1" style="1557" min="15" max="16384"/>
  </cols>
  <sheetData>
    <row r="1" ht="41.25" customFormat="1" customHeight="1" s="1558">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562" t="inlineStr">
        <is>
          <t>Department (GM-1)</t>
        </is>
      </c>
      <c r="H1" s="1562" t="inlineStr">
        <is>
          <t>Team (GM-2)</t>
        </is>
      </c>
      <c r="I1" s="1563" t="inlineStr">
        <is>
          <t>Portfolio</t>
        </is>
      </c>
      <c r="J1" s="1564" t="inlineStr">
        <is>
          <t>Platform</t>
        </is>
      </c>
      <c r="K1" s="1563" t="inlineStr">
        <is>
          <t>Squad</t>
        </is>
      </c>
      <c r="L1" s="1563" t="inlineStr">
        <is>
          <t>CC</t>
        </is>
      </c>
      <c r="M1" s="1565" t="inlineStr">
        <is>
          <t>Country</t>
        </is>
      </c>
      <c r="N1" s="1560" t="inlineStr">
        <is>
          <t>Model Portfolio</t>
        </is>
      </c>
      <c r="O1" s="1560" t="inlineStr">
        <is>
          <t>Model Platform</t>
        </is>
      </c>
      <c r="P1" s="1560" t="inlineStr">
        <is>
          <t>Model Squad</t>
        </is>
      </c>
      <c r="Q1" s="1560" t="inlineStr">
        <is>
          <t>Class</t>
        </is>
      </c>
      <c r="R1" s="1560" t="inlineStr">
        <is>
          <t>Status</t>
        </is>
      </c>
    </row>
    <row r="2" ht="18" customHeight="1" s="866">
      <c r="A2" s="1566" t="n">
        <v>99999100977</v>
      </c>
      <c r="B2" s="1382" t="inlineStr">
        <is>
          <t>Warren Grieve</t>
        </is>
      </c>
      <c r="C2" s="1382" t="inlineStr">
        <is>
          <t>Senior Site Systems Analyst</t>
        </is>
      </c>
      <c r="D2" s="1382" t="inlineStr">
        <is>
          <t>Callan McLaughlin</t>
        </is>
      </c>
      <c r="E2" s="1382" t="inlineStr">
        <is>
          <t>Technology Manager,  Site Systems</t>
        </is>
      </c>
      <c r="F2" s="1382" t="inlineStr">
        <is>
          <t>Ampol Retail &amp; Z</t>
        </is>
      </c>
      <c r="G2" s="1567" t="inlineStr">
        <is>
          <t>Z &amp; Group Retail</t>
        </is>
      </c>
      <c r="H2" s="1382" t="inlineStr">
        <is>
          <t>Z &amp; Group Retail, Site Systems</t>
        </is>
      </c>
      <c r="I2" s="1382" t="inlineStr">
        <is>
          <t>Z</t>
        </is>
      </c>
      <c r="J2" s="1567" t="inlineStr">
        <is>
          <t>Z Customer</t>
        </is>
      </c>
      <c r="K2" s="1382" t="inlineStr">
        <is>
          <t>Site Systems</t>
        </is>
      </c>
      <c r="L2" s="1567" t="n"/>
      <c r="M2" s="1568" t="inlineStr">
        <is>
          <t>NZ</t>
        </is>
      </c>
      <c r="N2" s="865" t="inlineStr">
        <is>
          <t>Z Retail</t>
        </is>
      </c>
      <c r="O2" s="1569" t="inlineStr">
        <is>
          <t>(empty)</t>
        </is>
      </c>
      <c r="P2" s="865" t="n"/>
      <c r="Q2" s="865" t="n"/>
      <c r="R2" s="865" t="inlineStr">
        <is>
          <t>Filled</t>
        </is>
      </c>
    </row>
    <row r="3" ht="18" customHeight="1" s="866">
      <c r="A3" s="1566" t="n">
        <v>99999100975</v>
      </c>
      <c r="B3" s="1382" t="inlineStr">
        <is>
          <t>Chris Mitchell</t>
        </is>
      </c>
      <c r="C3" s="1382" t="inlineStr">
        <is>
          <t>Deployment Lead</t>
        </is>
      </c>
      <c r="D3" s="1382" t="inlineStr">
        <is>
          <t>Callan McLaughlin</t>
        </is>
      </c>
      <c r="E3" s="1382" t="inlineStr">
        <is>
          <t>Technology Manager,  Site Systems</t>
        </is>
      </c>
      <c r="F3" s="1382" t="inlineStr">
        <is>
          <t>Ampol Retail &amp; Z</t>
        </is>
      </c>
      <c r="G3" s="1567" t="inlineStr">
        <is>
          <t>Z &amp; Group Retail</t>
        </is>
      </c>
      <c r="H3" s="1382" t="inlineStr">
        <is>
          <t>Z &amp; Group Retail, Site Systems</t>
        </is>
      </c>
      <c r="I3" s="1382" t="inlineStr">
        <is>
          <t>Z</t>
        </is>
      </c>
      <c r="J3" s="1567" t="inlineStr">
        <is>
          <t>Z Customer</t>
        </is>
      </c>
      <c r="K3" s="1382" t="inlineStr">
        <is>
          <t>Site Systems</t>
        </is>
      </c>
      <c r="L3" s="1567" t="n"/>
      <c r="M3" s="1568" t="inlineStr">
        <is>
          <t>NZ</t>
        </is>
      </c>
      <c r="N3" s="865" t="inlineStr">
        <is>
          <t>Z Retail</t>
        </is>
      </c>
      <c r="O3" s="1570" t="n"/>
      <c r="P3" s="865" t="n"/>
      <c r="Q3" s="865" t="n"/>
      <c r="R3" s="865" t="inlineStr">
        <is>
          <t>Filled</t>
        </is>
      </c>
    </row>
    <row r="4" ht="18" customHeight="1" s="866">
      <c r="A4" s="1566" t="n">
        <v>99999102141</v>
      </c>
      <c r="B4" s="1382" t="inlineStr">
        <is>
          <t>Christian Guo</t>
        </is>
      </c>
      <c r="C4" s="1382" t="inlineStr">
        <is>
          <t>Solution Architect</t>
        </is>
      </c>
      <c r="D4" s="1382" t="inlineStr">
        <is>
          <t>Callan McLaughlin</t>
        </is>
      </c>
      <c r="E4" s="1382" t="inlineStr">
        <is>
          <t>Technology Manager,  Site Systems</t>
        </is>
      </c>
      <c r="F4" s="1382" t="inlineStr">
        <is>
          <t>Ampol Retail &amp; Z</t>
        </is>
      </c>
      <c r="G4" s="1567" t="inlineStr">
        <is>
          <t>Z &amp; Group Retail</t>
        </is>
      </c>
      <c r="H4" s="1382" t="inlineStr">
        <is>
          <t>Z &amp; Group Retail, Site Systems</t>
        </is>
      </c>
      <c r="I4" s="1382" t="inlineStr">
        <is>
          <t>Z</t>
        </is>
      </c>
      <c r="J4" s="1382" t="inlineStr">
        <is>
          <t>Z Customer</t>
        </is>
      </c>
      <c r="K4" s="1382" t="inlineStr">
        <is>
          <t>Z Retail Backend &amp; Supply</t>
        </is>
      </c>
      <c r="L4" s="1567" t="n"/>
      <c r="M4" s="1568" t="inlineStr">
        <is>
          <t>NZ</t>
        </is>
      </c>
      <c r="N4" s="865" t="inlineStr">
        <is>
          <t>Z Retail</t>
        </is>
      </c>
      <c r="O4" s="865" t="n"/>
      <c r="P4" s="865" t="n"/>
      <c r="Q4" s="865" t="n"/>
      <c r="R4" s="865" t="inlineStr">
        <is>
          <t>Filled</t>
        </is>
      </c>
    </row>
    <row r="5" ht="18" customHeight="1" s="866">
      <c r="A5" s="1566" t="n">
        <v>99999100432</v>
      </c>
      <c r="B5" s="1382" t="inlineStr">
        <is>
          <t>Vanessa King</t>
        </is>
      </c>
      <c r="C5" s="1382" t="inlineStr">
        <is>
          <t>Lead Quality Assurance</t>
        </is>
      </c>
      <c r="D5" s="1382" t="inlineStr">
        <is>
          <t>Callan McLaughlin</t>
        </is>
      </c>
      <c r="E5" s="1382" t="inlineStr">
        <is>
          <t>Technology Manager,  Site Systems</t>
        </is>
      </c>
      <c r="F5" s="1382" t="inlineStr">
        <is>
          <t>Ampol Retail &amp; Z</t>
        </is>
      </c>
      <c r="G5" s="1567" t="inlineStr">
        <is>
          <t>Z &amp; Group Retail</t>
        </is>
      </c>
      <c r="H5" s="1382" t="inlineStr">
        <is>
          <t>Z &amp; Group Retail, Site Systems</t>
        </is>
      </c>
      <c r="I5" s="1382" t="inlineStr">
        <is>
          <t>Z</t>
        </is>
      </c>
      <c r="J5" s="1567" t="inlineStr">
        <is>
          <t>Z Customer</t>
        </is>
      </c>
      <c r="K5" s="1382" t="inlineStr">
        <is>
          <t>Site Systems</t>
        </is>
      </c>
      <c r="L5" s="1567" t="n"/>
      <c r="M5" s="1568" t="inlineStr">
        <is>
          <t>NZ</t>
        </is>
      </c>
      <c r="N5" s="865" t="inlineStr">
        <is>
          <t>Z Retail</t>
        </is>
      </c>
      <c r="O5" s="865" t="n"/>
      <c r="P5" s="865" t="n"/>
      <c r="Q5" s="865" t="n"/>
      <c r="R5" s="865" t="inlineStr">
        <is>
          <t>Filled</t>
        </is>
      </c>
    </row>
    <row r="6" ht="18" customHeight="1" s="866">
      <c r="A6" s="1566" t="n">
        <v>99999101553</v>
      </c>
      <c r="B6" s="1382" t="inlineStr">
        <is>
          <t>Bradley Cunningham</t>
        </is>
      </c>
      <c r="C6" s="1382" t="inlineStr">
        <is>
          <t>Site Systems Analyst</t>
        </is>
      </c>
      <c r="D6" s="1382" t="inlineStr">
        <is>
          <t>Callan McLaughlin</t>
        </is>
      </c>
      <c r="E6" s="1382" t="inlineStr">
        <is>
          <t>Technology Manager,  Site Systems</t>
        </is>
      </c>
      <c r="F6" s="1382" t="inlineStr">
        <is>
          <t>Ampol Retail &amp; Z</t>
        </is>
      </c>
      <c r="G6" s="1567" t="inlineStr">
        <is>
          <t>Z &amp; Group Retail</t>
        </is>
      </c>
      <c r="H6" s="1382" t="inlineStr">
        <is>
          <t>Z &amp; Group Retail, Site Systems</t>
        </is>
      </c>
      <c r="I6" s="1382" t="inlineStr">
        <is>
          <t>Z</t>
        </is>
      </c>
      <c r="J6" s="1567" t="inlineStr">
        <is>
          <t>Z Customer</t>
        </is>
      </c>
      <c r="K6" s="1382" t="inlineStr">
        <is>
          <t>Site Systems</t>
        </is>
      </c>
      <c r="L6" s="1567" t="n"/>
      <c r="M6" s="1568" t="inlineStr">
        <is>
          <t>NZ</t>
        </is>
      </c>
      <c r="N6" s="865" t="inlineStr">
        <is>
          <t>Z Retail</t>
        </is>
      </c>
      <c r="O6" s="865" t="n"/>
      <c r="P6" s="865" t="n"/>
      <c r="Q6" s="865" t="n"/>
      <c r="R6" s="865" t="inlineStr">
        <is>
          <t>Filled</t>
        </is>
      </c>
    </row>
    <row r="7" ht="18" customHeight="1" s="866">
      <c r="A7" s="1566" t="n">
        <v>99999101650</v>
      </c>
      <c r="B7" s="1382" t="inlineStr">
        <is>
          <t>Sakshi Sachdeva</t>
        </is>
      </c>
      <c r="C7" s="1382" t="inlineStr">
        <is>
          <t xml:space="preserve">Senior Quality Assurance </t>
        </is>
      </c>
      <c r="D7" s="1382" t="inlineStr">
        <is>
          <t>Callan McLaughlin</t>
        </is>
      </c>
      <c r="E7" s="1382" t="inlineStr">
        <is>
          <t>Technology Manager,  Site Systems</t>
        </is>
      </c>
      <c r="F7" s="1382" t="inlineStr">
        <is>
          <t>Ampol Retail &amp; Z</t>
        </is>
      </c>
      <c r="G7" s="1567" t="inlineStr">
        <is>
          <t>Z &amp; Group Retail</t>
        </is>
      </c>
      <c r="H7" s="1382" t="inlineStr">
        <is>
          <t>Z &amp; Group Retail, Site Systems</t>
        </is>
      </c>
      <c r="I7" s="1382" t="inlineStr">
        <is>
          <t>Z</t>
        </is>
      </c>
      <c r="J7" s="1567" t="inlineStr">
        <is>
          <t>Z Customer</t>
        </is>
      </c>
      <c r="K7" s="1382" t="inlineStr">
        <is>
          <t>Site Systems</t>
        </is>
      </c>
      <c r="L7" s="1567" t="n"/>
      <c r="M7" s="1568" t="inlineStr">
        <is>
          <t>NZ</t>
        </is>
      </c>
      <c r="N7" s="865" t="inlineStr">
        <is>
          <t>Z Retail</t>
        </is>
      </c>
      <c r="O7" s="865" t="n"/>
      <c r="P7" s="865" t="n"/>
      <c r="Q7" s="865" t="n"/>
      <c r="R7" s="865" t="inlineStr">
        <is>
          <t>Filled</t>
        </is>
      </c>
    </row>
    <row r="8" ht="18" customHeight="1" s="866">
      <c r="A8" s="1566" t="n">
        <v>99999101643</v>
      </c>
      <c r="B8" s="1382" t="inlineStr">
        <is>
          <t>Alex Sutherland</t>
        </is>
      </c>
      <c r="C8" s="1382" t="inlineStr">
        <is>
          <t>Site Systems Analyst</t>
        </is>
      </c>
      <c r="D8" s="1382" t="inlineStr">
        <is>
          <t>Callan McLaughlin</t>
        </is>
      </c>
      <c r="E8" s="1382" t="inlineStr">
        <is>
          <t>Technology Manager,  Site Systems</t>
        </is>
      </c>
      <c r="F8" s="1382" t="inlineStr">
        <is>
          <t>Ampol Retail &amp; Z</t>
        </is>
      </c>
      <c r="G8" s="1567" t="inlineStr">
        <is>
          <t>Z &amp; Group Retail</t>
        </is>
      </c>
      <c r="H8" s="1382" t="inlineStr">
        <is>
          <t>Z &amp; Group Retail, Site Systems</t>
        </is>
      </c>
      <c r="I8" s="1382" t="inlineStr">
        <is>
          <t>Z</t>
        </is>
      </c>
      <c r="J8" s="1567" t="inlineStr">
        <is>
          <t>Z Customer</t>
        </is>
      </c>
      <c r="K8" s="1382" t="inlineStr">
        <is>
          <t>Site Systems</t>
        </is>
      </c>
      <c r="L8" s="1567" t="n"/>
      <c r="M8" s="1568" t="inlineStr">
        <is>
          <t>NZ</t>
        </is>
      </c>
      <c r="N8" s="865" t="inlineStr">
        <is>
          <t>Z Retail</t>
        </is>
      </c>
      <c r="O8" s="865" t="n"/>
      <c r="P8" s="865" t="n"/>
      <c r="Q8" s="865" t="n"/>
      <c r="R8" s="865" t="inlineStr">
        <is>
          <t>Filled</t>
        </is>
      </c>
    </row>
    <row r="9" ht="18" customHeight="1" s="866">
      <c r="A9" s="1566" t="n">
        <v>109974</v>
      </c>
      <c r="B9" s="1382" t="inlineStr">
        <is>
          <t>Gerald Aguas</t>
        </is>
      </c>
      <c r="C9" s="1382" t="inlineStr">
        <is>
          <t>Field Systems Operations Lead - NSW</t>
        </is>
      </c>
      <c r="D9" s="1382" t="inlineStr">
        <is>
          <t>Ephraim Adan</t>
        </is>
      </c>
      <c r="E9" s="1382" t="inlineStr">
        <is>
          <t>Manager, AU Retail Operations</t>
        </is>
      </c>
      <c r="F9" s="1382" t="inlineStr">
        <is>
          <t>Ampol Retail &amp; Z</t>
        </is>
      </c>
      <c r="G9" s="1567" t="inlineStr">
        <is>
          <t>Ampol Retail</t>
        </is>
      </c>
      <c r="H9" s="1382" t="inlineStr">
        <is>
          <t>Ampol Retail, Technology</t>
        </is>
      </c>
      <c r="I9" s="1382" t="inlineStr">
        <is>
          <t>Retail</t>
        </is>
      </c>
      <c r="J9" s="1567" t="inlineStr">
        <is>
          <t>Store Operations</t>
        </is>
      </c>
      <c r="K9" s="1382" t="inlineStr">
        <is>
          <t>Store Operations</t>
        </is>
      </c>
      <c r="L9" s="1567" t="n"/>
      <c r="M9" s="1568" t="inlineStr">
        <is>
          <t>Australia</t>
        </is>
      </c>
      <c r="N9" s="865" t="inlineStr">
        <is>
          <t>Ampol Retail</t>
        </is>
      </c>
      <c r="O9" s="865" t="n"/>
      <c r="P9" s="865" t="n"/>
      <c r="Q9" s="865" t="n"/>
      <c r="R9" s="865" t="inlineStr">
        <is>
          <t>Filled</t>
        </is>
      </c>
    </row>
    <row r="10" ht="18" customHeight="1" s="866">
      <c r="A10" s="1566" t="n">
        <v>85136</v>
      </c>
      <c r="B10" s="1382" t="inlineStr">
        <is>
          <t>Tuan Edwards</t>
        </is>
      </c>
      <c r="C10" s="1382" t="inlineStr">
        <is>
          <t>Field Systems Operations Lead - QLD</t>
        </is>
      </c>
      <c r="D10" s="1382" t="inlineStr">
        <is>
          <t>Ephraim Adan</t>
        </is>
      </c>
      <c r="E10" s="1382" t="inlineStr">
        <is>
          <t>Manager, AU Retail Operations</t>
        </is>
      </c>
      <c r="F10" s="1382" t="inlineStr">
        <is>
          <t>Ampol Retail &amp; Z</t>
        </is>
      </c>
      <c r="G10" s="1567" t="inlineStr">
        <is>
          <t>Ampol Retail</t>
        </is>
      </c>
      <c r="H10" s="1382" t="inlineStr">
        <is>
          <t>Ampol Retail, Technology</t>
        </is>
      </c>
      <c r="I10" s="1382" t="inlineStr">
        <is>
          <t>Retail</t>
        </is>
      </c>
      <c r="J10" s="1567" t="inlineStr">
        <is>
          <t>Store Operations</t>
        </is>
      </c>
      <c r="K10" s="1382" t="inlineStr">
        <is>
          <t>Store Operations</t>
        </is>
      </c>
      <c r="L10" s="1567" t="n"/>
      <c r="M10" s="1568" t="inlineStr">
        <is>
          <t>Australia</t>
        </is>
      </c>
      <c r="N10" s="865" t="inlineStr">
        <is>
          <t>Ampol Retail</t>
        </is>
      </c>
      <c r="O10" s="865" t="n"/>
      <c r="P10" s="865" t="n"/>
      <c r="Q10" s="865" t="n"/>
      <c r="R10" s="865" t="inlineStr">
        <is>
          <t>Filled</t>
        </is>
      </c>
    </row>
    <row r="11" ht="18" customHeight="1" s="866">
      <c r="A11" s="1566" t="n">
        <v>8445</v>
      </c>
      <c r="B11" s="1382" t="inlineStr">
        <is>
          <t>Geoff Goddard</t>
        </is>
      </c>
      <c r="C11" s="1382" t="inlineStr">
        <is>
          <t>Field Systems Operations Lead - VIC</t>
        </is>
      </c>
      <c r="D11" s="1382" t="inlineStr">
        <is>
          <t>Ephraim Adan</t>
        </is>
      </c>
      <c r="E11" s="1382" t="inlineStr">
        <is>
          <t>Manager, AU Retail Operations</t>
        </is>
      </c>
      <c r="F11" s="1382" t="inlineStr">
        <is>
          <t>Ampol Retail &amp; Z</t>
        </is>
      </c>
      <c r="G11" s="1567" t="inlineStr">
        <is>
          <t>Ampol Retail</t>
        </is>
      </c>
      <c r="H11" s="1382" t="inlineStr">
        <is>
          <t>Ampol Retail, Technology</t>
        </is>
      </c>
      <c r="I11" s="1382" t="inlineStr">
        <is>
          <t>Retail</t>
        </is>
      </c>
      <c r="J11" s="1567" t="inlineStr">
        <is>
          <t>Store Operations</t>
        </is>
      </c>
      <c r="K11" s="1382" t="inlineStr">
        <is>
          <t>Store Operations</t>
        </is>
      </c>
      <c r="L11" s="1567" t="n"/>
      <c r="M11" s="1568" t="inlineStr">
        <is>
          <t>Australia</t>
        </is>
      </c>
      <c r="N11" s="865" t="inlineStr">
        <is>
          <t>Ampol Retail</t>
        </is>
      </c>
      <c r="O11" s="865" t="n"/>
      <c r="P11" s="865" t="n"/>
      <c r="Q11" s="865" t="n"/>
      <c r="R11" s="865" t="inlineStr">
        <is>
          <t>Filled</t>
        </is>
      </c>
    </row>
    <row r="12" ht="18" customHeight="1" s="866">
      <c r="A12" s="1566" t="n">
        <v>90097</v>
      </c>
      <c r="B12" s="1382" t="inlineStr">
        <is>
          <t>Patrick Ericson Nario</t>
        </is>
      </c>
      <c r="C12" s="1382" t="inlineStr">
        <is>
          <t>Support Analyst - Field Operations</t>
        </is>
      </c>
      <c r="D12" s="1382" t="inlineStr">
        <is>
          <t>Ephriam Adan</t>
        </is>
      </c>
      <c r="E12" s="1382" t="inlineStr">
        <is>
          <t>Manager, AU Retail Operations</t>
        </is>
      </c>
      <c r="F12" s="1382" t="inlineStr">
        <is>
          <t>Ampol Retail &amp; Z</t>
        </is>
      </c>
      <c r="G12" s="1567" t="inlineStr">
        <is>
          <t>Ampol Retail</t>
        </is>
      </c>
      <c r="H12" s="1382" t="inlineStr">
        <is>
          <t>Ampol Retail, Technology</t>
        </is>
      </c>
      <c r="I12" s="1382" t="inlineStr">
        <is>
          <t>Retail</t>
        </is>
      </c>
      <c r="J12" s="1567" t="inlineStr">
        <is>
          <t>Store Operations</t>
        </is>
      </c>
      <c r="K12" s="1382" t="inlineStr">
        <is>
          <t>Store Operations</t>
        </is>
      </c>
      <c r="L12" s="1567" t="n"/>
      <c r="M12" s="1568" t="inlineStr">
        <is>
          <t>Australia</t>
        </is>
      </c>
      <c r="N12" s="865" t="inlineStr">
        <is>
          <t>Ampol Retail</t>
        </is>
      </c>
      <c r="O12" s="865" t="n"/>
      <c r="P12" s="865" t="n"/>
      <c r="Q12" s="865" t="n"/>
      <c r="R12" s="865" t="inlineStr">
        <is>
          <t>Filled</t>
        </is>
      </c>
    </row>
    <row r="13" ht="18" customHeight="1" s="866">
      <c r="A13" s="1566" t="n">
        <v>4534</v>
      </c>
      <c r="B13" s="1382" t="inlineStr">
        <is>
          <t>Andrew Whitford</t>
        </is>
      </c>
      <c r="C13" s="1382" t="inlineStr">
        <is>
          <t>Field Systems Operations Lead - WA</t>
        </is>
      </c>
      <c r="D13" s="1382" t="inlineStr">
        <is>
          <t>Ephriam Adan</t>
        </is>
      </c>
      <c r="E13" s="1382" t="inlineStr">
        <is>
          <t>Manager, AU Retail Operations</t>
        </is>
      </c>
      <c r="F13" s="1382" t="inlineStr">
        <is>
          <t>Ampol Retail &amp; Z</t>
        </is>
      </c>
      <c r="G13" s="1567" t="inlineStr">
        <is>
          <t>Ampol Retail</t>
        </is>
      </c>
      <c r="H13" s="1382" t="inlineStr">
        <is>
          <t>Ampol Retail, Technology</t>
        </is>
      </c>
      <c r="I13" s="1382" t="inlineStr">
        <is>
          <t>Retail</t>
        </is>
      </c>
      <c r="J13" s="1567" t="inlineStr">
        <is>
          <t>Store Operations</t>
        </is>
      </c>
      <c r="K13" s="1382" t="inlineStr">
        <is>
          <t>Store Operations</t>
        </is>
      </c>
      <c r="L13" s="1567" t="n"/>
      <c r="M13" s="1568" t="inlineStr">
        <is>
          <t>Australia</t>
        </is>
      </c>
      <c r="N13" s="865" t="inlineStr">
        <is>
          <t>Ampol Retail</t>
        </is>
      </c>
      <c r="O13" s="865" t="n"/>
      <c r="P13" s="865" t="n"/>
      <c r="Q13" s="865" t="n"/>
      <c r="R13" s="865" t="inlineStr">
        <is>
          <t>Filled</t>
        </is>
      </c>
    </row>
    <row r="14" ht="18" customHeight="1" s="866">
      <c r="A14" s="1566" t="n">
        <v>95017</v>
      </c>
      <c r="B14" s="1571" t="inlineStr">
        <is>
          <t>Sjoerd Van Sluijs</t>
        </is>
      </c>
      <c r="C14" s="1382" t="inlineStr">
        <is>
          <t>Senior PM PEP1, PEP18</t>
        </is>
      </c>
      <c r="D14" s="1567" t="inlineStr">
        <is>
          <t>Greg Cassis</t>
        </is>
      </c>
      <c r="E14" s="1567" t="inlineStr">
        <is>
          <t>GM TDD, EGI</t>
        </is>
      </c>
      <c r="F14" s="1382" t="inlineStr">
        <is>
          <t>Ampol Retail &amp; Z</t>
        </is>
      </c>
      <c r="G14" s="1567" t="inlineStr">
        <is>
          <t>EGI</t>
        </is>
      </c>
      <c r="H14" s="1382" t="n"/>
      <c r="I14" s="1382" t="inlineStr">
        <is>
          <t>EGI Integration</t>
        </is>
      </c>
      <c r="J14" s="1567" t="inlineStr">
        <is>
          <t>EGI</t>
        </is>
      </c>
      <c r="K14" s="1567" t="inlineStr">
        <is>
          <t>EGI Retail</t>
        </is>
      </c>
      <c r="L14" s="1567" t="n"/>
      <c r="M14" s="1568" t="inlineStr">
        <is>
          <t>Australia</t>
        </is>
      </c>
      <c r="N14" s="865" t="inlineStr">
        <is>
          <t>Ampol Retail</t>
        </is>
      </c>
      <c r="O14" s="865" t="n"/>
      <c r="P14" s="865" t="n"/>
      <c r="Q14" s="865" t="n"/>
      <c r="R14" s="865" t="inlineStr">
        <is>
          <t>Filled</t>
        </is>
      </c>
    </row>
    <row r="15" ht="18" customHeight="1" s="866">
      <c r="A15" s="1566" t="n">
        <v>86604</v>
      </c>
      <c r="B15" s="1382" t="inlineStr">
        <is>
          <t>Vanessa Allen</t>
        </is>
      </c>
      <c r="C15" s="1382" t="inlineStr">
        <is>
          <t>Delivery Manager</t>
        </is>
      </c>
      <c r="D15" s="1567" t="inlineStr">
        <is>
          <t>Madan Murthy</t>
        </is>
      </c>
      <c r="E15" s="1382" t="inlineStr">
        <is>
          <t>Head of Technology,  Ampol Retail</t>
        </is>
      </c>
      <c r="F15" s="1382" t="inlineStr">
        <is>
          <t>Ampol Retail &amp; Z</t>
        </is>
      </c>
      <c r="G15" s="1567" t="inlineStr">
        <is>
          <t>Ampol Retail</t>
        </is>
      </c>
      <c r="H15" s="1382" t="inlineStr">
        <is>
          <t>Ampol Retail, Delivery</t>
        </is>
      </c>
      <c r="I15" s="1382" t="inlineStr">
        <is>
          <t>Retail</t>
        </is>
      </c>
      <c r="J15" s="1382" t="inlineStr">
        <is>
          <t>(All Retail)</t>
        </is>
      </c>
      <c r="K15" s="1567" t="inlineStr">
        <is>
          <t>Leadership</t>
        </is>
      </c>
      <c r="L15" s="1567" t="n"/>
      <c r="M15" s="1568" t="inlineStr">
        <is>
          <t>Australia</t>
        </is>
      </c>
      <c r="N15" s="865" t="inlineStr">
        <is>
          <t>Ampol Retail</t>
        </is>
      </c>
      <c r="O15" s="865" t="n"/>
      <c r="P15" s="865" t="n"/>
      <c r="Q15" s="865" t="n"/>
      <c r="R15" s="865" t="inlineStr">
        <is>
          <t>Filled</t>
        </is>
      </c>
    </row>
    <row r="16" ht="18" customHeight="1" s="866">
      <c r="A16" s="1566" t="n">
        <v>98379</v>
      </c>
      <c r="B16" s="1382" t="inlineStr">
        <is>
          <t>Vaishnavi Viswanathan</t>
        </is>
      </c>
      <c r="C16" s="1382" t="inlineStr">
        <is>
          <t>Technology Manager, Store Platform</t>
        </is>
      </c>
      <c r="D16" s="1567" t="inlineStr">
        <is>
          <t>Madan Murthy</t>
        </is>
      </c>
      <c r="E16" s="1382" t="inlineStr">
        <is>
          <t>Head of Technology,  Ampol Retail</t>
        </is>
      </c>
      <c r="F16" s="1382" t="inlineStr">
        <is>
          <t>Ampol Retail &amp; Z</t>
        </is>
      </c>
      <c r="G16" s="1567" t="inlineStr">
        <is>
          <t>Ampol Retail</t>
        </is>
      </c>
      <c r="H16" s="1382" t="inlineStr">
        <is>
          <t>Ampol Retail, Store Platforms</t>
        </is>
      </c>
      <c r="I16" s="1382" t="inlineStr">
        <is>
          <t>Retail</t>
        </is>
      </c>
      <c r="J16" s="1382" t="inlineStr">
        <is>
          <t>Store Operations, Payments, POS</t>
        </is>
      </c>
      <c r="K16" s="1567" t="inlineStr">
        <is>
          <t>Leadership</t>
        </is>
      </c>
      <c r="L16" s="1567" t="n"/>
      <c r="M16" s="1568" t="inlineStr">
        <is>
          <t>Australia</t>
        </is>
      </c>
      <c r="N16" s="865" t="inlineStr">
        <is>
          <t>Ampol Retail</t>
        </is>
      </c>
      <c r="O16" s="865" t="n"/>
      <c r="P16" s="865" t="n"/>
      <c r="Q16" s="865" t="n"/>
      <c r="R16" s="865" t="inlineStr">
        <is>
          <t>Filled</t>
        </is>
      </c>
    </row>
    <row r="17" ht="18" customHeight="1" s="866">
      <c r="A17" s="1566" t="n">
        <v>95285</v>
      </c>
      <c r="B17" s="1382" t="inlineStr">
        <is>
          <t>Tracy Lee Reaper</t>
        </is>
      </c>
      <c r="C17" s="1382" t="inlineStr">
        <is>
          <t>Technology Manager, Merchandising &amp; WFM</t>
        </is>
      </c>
      <c r="D17" s="1567" t="inlineStr">
        <is>
          <t>Madan Murthy</t>
        </is>
      </c>
      <c r="E17" s="1382" t="inlineStr">
        <is>
          <t>Head of Technology,  Ampol Retail</t>
        </is>
      </c>
      <c r="F17" s="1382" t="inlineStr">
        <is>
          <t>Ampol Retail &amp; Z</t>
        </is>
      </c>
      <c r="G17" s="1567" t="inlineStr">
        <is>
          <t>Ampol Retail</t>
        </is>
      </c>
      <c r="H17" s="1382" t="inlineStr">
        <is>
          <t>Ampol Retail, Merch &amp; RTA</t>
        </is>
      </c>
      <c r="I17" s="1382" t="inlineStr">
        <is>
          <t>Retail</t>
        </is>
      </c>
      <c r="J17" s="1382" t="inlineStr">
        <is>
          <t>Merch / Supply Chain</t>
        </is>
      </c>
      <c r="K17" s="1567" t="inlineStr">
        <is>
          <t>Leadership</t>
        </is>
      </c>
      <c r="L17" s="1567" t="n"/>
      <c r="M17" s="1568" t="inlineStr">
        <is>
          <t>Australia</t>
        </is>
      </c>
      <c r="N17" s="865" t="inlineStr">
        <is>
          <t>Ampol Retail</t>
        </is>
      </c>
      <c r="O17" s="865" t="n"/>
      <c r="P17" s="865" t="n"/>
      <c r="Q17" s="865" t="n"/>
      <c r="R17" s="865" t="inlineStr">
        <is>
          <t>Filled</t>
        </is>
      </c>
    </row>
    <row r="18" ht="18" customHeight="1" s="866">
      <c r="A18" s="1566" t="n">
        <v>111451</v>
      </c>
      <c r="B18" s="1382" t="inlineStr">
        <is>
          <t>Aniket Banerji</t>
        </is>
      </c>
      <c r="C18" s="1382" t="inlineStr">
        <is>
          <t>Deployment Lead</t>
        </is>
      </c>
      <c r="D18" s="1382" t="inlineStr">
        <is>
          <t>Matthew Patane</t>
        </is>
      </c>
      <c r="E18" s="1382" t="inlineStr">
        <is>
          <t>Release &amp; Deployment Manager</t>
        </is>
      </c>
      <c r="F18" s="1382" t="inlineStr">
        <is>
          <t>Ampol Retail &amp; Z</t>
        </is>
      </c>
      <c r="G18" s="1567" t="inlineStr">
        <is>
          <t>Ampol Retail</t>
        </is>
      </c>
      <c r="H18" s="1382" t="inlineStr">
        <is>
          <t>Ampol Retail, Technology</t>
        </is>
      </c>
      <c r="I18" s="1382" t="inlineStr">
        <is>
          <t>Retail</t>
        </is>
      </c>
      <c r="J18" s="1567" t="inlineStr">
        <is>
          <t>Store Operations</t>
        </is>
      </c>
      <c r="K18" s="1572" t="inlineStr">
        <is>
          <t>Deployment</t>
        </is>
      </c>
      <c r="L18" s="1567" t="n"/>
      <c r="M18" s="1568" t="inlineStr">
        <is>
          <t>Australia</t>
        </is>
      </c>
      <c r="N18" s="865" t="inlineStr">
        <is>
          <t>Ampol Retail</t>
        </is>
      </c>
      <c r="O18" s="865" t="n"/>
      <c r="P18" s="865" t="n"/>
      <c r="Q18" s="865" t="n"/>
      <c r="R18" s="865" t="inlineStr">
        <is>
          <t>Filled</t>
        </is>
      </c>
    </row>
    <row r="19" ht="18" customHeight="1" s="866">
      <c r="A19" s="1566" t="n">
        <v>95128</v>
      </c>
      <c r="B19" s="1382" t="inlineStr">
        <is>
          <t>Deepak Kubendran</t>
        </is>
      </c>
      <c r="C19" s="1382" t="inlineStr">
        <is>
          <t>Project Manager - Deployments</t>
        </is>
      </c>
      <c r="D19" s="1382" t="inlineStr">
        <is>
          <t>Matthew Patane</t>
        </is>
      </c>
      <c r="E19" s="1382" t="inlineStr">
        <is>
          <t>Release &amp; Deployment Manager</t>
        </is>
      </c>
      <c r="F19" s="1382" t="inlineStr">
        <is>
          <t>Ampol Retail &amp; Z</t>
        </is>
      </c>
      <c r="G19" s="1567" t="inlineStr">
        <is>
          <t>Ampol Retail</t>
        </is>
      </c>
      <c r="H19" s="1382" t="inlineStr">
        <is>
          <t>Ampol Retail, Technology</t>
        </is>
      </c>
      <c r="I19" s="1382" t="inlineStr">
        <is>
          <t>Retail</t>
        </is>
      </c>
      <c r="J19" s="1567" t="inlineStr">
        <is>
          <t>Store Operations</t>
        </is>
      </c>
      <c r="K19" s="1572" t="inlineStr">
        <is>
          <t>Deployment</t>
        </is>
      </c>
      <c r="L19" s="1567" t="n"/>
      <c r="M19" s="1568" t="inlineStr">
        <is>
          <t>Australia</t>
        </is>
      </c>
      <c r="N19" s="865" t="inlineStr">
        <is>
          <t>Ampol Retail</t>
        </is>
      </c>
      <c r="O19" s="865" t="n"/>
      <c r="P19" s="865" t="n"/>
      <c r="Q19" s="865" t="n"/>
      <c r="R19" s="865" t="inlineStr">
        <is>
          <t>Filled</t>
        </is>
      </c>
    </row>
    <row r="20" ht="18" customHeight="1" s="866">
      <c r="A20" s="1566" t="n">
        <v>11424</v>
      </c>
      <c r="B20" s="1382" t="inlineStr">
        <is>
          <t>Sao Keawprasit</t>
        </is>
      </c>
      <c r="C20" s="1382" t="inlineStr">
        <is>
          <t>Systems Analyst</t>
        </is>
      </c>
      <c r="D20" s="1382" t="inlineStr">
        <is>
          <t>Tracy Lee Reaper</t>
        </is>
      </c>
      <c r="E20" s="1382" t="inlineStr">
        <is>
          <t>Tech Manager, Merchandising &amp; WFM</t>
        </is>
      </c>
      <c r="F20" s="1382" t="inlineStr">
        <is>
          <t>Ampol Retail &amp; Z</t>
        </is>
      </c>
      <c r="G20" s="1567" t="inlineStr">
        <is>
          <t>Ampol Retail</t>
        </is>
      </c>
      <c r="H20" s="1382" t="inlineStr">
        <is>
          <t>Ampol Retail, Merch &amp; RTA</t>
        </is>
      </c>
      <c r="I20" s="1382" t="inlineStr">
        <is>
          <t>Retail</t>
        </is>
      </c>
      <c r="J20" s="1573" t="inlineStr">
        <is>
          <t>Above Store</t>
        </is>
      </c>
      <c r="K20" s="1573" t="inlineStr">
        <is>
          <t>Above Store</t>
        </is>
      </c>
      <c r="L20" s="1567" t="n"/>
      <c r="M20" s="1568" t="inlineStr">
        <is>
          <t>Australia</t>
        </is>
      </c>
      <c r="N20" s="865" t="inlineStr">
        <is>
          <t>Ampol Retail</t>
        </is>
      </c>
      <c r="O20" s="865" t="inlineStr">
        <is>
          <t>Above Store</t>
        </is>
      </c>
      <c r="P20" s="865" t="inlineStr">
        <is>
          <t>Above Store</t>
        </is>
      </c>
      <c r="Q20" s="865" t="inlineStr">
        <is>
          <t>Squad</t>
        </is>
      </c>
      <c r="R20" s="865" t="inlineStr">
        <is>
          <t>Filled</t>
        </is>
      </c>
    </row>
    <row r="21" ht="18" customHeight="1" s="866">
      <c r="A21" s="1566" t="n">
        <v>114829</v>
      </c>
      <c r="B21" s="1382" t="inlineStr">
        <is>
          <t>Zuan Zheng</t>
        </is>
      </c>
      <c r="C21" s="1382" t="inlineStr">
        <is>
          <t>Systems Analyst</t>
        </is>
      </c>
      <c r="D21" s="1382" t="inlineStr">
        <is>
          <t>Tracy Lee Reaper</t>
        </is>
      </c>
      <c r="E21" s="1382" t="inlineStr">
        <is>
          <t>Tech Manager, Merchandising &amp; WFM</t>
        </is>
      </c>
      <c r="F21" s="1382" t="inlineStr">
        <is>
          <t>Ampol Retail &amp; Z</t>
        </is>
      </c>
      <c r="G21" s="1567" t="inlineStr">
        <is>
          <t>Ampol Retail</t>
        </is>
      </c>
      <c r="H21" s="1382" t="inlineStr">
        <is>
          <t>Ampol Retail, Merch &amp; RTA</t>
        </is>
      </c>
      <c r="I21" s="1382" t="inlineStr">
        <is>
          <t>Retail</t>
        </is>
      </c>
      <c r="J21" s="1573" t="inlineStr">
        <is>
          <t>Above Store</t>
        </is>
      </c>
      <c r="K21" s="1573" t="inlineStr">
        <is>
          <t>Above Store</t>
        </is>
      </c>
      <c r="L21" s="1567" t="n"/>
      <c r="M21" s="1568" t="inlineStr">
        <is>
          <t>Singapore</t>
        </is>
      </c>
      <c r="N21" s="865" t="inlineStr">
        <is>
          <t>Ampol Retail</t>
        </is>
      </c>
      <c r="O21" s="865" t="inlineStr">
        <is>
          <t>Above Store</t>
        </is>
      </c>
      <c r="P21" s="865" t="inlineStr">
        <is>
          <t>Above Store</t>
        </is>
      </c>
      <c r="Q21" s="865" t="inlineStr">
        <is>
          <t>Squad</t>
        </is>
      </c>
      <c r="R21" s="865" t="inlineStr">
        <is>
          <t>Filled</t>
        </is>
      </c>
    </row>
    <row r="22" ht="18" customHeight="1" s="866">
      <c r="A22" s="1566" t="n"/>
      <c r="B22" s="1382" t="inlineStr">
        <is>
          <t>Vacant</t>
        </is>
      </c>
      <c r="C22" s="1382" t="inlineStr">
        <is>
          <t>Systems Analyst</t>
        </is>
      </c>
      <c r="D22" s="1382" t="inlineStr">
        <is>
          <t>Tracy Lee Reaper</t>
        </is>
      </c>
      <c r="E22" s="1382" t="inlineStr">
        <is>
          <t>Tech Manager, Merchandising &amp; WFM</t>
        </is>
      </c>
      <c r="F22" s="1382" t="inlineStr">
        <is>
          <t>Ampol Retail &amp; Z</t>
        </is>
      </c>
      <c r="G22" s="1567" t="inlineStr">
        <is>
          <t>Ampol Retail</t>
        </is>
      </c>
      <c r="H22" s="1382" t="inlineStr">
        <is>
          <t>Ampol Retail, Merch &amp; RTA</t>
        </is>
      </c>
      <c r="I22" s="1382" t="inlineStr">
        <is>
          <t>Retail</t>
        </is>
      </c>
      <c r="J22" s="1573" t="inlineStr">
        <is>
          <t>Above Store</t>
        </is>
      </c>
      <c r="K22" s="1573" t="inlineStr">
        <is>
          <t>Above Store</t>
        </is>
      </c>
      <c r="L22" s="1567" t="n"/>
      <c r="M22" s="1568" t="n"/>
      <c r="N22" s="865" t="inlineStr">
        <is>
          <t>Ampol Retail</t>
        </is>
      </c>
      <c r="O22" s="865" t="inlineStr">
        <is>
          <t>Above Store</t>
        </is>
      </c>
      <c r="P22" s="865" t="inlineStr">
        <is>
          <t>Above Store</t>
        </is>
      </c>
      <c r="Q22" s="865" t="inlineStr">
        <is>
          <t>Squad</t>
        </is>
      </c>
      <c r="R22" s="865" t="inlineStr">
        <is>
          <t>Vacant</t>
        </is>
      </c>
    </row>
    <row r="23" ht="18" customHeight="1" s="866">
      <c r="A23" s="1566" t="n">
        <v>108357</v>
      </c>
      <c r="B23" s="1382" t="inlineStr">
        <is>
          <t>Pahul Oberoi</t>
        </is>
      </c>
      <c r="C23" s="1382" t="inlineStr">
        <is>
          <t>Systems Analyst</t>
        </is>
      </c>
      <c r="D23" s="1382" t="inlineStr">
        <is>
          <t>Tracy Lee Reaper</t>
        </is>
      </c>
      <c r="E23" s="1382" t="inlineStr">
        <is>
          <t>Tech Manager, Merchandising &amp; WFM</t>
        </is>
      </c>
      <c r="F23" s="1382" t="inlineStr">
        <is>
          <t>Ampol Retail &amp; Z</t>
        </is>
      </c>
      <c r="G23" s="1567" t="inlineStr">
        <is>
          <t>Ampol Retail</t>
        </is>
      </c>
      <c r="H23" s="1382" t="inlineStr">
        <is>
          <t>Ampol Retail, Merch &amp; RTA</t>
        </is>
      </c>
      <c r="I23" s="1382" t="inlineStr">
        <is>
          <t>Retail</t>
        </is>
      </c>
      <c r="J23" s="1573" t="inlineStr">
        <is>
          <t>Above Store</t>
        </is>
      </c>
      <c r="K23" s="1573" t="inlineStr">
        <is>
          <t>Above Store</t>
        </is>
      </c>
      <c r="L23" s="1567" t="n"/>
      <c r="M23" s="1568" t="inlineStr">
        <is>
          <t>Australia</t>
        </is>
      </c>
      <c r="N23" s="865" t="inlineStr">
        <is>
          <t>Ampol Retail</t>
        </is>
      </c>
      <c r="O23" s="865" t="inlineStr">
        <is>
          <t>Above Store</t>
        </is>
      </c>
      <c r="P23" s="865" t="inlineStr">
        <is>
          <t>Above Store</t>
        </is>
      </c>
      <c r="Q23" s="865" t="inlineStr">
        <is>
          <t>Squad</t>
        </is>
      </c>
      <c r="R23" s="865" t="inlineStr">
        <is>
          <t>Filled</t>
        </is>
      </c>
    </row>
    <row r="24" ht="18" customHeight="1" s="866">
      <c r="A24" s="1566" t="n"/>
      <c r="B24" s="1382" t="inlineStr">
        <is>
          <t>vacant</t>
        </is>
      </c>
      <c r="C24" s="1382" t="inlineStr">
        <is>
          <t>Quality Assurance</t>
        </is>
      </c>
      <c r="D24" s="1382" t="inlineStr">
        <is>
          <t>Tracy Lee Reaper</t>
        </is>
      </c>
      <c r="E24" s="1382" t="inlineStr">
        <is>
          <t>Tech Manager, Merchandising &amp; WFM</t>
        </is>
      </c>
      <c r="F24" s="1382" t="inlineStr">
        <is>
          <t>Ampol Retail &amp; Z</t>
        </is>
      </c>
      <c r="G24" s="1567" t="inlineStr">
        <is>
          <t>Ampol Retail</t>
        </is>
      </c>
      <c r="H24" s="1382" t="inlineStr">
        <is>
          <t>Ampol Retail, Merch &amp; RTA</t>
        </is>
      </c>
      <c r="I24" s="1382" t="inlineStr">
        <is>
          <t>Retail</t>
        </is>
      </c>
      <c r="J24" s="1573" t="inlineStr">
        <is>
          <t>Above Store</t>
        </is>
      </c>
      <c r="K24" s="1573" t="inlineStr">
        <is>
          <t>Above Store</t>
        </is>
      </c>
      <c r="L24" s="1567" t="n"/>
      <c r="M24" s="1568" t="n"/>
      <c r="N24" s="865" t="inlineStr">
        <is>
          <t>Ampol Retail</t>
        </is>
      </c>
      <c r="O24" s="865" t="inlineStr">
        <is>
          <t>Above Store</t>
        </is>
      </c>
      <c r="P24" s="865" t="inlineStr">
        <is>
          <t>Above Store</t>
        </is>
      </c>
      <c r="Q24" s="865" t="inlineStr">
        <is>
          <t>Squad</t>
        </is>
      </c>
      <c r="R24" s="865" t="inlineStr">
        <is>
          <t>Vacant</t>
        </is>
      </c>
    </row>
    <row r="25" ht="18" customHeight="1" s="866">
      <c r="A25" s="1566" t="n"/>
      <c r="B25" s="1382" t="inlineStr">
        <is>
          <t>Vacant</t>
        </is>
      </c>
      <c r="C25" s="1382" t="inlineStr">
        <is>
          <t>Engineer - Integration</t>
        </is>
      </c>
      <c r="D25" s="1382" t="inlineStr">
        <is>
          <t>Tracy Lee Reaper</t>
        </is>
      </c>
      <c r="E25" s="1382" t="inlineStr">
        <is>
          <t>Tech Manager, Merchandising &amp; WFM</t>
        </is>
      </c>
      <c r="F25" s="1382" t="inlineStr">
        <is>
          <t>Ampol Retail &amp; Z</t>
        </is>
      </c>
      <c r="G25" s="1567" t="inlineStr">
        <is>
          <t>Ampol Retail</t>
        </is>
      </c>
      <c r="H25" s="1382" t="inlineStr">
        <is>
          <t>Ampol Retail, Merch &amp; RTA</t>
        </is>
      </c>
      <c r="I25" s="1382" t="inlineStr">
        <is>
          <t>Retail</t>
        </is>
      </c>
      <c r="J25" s="1573" t="inlineStr">
        <is>
          <t>Above Store</t>
        </is>
      </c>
      <c r="K25" s="1573" t="inlineStr">
        <is>
          <t>Above Store</t>
        </is>
      </c>
      <c r="L25" s="1567" t="n"/>
      <c r="M25" s="1568" t="n"/>
      <c r="N25" s="865" t="inlineStr">
        <is>
          <t>Ampol Retail</t>
        </is>
      </c>
      <c r="O25" s="865" t="inlineStr">
        <is>
          <t>Above Store</t>
        </is>
      </c>
      <c r="P25" s="865" t="inlineStr">
        <is>
          <t>Above Store</t>
        </is>
      </c>
      <c r="Q25" s="865" t="inlineStr">
        <is>
          <t>Squad</t>
        </is>
      </c>
      <c r="R25" s="865" t="inlineStr">
        <is>
          <t>Vacant</t>
        </is>
      </c>
    </row>
    <row r="26" ht="18" customHeight="1" s="866">
      <c r="A26" s="1566" t="n">
        <v>7001</v>
      </c>
      <c r="B26" s="1382" t="inlineStr">
        <is>
          <t>Joseph Maroun</t>
        </is>
      </c>
      <c r="C26" s="1573" t="inlineStr">
        <is>
          <t>Systems Analyst</t>
        </is>
      </c>
      <c r="D26" s="1382" t="inlineStr">
        <is>
          <t>Tracy Lee Reaper</t>
        </is>
      </c>
      <c r="E26" s="1382" t="inlineStr">
        <is>
          <t>Tech Manager, Merchandising &amp; WFM</t>
        </is>
      </c>
      <c r="F26" s="1382" t="inlineStr">
        <is>
          <t>Ampol Retail &amp; Z</t>
        </is>
      </c>
      <c r="G26" s="1567" t="inlineStr">
        <is>
          <t>Ampol Retail</t>
        </is>
      </c>
      <c r="H26" s="1382" t="inlineStr">
        <is>
          <t>Ampol Retail, Merch &amp; RTA</t>
        </is>
      </c>
      <c r="I26" s="1382" t="inlineStr">
        <is>
          <t>Retail</t>
        </is>
      </c>
      <c r="J26" s="1573" t="inlineStr">
        <is>
          <t>Above Store</t>
        </is>
      </c>
      <c r="K26" s="1573" t="inlineStr">
        <is>
          <t>Above Store</t>
        </is>
      </c>
      <c r="L26" s="1567" t="n"/>
      <c r="M26" s="1568" t="inlineStr">
        <is>
          <t>Australia</t>
        </is>
      </c>
      <c r="N26" s="865" t="inlineStr">
        <is>
          <t>Ampol Retail</t>
        </is>
      </c>
      <c r="O26" s="865" t="inlineStr">
        <is>
          <t>Above Store</t>
        </is>
      </c>
      <c r="P26" s="865" t="inlineStr">
        <is>
          <t>Above Store</t>
        </is>
      </c>
      <c r="Q26" s="865" t="inlineStr">
        <is>
          <t>Squad</t>
        </is>
      </c>
      <c r="R26" s="865" t="inlineStr">
        <is>
          <t>Filled</t>
        </is>
      </c>
    </row>
    <row r="27" ht="18" customHeight="1" s="866">
      <c r="A27" s="1566" t="n">
        <v>117167</v>
      </c>
      <c r="B27" s="1382" t="inlineStr">
        <is>
          <t>Vijay Patel</t>
        </is>
      </c>
      <c r="C27" s="1382" t="inlineStr">
        <is>
          <t>Systems Analyst</t>
        </is>
      </c>
      <c r="D27" s="1382" t="inlineStr">
        <is>
          <t>Tracy Lee Reaper</t>
        </is>
      </c>
      <c r="E27" s="1382" t="inlineStr">
        <is>
          <t>Tech Manager, Merchandising &amp; WFM</t>
        </is>
      </c>
      <c r="F27" s="1382" t="inlineStr">
        <is>
          <t>Ampol Retail &amp; Z</t>
        </is>
      </c>
      <c r="G27" s="1567" t="inlineStr">
        <is>
          <t>Ampol Retail</t>
        </is>
      </c>
      <c r="H27" s="1382" t="inlineStr">
        <is>
          <t>Ampol Retail, Store Platforms</t>
        </is>
      </c>
      <c r="I27" s="1382" t="inlineStr">
        <is>
          <t>Retail</t>
        </is>
      </c>
      <c r="J27" s="1573" t="inlineStr">
        <is>
          <t>Above Store</t>
        </is>
      </c>
      <c r="K27" s="1573" t="inlineStr">
        <is>
          <t>Above Store</t>
        </is>
      </c>
      <c r="L27" s="1567" t="n"/>
      <c r="M27" s="1568" t="inlineStr">
        <is>
          <t>Australia</t>
        </is>
      </c>
      <c r="N27" s="865" t="inlineStr">
        <is>
          <t>Ampol Retail</t>
        </is>
      </c>
      <c r="O27" s="865" t="inlineStr">
        <is>
          <t>Above Store</t>
        </is>
      </c>
      <c r="P27" s="865" t="inlineStr">
        <is>
          <t>Above Store</t>
        </is>
      </c>
      <c r="Q27" s="865" t="inlineStr">
        <is>
          <t>Squad</t>
        </is>
      </c>
      <c r="R27" s="865" t="inlineStr">
        <is>
          <t>Filled</t>
        </is>
      </c>
    </row>
    <row r="28" ht="18" customHeight="1" s="866">
      <c r="A28" s="1566" t="n"/>
      <c r="B28" s="1382" t="inlineStr">
        <is>
          <t>vacant</t>
        </is>
      </c>
      <c r="C28" s="1382" t="inlineStr">
        <is>
          <t>Quality Assurance</t>
        </is>
      </c>
      <c r="D28" s="1382" t="inlineStr">
        <is>
          <t>Tracy Lee Reaper</t>
        </is>
      </c>
      <c r="E28" s="1382" t="inlineStr">
        <is>
          <t>Tech Manager, Merchandising &amp; WFM</t>
        </is>
      </c>
      <c r="F28" s="1382" t="inlineStr">
        <is>
          <t>Ampol Retail &amp; Z</t>
        </is>
      </c>
      <c r="G28" s="1567" t="inlineStr">
        <is>
          <t>Ampol Retail</t>
        </is>
      </c>
      <c r="H28" s="1382" t="inlineStr">
        <is>
          <t>Ampol Retail, Merch &amp; RTA</t>
        </is>
      </c>
      <c r="I28" s="1382" t="inlineStr">
        <is>
          <t>Retail</t>
        </is>
      </c>
      <c r="J28" s="1573" t="inlineStr">
        <is>
          <t>Above Store</t>
        </is>
      </c>
      <c r="K28" s="1573" t="inlineStr">
        <is>
          <t>Above Store</t>
        </is>
      </c>
      <c r="L28" s="1567" t="n"/>
      <c r="M28" s="1568" t="n"/>
      <c r="N28" s="865" t="inlineStr">
        <is>
          <t>Ampol Retail</t>
        </is>
      </c>
      <c r="O28" s="865" t="inlineStr">
        <is>
          <t>Above Store</t>
        </is>
      </c>
      <c r="P28" s="865" t="inlineStr">
        <is>
          <t>Above Store</t>
        </is>
      </c>
      <c r="Q28" s="865" t="inlineStr">
        <is>
          <t>Squad</t>
        </is>
      </c>
      <c r="R28" s="865" t="inlineStr">
        <is>
          <t>Vacant</t>
        </is>
      </c>
    </row>
    <row r="29" ht="18" customHeight="1" s="866">
      <c r="A29" s="1566" t="n">
        <v>84413</v>
      </c>
      <c r="B29" s="1382" t="inlineStr">
        <is>
          <t>Karthick Sathiyamoorthy</t>
        </is>
      </c>
      <c r="C29" s="1382" t="inlineStr">
        <is>
          <t>Quality Assurance</t>
        </is>
      </c>
      <c r="D29" s="1567" t="inlineStr">
        <is>
          <t>Vacant</t>
        </is>
      </c>
      <c r="E29" s="1382" t="inlineStr">
        <is>
          <t>Lead Quality Assurance</t>
        </is>
      </c>
      <c r="F29" s="1382" t="inlineStr">
        <is>
          <t>Ampol Retail &amp; Z</t>
        </is>
      </c>
      <c r="G29" s="1567" t="inlineStr">
        <is>
          <t>Ampol Retail</t>
        </is>
      </c>
      <c r="H29" s="1382" t="inlineStr">
        <is>
          <t>Ampol Retail, Store Platforms</t>
        </is>
      </c>
      <c r="I29" s="1382" t="inlineStr">
        <is>
          <t>Retail</t>
        </is>
      </c>
      <c r="J29" s="1567" t="inlineStr">
        <is>
          <t>AMPOS</t>
        </is>
      </c>
      <c r="K29" s="1382" t="inlineStr">
        <is>
          <t>AmPos</t>
        </is>
      </c>
      <c r="L29" s="1567" t="n"/>
      <c r="M29" s="1568" t="inlineStr">
        <is>
          <t>Australia</t>
        </is>
      </c>
      <c r="N29" s="865" t="inlineStr">
        <is>
          <t>Ampol Retail</t>
        </is>
      </c>
      <c r="O29" s="865" t="inlineStr">
        <is>
          <t>AmPOS</t>
        </is>
      </c>
      <c r="P29" s="865" t="inlineStr">
        <is>
          <t>AmPOS</t>
        </is>
      </c>
      <c r="Q29" s="865" t="inlineStr">
        <is>
          <t>Strategic Program</t>
        </is>
      </c>
      <c r="R29" s="865" t="inlineStr">
        <is>
          <t>Filled</t>
        </is>
      </c>
    </row>
    <row r="30" ht="18" customHeight="1" s="866">
      <c r="A30" s="1566" t="n">
        <v>99999102104</v>
      </c>
      <c r="B30" s="1382" t="inlineStr">
        <is>
          <t>Isuru Herath</t>
        </is>
      </c>
      <c r="C30" s="1382" t="inlineStr">
        <is>
          <t>Senior Engineer - Software</t>
        </is>
      </c>
      <c r="D30" s="1382" t="inlineStr">
        <is>
          <t>Vacant</t>
        </is>
      </c>
      <c r="E30" s="1382" t="inlineStr">
        <is>
          <t>Technology Manager, Engineering</t>
        </is>
      </c>
      <c r="F30" s="1382" t="inlineStr">
        <is>
          <t>Ampol Retail &amp; Z</t>
        </is>
      </c>
      <c r="G30" s="1567" t="inlineStr">
        <is>
          <t>Z &amp; Group Retail</t>
        </is>
      </c>
      <c r="H30" s="1382" t="inlineStr">
        <is>
          <t>Z &amp; Group Retail, Engineering</t>
        </is>
      </c>
      <c r="I30" s="1382" t="inlineStr">
        <is>
          <t>Z</t>
        </is>
      </c>
      <c r="J30" s="1567" t="inlineStr">
        <is>
          <t>Z Supply</t>
        </is>
      </c>
      <c r="K30" s="1382" t="inlineStr">
        <is>
          <t>Z Supply</t>
        </is>
      </c>
      <c r="L30" s="1567" t="n"/>
      <c r="M30" s="1568" t="inlineStr">
        <is>
          <t>NZ</t>
        </is>
      </c>
      <c r="N30" s="865" t="inlineStr">
        <is>
          <t>Z Retail</t>
        </is>
      </c>
      <c r="O30" s="865" t="inlineStr">
        <is>
          <t>Z Supply</t>
        </is>
      </c>
      <c r="P30" s="865" t="inlineStr">
        <is>
          <t>Z Supply</t>
        </is>
      </c>
      <c r="Q30" s="865" t="inlineStr">
        <is>
          <t>Squad</t>
        </is>
      </c>
      <c r="R30" s="865" t="inlineStr">
        <is>
          <t>Filled</t>
        </is>
      </c>
    </row>
    <row r="31" ht="18" customHeight="1" s="866">
      <c r="A31" s="1566" t="n">
        <v>99999101222</v>
      </c>
      <c r="B31" s="1382" t="inlineStr">
        <is>
          <t>Malachi Ah Hoi</t>
        </is>
      </c>
      <c r="C31" s="1382" t="inlineStr">
        <is>
          <t>Senior Quality Assurance</t>
        </is>
      </c>
      <c r="D31" s="1382" t="inlineStr">
        <is>
          <t>Vacant</t>
        </is>
      </c>
      <c r="E31" s="1382" t="inlineStr">
        <is>
          <t>Technology Manager, Engineering</t>
        </is>
      </c>
      <c r="F31" s="1382" t="inlineStr">
        <is>
          <t>Ampol Retail &amp; Z</t>
        </is>
      </c>
      <c r="G31" s="1382" t="inlineStr">
        <is>
          <t>Z &amp; Group Retail</t>
        </is>
      </c>
      <c r="H31" s="1382" t="inlineStr">
        <is>
          <t>Z &amp; Group Retail, Engineering</t>
        </is>
      </c>
      <c r="I31" s="1382" t="inlineStr">
        <is>
          <t>Z</t>
        </is>
      </c>
      <c r="J31" s="1382" t="inlineStr">
        <is>
          <t>Z Customer</t>
        </is>
      </c>
      <c r="K31" s="1382" t="inlineStr">
        <is>
          <t xml:space="preserve">Z Retail Backend </t>
        </is>
      </c>
      <c r="L31" s="1567" t="n"/>
      <c r="M31" s="1568" t="inlineStr">
        <is>
          <t>NZ</t>
        </is>
      </c>
      <c r="N31" s="865" t="inlineStr">
        <is>
          <t>Z Retail</t>
        </is>
      </c>
      <c r="O31" s="865" t="inlineStr">
        <is>
          <t>Z Customer</t>
        </is>
      </c>
      <c r="P31" s="865" t="inlineStr">
        <is>
          <t>Z Retail Backend</t>
        </is>
      </c>
      <c r="Q31" s="865" t="inlineStr">
        <is>
          <t>Squad</t>
        </is>
      </c>
      <c r="R31" s="865" t="inlineStr">
        <is>
          <t>Filled</t>
        </is>
      </c>
    </row>
    <row r="32" ht="18" customHeight="1" s="866">
      <c r="A32" s="1566" t="n"/>
      <c r="B32" s="1382" t="inlineStr">
        <is>
          <t>Vacant</t>
        </is>
      </c>
      <c r="C32" s="1382" t="inlineStr">
        <is>
          <t>Delivery Manager</t>
        </is>
      </c>
      <c r="D32" s="1567" t="inlineStr">
        <is>
          <t>Vacant</t>
        </is>
      </c>
      <c r="E32" s="1382" t="inlineStr">
        <is>
          <t>Head of Technology, Z and Group Retail Platforms</t>
        </is>
      </c>
      <c r="F32" s="1382" t="inlineStr">
        <is>
          <t>Ampol Retail &amp; Z</t>
        </is>
      </c>
      <c r="G32" s="1567" t="inlineStr">
        <is>
          <t>Z &amp; Group Retail</t>
        </is>
      </c>
      <c r="H32" s="1567" t="inlineStr">
        <is>
          <t>Z &amp; Group Retail, Delivery</t>
        </is>
      </c>
      <c r="I32" s="1567" t="inlineStr">
        <is>
          <t>Z</t>
        </is>
      </c>
      <c r="J32" s="1382" t="inlineStr">
        <is>
          <t>Z Customer &amp; Z Supply</t>
        </is>
      </c>
      <c r="K32" s="1567" t="inlineStr">
        <is>
          <t>Leadership</t>
        </is>
      </c>
      <c r="L32" s="1567" t="n"/>
      <c r="M32" s="1568" t="n"/>
      <c r="N32" s="865" t="inlineStr">
        <is>
          <t>Z Retail</t>
        </is>
      </c>
      <c r="O32" s="865" t="inlineStr">
        <is>
          <t>Leadership</t>
        </is>
      </c>
      <c r="P32" s="865" t="inlineStr">
        <is>
          <t>Leadership</t>
        </is>
      </c>
      <c r="Q32" s="865" t="inlineStr">
        <is>
          <t>Leadership</t>
        </is>
      </c>
      <c r="R32" s="865" t="inlineStr">
        <is>
          <t>Vacant</t>
        </is>
      </c>
    </row>
    <row r="33" ht="18" customHeight="1" s="866">
      <c r="A33" s="1566" t="n"/>
      <c r="B33" s="1382" t="inlineStr">
        <is>
          <t>Vacant</t>
        </is>
      </c>
      <c r="C33" s="1382" t="inlineStr">
        <is>
          <t>Quality Assurance</t>
        </is>
      </c>
      <c r="D33" s="1382" t="inlineStr">
        <is>
          <t>Vacant</t>
        </is>
      </c>
      <c r="E33" s="1382" t="inlineStr">
        <is>
          <t>Technology Manager, Engineering</t>
        </is>
      </c>
      <c r="F33" s="1382" t="inlineStr">
        <is>
          <t>Ampol Retail &amp; Z</t>
        </is>
      </c>
      <c r="G33" s="1567" t="inlineStr">
        <is>
          <t>Z &amp; Group Retail</t>
        </is>
      </c>
      <c r="H33" s="1382" t="inlineStr">
        <is>
          <t>Z &amp; Group Retail, Engineering</t>
        </is>
      </c>
      <c r="I33" s="1382" t="inlineStr">
        <is>
          <t>Z</t>
        </is>
      </c>
      <c r="J33" s="1567" t="inlineStr">
        <is>
          <t>Z Supply</t>
        </is>
      </c>
      <c r="K33" s="1382" t="inlineStr">
        <is>
          <t>Z Supply</t>
        </is>
      </c>
      <c r="L33" s="1567" t="n"/>
      <c r="M33" s="1568" t="n"/>
      <c r="N33" s="865" t="inlineStr">
        <is>
          <t>Z Retail</t>
        </is>
      </c>
      <c r="O33" s="865" t="inlineStr">
        <is>
          <t>Z Supply</t>
        </is>
      </c>
      <c r="P33" s="865" t="inlineStr">
        <is>
          <t>Z Supply</t>
        </is>
      </c>
      <c r="Q33" s="865" t="inlineStr">
        <is>
          <t>Squad</t>
        </is>
      </c>
      <c r="R33" s="865" t="inlineStr">
        <is>
          <t>Vacant</t>
        </is>
      </c>
    </row>
    <row r="34" ht="18" customHeight="1" s="866">
      <c r="A34" s="1566" t="n"/>
      <c r="B34" s="1382" t="inlineStr">
        <is>
          <t>Vacant</t>
        </is>
      </c>
      <c r="C34" s="1382" t="inlineStr">
        <is>
          <t>Systems Analyst</t>
        </is>
      </c>
      <c r="D34" s="1382" t="inlineStr">
        <is>
          <t>Vacant</t>
        </is>
      </c>
      <c r="E34" s="1382" t="inlineStr">
        <is>
          <t>Technology Manager, Retail</t>
        </is>
      </c>
      <c r="F34" s="1382" t="inlineStr">
        <is>
          <t>Ampol Retail &amp; Z</t>
        </is>
      </c>
      <c r="G34" s="1567" t="inlineStr">
        <is>
          <t>Ampol Retail</t>
        </is>
      </c>
      <c r="H34" s="1382" t="inlineStr">
        <is>
          <t>Ampol Retail, Technology</t>
        </is>
      </c>
      <c r="I34" s="1382" t="inlineStr">
        <is>
          <t>Retail</t>
        </is>
      </c>
      <c r="J34" s="1567" t="inlineStr">
        <is>
          <t>Network/QSR</t>
        </is>
      </c>
      <c r="K34" s="1382" t="inlineStr">
        <is>
          <t>Network &amp; QSR</t>
        </is>
      </c>
      <c r="L34" s="1567" t="n"/>
      <c r="M34" s="1568" t="n"/>
      <c r="N34" s="865" t="inlineStr">
        <is>
          <t>Ampol Retail</t>
        </is>
      </c>
      <c r="O34" s="865" t="inlineStr">
        <is>
          <t>Network / QSR</t>
        </is>
      </c>
      <c r="P34" s="865" t="inlineStr">
        <is>
          <t>Network / QSR</t>
        </is>
      </c>
      <c r="Q34" s="865" t="inlineStr">
        <is>
          <t>Squad</t>
        </is>
      </c>
      <c r="R34" s="865" t="inlineStr">
        <is>
          <t>Vacant</t>
        </is>
      </c>
    </row>
    <row r="35" ht="18" customHeight="1" s="866">
      <c r="A35" s="1566" t="n">
        <v>115515</v>
      </c>
      <c r="B35" s="1382" t="inlineStr">
        <is>
          <t>Emma Natoli</t>
        </is>
      </c>
      <c r="C35" s="1382" t="inlineStr">
        <is>
          <t>Technology Manager, Engineering</t>
        </is>
      </c>
      <c r="D35" s="1567" t="inlineStr">
        <is>
          <t>Vacant</t>
        </is>
      </c>
      <c r="E35" s="1382" t="inlineStr">
        <is>
          <t>Head of Technology, Z and Group Retail Platforms</t>
        </is>
      </c>
      <c r="F35" s="1382" t="inlineStr">
        <is>
          <t>Ampol Retail &amp; Z</t>
        </is>
      </c>
      <c r="G35" s="1567" t="inlineStr">
        <is>
          <t>Z &amp; Group Retail</t>
        </is>
      </c>
      <c r="H35" s="1382" t="inlineStr">
        <is>
          <t>Z &amp; Group Retail, Engineering</t>
        </is>
      </c>
      <c r="I35" s="1382" t="inlineStr">
        <is>
          <t>Z</t>
        </is>
      </c>
      <c r="J35" s="1382" t="inlineStr">
        <is>
          <t>Z Customer &amp; Z Supply</t>
        </is>
      </c>
      <c r="K35" s="1567" t="inlineStr">
        <is>
          <t>Leadership</t>
        </is>
      </c>
      <c r="L35" s="1567" t="n"/>
      <c r="M35" s="1568" t="inlineStr">
        <is>
          <t>NZ</t>
        </is>
      </c>
      <c r="N35" s="865" t="inlineStr">
        <is>
          <t>Z Retail</t>
        </is>
      </c>
      <c r="O35" s="865" t="inlineStr">
        <is>
          <t>Leadership</t>
        </is>
      </c>
      <c r="P35" s="865" t="inlineStr">
        <is>
          <t>Leadership</t>
        </is>
      </c>
      <c r="Q35" s="865" t="inlineStr">
        <is>
          <t>Leadership</t>
        </is>
      </c>
      <c r="R35" s="865" t="inlineStr">
        <is>
          <t>Filled</t>
        </is>
      </c>
    </row>
    <row r="36" ht="18" customHeight="1" s="866">
      <c r="A36" s="1566" t="n">
        <v>98007</v>
      </c>
      <c r="B36" s="1382" t="inlineStr">
        <is>
          <t>Sendhil Vinayagam (75% EGI)</t>
        </is>
      </c>
      <c r="C36" s="1382" t="inlineStr">
        <is>
          <t>Solution Architect</t>
        </is>
      </c>
      <c r="D36" s="1382" t="inlineStr">
        <is>
          <t>Vacant</t>
        </is>
      </c>
      <c r="E36" s="1382" t="inlineStr">
        <is>
          <t>Technology Manager, Retail</t>
        </is>
      </c>
      <c r="F36" s="1382" t="inlineStr">
        <is>
          <t>Ampol Retail &amp; Z</t>
        </is>
      </c>
      <c r="G36" s="1567" t="inlineStr">
        <is>
          <t>Ampol Retail</t>
        </is>
      </c>
      <c r="H36" s="1382" t="inlineStr">
        <is>
          <t>Ampol Retail, Technology</t>
        </is>
      </c>
      <c r="I36" s="1382" t="inlineStr">
        <is>
          <t>EGI Integration</t>
        </is>
      </c>
      <c r="J36" s="1567" t="inlineStr">
        <is>
          <t>EGI</t>
        </is>
      </c>
      <c r="K36" s="1382" t="inlineStr">
        <is>
          <t>EGI Retail</t>
        </is>
      </c>
      <c r="L36" s="1567" t="n"/>
      <c r="M36" s="1568" t="inlineStr">
        <is>
          <t>Australia</t>
        </is>
      </c>
      <c r="N36" s="865" t="inlineStr">
        <is>
          <t>Ampol Retail</t>
        </is>
      </c>
      <c r="O36" s="865" t="inlineStr">
        <is>
          <t>EGI Retail</t>
        </is>
      </c>
      <c r="P36" s="865" t="inlineStr">
        <is>
          <t>EGI Retail</t>
        </is>
      </c>
      <c r="Q36" s="865" t="inlineStr">
        <is>
          <t>Strategic Program</t>
        </is>
      </c>
      <c r="R36" s="865" t="inlineStr">
        <is>
          <t>Filled</t>
        </is>
      </c>
    </row>
    <row r="37" ht="18" customHeight="1" s="866">
      <c r="A37" s="1566" t="n"/>
      <c r="B37" s="1382" t="inlineStr">
        <is>
          <t>Vacant</t>
        </is>
      </c>
      <c r="C37" s="1382" t="inlineStr">
        <is>
          <t>Delivery Lead</t>
        </is>
      </c>
      <c r="D37" s="1567" t="inlineStr">
        <is>
          <t>Vacant</t>
        </is>
      </c>
      <c r="E37" s="1572" t="inlineStr">
        <is>
          <t>Delivery Manager, Z and Retail Data</t>
        </is>
      </c>
      <c r="F37" s="1382" t="inlineStr">
        <is>
          <t>Ampol Retail &amp; Z</t>
        </is>
      </c>
      <c r="G37" s="1567" t="inlineStr">
        <is>
          <t>Z &amp; Group Retail</t>
        </is>
      </c>
      <c r="H37" s="1382" t="inlineStr">
        <is>
          <t>Z &amp; Group Retail, Delivery</t>
        </is>
      </c>
      <c r="I37" s="1382" t="inlineStr">
        <is>
          <t>Z</t>
        </is>
      </c>
      <c r="J37" s="1567" t="inlineStr">
        <is>
          <t>Z Customer &amp; Z Supply</t>
        </is>
      </c>
      <c r="K37" s="1382" t="inlineStr">
        <is>
          <t>Data - NZ</t>
        </is>
      </c>
      <c r="L37" s="1567" t="n"/>
      <c r="M37" s="1568" t="n"/>
      <c r="N37" s="865" t="inlineStr">
        <is>
          <t>Z Retail</t>
        </is>
      </c>
      <c r="O37" s="865" t="inlineStr">
        <is>
          <t>-</t>
        </is>
      </c>
      <c r="P37" s="865" t="inlineStr">
        <is>
          <t>Data NZ</t>
        </is>
      </c>
      <c r="Q37" s="865" t="inlineStr">
        <is>
          <t>Unmapped</t>
        </is>
      </c>
      <c r="R37" s="865" t="inlineStr">
        <is>
          <t>Vacant</t>
        </is>
      </c>
    </row>
    <row r="38" ht="18" customHeight="1" s="866">
      <c r="A38" s="1566" t="n">
        <v>99999101426</v>
      </c>
      <c r="B38" s="1382" t="inlineStr">
        <is>
          <t>Trevor Weaver</t>
        </is>
      </c>
      <c r="C38" s="1382" t="inlineStr">
        <is>
          <t>Lead  Engineer - Software</t>
        </is>
      </c>
      <c r="D38" s="1382" t="inlineStr">
        <is>
          <t>Vacant</t>
        </is>
      </c>
      <c r="E38" s="1382" t="inlineStr">
        <is>
          <t>Technology Manager, Engineering</t>
        </is>
      </c>
      <c r="F38" s="1382" t="inlineStr">
        <is>
          <t>Ampol Retail &amp; Z</t>
        </is>
      </c>
      <c r="G38" s="1382" t="inlineStr">
        <is>
          <t>Z &amp; Group Retail</t>
        </is>
      </c>
      <c r="H38" s="1382" t="inlineStr">
        <is>
          <t>Z &amp; Group Retail, Engineering</t>
        </is>
      </c>
      <c r="I38" s="1382" t="inlineStr">
        <is>
          <t>Z</t>
        </is>
      </c>
      <c r="J38" s="1382" t="inlineStr">
        <is>
          <t>Z Customer</t>
        </is>
      </c>
      <c r="K38" s="1382" t="inlineStr">
        <is>
          <t>Z Retail Backend</t>
        </is>
      </c>
      <c r="L38" s="1567" t="n"/>
      <c r="M38" s="1568" t="inlineStr">
        <is>
          <t>NZ</t>
        </is>
      </c>
      <c r="N38" s="865" t="inlineStr">
        <is>
          <t>Z Retail</t>
        </is>
      </c>
      <c r="O38" s="865" t="inlineStr">
        <is>
          <t>Z Customer</t>
        </is>
      </c>
      <c r="P38" s="865" t="inlineStr">
        <is>
          <t>Z Retail Backend</t>
        </is>
      </c>
      <c r="Q38" s="865" t="inlineStr">
        <is>
          <t>Squad</t>
        </is>
      </c>
      <c r="R38" s="865" t="inlineStr">
        <is>
          <t>Filled</t>
        </is>
      </c>
    </row>
    <row r="39" ht="18" customHeight="1" s="866">
      <c r="A39" s="1566" t="n">
        <v>9999970029518</v>
      </c>
      <c r="B39" s="1382" t="inlineStr">
        <is>
          <t>Anne Pretorius</t>
        </is>
      </c>
      <c r="C39" s="1382" t="inlineStr">
        <is>
          <t>Lead Business Analyst</t>
        </is>
      </c>
      <c r="D39" s="1567" t="inlineStr">
        <is>
          <t>Vacant</t>
        </is>
      </c>
      <c r="E39" s="1382" t="inlineStr">
        <is>
          <t>Delivery Manager, Z and Retail Data</t>
        </is>
      </c>
      <c r="F39" s="1382" t="inlineStr">
        <is>
          <t>Ampol Retail &amp; Z</t>
        </is>
      </c>
      <c r="G39" s="1567" t="inlineStr">
        <is>
          <t>Z &amp; Group Retail</t>
        </is>
      </c>
      <c r="H39" s="1382" t="inlineStr">
        <is>
          <t>Z &amp; Group Retail, Delivery</t>
        </is>
      </c>
      <c r="I39" s="1382" t="inlineStr">
        <is>
          <t>EGI Integration</t>
        </is>
      </c>
      <c r="J39" s="1567" t="inlineStr">
        <is>
          <t>EGI</t>
        </is>
      </c>
      <c r="K39" s="1382" t="inlineStr">
        <is>
          <t>EGI</t>
        </is>
      </c>
      <c r="L39" s="1567" t="n"/>
      <c r="M39" s="1568" t="inlineStr">
        <is>
          <t>NZ</t>
        </is>
      </c>
      <c r="N39" s="865" t="inlineStr">
        <is>
          <t>EGI</t>
        </is>
      </c>
      <c r="O39" s="865" t="inlineStr">
        <is>
          <t>EGI</t>
        </is>
      </c>
      <c r="P39" s="865" t="inlineStr">
        <is>
          <t>EGI (unassigned)</t>
        </is>
      </c>
      <c r="Q39" s="865" t="inlineStr">
        <is>
          <t>Unmapped</t>
        </is>
      </c>
      <c r="R39" s="865" t="inlineStr">
        <is>
          <t>Filled</t>
        </is>
      </c>
    </row>
    <row r="40" ht="18" customHeight="1" s="866">
      <c r="A40" s="1566" t="n">
        <v>4259</v>
      </c>
      <c r="B40" s="1382" t="inlineStr">
        <is>
          <t>Ephraim Adan</t>
        </is>
      </c>
      <c r="C40" s="1382" t="inlineStr">
        <is>
          <t>Manager - AU Retail Operations</t>
        </is>
      </c>
      <c r="D40" s="1382" t="inlineStr">
        <is>
          <t>Vacant</t>
        </is>
      </c>
      <c r="E40" s="1382" t="inlineStr">
        <is>
          <t>Technology Manager, Retail</t>
        </is>
      </c>
      <c r="F40" s="1382" t="inlineStr">
        <is>
          <t>Ampol Retail &amp; Z</t>
        </is>
      </c>
      <c r="G40" s="1567" t="inlineStr">
        <is>
          <t>Ampol Retail</t>
        </is>
      </c>
      <c r="H40" s="1382" t="inlineStr">
        <is>
          <t>Ampol Retail, Technology</t>
        </is>
      </c>
      <c r="I40" s="1382" t="inlineStr">
        <is>
          <t>Retail</t>
        </is>
      </c>
      <c r="J40" s="1567" t="inlineStr">
        <is>
          <t>Store Operations</t>
        </is>
      </c>
      <c r="K40" s="1382" t="inlineStr">
        <is>
          <t>Store Operations</t>
        </is>
      </c>
      <c r="L40" s="1567" t="n"/>
      <c r="M40" s="1568" t="inlineStr">
        <is>
          <t>Australia</t>
        </is>
      </c>
      <c r="N40" s="865" t="inlineStr">
        <is>
          <t>Ampol Retail</t>
        </is>
      </c>
      <c r="O40" s="865" t="inlineStr">
        <is>
          <t>Store Operations</t>
        </is>
      </c>
      <c r="P40" s="865" t="inlineStr">
        <is>
          <t>Store Operations</t>
        </is>
      </c>
      <c r="Q40" s="865" t="inlineStr">
        <is>
          <t>Squad</t>
        </is>
      </c>
      <c r="R40" s="865" t="inlineStr">
        <is>
          <t>Filled</t>
        </is>
      </c>
    </row>
    <row r="41" ht="18" customHeight="1" s="866">
      <c r="A41" s="1566" t="n">
        <v>111835</v>
      </c>
      <c r="B41" s="1382" t="inlineStr">
        <is>
          <t>Matthew Patane</t>
        </is>
      </c>
      <c r="C41" s="1382" t="inlineStr">
        <is>
          <t>Release &amp; Deployment Manager</t>
        </is>
      </c>
      <c r="D41" s="1382" t="inlineStr">
        <is>
          <t>Vacant</t>
        </is>
      </c>
      <c r="E41" s="1382" t="inlineStr">
        <is>
          <t>Technology Manager, Retail</t>
        </is>
      </c>
      <c r="F41" s="1382" t="inlineStr">
        <is>
          <t>Ampol Retail &amp; Z</t>
        </is>
      </c>
      <c r="G41" s="1567" t="inlineStr">
        <is>
          <t>Ampol Retail</t>
        </is>
      </c>
      <c r="H41" s="1382" t="inlineStr">
        <is>
          <t>Ampol Retail, Technology</t>
        </is>
      </c>
      <c r="I41" s="1382" t="inlineStr">
        <is>
          <t>Retail</t>
        </is>
      </c>
      <c r="J41" s="1567" t="inlineStr">
        <is>
          <t>Store Operations</t>
        </is>
      </c>
      <c r="K41" s="1382" t="inlineStr">
        <is>
          <t xml:space="preserve">Deployment </t>
        </is>
      </c>
      <c r="L41" s="1567" t="n"/>
      <c r="M41" s="1568" t="inlineStr">
        <is>
          <t>Australia</t>
        </is>
      </c>
      <c r="N41" s="865" t="inlineStr">
        <is>
          <t>Ampol Retail</t>
        </is>
      </c>
      <c r="O41" s="865" t="inlineStr">
        <is>
          <t>Store Operations</t>
        </is>
      </c>
      <c r="P41" s="865" t="inlineStr">
        <is>
          <t>Deployment</t>
        </is>
      </c>
      <c r="Q41" s="865" t="inlineStr">
        <is>
          <t>Squad</t>
        </is>
      </c>
      <c r="R41" s="865" t="inlineStr">
        <is>
          <t>Filled</t>
        </is>
      </c>
    </row>
    <row r="42" ht="18" customHeight="1" s="866">
      <c r="A42" s="1566" t="n">
        <v>99999101647</v>
      </c>
      <c r="B42" s="1382" t="inlineStr">
        <is>
          <t>Ash Muthumala</t>
        </is>
      </c>
      <c r="C42" s="1382" t="inlineStr">
        <is>
          <t>Senior QA Analyst</t>
        </is>
      </c>
      <c r="D42" s="1567" t="inlineStr">
        <is>
          <t>Vacant</t>
        </is>
      </c>
      <c r="E42" s="1382" t="inlineStr">
        <is>
          <t>Technology Manager, Data</t>
        </is>
      </c>
      <c r="F42" s="1382" t="inlineStr">
        <is>
          <t>Ampol Retail &amp; Z</t>
        </is>
      </c>
      <c r="G42" s="1567" t="inlineStr">
        <is>
          <t>Z &amp; Group Retail</t>
        </is>
      </c>
      <c r="H42" s="1382" t="inlineStr">
        <is>
          <t>Delivery, Commercial Fuels</t>
        </is>
      </c>
      <c r="I42" s="1382" t="inlineStr">
        <is>
          <t>Z</t>
        </is>
      </c>
      <c r="J42" s="1567" t="inlineStr">
        <is>
          <t>Z Customer &amp; Z Supply</t>
        </is>
      </c>
      <c r="K42" s="1382" t="inlineStr">
        <is>
          <t>Data - NZ</t>
        </is>
      </c>
      <c r="L42" s="1567" t="n"/>
      <c r="M42" s="1568" t="inlineStr">
        <is>
          <t>NZ</t>
        </is>
      </c>
      <c r="N42" s="865" t="inlineStr">
        <is>
          <t>Z Retail</t>
        </is>
      </c>
      <c r="O42" s="865" t="inlineStr">
        <is>
          <t>-</t>
        </is>
      </c>
      <c r="P42" s="865" t="inlineStr">
        <is>
          <t>Data NZ</t>
        </is>
      </c>
      <c r="Q42" s="865" t="inlineStr">
        <is>
          <t>Unmapped</t>
        </is>
      </c>
      <c r="R42" s="865" t="inlineStr">
        <is>
          <t>Filled</t>
        </is>
      </c>
    </row>
    <row r="43" ht="18" customHeight="1" s="866">
      <c r="A43" s="1566" t="n">
        <v>91356</v>
      </c>
      <c r="B43" s="1382" t="inlineStr">
        <is>
          <t>Javier Aguirre Castellanos</t>
        </is>
      </c>
      <c r="C43" s="1382" t="inlineStr">
        <is>
          <t>Solution Architect</t>
        </is>
      </c>
      <c r="D43" s="1382" t="inlineStr">
        <is>
          <t>Vacant</t>
        </is>
      </c>
      <c r="E43" s="1382" t="inlineStr">
        <is>
          <t>Technology Manager, Retail</t>
        </is>
      </c>
      <c r="F43" s="1382" t="inlineStr">
        <is>
          <t>Ampol Retail &amp; Z</t>
        </is>
      </c>
      <c r="G43" s="1567" t="inlineStr">
        <is>
          <t>Ampol Retail</t>
        </is>
      </c>
      <c r="H43" s="1382" t="inlineStr">
        <is>
          <t>Ampol Retail, Technology</t>
        </is>
      </c>
      <c r="I43" s="1382" t="inlineStr">
        <is>
          <t>Retail</t>
        </is>
      </c>
      <c r="J43" s="1567" t="inlineStr">
        <is>
          <t>Network/QSR</t>
        </is>
      </c>
      <c r="K43" s="1382" t="inlineStr">
        <is>
          <t>Network &amp; QSR</t>
        </is>
      </c>
      <c r="L43" s="1567" t="n"/>
      <c r="M43" s="1568" t="inlineStr">
        <is>
          <t>Australia</t>
        </is>
      </c>
      <c r="N43" s="865" t="inlineStr">
        <is>
          <t>Ampol Retail</t>
        </is>
      </c>
      <c r="O43" s="865" t="inlineStr">
        <is>
          <t>Network / QSR</t>
        </is>
      </c>
      <c r="P43" s="865" t="inlineStr">
        <is>
          <t>Network / QSR</t>
        </is>
      </c>
      <c r="Q43" s="865" t="inlineStr">
        <is>
          <t>Squad</t>
        </is>
      </c>
      <c r="R43" s="865" t="inlineStr">
        <is>
          <t>Filled</t>
        </is>
      </c>
    </row>
    <row r="44" ht="18" customHeight="1" s="866">
      <c r="A44" s="1566" t="n"/>
      <c r="B44" s="1382" t="inlineStr">
        <is>
          <t>Vacant</t>
        </is>
      </c>
      <c r="C44" s="1382" t="inlineStr">
        <is>
          <t>Data Analyst</t>
        </is>
      </c>
      <c r="D44" s="1567" t="inlineStr">
        <is>
          <t>Vacant</t>
        </is>
      </c>
      <c r="E44" s="1382" t="inlineStr">
        <is>
          <t>Technology Manager, Data</t>
        </is>
      </c>
      <c r="F44" s="1382" t="inlineStr">
        <is>
          <t>Ampol Retail &amp; Z</t>
        </is>
      </c>
      <c r="G44" s="1567" t="inlineStr">
        <is>
          <t>Z &amp; Group Retail</t>
        </is>
      </c>
      <c r="H44" s="1382" t="inlineStr">
        <is>
          <t>Z &amp; Group Retail, Data</t>
        </is>
      </c>
      <c r="I44" s="1382" t="inlineStr">
        <is>
          <t>Retail</t>
        </is>
      </c>
      <c r="J44" s="1567" t="inlineStr">
        <is>
          <t>(All Retail)</t>
        </is>
      </c>
      <c r="K44" s="1382" t="inlineStr">
        <is>
          <t>Data - AU</t>
        </is>
      </c>
      <c r="L44" s="1567" t="n"/>
      <c r="M44" s="1568" t="n"/>
      <c r="N44" s="865" t="inlineStr">
        <is>
          <t>Ampol Retail</t>
        </is>
      </c>
      <c r="O44" s="865" t="inlineStr">
        <is>
          <t>Data AU</t>
        </is>
      </c>
      <c r="P44" s="865" t="inlineStr">
        <is>
          <t>Data AU</t>
        </is>
      </c>
      <c r="Q44" s="865" t="inlineStr">
        <is>
          <t>Squad</t>
        </is>
      </c>
      <c r="R44" s="865" t="inlineStr">
        <is>
          <t>Vacant</t>
        </is>
      </c>
    </row>
    <row r="45" ht="18" customHeight="1" s="866">
      <c r="A45" s="1566" t="n">
        <v>99999101214</v>
      </c>
      <c r="B45" s="1382" t="inlineStr">
        <is>
          <t>Anna Koot</t>
        </is>
      </c>
      <c r="C45" s="1382" t="inlineStr">
        <is>
          <t>Senior Business Analyst</t>
        </is>
      </c>
      <c r="D45" s="1567" t="inlineStr">
        <is>
          <t>Vacant</t>
        </is>
      </c>
      <c r="E45" s="1382" t="inlineStr">
        <is>
          <t>Delivery Manager, Z and Retail Data</t>
        </is>
      </c>
      <c r="F45" s="1382" t="inlineStr">
        <is>
          <t>Ampol Retail &amp; Z</t>
        </is>
      </c>
      <c r="G45" s="1567" t="inlineStr">
        <is>
          <t>Z &amp; Group Retail</t>
        </is>
      </c>
      <c r="H45" s="1382" t="inlineStr">
        <is>
          <t>Z &amp; Group Retail, Delivery</t>
        </is>
      </c>
      <c r="I45" s="1382" t="inlineStr">
        <is>
          <t>Z</t>
        </is>
      </c>
      <c r="J45" s="1567" t="inlineStr">
        <is>
          <t>Z Supply</t>
        </is>
      </c>
      <c r="K45" s="1382" t="inlineStr">
        <is>
          <t>Z Supply</t>
        </is>
      </c>
      <c r="L45" s="1567" t="n"/>
      <c r="M45" s="1568" t="inlineStr">
        <is>
          <t>NZ</t>
        </is>
      </c>
      <c r="N45" s="865" t="inlineStr">
        <is>
          <t>Z Retail</t>
        </is>
      </c>
      <c r="O45" s="865" t="inlineStr">
        <is>
          <t>Z Supply</t>
        </is>
      </c>
      <c r="P45" s="865" t="inlineStr">
        <is>
          <t>Z Supply</t>
        </is>
      </c>
      <c r="Q45" s="865" t="inlineStr">
        <is>
          <t>Squad</t>
        </is>
      </c>
      <c r="R45" s="865" t="inlineStr">
        <is>
          <t>Filled</t>
        </is>
      </c>
    </row>
    <row r="46" ht="18" customHeight="1" s="866">
      <c r="A46" s="1566" t="n">
        <v>113442</v>
      </c>
      <c r="B46" s="1574" t="inlineStr">
        <is>
          <t xml:space="preserve">Manjot Kaur Malli </t>
        </is>
      </c>
      <c r="C46" s="1382" t="inlineStr">
        <is>
          <t>Technology Manager, Data</t>
        </is>
      </c>
      <c r="D46" s="1567" t="inlineStr">
        <is>
          <t>Vacant</t>
        </is>
      </c>
      <c r="E46" s="1382" t="inlineStr">
        <is>
          <t>Head of Technology, Z and Group Retail Platforms</t>
        </is>
      </c>
      <c r="F46" s="1382" t="inlineStr">
        <is>
          <t>Ampol Retail &amp; Z</t>
        </is>
      </c>
      <c r="G46" s="1567" t="inlineStr">
        <is>
          <t>Z &amp; Group Retail</t>
        </is>
      </c>
      <c r="H46" s="1382" t="inlineStr">
        <is>
          <t>Z &amp; Group Retail, Data</t>
        </is>
      </c>
      <c r="I46" s="1382" t="inlineStr">
        <is>
          <t>Z</t>
        </is>
      </c>
      <c r="J46" s="1382" t="inlineStr">
        <is>
          <t>Z Customer &amp; Z Supply</t>
        </is>
      </c>
      <c r="K46" s="1382" t="inlineStr">
        <is>
          <t>Merchandising &amp; Supply Chain</t>
        </is>
      </c>
      <c r="L46" s="1567" t="n"/>
      <c r="M46" s="1568" t="inlineStr">
        <is>
          <t>Australia</t>
        </is>
      </c>
      <c r="N46" s="865" t="inlineStr">
        <is>
          <t>Ampol Retail</t>
        </is>
      </c>
      <c r="O46" s="865" t="inlineStr">
        <is>
          <t>Above Store</t>
        </is>
      </c>
      <c r="P46" s="865" t="inlineStr">
        <is>
          <t>Above Store</t>
        </is>
      </c>
      <c r="Q46" s="865" t="inlineStr">
        <is>
          <t>Squad</t>
        </is>
      </c>
      <c r="R46" s="865" t="inlineStr">
        <is>
          <t>Filled</t>
        </is>
      </c>
    </row>
    <row r="47" ht="18" customHeight="1" s="866">
      <c r="A47" s="1566" t="n">
        <v>114990</v>
      </c>
      <c r="B47" s="1382" t="inlineStr">
        <is>
          <t>Zhan Zhang</t>
        </is>
      </c>
      <c r="C47" s="1382" t="inlineStr">
        <is>
          <t>Solution Architect</t>
        </is>
      </c>
      <c r="D47" s="1382" t="inlineStr">
        <is>
          <t>Vacant</t>
        </is>
      </c>
      <c r="E47" s="1382" t="inlineStr">
        <is>
          <t>Technology Manager, Retail</t>
        </is>
      </c>
      <c r="F47" s="1382" t="inlineStr">
        <is>
          <t>Ampol Retail &amp; Z</t>
        </is>
      </c>
      <c r="G47" s="1567" t="inlineStr">
        <is>
          <t>Ampol Retail</t>
        </is>
      </c>
      <c r="H47" s="1382" t="inlineStr">
        <is>
          <t>Ampol Retail, Technology</t>
        </is>
      </c>
      <c r="I47" s="1382" t="inlineStr">
        <is>
          <t>Retail</t>
        </is>
      </c>
      <c r="J47" s="1573" t="inlineStr">
        <is>
          <t>Above Store</t>
        </is>
      </c>
      <c r="K47" s="1573" t="inlineStr">
        <is>
          <t>Above Store</t>
        </is>
      </c>
      <c r="L47" s="1567" t="n"/>
      <c r="M47" s="1568" t="inlineStr">
        <is>
          <t>Australia</t>
        </is>
      </c>
      <c r="N47" s="865" t="inlineStr">
        <is>
          <t>Ampol Retail</t>
        </is>
      </c>
      <c r="O47" s="865" t="inlineStr">
        <is>
          <t>Above Store</t>
        </is>
      </c>
      <c r="P47" s="865" t="inlineStr">
        <is>
          <t>Above Store</t>
        </is>
      </c>
      <c r="Q47" s="865" t="inlineStr">
        <is>
          <t>Squad</t>
        </is>
      </c>
      <c r="R47" s="865" t="inlineStr">
        <is>
          <t>Filled</t>
        </is>
      </c>
    </row>
    <row r="48" ht="18" customHeight="1" s="866">
      <c r="A48" s="1566" t="n">
        <v>99999101233</v>
      </c>
      <c r="B48" s="1382" t="inlineStr">
        <is>
          <t>Chris Wilson</t>
        </is>
      </c>
      <c r="C48" s="1382" t="inlineStr">
        <is>
          <t>Solution Architect</t>
        </is>
      </c>
      <c r="D48" s="1382" t="inlineStr">
        <is>
          <t>Vacant</t>
        </is>
      </c>
      <c r="E48" s="1382" t="inlineStr">
        <is>
          <t>Technology Manager,  Site Systems</t>
        </is>
      </c>
      <c r="F48" s="1382" t="inlineStr">
        <is>
          <t>Ampol Retail &amp; Z</t>
        </is>
      </c>
      <c r="G48" s="1567" t="inlineStr">
        <is>
          <t>Z &amp; Group Retail</t>
        </is>
      </c>
      <c r="H48" s="1382" t="inlineStr">
        <is>
          <t>Z &amp; Group Retail, Site Systems</t>
        </is>
      </c>
      <c r="I48" s="1382" t="inlineStr">
        <is>
          <t>Z</t>
        </is>
      </c>
      <c r="J48" s="1567" t="inlineStr">
        <is>
          <t>Z Customer</t>
        </is>
      </c>
      <c r="K48" s="1382" t="inlineStr">
        <is>
          <t>Merchandising &amp; Supply Chain</t>
        </is>
      </c>
      <c r="L48" s="1567" t="n"/>
      <c r="M48" s="1568" t="inlineStr">
        <is>
          <t>NZ</t>
        </is>
      </c>
      <c r="N48" s="865" t="inlineStr">
        <is>
          <t>Ampol Retail</t>
        </is>
      </c>
      <c r="O48" s="865" t="inlineStr">
        <is>
          <t>Above Store</t>
        </is>
      </c>
      <c r="P48" s="865" t="inlineStr">
        <is>
          <t>Above Store</t>
        </is>
      </c>
      <c r="Q48" s="865" t="inlineStr">
        <is>
          <t>Squad</t>
        </is>
      </c>
      <c r="R48" s="865" t="inlineStr">
        <is>
          <t>Filled</t>
        </is>
      </c>
    </row>
    <row r="49" ht="18" customHeight="1" s="866">
      <c r="A49" s="1566" t="n">
        <v>99999102028</v>
      </c>
      <c r="B49" s="1382" t="inlineStr">
        <is>
          <t>Lauren Lancaster</t>
        </is>
      </c>
      <c r="C49" s="1382" t="inlineStr">
        <is>
          <t>Associate Engineer - Software</t>
        </is>
      </c>
      <c r="D49" s="1382" t="inlineStr">
        <is>
          <t>Vacant</t>
        </is>
      </c>
      <c r="E49" s="1382" t="inlineStr">
        <is>
          <t>Technology Manager, Engineering</t>
        </is>
      </c>
      <c r="F49" s="1382" t="inlineStr">
        <is>
          <t>Ampol Retail &amp; Z</t>
        </is>
      </c>
      <c r="G49" s="1382" t="inlineStr">
        <is>
          <t>Z &amp; Group Retail</t>
        </is>
      </c>
      <c r="H49" s="1382" t="inlineStr">
        <is>
          <t>Z &amp; Group Retail, Engineering</t>
        </is>
      </c>
      <c r="I49" s="1382" t="inlineStr">
        <is>
          <t>Z</t>
        </is>
      </c>
      <c r="J49" s="1382" t="inlineStr">
        <is>
          <t>Z Customer</t>
        </is>
      </c>
      <c r="K49" s="1382" t="inlineStr">
        <is>
          <t>Merchandising &amp; Supply Chain</t>
        </is>
      </c>
      <c r="L49" s="1567" t="n"/>
      <c r="M49" s="1568" t="inlineStr">
        <is>
          <t>NZ</t>
        </is>
      </c>
      <c r="N49" s="865" t="inlineStr">
        <is>
          <t>Ampol Retail</t>
        </is>
      </c>
      <c r="O49" s="865" t="inlineStr">
        <is>
          <t>Above Store</t>
        </is>
      </c>
      <c r="P49" s="865" t="inlineStr">
        <is>
          <t>Above Store</t>
        </is>
      </c>
      <c r="Q49" s="865" t="inlineStr">
        <is>
          <t>Squad</t>
        </is>
      </c>
      <c r="R49" s="865" t="inlineStr">
        <is>
          <t>Filled</t>
        </is>
      </c>
    </row>
    <row r="50" ht="18" customHeight="1" s="866">
      <c r="A50" s="1566" t="n">
        <v>110388</v>
      </c>
      <c r="B50" s="1382" t="inlineStr">
        <is>
          <t>Adrian Lueng</t>
        </is>
      </c>
      <c r="C50" s="1382" t="inlineStr">
        <is>
          <t>Quality Assurance</t>
        </is>
      </c>
      <c r="D50" s="1382" t="inlineStr">
        <is>
          <t>Vacant</t>
        </is>
      </c>
      <c r="E50" s="1382" t="inlineStr">
        <is>
          <t>Technology Manager, Retail</t>
        </is>
      </c>
      <c r="F50" s="1382" t="inlineStr">
        <is>
          <t>Ampol Retail &amp; Z</t>
        </is>
      </c>
      <c r="G50" s="1567" t="inlineStr">
        <is>
          <t>Ampol Retail</t>
        </is>
      </c>
      <c r="H50" s="1382" t="inlineStr">
        <is>
          <t>Ampol Retail, Technology</t>
        </is>
      </c>
      <c r="I50" s="1382" t="inlineStr">
        <is>
          <t>Retail</t>
        </is>
      </c>
      <c r="J50" s="1573" t="inlineStr">
        <is>
          <t>Network/QSR</t>
        </is>
      </c>
      <c r="K50" s="1573" t="inlineStr">
        <is>
          <t>Network &amp; QSR</t>
        </is>
      </c>
      <c r="L50" s="1567" t="n"/>
      <c r="M50" s="1568" t="inlineStr">
        <is>
          <t>Australia</t>
        </is>
      </c>
      <c r="N50" s="865" t="inlineStr">
        <is>
          <t>Ampol Retail</t>
        </is>
      </c>
      <c r="O50" s="865" t="inlineStr">
        <is>
          <t>Network / QSR</t>
        </is>
      </c>
      <c r="P50" s="865" t="inlineStr">
        <is>
          <t>Network / QSR</t>
        </is>
      </c>
      <c r="Q50" s="865" t="inlineStr">
        <is>
          <t>Squad</t>
        </is>
      </c>
      <c r="R50" s="865" t="inlineStr">
        <is>
          <t>Filled</t>
        </is>
      </c>
    </row>
    <row r="51" ht="18" customHeight="1" s="866">
      <c r="A51" s="1566" t="n">
        <v>86743</v>
      </c>
      <c r="B51" s="1382" t="inlineStr">
        <is>
          <t>Majdi Abedi</t>
        </is>
      </c>
      <c r="C51" s="1382" t="inlineStr">
        <is>
          <t>Systems Analyst</t>
        </is>
      </c>
      <c r="D51" s="1382" t="inlineStr">
        <is>
          <t>Vacant</t>
        </is>
      </c>
      <c r="E51" s="1382" t="inlineStr">
        <is>
          <t>Tech Manager, Merchandising &amp; WFM</t>
        </is>
      </c>
      <c r="F51" s="1382" t="inlineStr">
        <is>
          <t>Ampol Retail &amp; Z</t>
        </is>
      </c>
      <c r="G51" s="1567" t="inlineStr">
        <is>
          <t>Ampol Retail</t>
        </is>
      </c>
      <c r="H51" s="1382" t="inlineStr">
        <is>
          <t>Ampol Retail, Merch &amp; RTA</t>
        </is>
      </c>
      <c r="I51" s="1382" t="inlineStr">
        <is>
          <t>Retail</t>
        </is>
      </c>
      <c r="J51" s="1573" t="inlineStr">
        <is>
          <t>Above Store</t>
        </is>
      </c>
      <c r="K51" s="1573" t="inlineStr">
        <is>
          <t>Above Store</t>
        </is>
      </c>
      <c r="L51" s="1567" t="n"/>
      <c r="M51" s="1568" t="inlineStr">
        <is>
          <t>Australia</t>
        </is>
      </c>
      <c r="N51" s="865" t="inlineStr">
        <is>
          <t>Ampol Retail</t>
        </is>
      </c>
      <c r="O51" s="865" t="inlineStr">
        <is>
          <t>Above Store</t>
        </is>
      </c>
      <c r="P51" s="865" t="inlineStr">
        <is>
          <t>Above Store</t>
        </is>
      </c>
      <c r="Q51" s="865" t="inlineStr">
        <is>
          <t>Squad</t>
        </is>
      </c>
      <c r="R51" s="865" t="inlineStr">
        <is>
          <t>Filled</t>
        </is>
      </c>
    </row>
    <row r="52" ht="18" customHeight="1" s="866">
      <c r="A52" s="1566" t="n">
        <v>94420</v>
      </c>
      <c r="B52" s="1382" t="inlineStr">
        <is>
          <t>Peter Nicolopoulos</t>
        </is>
      </c>
      <c r="C52" s="1382" t="inlineStr">
        <is>
          <t>Systems Analyst</t>
        </is>
      </c>
      <c r="D52" s="1382" t="inlineStr">
        <is>
          <t>Vacant</t>
        </is>
      </c>
      <c r="E52" s="1382" t="inlineStr">
        <is>
          <t>Technology Manager, Store Platform</t>
        </is>
      </c>
      <c r="F52" s="1382" t="inlineStr">
        <is>
          <t>Ampol Retail &amp; Z</t>
        </is>
      </c>
      <c r="G52" s="1567" t="inlineStr">
        <is>
          <t>Ampol Retail</t>
        </is>
      </c>
      <c r="H52" s="1382" t="inlineStr">
        <is>
          <t>Ampol  Retail, Store Platforms</t>
        </is>
      </c>
      <c r="I52" s="1382" t="inlineStr">
        <is>
          <t>Retail</t>
        </is>
      </c>
      <c r="J52" s="1573" t="inlineStr">
        <is>
          <t>AMPOS</t>
        </is>
      </c>
      <c r="K52" s="1573" t="inlineStr">
        <is>
          <t>AmPos</t>
        </is>
      </c>
      <c r="L52" s="1567" t="n"/>
      <c r="M52" s="1568" t="inlineStr">
        <is>
          <t>Australia</t>
        </is>
      </c>
      <c r="N52" s="865" t="inlineStr">
        <is>
          <t>Ampol Retail</t>
        </is>
      </c>
      <c r="O52" s="865" t="inlineStr">
        <is>
          <t>AmPOS</t>
        </is>
      </c>
      <c r="P52" s="865" t="inlineStr">
        <is>
          <t>AmPOS</t>
        </is>
      </c>
      <c r="Q52" s="865" t="inlineStr">
        <is>
          <t>Strategic Program</t>
        </is>
      </c>
      <c r="R52" s="865" t="inlineStr">
        <is>
          <t>Filled</t>
        </is>
      </c>
    </row>
    <row r="53" ht="18" customHeight="1" s="866">
      <c r="A53" s="1566" t="n"/>
      <c r="B53" s="1382" t="inlineStr">
        <is>
          <t>Vacant</t>
        </is>
      </c>
      <c r="C53" s="1382" t="inlineStr">
        <is>
          <t>Data Analyst</t>
        </is>
      </c>
      <c r="D53" s="1567" t="inlineStr">
        <is>
          <t>Vacant</t>
        </is>
      </c>
      <c r="E53" s="1382" t="inlineStr">
        <is>
          <t>Technology Manager, Data</t>
        </is>
      </c>
      <c r="F53" s="1382" t="inlineStr">
        <is>
          <t>Ampol Retail &amp; Z</t>
        </is>
      </c>
      <c r="G53" s="1567" t="inlineStr">
        <is>
          <t>Z &amp; Group Retail</t>
        </is>
      </c>
      <c r="H53" s="1382" t="inlineStr">
        <is>
          <t>Z &amp; Group Retail, Data</t>
        </is>
      </c>
      <c r="I53" s="1382" t="inlineStr">
        <is>
          <t>Retail</t>
        </is>
      </c>
      <c r="J53" s="1567" t="inlineStr">
        <is>
          <t>(All Retail)</t>
        </is>
      </c>
      <c r="K53" s="1382" t="inlineStr">
        <is>
          <t>Merchandising &amp; Supply Chain</t>
        </is>
      </c>
      <c r="L53" s="1567" t="n"/>
      <c r="M53" s="1568" t="n"/>
      <c r="N53" s="865" t="inlineStr">
        <is>
          <t>Ampol Retail</t>
        </is>
      </c>
      <c r="O53" s="865" t="inlineStr">
        <is>
          <t>Above Store</t>
        </is>
      </c>
      <c r="P53" s="865" t="inlineStr">
        <is>
          <t>Above Store</t>
        </is>
      </c>
      <c r="Q53" s="865" t="inlineStr">
        <is>
          <t>Squad</t>
        </is>
      </c>
      <c r="R53" s="865" t="inlineStr">
        <is>
          <t>Vacant</t>
        </is>
      </c>
    </row>
    <row r="54" ht="18" customHeight="1" s="866">
      <c r="A54" s="1566" t="n">
        <v>99999101542</v>
      </c>
      <c r="B54" s="1382" t="inlineStr">
        <is>
          <t>Joe Kuttikkatt</t>
        </is>
      </c>
      <c r="C54" s="1382" t="inlineStr">
        <is>
          <t>Senior Quality Assurance</t>
        </is>
      </c>
      <c r="D54" s="1382" t="inlineStr">
        <is>
          <t>Vacant</t>
        </is>
      </c>
      <c r="E54" s="1382" t="inlineStr">
        <is>
          <t>Technology Manager, Engineering</t>
        </is>
      </c>
      <c r="F54" s="1382" t="inlineStr">
        <is>
          <t>Ampol Retail &amp; Z</t>
        </is>
      </c>
      <c r="G54" s="1567" t="inlineStr">
        <is>
          <t>Z &amp; Group Retail</t>
        </is>
      </c>
      <c r="H54" s="1382" t="inlineStr">
        <is>
          <t>Z &amp; Group Retail, Engineering</t>
        </is>
      </c>
      <c r="I54" s="1382" t="inlineStr">
        <is>
          <t>Z</t>
        </is>
      </c>
      <c r="J54" s="1567" t="inlineStr">
        <is>
          <t>Energy Solutions</t>
        </is>
      </c>
      <c r="K54" s="1382" t="inlineStr">
        <is>
          <t>Merchandising &amp; Supply Chain</t>
        </is>
      </c>
      <c r="L54" s="1567" t="n"/>
      <c r="M54" s="1568" t="inlineStr">
        <is>
          <t>NZ</t>
        </is>
      </c>
      <c r="N54" s="865" t="inlineStr">
        <is>
          <t>Ampol Retail</t>
        </is>
      </c>
      <c r="O54" s="865" t="inlineStr">
        <is>
          <t>Above Store</t>
        </is>
      </c>
      <c r="P54" s="865" t="inlineStr">
        <is>
          <t>Above Store</t>
        </is>
      </c>
      <c r="Q54" s="865" t="inlineStr">
        <is>
          <t>Squad</t>
        </is>
      </c>
      <c r="R54" s="865" t="inlineStr">
        <is>
          <t>Filled</t>
        </is>
      </c>
    </row>
    <row r="55" ht="18" customHeight="1" s="866">
      <c r="A55" s="1566" t="n"/>
      <c r="B55" s="1382" t="inlineStr">
        <is>
          <t>Vacant</t>
        </is>
      </c>
      <c r="C55" s="1382" t="inlineStr">
        <is>
          <t>Engineer - Data</t>
        </is>
      </c>
      <c r="D55" s="1567" t="inlineStr">
        <is>
          <t>Vacant</t>
        </is>
      </c>
      <c r="E55" s="1382" t="inlineStr">
        <is>
          <t>Technology Manager, Data</t>
        </is>
      </c>
      <c r="F55" s="1382" t="inlineStr">
        <is>
          <t>Ampol Retail &amp; Z</t>
        </is>
      </c>
      <c r="G55" s="1567" t="inlineStr">
        <is>
          <t>Z &amp; Group Retail</t>
        </is>
      </c>
      <c r="H55" s="1382" t="inlineStr">
        <is>
          <t>Z &amp; Group Retail, Data</t>
        </is>
      </c>
      <c r="I55" s="1382" t="inlineStr">
        <is>
          <t>Z</t>
        </is>
      </c>
      <c r="J55" s="1567" t="inlineStr">
        <is>
          <t>Z Customer &amp; Z Supply</t>
        </is>
      </c>
      <c r="K55" s="1382" t="inlineStr">
        <is>
          <t>Merchandising &amp; Supply Chain</t>
        </is>
      </c>
      <c r="L55" s="1567" t="n"/>
      <c r="M55" s="1568" t="n"/>
      <c r="N55" s="865" t="inlineStr">
        <is>
          <t>Ampol Retail</t>
        </is>
      </c>
      <c r="O55" s="865" t="inlineStr">
        <is>
          <t>Above Store</t>
        </is>
      </c>
      <c r="P55" s="865" t="inlineStr">
        <is>
          <t>Above Store</t>
        </is>
      </c>
      <c r="Q55" s="865" t="inlineStr">
        <is>
          <t>Squad</t>
        </is>
      </c>
      <c r="R55" s="865" t="inlineStr">
        <is>
          <t>Vacant</t>
        </is>
      </c>
    </row>
    <row r="56" ht="18" customHeight="1" s="866">
      <c r="A56" s="1566" t="n">
        <v>113783</v>
      </c>
      <c r="B56" s="1382" t="inlineStr">
        <is>
          <t>Tabitha Raharadjo</t>
        </is>
      </c>
      <c r="C56" s="1382" t="inlineStr">
        <is>
          <t>Project Coordinator</t>
        </is>
      </c>
      <c r="D56" s="1382" t="inlineStr">
        <is>
          <t>Vacant</t>
        </is>
      </c>
      <c r="E56" s="1382" t="inlineStr">
        <is>
          <t>Delivery Manager, Ampol Retail</t>
        </is>
      </c>
      <c r="F56" s="1382" t="inlineStr">
        <is>
          <t>Ampol Retail &amp; Z</t>
        </is>
      </c>
      <c r="G56" s="1567" t="inlineStr">
        <is>
          <t>Z &amp; Group Retail</t>
        </is>
      </c>
      <c r="H56" s="1382" t="inlineStr">
        <is>
          <t>Ampol Retail, Delivery</t>
        </is>
      </c>
      <c r="I56" s="1382" t="inlineStr">
        <is>
          <t>Retail</t>
        </is>
      </c>
      <c r="J56" s="1567" t="inlineStr">
        <is>
          <t>AMPOS</t>
        </is>
      </c>
      <c r="K56" s="1382" t="inlineStr">
        <is>
          <t>Ampos</t>
        </is>
      </c>
      <c r="L56" s="1567" t="n"/>
      <c r="M56" s="1568" t="inlineStr">
        <is>
          <t>Australia</t>
        </is>
      </c>
      <c r="N56" s="865" t="inlineStr">
        <is>
          <t>Ampol Retail</t>
        </is>
      </c>
      <c r="O56" s="865" t="inlineStr">
        <is>
          <t>AmPOS</t>
        </is>
      </c>
      <c r="P56" s="865" t="inlineStr">
        <is>
          <t>AmPOS</t>
        </is>
      </c>
      <c r="Q56" s="865" t="inlineStr">
        <is>
          <t>Strategic Program</t>
        </is>
      </c>
      <c r="R56" s="865" t="inlineStr">
        <is>
          <t>Filled</t>
        </is>
      </c>
    </row>
    <row r="57" ht="18" customHeight="1" s="866">
      <c r="A57" s="1566" t="n">
        <v>99999100418</v>
      </c>
      <c r="B57" s="1571" t="inlineStr">
        <is>
          <t>Callan McLaughlin</t>
        </is>
      </c>
      <c r="C57" s="1567" t="inlineStr">
        <is>
          <t>Technology Manager, Site Systems</t>
        </is>
      </c>
      <c r="D57" s="1567" t="inlineStr">
        <is>
          <t>Vacant</t>
        </is>
      </c>
      <c r="E57" s="1567" t="inlineStr">
        <is>
          <t>Head of Technology, Z and Group Retail Platforms</t>
        </is>
      </c>
      <c r="F57" s="1382" t="inlineStr">
        <is>
          <t>Ampol Retail &amp; Z</t>
        </is>
      </c>
      <c r="G57" s="1567" t="inlineStr">
        <is>
          <t>Z &amp; Group Retail</t>
        </is>
      </c>
      <c r="H57" s="1382" t="inlineStr">
        <is>
          <t>Z &amp; Group Retail, Site Systems</t>
        </is>
      </c>
      <c r="I57" s="1382" t="inlineStr">
        <is>
          <t>Z</t>
        </is>
      </c>
      <c r="J57" s="1567" t="inlineStr">
        <is>
          <t>Z Customer &amp; Z Supply</t>
        </is>
      </c>
      <c r="K57" s="1567" t="inlineStr">
        <is>
          <t>Leadership</t>
        </is>
      </c>
      <c r="L57" s="1567" t="n"/>
      <c r="M57" s="1568" t="inlineStr">
        <is>
          <t>NZ</t>
        </is>
      </c>
      <c r="N57" s="865" t="inlineStr">
        <is>
          <t>Z Retail</t>
        </is>
      </c>
      <c r="O57" s="865" t="inlineStr">
        <is>
          <t>Leadership</t>
        </is>
      </c>
      <c r="P57" s="865" t="inlineStr">
        <is>
          <t>Leadership</t>
        </is>
      </c>
      <c r="Q57" s="865" t="inlineStr">
        <is>
          <t>Leadership</t>
        </is>
      </c>
      <c r="R57" s="865" t="inlineStr">
        <is>
          <t>Filled</t>
        </is>
      </c>
    </row>
    <row r="58" ht="18" customHeight="1" s="866">
      <c r="A58" s="1566" t="n"/>
      <c r="B58" s="1382" t="inlineStr">
        <is>
          <t>Vacant</t>
        </is>
      </c>
      <c r="C58" s="1382" t="inlineStr">
        <is>
          <t>Systems Analyst</t>
        </is>
      </c>
      <c r="D58" s="1382" t="inlineStr">
        <is>
          <t>Vacant</t>
        </is>
      </c>
      <c r="E58" s="1382" t="inlineStr">
        <is>
          <t>Technology Manager, Store Platform</t>
        </is>
      </c>
      <c r="F58" s="1382" t="inlineStr">
        <is>
          <t>Ampol Retail &amp; Z</t>
        </is>
      </c>
      <c r="G58" s="1567" t="inlineStr">
        <is>
          <t>Ampol Retail</t>
        </is>
      </c>
      <c r="H58" s="1382" t="inlineStr">
        <is>
          <t>Ampol  Retail, Store Platforms</t>
        </is>
      </c>
      <c r="I58" s="1382" t="inlineStr">
        <is>
          <t>Retail</t>
        </is>
      </c>
      <c r="J58" s="1567" t="inlineStr">
        <is>
          <t>Store Operations</t>
        </is>
      </c>
      <c r="K58" s="1382" t="inlineStr">
        <is>
          <t>Payments</t>
        </is>
      </c>
      <c r="L58" s="1567" t="n"/>
      <c r="M58" s="1568" t="n"/>
      <c r="N58" s="865" t="inlineStr">
        <is>
          <t>Ampol Retail</t>
        </is>
      </c>
      <c r="O58" s="865" t="inlineStr">
        <is>
          <t>Store Operations</t>
        </is>
      </c>
      <c r="P58" s="865" t="inlineStr">
        <is>
          <t>Payments</t>
        </is>
      </c>
      <c r="Q58" s="865" t="inlineStr">
        <is>
          <t>Squad</t>
        </is>
      </c>
      <c r="R58" s="865" t="inlineStr">
        <is>
          <t>Vacant</t>
        </is>
      </c>
    </row>
    <row r="59" ht="18" customHeight="1" s="866">
      <c r="A59" s="1566" t="n">
        <v>99999101620</v>
      </c>
      <c r="B59" s="1382" t="inlineStr">
        <is>
          <t>Johanah Gloria</t>
        </is>
      </c>
      <c r="C59" s="1382" t="inlineStr">
        <is>
          <t>Engineer - Software</t>
        </is>
      </c>
      <c r="D59" s="1382" t="inlineStr">
        <is>
          <t>Vacant</t>
        </is>
      </c>
      <c r="E59" s="1382" t="inlineStr">
        <is>
          <t>Technology Manager, Engineering</t>
        </is>
      </c>
      <c r="F59" s="1382" t="inlineStr">
        <is>
          <t>Ampol Retail &amp; Z</t>
        </is>
      </c>
      <c r="G59" s="1567" t="inlineStr">
        <is>
          <t>Z &amp; Group Retail</t>
        </is>
      </c>
      <c r="H59" s="1382" t="inlineStr">
        <is>
          <t>Z &amp; Group Retail, Engineering</t>
        </is>
      </c>
      <c r="I59" s="1382" t="inlineStr">
        <is>
          <t>Z</t>
        </is>
      </c>
      <c r="J59" s="1567" t="inlineStr">
        <is>
          <t>Z Supply</t>
        </is>
      </c>
      <c r="K59" s="1382" t="inlineStr">
        <is>
          <t>Z Supply</t>
        </is>
      </c>
      <c r="L59" s="1567" t="n"/>
      <c r="M59" s="1568" t="inlineStr">
        <is>
          <t>NZ</t>
        </is>
      </c>
      <c r="N59" s="865" t="inlineStr">
        <is>
          <t>Z Retail</t>
        </is>
      </c>
      <c r="O59" s="865" t="inlineStr">
        <is>
          <t>Z Supply</t>
        </is>
      </c>
      <c r="P59" s="865" t="inlineStr">
        <is>
          <t>Z Supply</t>
        </is>
      </c>
      <c r="Q59" s="865" t="inlineStr">
        <is>
          <t>Squad</t>
        </is>
      </c>
      <c r="R59" s="865" t="inlineStr">
        <is>
          <t>Filled</t>
        </is>
      </c>
    </row>
    <row r="60" ht="18" customHeight="1" s="866">
      <c r="A60" s="1566" t="n"/>
      <c r="B60" s="1382" t="inlineStr">
        <is>
          <t>Vacant</t>
        </is>
      </c>
      <c r="C60" s="1382" t="inlineStr">
        <is>
          <t>Release &amp; Environments Manager</t>
        </is>
      </c>
      <c r="D60" s="1567" t="inlineStr">
        <is>
          <t>Vacant</t>
        </is>
      </c>
      <c r="E60" s="1382" t="inlineStr">
        <is>
          <t>Lead Quality Assurance</t>
        </is>
      </c>
      <c r="F60" s="1382" t="inlineStr">
        <is>
          <t>Ampol Retail &amp; Z</t>
        </is>
      </c>
      <c r="G60" s="1567" t="inlineStr">
        <is>
          <t>Ampol Retail</t>
        </is>
      </c>
      <c r="H60" s="1382" t="inlineStr">
        <is>
          <t>Ampol Retail, Store Platforms</t>
        </is>
      </c>
      <c r="I60" s="1382" t="inlineStr">
        <is>
          <t>Retail</t>
        </is>
      </c>
      <c r="J60" s="1575" t="inlineStr">
        <is>
          <t>Store Operations</t>
        </is>
      </c>
      <c r="K60" s="1573" t="inlineStr">
        <is>
          <t>POS</t>
        </is>
      </c>
      <c r="L60" s="1567" t="n"/>
      <c r="M60" s="1568" t="n"/>
      <c r="N60" s="865" t="inlineStr">
        <is>
          <t>Ampol Retail</t>
        </is>
      </c>
      <c r="O60" s="865" t="inlineStr">
        <is>
          <t>Store Operations</t>
        </is>
      </c>
      <c r="P60" s="865" t="inlineStr">
        <is>
          <t>POS</t>
        </is>
      </c>
      <c r="Q60" s="865" t="inlineStr">
        <is>
          <t>Squad</t>
        </is>
      </c>
      <c r="R60" s="865" t="inlineStr">
        <is>
          <t>Vacant</t>
        </is>
      </c>
    </row>
    <row r="61" ht="18" customHeight="1" s="866">
      <c r="A61" s="1566" t="n"/>
      <c r="B61" s="1382" t="inlineStr">
        <is>
          <t>Vacant</t>
        </is>
      </c>
      <c r="C61" s="1382" t="inlineStr">
        <is>
          <t>Lead Quality Assurance</t>
        </is>
      </c>
      <c r="D61" s="1382" t="inlineStr">
        <is>
          <t>Vacant</t>
        </is>
      </c>
      <c r="E61" s="1382" t="inlineStr">
        <is>
          <t>Technology Manager, Store Platform</t>
        </is>
      </c>
      <c r="F61" s="1382" t="inlineStr">
        <is>
          <t>Ampol Retail &amp; Z</t>
        </is>
      </c>
      <c r="G61" s="1567" t="inlineStr">
        <is>
          <t>Ampol Retail</t>
        </is>
      </c>
      <c r="H61" s="1382" t="inlineStr">
        <is>
          <t>Ampol  Retail, Store Platforms</t>
        </is>
      </c>
      <c r="I61" s="1382" t="inlineStr">
        <is>
          <t>Retail</t>
        </is>
      </c>
      <c r="J61" s="1567" t="inlineStr">
        <is>
          <t>Store Operations</t>
        </is>
      </c>
      <c r="K61" s="1382" t="inlineStr">
        <is>
          <t>POS</t>
        </is>
      </c>
      <c r="L61" s="1567" t="n"/>
      <c r="M61" s="1568" t="n"/>
      <c r="N61" s="865" t="inlineStr">
        <is>
          <t>Ampol Retail</t>
        </is>
      </c>
      <c r="O61" s="865" t="inlineStr">
        <is>
          <t>Store Operations</t>
        </is>
      </c>
      <c r="P61" s="865" t="inlineStr">
        <is>
          <t>POS</t>
        </is>
      </c>
      <c r="Q61" s="865" t="inlineStr">
        <is>
          <t>Squad</t>
        </is>
      </c>
      <c r="R61" s="865" t="inlineStr">
        <is>
          <t>Vacant</t>
        </is>
      </c>
    </row>
    <row r="62" ht="18" customHeight="1" s="866">
      <c r="A62" s="1566" t="n"/>
      <c r="B62" s="1382" t="inlineStr">
        <is>
          <t>vacant</t>
        </is>
      </c>
      <c r="C62" s="1382" t="inlineStr">
        <is>
          <t>Systems Analyst</t>
        </is>
      </c>
      <c r="D62" s="1382" t="inlineStr">
        <is>
          <t>Vacant</t>
        </is>
      </c>
      <c r="E62" s="1382" t="inlineStr">
        <is>
          <t>Tech Manager, Merchandising &amp; WFM</t>
        </is>
      </c>
      <c r="F62" s="1382" t="inlineStr">
        <is>
          <t>Ampol Retail &amp; Z</t>
        </is>
      </c>
      <c r="G62" s="1567" t="inlineStr">
        <is>
          <t>Ampol Retail</t>
        </is>
      </c>
      <c r="H62" s="1382" t="inlineStr">
        <is>
          <t>Ampol Retail, Merch &amp; RTA</t>
        </is>
      </c>
      <c r="I62" s="1382" t="inlineStr">
        <is>
          <t>Retail</t>
        </is>
      </c>
      <c r="J62" s="1573" t="inlineStr">
        <is>
          <t>Above Store</t>
        </is>
      </c>
      <c r="K62" s="1573" t="inlineStr">
        <is>
          <t>Above Store</t>
        </is>
      </c>
      <c r="L62" s="1567" t="n"/>
      <c r="M62" s="1568" t="n"/>
      <c r="N62" s="1557" t="inlineStr">
        <is>
          <t>Ampol Retail</t>
        </is>
      </c>
      <c r="O62" s="865" t="inlineStr">
        <is>
          <t>Above Store</t>
        </is>
      </c>
      <c r="P62" s="865" t="inlineStr">
        <is>
          <t>Above Store</t>
        </is>
      </c>
      <c r="Q62" s="865" t="inlineStr">
        <is>
          <t>Squad</t>
        </is>
      </c>
      <c r="R62" s="865" t="inlineStr">
        <is>
          <t>Vacant</t>
        </is>
      </c>
    </row>
    <row r="63" ht="18" customFormat="1" customHeight="1" s="1576">
      <c r="A63" s="1566" t="n"/>
      <c r="B63" s="1382" t="inlineStr">
        <is>
          <t>Vacant</t>
        </is>
      </c>
      <c r="C63" s="1382" t="inlineStr">
        <is>
          <t>Systems Analyst</t>
        </is>
      </c>
      <c r="D63" s="1382" t="inlineStr">
        <is>
          <t>Vacant</t>
        </is>
      </c>
      <c r="E63" s="1382" t="inlineStr">
        <is>
          <t>Technology Manager, Store Platform</t>
        </is>
      </c>
      <c r="F63" s="1382" t="inlineStr">
        <is>
          <t>Ampol Retail &amp; Z</t>
        </is>
      </c>
      <c r="G63" s="1567" t="inlineStr">
        <is>
          <t>Ampol Retail</t>
        </is>
      </c>
      <c r="H63" s="1382" t="inlineStr">
        <is>
          <t>Ampol  Retail, Store Platforms</t>
        </is>
      </c>
      <c r="I63" s="1382" t="inlineStr">
        <is>
          <t>Retail</t>
        </is>
      </c>
      <c r="J63" s="1567" t="inlineStr">
        <is>
          <t>Store Operations</t>
        </is>
      </c>
      <c r="K63" s="1382" t="inlineStr">
        <is>
          <t xml:space="preserve">POS   </t>
        </is>
      </c>
      <c r="L63" s="1567" t="n"/>
      <c r="M63" s="1568" t="n"/>
      <c r="N63" s="1557" t="inlineStr">
        <is>
          <t>Ampol Retail</t>
        </is>
      </c>
      <c r="O63" s="1557" t="inlineStr">
        <is>
          <t>Store Operations</t>
        </is>
      </c>
      <c r="P63" s="865" t="inlineStr">
        <is>
          <t>POS</t>
        </is>
      </c>
      <c r="Q63" s="865" t="inlineStr">
        <is>
          <t>Squad</t>
        </is>
      </c>
      <c r="R63" s="865" t="inlineStr">
        <is>
          <t>Vacant</t>
        </is>
      </c>
    </row>
    <row r="64" ht="18" customHeight="1" s="866">
      <c r="A64" s="1566" t="n"/>
      <c r="B64" s="1382" t="inlineStr">
        <is>
          <t>Vacant</t>
        </is>
      </c>
      <c r="C64" s="1382" t="inlineStr">
        <is>
          <t>Delivery Lead</t>
        </is>
      </c>
      <c r="D64" s="1567" t="inlineStr">
        <is>
          <t>Vacant</t>
        </is>
      </c>
      <c r="E64" s="1382" t="inlineStr">
        <is>
          <t>Delivery Manager, Z and Retail Data</t>
        </is>
      </c>
      <c r="F64" s="1382" t="inlineStr">
        <is>
          <t>Ampol Retail &amp; Z</t>
        </is>
      </c>
      <c r="G64" s="1567" t="inlineStr">
        <is>
          <t>Z &amp; Group Retail</t>
        </is>
      </c>
      <c r="H64" s="1382" t="inlineStr">
        <is>
          <t>Z &amp; Group Retail, Delivery</t>
        </is>
      </c>
      <c r="I64" s="1382" t="inlineStr">
        <is>
          <t>Retail</t>
        </is>
      </c>
      <c r="J64" s="1567" t="inlineStr">
        <is>
          <t>(All Retail)</t>
        </is>
      </c>
      <c r="K64" s="1382" t="inlineStr">
        <is>
          <t>Data - AU</t>
        </is>
      </c>
      <c r="L64" s="1567" t="n"/>
      <c r="M64" s="1568" t="n"/>
      <c r="N64" s="865" t="inlineStr">
        <is>
          <t>Ampol Retail</t>
        </is>
      </c>
      <c r="O64" s="865" t="inlineStr">
        <is>
          <t>Data AU</t>
        </is>
      </c>
      <c r="P64" s="865" t="inlineStr">
        <is>
          <t>Data AU</t>
        </is>
      </c>
      <c r="Q64" s="865" t="inlineStr">
        <is>
          <t>Squad</t>
        </is>
      </c>
      <c r="R64" s="865" t="inlineStr">
        <is>
          <t>Vacant</t>
        </is>
      </c>
    </row>
    <row r="65" ht="18" customHeight="1" s="866">
      <c r="A65" s="1566" t="n">
        <v>99999101668</v>
      </c>
      <c r="B65" s="1382" t="inlineStr">
        <is>
          <t>McKenzie Tournquist</t>
        </is>
      </c>
      <c r="C65" s="1382" t="inlineStr">
        <is>
          <t>Data Analyst</t>
        </is>
      </c>
      <c r="D65" s="1567" t="inlineStr">
        <is>
          <t>Vacant</t>
        </is>
      </c>
      <c r="E65" s="1382" t="inlineStr">
        <is>
          <t>Technology Manager, Data</t>
        </is>
      </c>
      <c r="F65" s="1382" t="inlineStr">
        <is>
          <t>Ampol Retail &amp; Z</t>
        </is>
      </c>
      <c r="G65" s="1567" t="inlineStr">
        <is>
          <t>Z &amp; Group Retail</t>
        </is>
      </c>
      <c r="H65" s="1382" t="inlineStr">
        <is>
          <t>Z &amp; Group Retail, Data</t>
        </is>
      </c>
      <c r="I65" s="1382" t="inlineStr">
        <is>
          <t>Z</t>
        </is>
      </c>
      <c r="J65" s="1567" t="inlineStr">
        <is>
          <t>Z Customer &amp; Z Supply</t>
        </is>
      </c>
      <c r="K65" s="1382" t="inlineStr">
        <is>
          <t>Data - NZ</t>
        </is>
      </c>
      <c r="L65" s="1567" t="n"/>
      <c r="M65" s="1568" t="inlineStr">
        <is>
          <t>NZ</t>
        </is>
      </c>
      <c r="N65" s="865" t="inlineStr">
        <is>
          <t>Z Retail</t>
        </is>
      </c>
      <c r="O65" s="865" t="inlineStr">
        <is>
          <t>-</t>
        </is>
      </c>
      <c r="P65" s="865" t="inlineStr">
        <is>
          <t>Data NZ</t>
        </is>
      </c>
      <c r="Q65" s="865" t="inlineStr">
        <is>
          <t>Unmapped</t>
        </is>
      </c>
      <c r="R65" s="865" t="inlineStr">
        <is>
          <t>Filled</t>
        </is>
      </c>
    </row>
    <row r="66" ht="18" customHeight="1" s="866">
      <c r="A66" s="1566" t="n"/>
      <c r="B66" s="1382" t="inlineStr">
        <is>
          <t>Vacant</t>
        </is>
      </c>
      <c r="C66" s="1382" t="inlineStr">
        <is>
          <t>Lead Quality Assurance</t>
        </is>
      </c>
      <c r="D66" s="1382" t="inlineStr">
        <is>
          <t>Vacant</t>
        </is>
      </c>
      <c r="E66" s="1382" t="inlineStr">
        <is>
          <t>Technology Manager, Engineering</t>
        </is>
      </c>
      <c r="F66" s="1382" t="inlineStr">
        <is>
          <t>Ampol Retail &amp; Z</t>
        </is>
      </c>
      <c r="G66" s="1567" t="inlineStr">
        <is>
          <t>Z &amp; Group Retail</t>
        </is>
      </c>
      <c r="H66" s="1382" t="inlineStr">
        <is>
          <t>Z &amp; Group Retail, Engineering</t>
        </is>
      </c>
      <c r="I66" s="1382" t="inlineStr">
        <is>
          <t>Z</t>
        </is>
      </c>
      <c r="J66" s="1382" t="inlineStr">
        <is>
          <t>Z Customer</t>
        </is>
      </c>
      <c r="K66" s="1382" t="inlineStr">
        <is>
          <t xml:space="preserve">Z Retail Backend </t>
        </is>
      </c>
      <c r="L66" s="1567" t="n"/>
      <c r="M66" s="1568" t="n"/>
      <c r="N66" s="865" t="inlineStr">
        <is>
          <t>Z Retail</t>
        </is>
      </c>
      <c r="O66" s="865" t="inlineStr">
        <is>
          <t>Z Customer</t>
        </is>
      </c>
      <c r="P66" s="865" t="inlineStr">
        <is>
          <t>Z Retail Backend</t>
        </is>
      </c>
      <c r="Q66" s="865" t="inlineStr">
        <is>
          <t>Squad</t>
        </is>
      </c>
      <c r="R66" s="865" t="inlineStr">
        <is>
          <t>Vacant</t>
        </is>
      </c>
    </row>
    <row r="67" ht="18" customHeight="1" s="866">
      <c r="A67" s="1566" t="n">
        <v>99999102123</v>
      </c>
      <c r="B67" s="1382" t="inlineStr">
        <is>
          <t>Jodie Marquez</t>
        </is>
      </c>
      <c r="C67" s="1382" t="inlineStr">
        <is>
          <t>Data Analyst</t>
        </is>
      </c>
      <c r="D67" s="1567" t="inlineStr">
        <is>
          <t>Vacant</t>
        </is>
      </c>
      <c r="E67" s="1382" t="inlineStr">
        <is>
          <t>Technology Manager, Data</t>
        </is>
      </c>
      <c r="F67" s="1382" t="inlineStr">
        <is>
          <t>Ampol Retail &amp; Z</t>
        </is>
      </c>
      <c r="G67" s="1567" t="inlineStr">
        <is>
          <t>Z &amp; Group Retail</t>
        </is>
      </c>
      <c r="H67" s="1382" t="inlineStr">
        <is>
          <t>Z &amp; Group Retail, Data</t>
        </is>
      </c>
      <c r="I67" s="1382" t="inlineStr">
        <is>
          <t>Z</t>
        </is>
      </c>
      <c r="J67" s="1567" t="inlineStr">
        <is>
          <t>Z Customer &amp; Z Supply</t>
        </is>
      </c>
      <c r="K67" s="1382" t="inlineStr">
        <is>
          <t>Data - NZ</t>
        </is>
      </c>
      <c r="L67" s="1567" t="n"/>
      <c r="M67" s="1568" t="inlineStr">
        <is>
          <t>NZ</t>
        </is>
      </c>
      <c r="N67" s="865" t="inlineStr">
        <is>
          <t>Z Retail</t>
        </is>
      </c>
      <c r="O67" s="865" t="inlineStr">
        <is>
          <t>-</t>
        </is>
      </c>
      <c r="P67" s="865" t="inlineStr">
        <is>
          <t>Data NZ</t>
        </is>
      </c>
      <c r="Q67" s="865" t="inlineStr">
        <is>
          <t>Unmapped</t>
        </is>
      </c>
      <c r="R67" s="865" t="inlineStr">
        <is>
          <t>Filled</t>
        </is>
      </c>
    </row>
    <row r="68" ht="18" customHeight="1" s="866">
      <c r="A68" s="1566" t="n">
        <v>9999922690</v>
      </c>
      <c r="B68" s="1382" t="inlineStr">
        <is>
          <t>Tim Gurnsey</t>
        </is>
      </c>
      <c r="C68" s="1382" t="inlineStr">
        <is>
          <t>Delivery Lead</t>
        </is>
      </c>
      <c r="D68" s="1567" t="inlineStr">
        <is>
          <t>Vacant</t>
        </is>
      </c>
      <c r="E68" s="1382" t="inlineStr">
        <is>
          <t>Delivery Manager, Z and Retail Data</t>
        </is>
      </c>
      <c r="F68" s="1382" t="inlineStr">
        <is>
          <t>Ampol Retail &amp; Z</t>
        </is>
      </c>
      <c r="G68" s="1567" t="inlineStr">
        <is>
          <t>Z &amp; Group Retail</t>
        </is>
      </c>
      <c r="H68" s="1382" t="inlineStr">
        <is>
          <t>Z &amp; Group Retail, Delivery</t>
        </is>
      </c>
      <c r="I68" s="1382" t="inlineStr">
        <is>
          <t>Z</t>
        </is>
      </c>
      <c r="J68" s="1567" t="inlineStr">
        <is>
          <t>Z Customer</t>
        </is>
      </c>
      <c r="K68" s="1382" t="inlineStr">
        <is>
          <t>Site Systems</t>
        </is>
      </c>
      <c r="L68" s="1567" t="n"/>
      <c r="M68" s="1568" t="inlineStr">
        <is>
          <t>NZ</t>
        </is>
      </c>
      <c r="N68" s="865" t="inlineStr">
        <is>
          <t>Z Retail</t>
        </is>
      </c>
      <c r="O68" s="865" t="inlineStr">
        <is>
          <t>Z Customer</t>
        </is>
      </c>
      <c r="P68" s="865" t="inlineStr">
        <is>
          <t>Site Systems</t>
        </is>
      </c>
      <c r="Q68" s="865" t="inlineStr">
        <is>
          <t>Squad</t>
        </is>
      </c>
      <c r="R68" s="865" t="inlineStr">
        <is>
          <t>Filled</t>
        </is>
      </c>
    </row>
    <row r="69" ht="18" customHeight="1" s="866">
      <c r="A69" s="1566" t="n">
        <v>97847</v>
      </c>
      <c r="B69" s="1382" t="inlineStr">
        <is>
          <t>Beenu Murali</t>
        </is>
      </c>
      <c r="C69" s="1382" t="inlineStr">
        <is>
          <t>Quality Assurance</t>
        </is>
      </c>
      <c r="D69" s="1567" t="inlineStr">
        <is>
          <t>Vacant</t>
        </is>
      </c>
      <c r="E69" s="1382" t="inlineStr">
        <is>
          <t>Lead Quality Assurance</t>
        </is>
      </c>
      <c r="F69" s="1382" t="inlineStr">
        <is>
          <t>Ampol Retail &amp; Z</t>
        </is>
      </c>
      <c r="G69" s="1567" t="inlineStr">
        <is>
          <t>Ampol Retail</t>
        </is>
      </c>
      <c r="H69" s="1382" t="inlineStr">
        <is>
          <t>Ampol Retail, Store Platforms</t>
        </is>
      </c>
      <c r="I69" s="1382" t="inlineStr">
        <is>
          <t>Retail</t>
        </is>
      </c>
      <c r="J69" s="1567" t="inlineStr">
        <is>
          <t>Store Operations</t>
        </is>
      </c>
      <c r="K69" s="1382" t="inlineStr">
        <is>
          <t>Payments</t>
        </is>
      </c>
      <c r="L69" s="1567" t="n"/>
      <c r="M69" s="1568" t="inlineStr">
        <is>
          <t>Australia</t>
        </is>
      </c>
      <c r="N69" s="865" t="inlineStr">
        <is>
          <t>Ampol Retail</t>
        </is>
      </c>
      <c r="O69" s="865" t="inlineStr">
        <is>
          <t>Store Operations</t>
        </is>
      </c>
      <c r="P69" s="865" t="inlineStr">
        <is>
          <t>Payments</t>
        </is>
      </c>
      <c r="Q69" s="865" t="inlineStr">
        <is>
          <t>Squad</t>
        </is>
      </c>
      <c r="R69" s="865" t="inlineStr">
        <is>
          <t>Filled</t>
        </is>
      </c>
    </row>
    <row r="70" ht="18" customHeight="1" s="866">
      <c r="A70" s="1566" t="n"/>
      <c r="B70" s="1382" t="inlineStr">
        <is>
          <t>Vacant</t>
        </is>
      </c>
      <c r="C70" s="1382" t="inlineStr">
        <is>
          <t>Support Analyst -Retail</t>
        </is>
      </c>
      <c r="D70" s="1382" t="inlineStr">
        <is>
          <t>Vacant</t>
        </is>
      </c>
      <c r="E70" s="1382" t="inlineStr">
        <is>
          <t>Technology Manager, Store Platform</t>
        </is>
      </c>
      <c r="F70" s="1382" t="inlineStr">
        <is>
          <t>Ampol Retail &amp; Z</t>
        </is>
      </c>
      <c r="G70" s="1567" t="inlineStr">
        <is>
          <t>Ampol Retail</t>
        </is>
      </c>
      <c r="H70" s="1382" t="inlineStr">
        <is>
          <t>Ampol  Retail, Store Platforms</t>
        </is>
      </c>
      <c r="I70" s="1382" t="inlineStr">
        <is>
          <t>Retail</t>
        </is>
      </c>
      <c r="J70" s="1567" t="inlineStr">
        <is>
          <t>Store Operations</t>
        </is>
      </c>
      <c r="K70" s="1382" t="inlineStr">
        <is>
          <t>Store Operations</t>
        </is>
      </c>
      <c r="L70" s="1567" t="n"/>
      <c r="M70" s="1568" t="n"/>
      <c r="N70" s="865" t="inlineStr">
        <is>
          <t>Ampol Retail</t>
        </is>
      </c>
      <c r="O70" s="865" t="inlineStr">
        <is>
          <t>Store Operations</t>
        </is>
      </c>
      <c r="P70" s="865" t="inlineStr">
        <is>
          <t>Store Operations</t>
        </is>
      </c>
      <c r="Q70" s="865" t="inlineStr">
        <is>
          <t>Squad</t>
        </is>
      </c>
      <c r="R70" s="865" t="inlineStr">
        <is>
          <t>Vacant</t>
        </is>
      </c>
    </row>
    <row r="71" ht="18" customHeight="1" s="866">
      <c r="A71" s="1566" t="n">
        <v>8904</v>
      </c>
      <c r="B71" s="1382" t="inlineStr">
        <is>
          <t>Vedran Jukic</t>
        </is>
      </c>
      <c r="C71" s="1382" t="inlineStr">
        <is>
          <t>Technology Manager, Retail</t>
        </is>
      </c>
      <c r="D71" s="1567" t="inlineStr">
        <is>
          <t>Vacant</t>
        </is>
      </c>
      <c r="E71" s="1382" t="inlineStr">
        <is>
          <t>Head of Technology,  Ampol Retail</t>
        </is>
      </c>
      <c r="F71" s="1382" t="inlineStr">
        <is>
          <t>Ampol Retail &amp; Z</t>
        </is>
      </c>
      <c r="G71" s="1567" t="inlineStr">
        <is>
          <t>Ampol Retail</t>
        </is>
      </c>
      <c r="H71" s="1382" t="inlineStr">
        <is>
          <t>Ampol Retail, Technology</t>
        </is>
      </c>
      <c r="I71" s="1382" t="inlineStr">
        <is>
          <t>Retail</t>
        </is>
      </c>
      <c r="J71" s="1382" t="inlineStr">
        <is>
          <t>Store Operations, Network &amp; QSR, Deployment</t>
        </is>
      </c>
      <c r="K71" s="1567" t="inlineStr">
        <is>
          <t>Leadership</t>
        </is>
      </c>
      <c r="L71" s="1567" t="n"/>
      <c r="M71" s="1568" t="inlineStr">
        <is>
          <t>Australia</t>
        </is>
      </c>
      <c r="N71" s="865" t="inlineStr">
        <is>
          <t>Ampol Retail</t>
        </is>
      </c>
      <c r="O71" s="865" t="inlineStr">
        <is>
          <t>Leadership</t>
        </is>
      </c>
      <c r="P71" s="865" t="inlineStr">
        <is>
          <t>Leadership</t>
        </is>
      </c>
      <c r="Q71" s="865" t="inlineStr">
        <is>
          <t>Leadership</t>
        </is>
      </c>
      <c r="R71" s="865" t="inlineStr">
        <is>
          <t>Filled</t>
        </is>
      </c>
    </row>
    <row r="72" ht="18" customHeight="1" s="866">
      <c r="A72" s="1566" t="n">
        <v>0</v>
      </c>
      <c r="B72" s="1382" t="inlineStr">
        <is>
          <t>Kanti Hirani</t>
        </is>
      </c>
      <c r="C72" s="1382" t="inlineStr">
        <is>
          <t>Business Analyst (PEP13 UK)</t>
        </is>
      </c>
      <c r="D72" s="1382" t="inlineStr">
        <is>
          <t>Vacant</t>
        </is>
      </c>
      <c r="E72" s="1382" t="inlineStr">
        <is>
          <t>Delivery Manager, Ampol Retail</t>
        </is>
      </c>
      <c r="F72" s="1382" t="inlineStr">
        <is>
          <t>Ampol Retail &amp; Z</t>
        </is>
      </c>
      <c r="G72" s="1567" t="inlineStr">
        <is>
          <t>Ampol Retail</t>
        </is>
      </c>
      <c r="H72" s="1382" t="inlineStr">
        <is>
          <t>Delivery, Commercial Fuels</t>
        </is>
      </c>
      <c r="I72" s="1382" t="inlineStr">
        <is>
          <t>EGI Integration</t>
        </is>
      </c>
      <c r="J72" s="1567" t="inlineStr">
        <is>
          <t>EGI</t>
        </is>
      </c>
      <c r="K72" s="1382" t="inlineStr">
        <is>
          <t>EGI</t>
        </is>
      </c>
      <c r="L72" s="1567" t="n"/>
      <c r="M72" s="1568" t="n">
        <v>0</v>
      </c>
      <c r="N72" s="865" t="inlineStr">
        <is>
          <t>EGI</t>
        </is>
      </c>
      <c r="O72" s="865" t="inlineStr">
        <is>
          <t>EGI</t>
        </is>
      </c>
      <c r="P72" s="865" t="inlineStr">
        <is>
          <t>EGI (unassigned)</t>
        </is>
      </c>
      <c r="Q72" s="865" t="inlineStr">
        <is>
          <t>Unmapped</t>
        </is>
      </c>
      <c r="R72" s="865" t="inlineStr">
        <is>
          <t>Filled</t>
        </is>
      </c>
    </row>
    <row r="73" ht="18" customHeight="1" s="866">
      <c r="A73" s="1566" t="n">
        <v>99999102110</v>
      </c>
      <c r="B73" s="1382" t="inlineStr">
        <is>
          <t>Eugene Yeo</t>
        </is>
      </c>
      <c r="C73" s="1382" t="inlineStr">
        <is>
          <t>Engineer - DevOps</t>
        </is>
      </c>
      <c r="D73" s="1382" t="inlineStr">
        <is>
          <t>Vacant</t>
        </is>
      </c>
      <c r="E73" s="1382" t="inlineStr">
        <is>
          <t>Technology Manager, Engineering</t>
        </is>
      </c>
      <c r="F73" s="1382" t="inlineStr">
        <is>
          <t>Ampol Retail &amp; Z</t>
        </is>
      </c>
      <c r="G73" s="1567" t="inlineStr">
        <is>
          <t>Z &amp; Group Retail</t>
        </is>
      </c>
      <c r="H73" s="1382" t="inlineStr">
        <is>
          <t>Delivery, Commercial Fuels</t>
        </is>
      </c>
      <c r="I73" s="1382" t="inlineStr">
        <is>
          <t>Z</t>
        </is>
      </c>
      <c r="J73" s="1567" t="inlineStr">
        <is>
          <t>Z Supply</t>
        </is>
      </c>
      <c r="K73" s="1382" t="inlineStr">
        <is>
          <t>Z Supply</t>
        </is>
      </c>
      <c r="L73" s="1567" t="n"/>
      <c r="M73" s="1568" t="inlineStr">
        <is>
          <t>NZ</t>
        </is>
      </c>
      <c r="N73" s="865" t="inlineStr">
        <is>
          <t>Z Retail</t>
        </is>
      </c>
      <c r="O73" s="865" t="inlineStr">
        <is>
          <t>Z Supply</t>
        </is>
      </c>
      <c r="P73" s="865" t="inlineStr">
        <is>
          <t>Z Supply</t>
        </is>
      </c>
      <c r="Q73" s="865" t="inlineStr">
        <is>
          <t>Squad</t>
        </is>
      </c>
      <c r="R73" s="865" t="inlineStr">
        <is>
          <t>Filled</t>
        </is>
      </c>
    </row>
    <row r="74" ht="18" customHeight="1" s="866">
      <c r="A74" s="1566" t="n">
        <v>99999101959</v>
      </c>
      <c r="B74" s="1382" t="inlineStr">
        <is>
          <t>Brian Lai</t>
        </is>
      </c>
      <c r="C74" s="1382" t="inlineStr">
        <is>
          <t>Engineer - Data</t>
        </is>
      </c>
      <c r="D74" s="1567" t="inlineStr">
        <is>
          <t>Vacant</t>
        </is>
      </c>
      <c r="E74" s="1382" t="inlineStr">
        <is>
          <t>Technology Manager, Data</t>
        </is>
      </c>
      <c r="F74" s="1382" t="inlineStr">
        <is>
          <t>Ampol Retail &amp; Z</t>
        </is>
      </c>
      <c r="G74" s="1567" t="inlineStr">
        <is>
          <t>Z &amp; Group Retail</t>
        </is>
      </c>
      <c r="H74" s="1382" t="inlineStr">
        <is>
          <t>Technology, CF Engineering</t>
        </is>
      </c>
      <c r="I74" s="1382" t="inlineStr">
        <is>
          <t>Z</t>
        </is>
      </c>
      <c r="J74" s="1567" t="inlineStr">
        <is>
          <t>Z Customer &amp; Z Supply</t>
        </is>
      </c>
      <c r="K74" s="1382" t="inlineStr">
        <is>
          <t>Data - NZ</t>
        </is>
      </c>
      <c r="L74" s="1567" t="n"/>
      <c r="M74" s="1568" t="inlineStr">
        <is>
          <t>NZ</t>
        </is>
      </c>
      <c r="N74" s="865" t="inlineStr">
        <is>
          <t>Z Retail</t>
        </is>
      </c>
      <c r="O74" s="865" t="inlineStr">
        <is>
          <t>-</t>
        </is>
      </c>
      <c r="P74" s="865" t="inlineStr">
        <is>
          <t>Data NZ</t>
        </is>
      </c>
      <c r="Q74" s="865" t="inlineStr">
        <is>
          <t>Unmapped</t>
        </is>
      </c>
      <c r="R74" s="865" t="inlineStr">
        <is>
          <t>Filled</t>
        </is>
      </c>
    </row>
    <row r="75" ht="18" customHeight="1" s="866">
      <c r="A75" s="1566" t="n">
        <v>99999100476</v>
      </c>
      <c r="B75" s="1382" t="inlineStr">
        <is>
          <t>Kelly Russell</t>
        </is>
      </c>
      <c r="C75" s="1382" t="inlineStr">
        <is>
          <t>Lead Quality Assurance</t>
        </is>
      </c>
      <c r="D75" s="1382" t="inlineStr">
        <is>
          <t>Vacant</t>
        </is>
      </c>
      <c r="E75" s="1382" t="inlineStr">
        <is>
          <t>Technology Manager,  Site Systems</t>
        </is>
      </c>
      <c r="F75" s="1382" t="inlineStr">
        <is>
          <t>Ampol Retail &amp; Z</t>
        </is>
      </c>
      <c r="G75" s="1567" t="inlineStr">
        <is>
          <t>Z &amp; Group Retail</t>
        </is>
      </c>
      <c r="H75" s="1382" t="inlineStr">
        <is>
          <t>Technology, CF Engineering</t>
        </is>
      </c>
      <c r="I75" s="1382" t="inlineStr">
        <is>
          <t>Z</t>
        </is>
      </c>
      <c r="J75" s="1567" t="inlineStr">
        <is>
          <t>Z Customer</t>
        </is>
      </c>
      <c r="K75" s="1382" t="inlineStr">
        <is>
          <t>Site Systems</t>
        </is>
      </c>
      <c r="L75" s="1567" t="n"/>
      <c r="M75" s="1568" t="inlineStr">
        <is>
          <t>NZ</t>
        </is>
      </c>
      <c r="N75" s="865" t="inlineStr">
        <is>
          <t>Z Retail</t>
        </is>
      </c>
      <c r="O75" s="865" t="inlineStr">
        <is>
          <t>Z Customer</t>
        </is>
      </c>
      <c r="P75" s="865" t="inlineStr">
        <is>
          <t>Site Systems</t>
        </is>
      </c>
      <c r="Q75" s="865" t="inlineStr">
        <is>
          <t>Squad</t>
        </is>
      </c>
      <c r="R75" s="865" t="inlineStr">
        <is>
          <t>Filled</t>
        </is>
      </c>
    </row>
    <row r="76" ht="18" customHeight="1" s="866">
      <c r="A76" s="1566" t="n"/>
      <c r="B76" s="1382" t="inlineStr">
        <is>
          <t>Vacant</t>
        </is>
      </c>
      <c r="C76" s="1382" t="inlineStr">
        <is>
          <t>Engineer - Data</t>
        </is>
      </c>
      <c r="D76" s="1567" t="inlineStr">
        <is>
          <t>Vacant</t>
        </is>
      </c>
      <c r="E76" s="1382" t="inlineStr">
        <is>
          <t>Technology Manager, Data</t>
        </is>
      </c>
      <c r="F76" s="1382" t="inlineStr">
        <is>
          <t>Ampol Retail &amp; Z</t>
        </is>
      </c>
      <c r="G76" s="1567" t="inlineStr">
        <is>
          <t>Z &amp; Group Retail</t>
        </is>
      </c>
      <c r="H76" s="1382" t="inlineStr">
        <is>
          <t>Z &amp; Group Retail, Data</t>
        </is>
      </c>
      <c r="I76" s="1382" t="inlineStr">
        <is>
          <t>Retail</t>
        </is>
      </c>
      <c r="J76" s="1567" t="inlineStr">
        <is>
          <t>(All Retail)</t>
        </is>
      </c>
      <c r="K76" s="1382" t="inlineStr">
        <is>
          <t>Data - AU</t>
        </is>
      </c>
      <c r="L76" s="1567" t="n"/>
      <c r="M76" s="1568" t="n"/>
      <c r="N76" s="865" t="inlineStr">
        <is>
          <t>Ampol Retail</t>
        </is>
      </c>
      <c r="O76" s="865" t="inlineStr">
        <is>
          <t>Data AU</t>
        </is>
      </c>
      <c r="P76" s="865" t="inlineStr">
        <is>
          <t>Data AU</t>
        </is>
      </c>
      <c r="Q76" s="865" t="inlineStr">
        <is>
          <t>Squad</t>
        </is>
      </c>
      <c r="R76" s="865" t="inlineStr">
        <is>
          <t>Vacant</t>
        </is>
      </c>
    </row>
    <row r="77" ht="18" customHeight="1" s="866">
      <c r="A77" s="1566" t="n">
        <v>99999101333</v>
      </c>
      <c r="B77" s="1382" t="inlineStr">
        <is>
          <t>Benjamin Sheffield</t>
        </is>
      </c>
      <c r="C77" s="1382" t="inlineStr">
        <is>
          <t>Lead Engineer - Software</t>
        </is>
      </c>
      <c r="D77" s="1382" t="inlineStr">
        <is>
          <t>Vacant</t>
        </is>
      </c>
      <c r="E77" s="1382" t="inlineStr">
        <is>
          <t>Technology Manager, Engineering</t>
        </is>
      </c>
      <c r="F77" s="1382" t="inlineStr">
        <is>
          <t>Ampol Retail &amp; Z</t>
        </is>
      </c>
      <c r="G77" s="1567" t="inlineStr">
        <is>
          <t>Z &amp; Group Retail</t>
        </is>
      </c>
      <c r="H77" s="1382" t="inlineStr">
        <is>
          <t>Z &amp; Group Retail, Engineering</t>
        </is>
      </c>
      <c r="I77" s="1382" t="inlineStr">
        <is>
          <t>Z</t>
        </is>
      </c>
      <c r="J77" s="1567" t="inlineStr">
        <is>
          <t>Z Supply</t>
        </is>
      </c>
      <c r="K77" s="1382" t="inlineStr">
        <is>
          <t>Z Supply</t>
        </is>
      </c>
      <c r="L77" s="1567" t="n"/>
      <c r="M77" s="1568" t="inlineStr">
        <is>
          <t>NZ</t>
        </is>
      </c>
      <c r="N77" s="865" t="inlineStr">
        <is>
          <t>Z Retail</t>
        </is>
      </c>
      <c r="O77" s="865" t="inlineStr">
        <is>
          <t>Z Supply</t>
        </is>
      </c>
      <c r="P77" s="865" t="inlineStr">
        <is>
          <t>Z Supply</t>
        </is>
      </c>
      <c r="Q77" s="865" t="inlineStr">
        <is>
          <t>Squad</t>
        </is>
      </c>
      <c r="R77" s="865" t="inlineStr">
        <is>
          <t>Filled</t>
        </is>
      </c>
    </row>
    <row r="78" ht="18" customHeight="1" s="866">
      <c r="A78" s="1566" t="n">
        <v>99999170431</v>
      </c>
      <c r="B78" s="1382" t="inlineStr">
        <is>
          <t>Mark Dickson</t>
        </is>
      </c>
      <c r="C78" s="1382" t="inlineStr">
        <is>
          <t>Delivery Lead</t>
        </is>
      </c>
      <c r="D78" s="1567" t="inlineStr">
        <is>
          <t>Vacant</t>
        </is>
      </c>
      <c r="E78" s="1382" t="inlineStr">
        <is>
          <t>Delivery Manager, Z and Retail Data</t>
        </is>
      </c>
      <c r="F78" s="1382" t="inlineStr">
        <is>
          <t>Ampol Retail &amp; Z</t>
        </is>
      </c>
      <c r="G78" s="1567" t="inlineStr">
        <is>
          <t>Z &amp; Group Retail</t>
        </is>
      </c>
      <c r="H78" s="1382" t="inlineStr">
        <is>
          <t>Z &amp; Group Retail, Delivery</t>
        </is>
      </c>
      <c r="I78" s="1382" t="inlineStr">
        <is>
          <t>Z</t>
        </is>
      </c>
      <c r="J78" s="1382" t="inlineStr">
        <is>
          <t>Z Customer</t>
        </is>
      </c>
      <c r="K78" s="1382" t="inlineStr">
        <is>
          <t>Z Retail Backend</t>
        </is>
      </c>
      <c r="L78" s="1567" t="n"/>
      <c r="M78" s="1568" t="inlineStr">
        <is>
          <t>NZ</t>
        </is>
      </c>
      <c r="N78" s="865" t="inlineStr">
        <is>
          <t>Z Retail</t>
        </is>
      </c>
      <c r="O78" s="865" t="inlineStr">
        <is>
          <t>Z Customer</t>
        </is>
      </c>
      <c r="P78" s="865" t="inlineStr">
        <is>
          <t>Z Retail Backend</t>
        </is>
      </c>
      <c r="Q78" s="865" t="inlineStr">
        <is>
          <t>Squad</t>
        </is>
      </c>
      <c r="R78" s="865" t="inlineStr">
        <is>
          <t>Filled</t>
        </is>
      </c>
    </row>
    <row r="79" ht="18" customHeight="1" s="866">
      <c r="A79" s="1566" t="n">
        <v>99999101533</v>
      </c>
      <c r="B79" s="1382" t="inlineStr">
        <is>
          <t>Adrian Alcance</t>
        </is>
      </c>
      <c r="C79" s="1382" t="inlineStr">
        <is>
          <t>Senior Engineer - DevOps</t>
        </is>
      </c>
      <c r="D79" s="1382" t="inlineStr">
        <is>
          <t>Vacant</t>
        </is>
      </c>
      <c r="E79" s="1382" t="inlineStr">
        <is>
          <t>Technology Manager, Engineering</t>
        </is>
      </c>
      <c r="F79" s="1382" t="inlineStr">
        <is>
          <t>Ampol Retail &amp; Z</t>
        </is>
      </c>
      <c r="G79" s="1382" t="inlineStr">
        <is>
          <t>Z &amp; Group Retail</t>
        </is>
      </c>
      <c r="H79" s="1382" t="inlineStr">
        <is>
          <t>Z &amp; Group Retail, Engineering</t>
        </is>
      </c>
      <c r="I79" s="1382" t="inlineStr">
        <is>
          <t>Z</t>
        </is>
      </c>
      <c r="J79" s="1382" t="inlineStr">
        <is>
          <t>Z Customer</t>
        </is>
      </c>
      <c r="K79" s="1382" t="inlineStr">
        <is>
          <t xml:space="preserve">Z Retail Backend </t>
        </is>
      </c>
      <c r="L79" s="1567" t="n"/>
      <c r="M79" s="1568" t="inlineStr">
        <is>
          <t>NZ</t>
        </is>
      </c>
      <c r="N79" s="865" t="inlineStr">
        <is>
          <t>Z Retail</t>
        </is>
      </c>
      <c r="O79" s="865" t="inlineStr">
        <is>
          <t>Z Customer</t>
        </is>
      </c>
      <c r="P79" s="865" t="inlineStr">
        <is>
          <t>Z Retail Backend</t>
        </is>
      </c>
      <c r="Q79" s="865" t="inlineStr">
        <is>
          <t>Squad</t>
        </is>
      </c>
      <c r="R79" s="865" t="inlineStr">
        <is>
          <t>Filled</t>
        </is>
      </c>
    </row>
    <row r="80" ht="18" customHeight="1" s="866">
      <c r="A80" s="1566" t="n">
        <v>99999101548</v>
      </c>
      <c r="B80" s="1382" t="inlineStr">
        <is>
          <t>Allana Arbuckle</t>
        </is>
      </c>
      <c r="C80" s="1382" t="inlineStr">
        <is>
          <t>Business Analyst</t>
        </is>
      </c>
      <c r="D80" s="1567" t="inlineStr">
        <is>
          <t>Vacant</t>
        </is>
      </c>
      <c r="E80" s="1382" t="inlineStr">
        <is>
          <t>Delivery Manager, Z and Retail Data</t>
        </is>
      </c>
      <c r="F80" s="1382" t="inlineStr">
        <is>
          <t>Ampol Retail &amp; Z</t>
        </is>
      </c>
      <c r="G80" s="1567" t="inlineStr">
        <is>
          <t>Z &amp; Group Retail</t>
        </is>
      </c>
      <c r="H80" s="1382" t="inlineStr">
        <is>
          <t>Z &amp; Group Retail, Delivery</t>
        </is>
      </c>
      <c r="I80" s="1382" t="inlineStr">
        <is>
          <t>Z</t>
        </is>
      </c>
      <c r="J80" s="1382" t="inlineStr">
        <is>
          <t>Z Customer</t>
        </is>
      </c>
      <c r="K80" s="1382" t="inlineStr">
        <is>
          <t xml:space="preserve">Z Retail Backend </t>
        </is>
      </c>
      <c r="L80" s="1567" t="n"/>
      <c r="M80" s="1568" t="inlineStr">
        <is>
          <t>NZ</t>
        </is>
      </c>
      <c r="N80" s="865" t="inlineStr">
        <is>
          <t>Z Retail</t>
        </is>
      </c>
      <c r="O80" s="865" t="inlineStr">
        <is>
          <t>Z Customer</t>
        </is>
      </c>
      <c r="P80" s="865" t="inlineStr">
        <is>
          <t>Z Retail Backend</t>
        </is>
      </c>
      <c r="Q80" s="865" t="inlineStr">
        <is>
          <t>Squad</t>
        </is>
      </c>
      <c r="R80" s="865" t="inlineStr">
        <is>
          <t>Filled</t>
        </is>
      </c>
    </row>
    <row r="81" ht="18" customHeight="1" s="866">
      <c r="A81" s="1566" t="n"/>
      <c r="B81" s="1382" t="inlineStr">
        <is>
          <t>Vacant</t>
        </is>
      </c>
      <c r="C81" s="1382" t="inlineStr">
        <is>
          <t>Engineer - Data</t>
        </is>
      </c>
      <c r="D81" s="1567" t="inlineStr">
        <is>
          <t>Vacant</t>
        </is>
      </c>
      <c r="E81" s="1382" t="inlineStr">
        <is>
          <t>Technology Manager, Data</t>
        </is>
      </c>
      <c r="F81" s="1382" t="inlineStr">
        <is>
          <t>Ampol Retail &amp; Z</t>
        </is>
      </c>
      <c r="G81" s="1567" t="inlineStr">
        <is>
          <t>Z &amp; Group Retail</t>
        </is>
      </c>
      <c r="H81" s="1382" t="inlineStr">
        <is>
          <t>Z &amp; Group Retail, Data</t>
        </is>
      </c>
      <c r="I81" s="1382" t="inlineStr">
        <is>
          <t>Retail</t>
        </is>
      </c>
      <c r="J81" s="1567" t="inlineStr">
        <is>
          <t>(All Retail)</t>
        </is>
      </c>
      <c r="K81" s="1382" t="inlineStr">
        <is>
          <t>Data - AU</t>
        </is>
      </c>
      <c r="L81" s="1567" t="n"/>
      <c r="M81" s="1568" t="n"/>
      <c r="N81" s="865" t="inlineStr">
        <is>
          <t>Ampol Retail</t>
        </is>
      </c>
      <c r="O81" s="865" t="inlineStr">
        <is>
          <t>Data AU</t>
        </is>
      </c>
      <c r="P81" s="865" t="inlineStr">
        <is>
          <t>Data AU</t>
        </is>
      </c>
      <c r="Q81" s="865" t="inlineStr">
        <is>
          <t>Squad</t>
        </is>
      </c>
      <c r="R81" s="865" t="inlineStr">
        <is>
          <t>Vacant</t>
        </is>
      </c>
    </row>
    <row r="82" ht="18" customHeight="1" s="866">
      <c r="A82" s="1566" t="n">
        <v>99999102111</v>
      </c>
      <c r="B82" s="1382" t="inlineStr">
        <is>
          <t>Gayan Liyana Arachchige</t>
        </is>
      </c>
      <c r="C82" s="1382" t="inlineStr">
        <is>
          <t>Engineer - DevOps</t>
        </is>
      </c>
      <c r="D82" s="1382" t="inlineStr">
        <is>
          <t>Vacant</t>
        </is>
      </c>
      <c r="E82" s="1382" t="inlineStr">
        <is>
          <t>Technology Manager, Engineering</t>
        </is>
      </c>
      <c r="F82" s="1382" t="inlineStr">
        <is>
          <t>Ampol Retail &amp; Z</t>
        </is>
      </c>
      <c r="G82" s="1567" t="inlineStr">
        <is>
          <t>Z &amp; Group Retail</t>
        </is>
      </c>
      <c r="H82" s="1382" t="inlineStr">
        <is>
          <t>Z &amp; Group Retail, Engineering</t>
        </is>
      </c>
      <c r="I82" s="1382" t="inlineStr">
        <is>
          <t>Z</t>
        </is>
      </c>
      <c r="J82" s="1567" t="inlineStr">
        <is>
          <t>Z Supply</t>
        </is>
      </c>
      <c r="K82" s="1382" t="inlineStr">
        <is>
          <t>Z Supply</t>
        </is>
      </c>
      <c r="L82" s="1567" t="n"/>
      <c r="M82" s="1568" t="inlineStr">
        <is>
          <t>NZ</t>
        </is>
      </c>
      <c r="N82" s="865" t="inlineStr">
        <is>
          <t>Z Retail</t>
        </is>
      </c>
      <c r="O82" s="865" t="inlineStr">
        <is>
          <t>Z Supply</t>
        </is>
      </c>
      <c r="P82" s="865" t="inlineStr">
        <is>
          <t>Z Supply</t>
        </is>
      </c>
      <c r="Q82" s="865" t="inlineStr">
        <is>
          <t>Squad</t>
        </is>
      </c>
      <c r="R82" s="865" t="inlineStr">
        <is>
          <t>Filled</t>
        </is>
      </c>
    </row>
    <row r="83" ht="18" customHeight="1" s="866">
      <c r="A83" s="1566" t="n"/>
      <c r="B83" s="1382" t="inlineStr">
        <is>
          <t>Vacant</t>
        </is>
      </c>
      <c r="C83" s="1382" t="inlineStr">
        <is>
          <t>Quality Assurance</t>
        </is>
      </c>
      <c r="D83" s="1567" t="inlineStr">
        <is>
          <t>Vacant</t>
        </is>
      </c>
      <c r="E83" s="1382" t="inlineStr">
        <is>
          <t>Lead Quality Assurance</t>
        </is>
      </c>
      <c r="F83" s="1382" t="inlineStr">
        <is>
          <t>Ampol Retail &amp; Z</t>
        </is>
      </c>
      <c r="G83" s="1567" t="inlineStr">
        <is>
          <t>Ampol Retail</t>
        </is>
      </c>
      <c r="H83" s="1382" t="inlineStr">
        <is>
          <t>Ampol Retail, Store Platforms</t>
        </is>
      </c>
      <c r="I83" s="1382" t="inlineStr">
        <is>
          <t>Retail</t>
        </is>
      </c>
      <c r="J83" s="1575" t="inlineStr">
        <is>
          <t>Store Operations</t>
        </is>
      </c>
      <c r="K83" s="1573" t="inlineStr">
        <is>
          <t>POS</t>
        </is>
      </c>
      <c r="L83" s="1567" t="n"/>
      <c r="M83" s="1568" t="n"/>
      <c r="N83" s="865" t="inlineStr">
        <is>
          <t>Ampol Retail</t>
        </is>
      </c>
      <c r="O83" s="865" t="inlineStr">
        <is>
          <t>Store Operations</t>
        </is>
      </c>
      <c r="P83" s="865" t="inlineStr">
        <is>
          <t>POS</t>
        </is>
      </c>
      <c r="Q83" s="865" t="inlineStr">
        <is>
          <t>Squad</t>
        </is>
      </c>
      <c r="R83" s="865" t="inlineStr">
        <is>
          <t>Vacant</t>
        </is>
      </c>
    </row>
    <row r="84" ht="18" customHeight="1" s="866">
      <c r="A84" s="1566" t="n"/>
      <c r="B84" s="1382" t="inlineStr">
        <is>
          <t>Vacant</t>
        </is>
      </c>
      <c r="C84" s="1382" t="inlineStr">
        <is>
          <t>Engineer - Software</t>
        </is>
      </c>
      <c r="D84" s="1382" t="inlineStr">
        <is>
          <t>Vacant</t>
        </is>
      </c>
      <c r="E84" s="1382" t="inlineStr">
        <is>
          <t>Technology Manager, Engineering</t>
        </is>
      </c>
      <c r="F84" s="1382" t="inlineStr">
        <is>
          <t>Ampol Retail &amp; Z</t>
        </is>
      </c>
      <c r="G84" s="1567" t="inlineStr">
        <is>
          <t>Z &amp; Group Retail</t>
        </is>
      </c>
      <c r="H84" s="1382" t="inlineStr">
        <is>
          <t>Z &amp; Group Retail, Engineering</t>
        </is>
      </c>
      <c r="I84" s="1382" t="inlineStr">
        <is>
          <t>Z</t>
        </is>
      </c>
      <c r="J84" s="1382" t="inlineStr">
        <is>
          <t>Z Customer</t>
        </is>
      </c>
      <c r="K84" s="1382" t="inlineStr">
        <is>
          <t xml:space="preserve">Z Retail Backend </t>
        </is>
      </c>
      <c r="L84" s="1567" t="n"/>
      <c r="M84" s="1568" t="n"/>
      <c r="N84" s="865" t="inlineStr">
        <is>
          <t>Z Retail</t>
        </is>
      </c>
      <c r="O84" s="865" t="inlineStr">
        <is>
          <t>Z Customer</t>
        </is>
      </c>
      <c r="P84" s="865" t="inlineStr">
        <is>
          <t>Z Retail Backend</t>
        </is>
      </c>
      <c r="Q84" s="865" t="inlineStr">
        <is>
          <t>Squad</t>
        </is>
      </c>
      <c r="R84" s="865" t="inlineStr">
        <is>
          <t>Vacant</t>
        </is>
      </c>
    </row>
    <row r="85" ht="18" customHeight="1" s="866">
      <c r="A85" s="1566" t="n">
        <v>99999100699</v>
      </c>
      <c r="B85" s="1382" t="inlineStr">
        <is>
          <t>Helen Jones</t>
        </is>
      </c>
      <c r="C85" s="1382" t="inlineStr">
        <is>
          <t>Delivery Lead</t>
        </is>
      </c>
      <c r="D85" s="1567" t="inlineStr">
        <is>
          <t>Vacant</t>
        </is>
      </c>
      <c r="E85" s="1382" t="inlineStr">
        <is>
          <t>Delivery Manager, Z and Retail Data</t>
        </is>
      </c>
      <c r="F85" s="1382" t="inlineStr">
        <is>
          <t>Ampol Retail &amp; Z</t>
        </is>
      </c>
      <c r="G85" s="1567" t="inlineStr">
        <is>
          <t>Z &amp; Group Retail</t>
        </is>
      </c>
      <c r="H85" s="1382" t="inlineStr">
        <is>
          <t>Z &amp; Group Retail, Delivery</t>
        </is>
      </c>
      <c r="I85" s="1382" t="inlineStr">
        <is>
          <t>Z</t>
        </is>
      </c>
      <c r="J85" s="1567" t="inlineStr">
        <is>
          <t>Z Supply</t>
        </is>
      </c>
      <c r="K85" s="1382" t="inlineStr">
        <is>
          <t>Z Supply</t>
        </is>
      </c>
      <c r="L85" s="1567" t="n"/>
      <c r="M85" s="1568" t="inlineStr">
        <is>
          <t>NZ</t>
        </is>
      </c>
      <c r="N85" s="865" t="inlineStr">
        <is>
          <t>Z Retail</t>
        </is>
      </c>
      <c r="O85" s="865" t="inlineStr">
        <is>
          <t>Z Supply</t>
        </is>
      </c>
      <c r="P85" s="865" t="inlineStr">
        <is>
          <t>Z Supply</t>
        </is>
      </c>
      <c r="Q85" s="865" t="inlineStr">
        <is>
          <t>Squad</t>
        </is>
      </c>
      <c r="R85" s="865" t="inlineStr">
        <is>
          <t>Filled</t>
        </is>
      </c>
    </row>
    <row r="86" ht="18" customHeight="1" s="866">
      <c r="A86" s="1566" t="n">
        <v>104050</v>
      </c>
      <c r="B86" s="1382" t="inlineStr">
        <is>
          <t>Violeta Trajkovski</t>
        </is>
      </c>
      <c r="C86" s="1382" t="inlineStr">
        <is>
          <t>Deployment Coordinator</t>
        </is>
      </c>
      <c r="D86" s="1382" t="inlineStr">
        <is>
          <t>Vacant</t>
        </is>
      </c>
      <c r="E86" s="1382" t="inlineStr">
        <is>
          <t>Release &amp; Deployment Manager</t>
        </is>
      </c>
      <c r="F86" s="1382" t="inlineStr">
        <is>
          <t>Ampol Retail &amp; Z</t>
        </is>
      </c>
      <c r="G86" s="1567" t="inlineStr">
        <is>
          <t>Ampol Retail</t>
        </is>
      </c>
      <c r="H86" s="1382" t="inlineStr">
        <is>
          <t>Ampol Retail, Technology</t>
        </is>
      </c>
      <c r="I86" s="1382" t="inlineStr">
        <is>
          <t>Retail</t>
        </is>
      </c>
      <c r="J86" s="1567" t="inlineStr">
        <is>
          <t>Store Operations</t>
        </is>
      </c>
      <c r="K86" s="1382" t="inlineStr">
        <is>
          <t>Deployment</t>
        </is>
      </c>
      <c r="L86" s="1567" t="n"/>
      <c r="M86" s="1568" t="inlineStr">
        <is>
          <t>Australia</t>
        </is>
      </c>
      <c r="N86" s="865" t="inlineStr">
        <is>
          <t>Ampol Retail</t>
        </is>
      </c>
      <c r="O86" s="865" t="inlineStr">
        <is>
          <t>Store Operations</t>
        </is>
      </c>
      <c r="P86" s="865" t="inlineStr">
        <is>
          <t>Deployment</t>
        </is>
      </c>
      <c r="Q86" s="865" t="inlineStr">
        <is>
          <t>Squad</t>
        </is>
      </c>
      <c r="R86" s="865" t="inlineStr">
        <is>
          <t>Filled</t>
        </is>
      </c>
    </row>
    <row r="87" ht="18" customHeight="1" s="866">
      <c r="A87" s="1566" t="n">
        <v>99999101623</v>
      </c>
      <c r="B87" s="1382" t="inlineStr">
        <is>
          <t>Michael Dasan</t>
        </is>
      </c>
      <c r="C87" s="1382" t="inlineStr">
        <is>
          <t>Engineer - Data</t>
        </is>
      </c>
      <c r="D87" s="1567" t="inlineStr">
        <is>
          <t>Vacant</t>
        </is>
      </c>
      <c r="E87" s="1382" t="inlineStr">
        <is>
          <t>Technology Manager, Data</t>
        </is>
      </c>
      <c r="F87" s="1382" t="inlineStr">
        <is>
          <t>Ampol Retail &amp; Z</t>
        </is>
      </c>
      <c r="G87" s="1567" t="inlineStr">
        <is>
          <t>Z &amp; Group Retail</t>
        </is>
      </c>
      <c r="H87" s="1382" t="inlineStr">
        <is>
          <t>Z &amp; Group Retail, Data</t>
        </is>
      </c>
      <c r="I87" s="1382" t="inlineStr">
        <is>
          <t>Z</t>
        </is>
      </c>
      <c r="J87" s="1567" t="inlineStr">
        <is>
          <t>Z Customer &amp; Z Supply</t>
        </is>
      </c>
      <c r="K87" s="1382" t="inlineStr">
        <is>
          <t>Data - NZ</t>
        </is>
      </c>
      <c r="L87" s="1567" t="n"/>
      <c r="M87" s="1568" t="inlineStr">
        <is>
          <t>NZ</t>
        </is>
      </c>
      <c r="N87" s="865" t="inlineStr">
        <is>
          <t>Z Retail</t>
        </is>
      </c>
      <c r="O87" s="865" t="inlineStr">
        <is>
          <t>-</t>
        </is>
      </c>
      <c r="P87" s="865" t="inlineStr">
        <is>
          <t>Data NZ</t>
        </is>
      </c>
      <c r="Q87" s="865" t="inlineStr">
        <is>
          <t>Unmapped</t>
        </is>
      </c>
      <c r="R87" s="865" t="inlineStr">
        <is>
          <t>Filled</t>
        </is>
      </c>
    </row>
    <row r="88" ht="18" customHeight="1" s="866">
      <c r="A88" s="1566" t="n"/>
      <c r="B88" s="1382" t="inlineStr">
        <is>
          <t>Vacant</t>
        </is>
      </c>
      <c r="C88" s="1382" t="inlineStr">
        <is>
          <t>Quality Assurance</t>
        </is>
      </c>
      <c r="D88" s="1567" t="inlineStr">
        <is>
          <t>Vacant</t>
        </is>
      </c>
      <c r="E88" s="1382" t="inlineStr">
        <is>
          <t>Lead Quality Assurance</t>
        </is>
      </c>
      <c r="F88" s="1382" t="inlineStr">
        <is>
          <t>Ampol Retail &amp; Z</t>
        </is>
      </c>
      <c r="G88" s="1567" t="inlineStr">
        <is>
          <t>Ampol Retail</t>
        </is>
      </c>
      <c r="H88" s="1382" t="inlineStr">
        <is>
          <t>Ampol Retail, Store Platforms</t>
        </is>
      </c>
      <c r="I88" s="1382" t="inlineStr">
        <is>
          <t>Retail</t>
        </is>
      </c>
      <c r="J88" s="1575" t="inlineStr">
        <is>
          <t>Store Operations</t>
        </is>
      </c>
      <c r="K88" s="1573" t="inlineStr">
        <is>
          <t>POS</t>
        </is>
      </c>
      <c r="L88" s="1567" t="n"/>
      <c r="M88" s="1568" t="n"/>
      <c r="N88" s="865" t="inlineStr">
        <is>
          <t>Ampol Retail</t>
        </is>
      </c>
      <c r="O88" s="865" t="inlineStr">
        <is>
          <t>Store Operations</t>
        </is>
      </c>
      <c r="P88" s="865" t="inlineStr">
        <is>
          <t>POS</t>
        </is>
      </c>
      <c r="Q88" s="865" t="inlineStr">
        <is>
          <t>Squad</t>
        </is>
      </c>
      <c r="R88" s="865" t="inlineStr">
        <is>
          <t>Vacant</t>
        </is>
      </c>
    </row>
    <row r="89" ht="18" customFormat="1" customHeight="1" s="1576">
      <c r="A89" s="1566" t="n"/>
      <c r="B89" s="1382" t="inlineStr">
        <is>
          <t>Vacant</t>
        </is>
      </c>
      <c r="C89" s="1382" t="inlineStr">
        <is>
          <t>Quality Assurance</t>
        </is>
      </c>
      <c r="D89" s="1567" t="inlineStr">
        <is>
          <t>Vacant</t>
        </is>
      </c>
      <c r="E89" s="1382" t="inlineStr">
        <is>
          <t>Lead Quality Assurance</t>
        </is>
      </c>
      <c r="F89" s="1382" t="inlineStr">
        <is>
          <t>Ampol Retail &amp; Z</t>
        </is>
      </c>
      <c r="G89" s="1567" t="inlineStr">
        <is>
          <t>Ampol Retail</t>
        </is>
      </c>
      <c r="H89" s="1382" t="inlineStr">
        <is>
          <t>Ampol Retail, Store Platforms</t>
        </is>
      </c>
      <c r="I89" s="1382" t="inlineStr">
        <is>
          <t>Retail</t>
        </is>
      </c>
      <c r="J89" s="1575" t="inlineStr">
        <is>
          <t>Store Operations</t>
        </is>
      </c>
      <c r="K89" s="1573" t="inlineStr">
        <is>
          <t>POS</t>
        </is>
      </c>
      <c r="L89" s="1567" t="n"/>
      <c r="M89" s="1568" t="n"/>
      <c r="N89" s="1557" t="inlineStr">
        <is>
          <t>Ampol Retail</t>
        </is>
      </c>
      <c r="O89" s="1557" t="inlineStr">
        <is>
          <t>Store Operations</t>
        </is>
      </c>
      <c r="P89" s="865" t="inlineStr">
        <is>
          <t>POS</t>
        </is>
      </c>
      <c r="Q89" s="865" t="inlineStr">
        <is>
          <t>Squad</t>
        </is>
      </c>
      <c r="R89" s="865" t="inlineStr">
        <is>
          <t>Vacant</t>
        </is>
      </c>
    </row>
    <row r="90" ht="18" customHeight="1" s="866">
      <c r="A90" s="1566" t="n"/>
      <c r="B90" s="1382" t="inlineStr">
        <is>
          <t>Vacant</t>
        </is>
      </c>
      <c r="C90" s="1382" t="inlineStr">
        <is>
          <t>Engineer - Data</t>
        </is>
      </c>
      <c r="D90" s="1567" t="inlineStr">
        <is>
          <t>Vacant</t>
        </is>
      </c>
      <c r="E90" s="1382" t="inlineStr">
        <is>
          <t>Technology Manager, Data</t>
        </is>
      </c>
      <c r="F90" s="1382" t="inlineStr">
        <is>
          <t>Ampol Retail &amp; Z</t>
        </is>
      </c>
      <c r="G90" s="1567" t="inlineStr">
        <is>
          <t>Z &amp; Group Retail</t>
        </is>
      </c>
      <c r="H90" s="1382" t="inlineStr">
        <is>
          <t>Z &amp; Group Retail, Data</t>
        </is>
      </c>
      <c r="I90" s="1382" t="inlineStr">
        <is>
          <t>Retail</t>
        </is>
      </c>
      <c r="J90" s="1567" t="inlineStr">
        <is>
          <t>(All Retail)</t>
        </is>
      </c>
      <c r="K90" s="1382" t="inlineStr">
        <is>
          <t>Data - AU</t>
        </is>
      </c>
      <c r="L90" s="1567" t="n"/>
      <c r="M90" s="1568" t="n"/>
      <c r="N90" s="865" t="inlineStr">
        <is>
          <t>Ampol Retail</t>
        </is>
      </c>
      <c r="O90" s="865" t="inlineStr">
        <is>
          <t>Data AU</t>
        </is>
      </c>
      <c r="P90" s="865" t="inlineStr">
        <is>
          <t>Data AU</t>
        </is>
      </c>
      <c r="Q90" s="865" t="inlineStr">
        <is>
          <t>Squad</t>
        </is>
      </c>
      <c r="R90" s="865" t="inlineStr">
        <is>
          <t>Vacant</t>
        </is>
      </c>
    </row>
    <row r="91" ht="18" customFormat="1" customHeight="1" s="1576">
      <c r="A91" s="1566" t="n">
        <v>0</v>
      </c>
      <c r="B91" s="1382" t="inlineStr">
        <is>
          <t>Viren Khatri</t>
        </is>
      </c>
      <c r="C91" s="1382" t="inlineStr">
        <is>
          <t>Data Migration Lead</t>
        </is>
      </c>
      <c r="D91" s="1567" t="inlineStr">
        <is>
          <t>Vacant</t>
        </is>
      </c>
      <c r="E91" s="1382" t="inlineStr">
        <is>
          <t>Technology Manager, Data</t>
        </is>
      </c>
      <c r="F91" s="1382" t="inlineStr">
        <is>
          <t>Ampol Retail &amp; Z</t>
        </is>
      </c>
      <c r="G91" s="1567" t="inlineStr">
        <is>
          <t>Z &amp; Group Retail</t>
        </is>
      </c>
      <c r="H91" s="1382" t="inlineStr">
        <is>
          <t>Z &amp; Group Retail, Data</t>
        </is>
      </c>
      <c r="I91" s="1382" t="inlineStr">
        <is>
          <t>EGI Integration</t>
        </is>
      </c>
      <c r="J91" s="1567" t="inlineStr">
        <is>
          <t>EGI</t>
        </is>
      </c>
      <c r="K91" s="1382" t="inlineStr">
        <is>
          <t>EGI TDD</t>
        </is>
      </c>
      <c r="L91" s="1567" t="n"/>
      <c r="M91" s="1568" t="n">
        <v>0</v>
      </c>
      <c r="N91" s="865" t="inlineStr">
        <is>
          <t>TDD Group Functions</t>
        </is>
      </c>
      <c r="O91" s="865" t="inlineStr">
        <is>
          <t>EGI TDD</t>
        </is>
      </c>
      <c r="P91" s="865" t="inlineStr">
        <is>
          <t>EGI TDD</t>
        </is>
      </c>
      <c r="Q91" s="865" t="inlineStr">
        <is>
          <t>Strategic Program</t>
        </is>
      </c>
      <c r="R91" s="865" t="inlineStr">
        <is>
          <t>Filled</t>
        </is>
      </c>
    </row>
    <row r="92" ht="18" customHeight="1" s="866">
      <c r="A92" s="1566" t="n">
        <v>85137</v>
      </c>
      <c r="B92" s="1382" t="inlineStr">
        <is>
          <t>Mick Standen</t>
        </is>
      </c>
      <c r="C92" s="1382" t="inlineStr">
        <is>
          <t>Systems Analyst</t>
        </is>
      </c>
      <c r="D92" s="1382" t="inlineStr">
        <is>
          <t>Vaishnavi Viswanathan</t>
        </is>
      </c>
      <c r="E92" s="1382" t="inlineStr">
        <is>
          <t>Technology Manager, Store Platform</t>
        </is>
      </c>
      <c r="F92" s="1382" t="inlineStr">
        <is>
          <t>Ampol Retail &amp; Z</t>
        </is>
      </c>
      <c r="G92" s="1567" t="inlineStr">
        <is>
          <t>Ampol Retail</t>
        </is>
      </c>
      <c r="H92" s="1382" t="inlineStr">
        <is>
          <t>Ampol  Retail, Store Platforms</t>
        </is>
      </c>
      <c r="I92" s="1382" t="inlineStr">
        <is>
          <t>Retail</t>
        </is>
      </c>
      <c r="J92" s="1567" t="inlineStr">
        <is>
          <t>AMPOS</t>
        </is>
      </c>
      <c r="K92" s="1382" t="inlineStr">
        <is>
          <t>AmPos</t>
        </is>
      </c>
      <c r="L92" s="1567" t="n"/>
      <c r="M92" s="1568" t="inlineStr">
        <is>
          <t>Australia</t>
        </is>
      </c>
      <c r="N92" s="865" t="inlineStr">
        <is>
          <t>Ampol Retail</t>
        </is>
      </c>
      <c r="O92" s="865" t="inlineStr">
        <is>
          <t>AmPOS</t>
        </is>
      </c>
      <c r="P92" s="865" t="inlineStr">
        <is>
          <t>AmPOS</t>
        </is>
      </c>
      <c r="Q92" s="865" t="inlineStr">
        <is>
          <t>Strategic Program</t>
        </is>
      </c>
      <c r="R92" s="865" t="inlineStr">
        <is>
          <t>Filled</t>
        </is>
      </c>
    </row>
    <row r="93" ht="18" customHeight="1" s="866">
      <c r="A93" s="1566" t="n"/>
      <c r="B93" s="1382" t="inlineStr">
        <is>
          <t>Vacant</t>
        </is>
      </c>
      <c r="C93" s="1382" t="inlineStr">
        <is>
          <t>Engineer Integration</t>
        </is>
      </c>
      <c r="D93" s="1382" t="inlineStr">
        <is>
          <t>Vaishnavi Viswanathan</t>
        </is>
      </c>
      <c r="E93" s="1382" t="inlineStr">
        <is>
          <t>Technology Manager, Store Platform</t>
        </is>
      </c>
      <c r="F93" s="1382" t="inlineStr">
        <is>
          <t>Ampol Retail &amp; Z</t>
        </is>
      </c>
      <c r="G93" s="1567" t="inlineStr">
        <is>
          <t>Ampol Retail</t>
        </is>
      </c>
      <c r="H93" s="1382" t="inlineStr">
        <is>
          <t>Ampol  Retail, Store Platforms</t>
        </is>
      </c>
      <c r="I93" s="1382" t="inlineStr">
        <is>
          <t>Retail</t>
        </is>
      </c>
      <c r="J93" s="1567" t="inlineStr">
        <is>
          <t>Store Operations</t>
        </is>
      </c>
      <c r="K93" s="1573" t="inlineStr">
        <is>
          <t>POS</t>
        </is>
      </c>
      <c r="L93" s="1567" t="n"/>
      <c r="M93" s="1568" t="n"/>
      <c r="N93" s="865" t="inlineStr">
        <is>
          <t>Ampol Retail</t>
        </is>
      </c>
      <c r="O93" s="865" t="inlineStr">
        <is>
          <t>Store Operations</t>
        </is>
      </c>
      <c r="P93" s="865" t="inlineStr">
        <is>
          <t>POS</t>
        </is>
      </c>
      <c r="Q93" s="865" t="inlineStr">
        <is>
          <t>Squad</t>
        </is>
      </c>
      <c r="R93" s="865" t="inlineStr">
        <is>
          <t>Vacant</t>
        </is>
      </c>
    </row>
    <row r="94" ht="18" customHeight="1" s="866">
      <c r="A94" s="1566" t="n">
        <v>85321</v>
      </c>
      <c r="B94" s="1382" t="inlineStr">
        <is>
          <t>Karthikeyan Kuppan</t>
        </is>
      </c>
      <c r="C94" s="1382" t="inlineStr">
        <is>
          <t>Lead - AU Retail Operations</t>
        </is>
      </c>
      <c r="D94" s="1382" t="inlineStr">
        <is>
          <t>Vaishnavi Viswanathan</t>
        </is>
      </c>
      <c r="E94" s="1382" t="inlineStr">
        <is>
          <t>Technology Manager, Store Platform</t>
        </is>
      </c>
      <c r="F94" s="1382" t="inlineStr">
        <is>
          <t>Ampol Retail &amp; Z</t>
        </is>
      </c>
      <c r="G94" s="1567" t="inlineStr">
        <is>
          <t>Ampol Retail</t>
        </is>
      </c>
      <c r="H94" s="1382" t="inlineStr">
        <is>
          <t>Ampol  Retail, Store Platforms</t>
        </is>
      </c>
      <c r="I94" s="1382" t="inlineStr">
        <is>
          <t>Retail</t>
        </is>
      </c>
      <c r="J94" s="1567" t="inlineStr">
        <is>
          <t>Store Operations</t>
        </is>
      </c>
      <c r="K94" s="1382" t="inlineStr">
        <is>
          <t>Store Operations</t>
        </is>
      </c>
      <c r="L94" s="1567" t="n"/>
      <c r="M94" s="1568" t="inlineStr">
        <is>
          <t>Australia</t>
        </is>
      </c>
      <c r="N94" s="865" t="inlineStr">
        <is>
          <t>Ampol Retail</t>
        </is>
      </c>
      <c r="O94" s="865" t="inlineStr">
        <is>
          <t>Store Operations</t>
        </is>
      </c>
      <c r="P94" s="865" t="inlineStr">
        <is>
          <t>Store Operations</t>
        </is>
      </c>
      <c r="Q94" s="865" t="inlineStr">
        <is>
          <t>Squad</t>
        </is>
      </c>
      <c r="R94" s="865" t="inlineStr">
        <is>
          <t>Filled</t>
        </is>
      </c>
    </row>
    <row r="95" ht="18" customHeight="1" s="866">
      <c r="A95" s="1566" t="n">
        <v>114003</v>
      </c>
      <c r="B95" s="1382" t="inlineStr">
        <is>
          <t>Sayan Kar</t>
        </is>
      </c>
      <c r="C95" s="1382" t="inlineStr">
        <is>
          <t>Systems Analyst</t>
        </is>
      </c>
      <c r="D95" s="1382" t="inlineStr">
        <is>
          <t>Vaishnavi Viswanathan</t>
        </is>
      </c>
      <c r="E95" s="1382" t="inlineStr">
        <is>
          <t>Technology Manager, Store Platform</t>
        </is>
      </c>
      <c r="F95" s="1382" t="inlineStr">
        <is>
          <t>Ampol Retail &amp; Z</t>
        </is>
      </c>
      <c r="G95" s="1567" t="inlineStr">
        <is>
          <t>Ampol Retail</t>
        </is>
      </c>
      <c r="H95" s="1382" t="inlineStr">
        <is>
          <t>Ampol  Retail, Store Platforms</t>
        </is>
      </c>
      <c r="I95" s="1382" t="inlineStr">
        <is>
          <t>Retail</t>
        </is>
      </c>
      <c r="J95" s="1567" t="inlineStr">
        <is>
          <t>Store Operations</t>
        </is>
      </c>
      <c r="K95" s="1382" t="inlineStr">
        <is>
          <t>Payments</t>
        </is>
      </c>
      <c r="L95" s="1567" t="n"/>
      <c r="M95" s="1568" t="inlineStr">
        <is>
          <t>Australia</t>
        </is>
      </c>
      <c r="N95" s="865" t="inlineStr">
        <is>
          <t>Ampol Retail</t>
        </is>
      </c>
      <c r="O95" s="865" t="inlineStr">
        <is>
          <t>Store Operations</t>
        </is>
      </c>
      <c r="P95" s="865" t="inlineStr">
        <is>
          <t>Payments</t>
        </is>
      </c>
      <c r="Q95" s="865" t="inlineStr">
        <is>
          <t>Squad</t>
        </is>
      </c>
      <c r="R95" s="865" t="inlineStr">
        <is>
          <t>Filled</t>
        </is>
      </c>
    </row>
    <row r="96" ht="18" customHeight="1" s="866">
      <c r="A96" s="1566" t="n">
        <v>99999101804</v>
      </c>
      <c r="B96" s="1571" t="inlineStr">
        <is>
          <t>Kate Johnstone</t>
        </is>
      </c>
      <c r="C96" s="1567" t="inlineStr">
        <is>
          <t>Program Manager POS</t>
        </is>
      </c>
      <c r="D96" s="1382" t="inlineStr">
        <is>
          <t>Vance Anderson</t>
        </is>
      </c>
      <c r="E96" s="1567" t="inlineStr">
        <is>
          <t>GM TDD, Ampol Retail &amp; Z</t>
        </is>
      </c>
      <c r="F96" s="1382" t="inlineStr">
        <is>
          <t>Ampol Retail &amp; Z</t>
        </is>
      </c>
      <c r="G96" s="1567" t="inlineStr">
        <is>
          <t>Program Management</t>
        </is>
      </c>
      <c r="H96" s="1382" t="n"/>
      <c r="I96" s="1382" t="inlineStr">
        <is>
          <t>Retail</t>
        </is>
      </c>
      <c r="J96" s="1567" t="inlineStr">
        <is>
          <t>AMPOS</t>
        </is>
      </c>
      <c r="K96" s="1567" t="inlineStr">
        <is>
          <t>AmPos</t>
        </is>
      </c>
      <c r="L96" s="1567" t="n"/>
      <c r="M96" s="1568" t="inlineStr">
        <is>
          <t>NZ</t>
        </is>
      </c>
      <c r="N96" s="865" t="inlineStr">
        <is>
          <t>Ampol Retail</t>
        </is>
      </c>
      <c r="O96" s="865" t="inlineStr">
        <is>
          <t>AmPOS</t>
        </is>
      </c>
      <c r="P96" s="865" t="inlineStr">
        <is>
          <t>AmPOS</t>
        </is>
      </c>
      <c r="Q96" s="865" t="inlineStr">
        <is>
          <t>Strategic Program</t>
        </is>
      </c>
      <c r="R96" s="865" t="inlineStr">
        <is>
          <t>Filled</t>
        </is>
      </c>
    </row>
    <row r="97" ht="18" customHeight="1" s="866">
      <c r="A97" s="1566" t="n">
        <v>110852</v>
      </c>
      <c r="B97" s="1382" t="inlineStr">
        <is>
          <t>Madan Murthy</t>
        </is>
      </c>
      <c r="C97" s="1382" t="inlineStr">
        <is>
          <t>Head of Technology, AU Retail</t>
        </is>
      </c>
      <c r="D97" s="1382" t="inlineStr">
        <is>
          <t>Vance Anderson</t>
        </is>
      </c>
      <c r="E97" s="1567" t="inlineStr">
        <is>
          <t>GM TDD, Ampol Retail &amp; Z</t>
        </is>
      </c>
      <c r="F97" s="1382" t="inlineStr">
        <is>
          <t>Ampol Retail &amp; Z</t>
        </is>
      </c>
      <c r="G97" s="1567" t="inlineStr">
        <is>
          <t>Ampol Retail</t>
        </is>
      </c>
      <c r="H97" s="1382" t="inlineStr">
        <is>
          <t>na</t>
        </is>
      </c>
      <c r="I97" s="1382" t="inlineStr">
        <is>
          <t>Retail</t>
        </is>
      </c>
      <c r="J97" s="1382" t="inlineStr">
        <is>
          <t>(All Retail)</t>
        </is>
      </c>
      <c r="K97" s="1382" t="inlineStr">
        <is>
          <t>Leadership</t>
        </is>
      </c>
      <c r="L97" s="1567" t="n"/>
      <c r="M97" s="1568" t="inlineStr">
        <is>
          <t>Australia</t>
        </is>
      </c>
      <c r="N97" s="865" t="inlineStr">
        <is>
          <t>Ampol Retail</t>
        </is>
      </c>
      <c r="O97" s="865" t="inlineStr">
        <is>
          <t>Leadership</t>
        </is>
      </c>
      <c r="P97" s="865" t="inlineStr">
        <is>
          <t>Leadership</t>
        </is>
      </c>
      <c r="Q97" s="865" t="inlineStr">
        <is>
          <t>Leadership</t>
        </is>
      </c>
      <c r="R97" s="865" t="inlineStr">
        <is>
          <t>Filled</t>
        </is>
      </c>
    </row>
    <row r="98" ht="18" customHeight="1" s="866">
      <c r="A98" s="1566" t="n"/>
      <c r="B98" s="1382" t="inlineStr">
        <is>
          <t>Vacant</t>
        </is>
      </c>
      <c r="C98" s="1382" t="inlineStr">
        <is>
          <t>Head of Technology, Z and Group Retail Platforms</t>
        </is>
      </c>
      <c r="D98" s="1382" t="inlineStr">
        <is>
          <t>Vance Anderson</t>
        </is>
      </c>
      <c r="E98" s="1567" t="inlineStr">
        <is>
          <t>GM TDD, Ampol Retail &amp; Z</t>
        </is>
      </c>
      <c r="F98" s="1382" t="inlineStr">
        <is>
          <t>Ampol Retail &amp; Z</t>
        </is>
      </c>
      <c r="G98" s="1567" t="inlineStr">
        <is>
          <t>Z &amp; Group Retail</t>
        </is>
      </c>
      <c r="H98" s="1382" t="inlineStr">
        <is>
          <t>Delivery, Commercial Fuels</t>
        </is>
      </c>
      <c r="I98" s="1382" t="inlineStr">
        <is>
          <t>Z</t>
        </is>
      </c>
      <c r="J98" s="1382" t="inlineStr">
        <is>
          <t>Z Customer &amp; Z Supply</t>
        </is>
      </c>
      <c r="K98" s="1567" t="inlineStr">
        <is>
          <t>Leadership</t>
        </is>
      </c>
      <c r="L98" s="1567" t="n"/>
      <c r="M98" s="1568" t="n"/>
      <c r="N98" s="865" t="inlineStr">
        <is>
          <t>Z Retail</t>
        </is>
      </c>
      <c r="O98" s="865" t="inlineStr">
        <is>
          <t>Leadership</t>
        </is>
      </c>
      <c r="P98" s="865" t="inlineStr">
        <is>
          <t>Leadership</t>
        </is>
      </c>
      <c r="Q98" s="865" t="inlineStr">
        <is>
          <t>Leadership</t>
        </is>
      </c>
      <c r="R98" s="865" t="inlineStr">
        <is>
          <t>Vacant</t>
        </is>
      </c>
    </row>
    <row r="99" ht="18" customHeight="1" s="866">
      <c r="A99" s="1566" t="n">
        <v>0</v>
      </c>
      <c r="B99" s="1382" t="inlineStr">
        <is>
          <t>Alex Prakhiy</t>
        </is>
      </c>
      <c r="C99" s="1382" t="inlineStr">
        <is>
          <t>Business Analyst</t>
        </is>
      </c>
      <c r="D99" s="1382" t="inlineStr">
        <is>
          <t>Vanessa Allen</t>
        </is>
      </c>
      <c r="E99" s="1382" t="inlineStr">
        <is>
          <t>Delivery Manager, Ampol Retail</t>
        </is>
      </c>
      <c r="F99" s="1382" t="inlineStr">
        <is>
          <t>Ampol Retail &amp; Z</t>
        </is>
      </c>
      <c r="G99" s="1567" t="inlineStr">
        <is>
          <t>Ampol Retail</t>
        </is>
      </c>
      <c r="H99" s="1382" t="inlineStr">
        <is>
          <t>Ampol Retail, Delivery</t>
        </is>
      </c>
      <c r="I99" s="1382" t="inlineStr">
        <is>
          <t>EGI Integration</t>
        </is>
      </c>
      <c r="J99" s="1567" t="inlineStr">
        <is>
          <t>EGI</t>
        </is>
      </c>
      <c r="K99" s="1382" t="inlineStr">
        <is>
          <t>EGI Retail</t>
        </is>
      </c>
      <c r="L99" s="1567" t="n"/>
      <c r="M99" s="1568" t="n">
        <v>0</v>
      </c>
      <c r="N99" s="865" t="inlineStr">
        <is>
          <t>Ampol Retail</t>
        </is>
      </c>
      <c r="O99" s="865" t="inlineStr">
        <is>
          <t>EGI Retail</t>
        </is>
      </c>
      <c r="P99" s="865" t="inlineStr">
        <is>
          <t>EGI Retail</t>
        </is>
      </c>
      <c r="Q99" s="865" t="inlineStr">
        <is>
          <t>Strategic Program</t>
        </is>
      </c>
      <c r="R99" s="865" t="inlineStr">
        <is>
          <t>Filled</t>
        </is>
      </c>
    </row>
    <row r="100" ht="18" customHeight="1" s="866">
      <c r="A100" s="1566" t="n">
        <v>0</v>
      </c>
      <c r="B100" s="1382" t="inlineStr">
        <is>
          <t>Bhaskar Nandi</t>
        </is>
      </c>
      <c r="C100" s="1382" t="inlineStr">
        <is>
          <t>Business Analyst</t>
        </is>
      </c>
      <c r="D100" s="1382" t="inlineStr">
        <is>
          <t>Vanessa Allen</t>
        </is>
      </c>
      <c r="E100" s="1382" t="inlineStr">
        <is>
          <t>Delivery Manager, Ampol Retail</t>
        </is>
      </c>
      <c r="F100" s="1382" t="inlineStr">
        <is>
          <t>Ampol Retail &amp; Z</t>
        </is>
      </c>
      <c r="G100" s="1567" t="inlineStr">
        <is>
          <t>Ampol Retail</t>
        </is>
      </c>
      <c r="H100" s="1382" t="inlineStr">
        <is>
          <t>Ampol Retail, Delivery</t>
        </is>
      </c>
      <c r="I100" s="1382" t="inlineStr">
        <is>
          <t>EGI Integration</t>
        </is>
      </c>
      <c r="J100" s="1567" t="inlineStr">
        <is>
          <t>EGI</t>
        </is>
      </c>
      <c r="K100" s="1382" t="inlineStr">
        <is>
          <t>EGI Retail</t>
        </is>
      </c>
      <c r="L100" s="1567" t="n"/>
      <c r="M100" s="1568" t="n">
        <v>0</v>
      </c>
      <c r="N100" s="865" t="inlineStr">
        <is>
          <t>Ampol Retail</t>
        </is>
      </c>
      <c r="O100" s="865" t="inlineStr">
        <is>
          <t>EGI Retail</t>
        </is>
      </c>
      <c r="P100" s="865" t="inlineStr">
        <is>
          <t>EGI Retail</t>
        </is>
      </c>
      <c r="Q100" s="865" t="inlineStr">
        <is>
          <t>Strategic Program</t>
        </is>
      </c>
      <c r="R100" s="865" t="inlineStr">
        <is>
          <t>Filled</t>
        </is>
      </c>
    </row>
    <row r="101" ht="18" customHeight="1" s="866">
      <c r="A101" s="1566" t="n"/>
      <c r="B101" s="1382" t="inlineStr">
        <is>
          <t>Vacant</t>
        </is>
      </c>
      <c r="C101" s="1382" t="inlineStr">
        <is>
          <t>Delivery Lead</t>
        </is>
      </c>
      <c r="D101" s="1382" t="inlineStr">
        <is>
          <t>Vanessa Allen</t>
        </is>
      </c>
      <c r="E101" s="1382" t="inlineStr">
        <is>
          <t>Delivery Manager, Ampol Retail</t>
        </is>
      </c>
      <c r="F101" s="1382" t="inlineStr">
        <is>
          <t>Ampol Retail &amp; Z</t>
        </is>
      </c>
      <c r="G101" s="1567" t="inlineStr">
        <is>
          <t>Ampol Retail</t>
        </is>
      </c>
      <c r="H101" s="1382" t="inlineStr">
        <is>
          <t>Ampol Retail, Delivery</t>
        </is>
      </c>
      <c r="I101" s="1382" t="inlineStr">
        <is>
          <t>Retail</t>
        </is>
      </c>
      <c r="J101" s="1573" t="inlineStr">
        <is>
          <t>Above Store</t>
        </is>
      </c>
      <c r="K101" s="1573" t="inlineStr">
        <is>
          <t>Above Store</t>
        </is>
      </c>
      <c r="L101" s="1567" t="n"/>
      <c r="M101" s="1568" t="n"/>
      <c r="N101" s="1557" t="inlineStr">
        <is>
          <t>Ampol Retail</t>
        </is>
      </c>
      <c r="O101" s="865" t="inlineStr">
        <is>
          <t>Above Store</t>
        </is>
      </c>
      <c r="P101" s="865" t="inlineStr">
        <is>
          <t>Above Store</t>
        </is>
      </c>
      <c r="Q101" s="865" t="inlineStr">
        <is>
          <t>Squad</t>
        </is>
      </c>
      <c r="R101" s="865" t="inlineStr">
        <is>
          <t>Vacant</t>
        </is>
      </c>
    </row>
    <row r="102" ht="18" customHeight="1" s="866">
      <c r="A102" s="1566" t="n">
        <v>110704</v>
      </c>
      <c r="B102" s="1382" t="inlineStr">
        <is>
          <t>Irfan Zavahir</t>
        </is>
      </c>
      <c r="C102" s="1382" t="inlineStr">
        <is>
          <t>Delivery Lead</t>
        </is>
      </c>
      <c r="D102" s="1382" t="inlineStr">
        <is>
          <t>Vanessa Allen</t>
        </is>
      </c>
      <c r="E102" s="1382" t="inlineStr">
        <is>
          <t>Delivery Manager, Ampol Retail</t>
        </is>
      </c>
      <c r="F102" s="1382" t="inlineStr">
        <is>
          <t>Ampol Retail &amp; Z</t>
        </is>
      </c>
      <c r="G102" s="1567" t="inlineStr">
        <is>
          <t>Ampol Retail</t>
        </is>
      </c>
      <c r="H102" s="1382" t="inlineStr">
        <is>
          <t>Ampol Retail, Delivery</t>
        </is>
      </c>
      <c r="I102" s="1382" t="inlineStr">
        <is>
          <t>Retail</t>
        </is>
      </c>
      <c r="J102" s="1567" t="inlineStr">
        <is>
          <t>AMPOS</t>
        </is>
      </c>
      <c r="K102" s="1382" t="inlineStr">
        <is>
          <t>Ampos</t>
        </is>
      </c>
      <c r="L102" s="1567" t="n"/>
      <c r="M102" s="1568" t="inlineStr">
        <is>
          <t>Australia</t>
        </is>
      </c>
      <c r="N102" s="865" t="inlineStr">
        <is>
          <t>Ampol Retail</t>
        </is>
      </c>
      <c r="O102" s="865" t="inlineStr">
        <is>
          <t>AmPOS</t>
        </is>
      </c>
      <c r="P102" s="865" t="inlineStr">
        <is>
          <t>AmPOS</t>
        </is>
      </c>
      <c r="Q102" s="865" t="inlineStr">
        <is>
          <t>Strategic Program</t>
        </is>
      </c>
      <c r="R102" s="865" t="inlineStr">
        <is>
          <t>Filled</t>
        </is>
      </c>
    </row>
    <row r="103" ht="18" customFormat="1" customHeight="1" s="1577">
      <c r="A103" s="1566" t="n"/>
      <c r="B103" s="1382" t="inlineStr">
        <is>
          <t>Vacant</t>
        </is>
      </c>
      <c r="C103" s="1382" t="inlineStr">
        <is>
          <t>Business Analyst</t>
        </is>
      </c>
      <c r="D103" s="1382" t="inlineStr">
        <is>
          <t>Vanessa Allen</t>
        </is>
      </c>
      <c r="E103" s="1382" t="inlineStr">
        <is>
          <t>Delivery Manager, Ampol Retail</t>
        </is>
      </c>
      <c r="F103" s="1382" t="inlineStr">
        <is>
          <t>Ampol Retail &amp; Z</t>
        </is>
      </c>
      <c r="G103" s="1567" t="inlineStr">
        <is>
          <t>Ampol Retail</t>
        </is>
      </c>
      <c r="H103" s="1382" t="inlineStr">
        <is>
          <t>Ampol Retail, Delivery</t>
        </is>
      </c>
      <c r="I103" s="1382" t="inlineStr">
        <is>
          <t>Retail</t>
        </is>
      </c>
      <c r="J103" s="1573" t="inlineStr">
        <is>
          <t>Above Store</t>
        </is>
      </c>
      <c r="K103" s="1573" t="inlineStr">
        <is>
          <t>Above Store</t>
        </is>
      </c>
      <c r="L103" s="1567" t="n"/>
      <c r="M103" s="1568" t="n"/>
      <c r="N103" s="1577" t="inlineStr">
        <is>
          <t>Ampol Retail</t>
        </is>
      </c>
      <c r="O103" s="865" t="inlineStr">
        <is>
          <t>Above Store</t>
        </is>
      </c>
      <c r="P103" s="865" t="inlineStr">
        <is>
          <t>Above Store</t>
        </is>
      </c>
      <c r="Q103" s="865" t="inlineStr">
        <is>
          <t>Squad</t>
        </is>
      </c>
      <c r="R103" s="865" t="inlineStr">
        <is>
          <t>Vacant</t>
        </is>
      </c>
    </row>
    <row r="104" ht="18" customFormat="1" customHeight="1" s="1578">
      <c r="A104" s="1579" t="n"/>
      <c r="B104" s="1573" t="inlineStr">
        <is>
          <t>Vacant</t>
        </is>
      </c>
      <c r="C104" s="1573" t="inlineStr">
        <is>
          <t>Business Analyst</t>
        </is>
      </c>
      <c r="D104" s="1573" t="inlineStr">
        <is>
          <t>Vanessa Allen</t>
        </is>
      </c>
      <c r="E104" s="1573" t="inlineStr">
        <is>
          <t>Delivery Manager, Ampol Retail</t>
        </is>
      </c>
      <c r="F104" s="1573" t="inlineStr">
        <is>
          <t>Ampol Retail &amp; Z</t>
        </is>
      </c>
      <c r="G104" s="1575" t="inlineStr">
        <is>
          <t>Ampol Retail</t>
        </is>
      </c>
      <c r="H104" s="1573" t="inlineStr">
        <is>
          <t>Ampol Retail, Delivery</t>
        </is>
      </c>
      <c r="I104" s="1573" t="inlineStr">
        <is>
          <t>Retail</t>
        </is>
      </c>
      <c r="J104" s="1573" t="inlineStr">
        <is>
          <t>Above Store</t>
        </is>
      </c>
      <c r="K104" s="1573" t="inlineStr">
        <is>
          <t>Above Store</t>
        </is>
      </c>
      <c r="L104" s="1575" t="n"/>
      <c r="M104" s="1580" t="n"/>
      <c r="N104" s="865" t="inlineStr">
        <is>
          <t>Ampol Retail</t>
        </is>
      </c>
      <c r="O104" s="865" t="inlineStr">
        <is>
          <t>Above Store</t>
        </is>
      </c>
      <c r="P104" s="865" t="inlineStr">
        <is>
          <t>Above Store</t>
        </is>
      </c>
      <c r="Q104" s="865" t="inlineStr">
        <is>
          <t>Squad</t>
        </is>
      </c>
      <c r="R104" s="865" t="inlineStr">
        <is>
          <t>Vacant</t>
        </is>
      </c>
    </row>
    <row r="105" ht="18" customHeight="1" s="866">
      <c r="A105" s="1566" t="n">
        <v>97784</v>
      </c>
      <c r="B105" s="1382" t="inlineStr">
        <is>
          <t>Balaji Murugan</t>
        </is>
      </c>
      <c r="C105" s="1382" t="inlineStr">
        <is>
          <t>Delivery Lead</t>
        </is>
      </c>
      <c r="D105" s="1382" t="inlineStr">
        <is>
          <t>Vanessa Allen</t>
        </is>
      </c>
      <c r="E105" s="1382" t="inlineStr">
        <is>
          <t>Delivery Manager, Ampol Retail</t>
        </is>
      </c>
      <c r="F105" s="1382" t="inlineStr">
        <is>
          <t>Ampol Retail &amp; Z</t>
        </is>
      </c>
      <c r="G105" s="1567" t="inlineStr">
        <is>
          <t>Ampol Retail</t>
        </is>
      </c>
      <c r="H105" s="1382" t="inlineStr">
        <is>
          <t>Ampol Retail, Delivery</t>
        </is>
      </c>
      <c r="I105" s="1382" t="inlineStr">
        <is>
          <t>Retail</t>
        </is>
      </c>
      <c r="J105" s="1567" t="inlineStr">
        <is>
          <t>AMPOS</t>
        </is>
      </c>
      <c r="K105" s="1382" t="inlineStr">
        <is>
          <t>Ampos</t>
        </is>
      </c>
      <c r="L105" s="1567" t="n"/>
      <c r="M105" s="1568" t="inlineStr">
        <is>
          <t>Australia</t>
        </is>
      </c>
      <c r="N105" s="865" t="inlineStr">
        <is>
          <t>Ampol Retail</t>
        </is>
      </c>
      <c r="O105" s="865" t="inlineStr">
        <is>
          <t>AmPOS</t>
        </is>
      </c>
      <c r="P105" s="865" t="inlineStr">
        <is>
          <t>AmPOS</t>
        </is>
      </c>
      <c r="Q105" s="865" t="inlineStr">
        <is>
          <t>Strategic Program</t>
        </is>
      </c>
      <c r="R105" s="865" t="inlineStr">
        <is>
          <t>Filled</t>
        </is>
      </c>
    </row>
    <row r="106" ht="18" customHeight="1" s="866">
      <c r="A106" s="1566" t="n"/>
      <c r="B106" s="1382" t="inlineStr">
        <is>
          <t>Vacant</t>
        </is>
      </c>
      <c r="C106" s="1382" t="inlineStr">
        <is>
          <t>Business Analyst</t>
        </is>
      </c>
      <c r="D106" s="1382" t="inlineStr">
        <is>
          <t>Vanessa Allen</t>
        </is>
      </c>
      <c r="E106" s="1382" t="inlineStr">
        <is>
          <t>Delivery Manager, Ampol Retail</t>
        </is>
      </c>
      <c r="F106" s="1382" t="inlineStr">
        <is>
          <t>Ampol Retail &amp; Z</t>
        </is>
      </c>
      <c r="G106" s="1567" t="inlineStr">
        <is>
          <t>Ampol Retail</t>
        </is>
      </c>
      <c r="H106" s="1382" t="inlineStr">
        <is>
          <t>Ampol Retail, Delivery</t>
        </is>
      </c>
      <c r="I106" s="1382" t="inlineStr">
        <is>
          <t>Retail</t>
        </is>
      </c>
      <c r="J106" s="1567" t="inlineStr">
        <is>
          <t>Network/QSR</t>
        </is>
      </c>
      <c r="K106" s="1382" t="inlineStr">
        <is>
          <t>Network &amp; QSR</t>
        </is>
      </c>
      <c r="L106" s="1567" t="n"/>
      <c r="M106" s="1568" t="n"/>
      <c r="N106" s="865" t="inlineStr">
        <is>
          <t>Ampol Retail</t>
        </is>
      </c>
      <c r="O106" s="865" t="inlineStr">
        <is>
          <t>Network / QSR</t>
        </is>
      </c>
      <c r="P106" s="865" t="inlineStr">
        <is>
          <t>Network / QSR</t>
        </is>
      </c>
      <c r="Q106" s="865" t="inlineStr">
        <is>
          <t>Squad</t>
        </is>
      </c>
      <c r="R106" s="865" t="inlineStr">
        <is>
          <t>Vacant</t>
        </is>
      </c>
    </row>
    <row r="107" ht="18" customHeight="1" s="866">
      <c r="A107" s="1566" t="n"/>
      <c r="B107" s="1382" t="inlineStr">
        <is>
          <t>Vacant</t>
        </is>
      </c>
      <c r="C107" s="1382" t="inlineStr">
        <is>
          <t>Business Analyst</t>
        </is>
      </c>
      <c r="D107" s="1382" t="inlineStr">
        <is>
          <t>Vanessa Allen</t>
        </is>
      </c>
      <c r="E107" s="1382" t="inlineStr">
        <is>
          <t>Delivery Manager, Ampol Retail</t>
        </is>
      </c>
      <c r="F107" s="1382" t="inlineStr">
        <is>
          <t>Ampol Retail &amp; Z</t>
        </is>
      </c>
      <c r="G107" s="1567" t="inlineStr">
        <is>
          <t>Ampol Retail</t>
        </is>
      </c>
      <c r="H107" s="1382" t="inlineStr">
        <is>
          <t>Ampol Retail, Delivery</t>
        </is>
      </c>
      <c r="I107" s="1382" t="inlineStr">
        <is>
          <t>Retail</t>
        </is>
      </c>
      <c r="J107" s="1573" t="inlineStr">
        <is>
          <t>Above Store</t>
        </is>
      </c>
      <c r="K107" s="1573" t="inlineStr">
        <is>
          <t>Above Store</t>
        </is>
      </c>
      <c r="L107" s="1567" t="n"/>
      <c r="M107" s="1568" t="n"/>
      <c r="N107" s="865" t="inlineStr">
        <is>
          <t>Ampol Retail</t>
        </is>
      </c>
      <c r="O107" s="865" t="inlineStr">
        <is>
          <t>Above Store</t>
        </is>
      </c>
      <c r="P107" s="865" t="inlineStr">
        <is>
          <t>Above Store</t>
        </is>
      </c>
      <c r="Q107" s="865" t="inlineStr">
        <is>
          <t>Squad</t>
        </is>
      </c>
      <c r="R107" s="865" t="inlineStr">
        <is>
          <t>Vacant</t>
        </is>
      </c>
    </row>
    <row r="108" ht="18" customHeight="1" s="866">
      <c r="A108" s="1566" t="n">
        <v>115831</v>
      </c>
      <c r="B108" s="1382" t="inlineStr">
        <is>
          <t>Venkat Kedharanathan</t>
        </is>
      </c>
      <c r="C108" s="1382" t="inlineStr">
        <is>
          <t>Senior Business Analyst</t>
        </is>
      </c>
      <c r="D108" s="1382" t="inlineStr">
        <is>
          <t>Vanessa Allen</t>
        </is>
      </c>
      <c r="E108" s="1382" t="inlineStr">
        <is>
          <t>Delivery Manager, Ampol Retail</t>
        </is>
      </c>
      <c r="F108" s="1382" t="inlineStr">
        <is>
          <t>Ampol Retail &amp; Z</t>
        </is>
      </c>
      <c r="G108" s="1567" t="inlineStr">
        <is>
          <t>Ampol Retail</t>
        </is>
      </c>
      <c r="H108" s="1382" t="inlineStr">
        <is>
          <t>Ampol Retail, Delivery</t>
        </is>
      </c>
      <c r="I108" s="1382" t="inlineStr">
        <is>
          <t>Retail</t>
        </is>
      </c>
      <c r="J108" s="1567" t="inlineStr">
        <is>
          <t>Store Operations</t>
        </is>
      </c>
      <c r="K108" s="1382" t="inlineStr">
        <is>
          <t>Payments</t>
        </is>
      </c>
      <c r="L108" s="1567" t="n"/>
      <c r="M108" s="1568" t="inlineStr">
        <is>
          <t>Australia</t>
        </is>
      </c>
      <c r="N108" s="865" t="inlineStr">
        <is>
          <t>Ampol Retail</t>
        </is>
      </c>
      <c r="O108" s="865" t="inlineStr">
        <is>
          <t>Store Operations</t>
        </is>
      </c>
      <c r="P108" s="865" t="inlineStr">
        <is>
          <t>Payments</t>
        </is>
      </c>
      <c r="Q108" s="865" t="inlineStr">
        <is>
          <t>Squad</t>
        </is>
      </c>
      <c r="R108" s="865" t="inlineStr">
        <is>
          <t>Filled</t>
        </is>
      </c>
    </row>
    <row r="109" ht="18" customHeight="1" s="866">
      <c r="A109" s="1566" t="n">
        <v>98158</v>
      </c>
      <c r="B109" s="1382" t="inlineStr">
        <is>
          <t>Vanessa Trujillo Munoz</t>
        </is>
      </c>
      <c r="C109" s="1382" t="inlineStr">
        <is>
          <t>Delivery Lead</t>
        </is>
      </c>
      <c r="D109" s="1382" t="inlineStr">
        <is>
          <t>Vanessa Allen</t>
        </is>
      </c>
      <c r="E109" s="1382" t="inlineStr">
        <is>
          <t>Delivery Manager, Ampol Retail</t>
        </is>
      </c>
      <c r="F109" s="1382" t="inlineStr">
        <is>
          <t>Ampol Retail &amp; Z</t>
        </is>
      </c>
      <c r="G109" s="1567" t="inlineStr">
        <is>
          <t>Ampol Retail</t>
        </is>
      </c>
      <c r="H109" s="1382" t="inlineStr">
        <is>
          <t>Ampol Retail, Delivery</t>
        </is>
      </c>
      <c r="I109" s="1382" t="inlineStr">
        <is>
          <t>Retail</t>
        </is>
      </c>
      <c r="J109" s="1567" t="inlineStr">
        <is>
          <t>Network/QSR</t>
        </is>
      </c>
      <c r="K109" s="1382" t="inlineStr">
        <is>
          <t>Network &amp; QSR</t>
        </is>
      </c>
      <c r="L109" s="1567" t="n"/>
      <c r="M109" s="1568" t="inlineStr">
        <is>
          <t>Australia</t>
        </is>
      </c>
      <c r="N109" s="865" t="inlineStr">
        <is>
          <t>Ampol Retail</t>
        </is>
      </c>
      <c r="O109" s="865" t="inlineStr">
        <is>
          <t>Network / QSR</t>
        </is>
      </c>
      <c r="P109" s="865" t="inlineStr">
        <is>
          <t>Network / QSR</t>
        </is>
      </c>
      <c r="Q109" s="865" t="inlineStr">
        <is>
          <t>Squad</t>
        </is>
      </c>
      <c r="R109" s="865" t="inlineStr">
        <is>
          <t>Filled</t>
        </is>
      </c>
    </row>
    <row r="110" ht="18" customHeight="1" s="866">
      <c r="A110" s="1566" t="n">
        <v>114616</v>
      </c>
      <c r="B110" s="1382" t="inlineStr">
        <is>
          <t>Marty O'Shea</t>
        </is>
      </c>
      <c r="C110" s="1382" t="inlineStr">
        <is>
          <t>Systems Analyst</t>
        </is>
      </c>
      <c r="D110" s="1382" t="inlineStr">
        <is>
          <t>Vedran Jukic</t>
        </is>
      </c>
      <c r="E110" s="1382" t="inlineStr">
        <is>
          <t>Technology Manager, Retail</t>
        </is>
      </c>
      <c r="F110" s="1382" t="inlineStr">
        <is>
          <t>Ampol Retail &amp; Z</t>
        </is>
      </c>
      <c r="G110" s="1567" t="inlineStr">
        <is>
          <t>Ampol Retail</t>
        </is>
      </c>
      <c r="H110" s="1382" t="inlineStr">
        <is>
          <t>Ampol Retail, Technology</t>
        </is>
      </c>
      <c r="I110" s="1382" t="inlineStr">
        <is>
          <t>Retail</t>
        </is>
      </c>
      <c r="J110" s="1567" t="inlineStr">
        <is>
          <t>Network/QSR</t>
        </is>
      </c>
      <c r="K110" s="1382" t="inlineStr">
        <is>
          <t>Network &amp; QSR</t>
        </is>
      </c>
      <c r="L110" s="1567" t="n"/>
      <c r="M110" s="1568" t="inlineStr">
        <is>
          <t>Australia</t>
        </is>
      </c>
      <c r="N110" s="865" t="inlineStr">
        <is>
          <t>Ampol Retail</t>
        </is>
      </c>
      <c r="O110" s="865" t="inlineStr">
        <is>
          <t>Network / QSR</t>
        </is>
      </c>
      <c r="P110" s="865" t="inlineStr">
        <is>
          <t>Network / QSR</t>
        </is>
      </c>
      <c r="Q110" s="865" t="inlineStr">
        <is>
          <t>Squad</t>
        </is>
      </c>
      <c r="R110" s="865" t="inlineStr">
        <is>
          <t>Filled</t>
        </is>
      </c>
    </row>
    <row r="111" ht="18" customHeight="1" s="866">
      <c r="A111" s="1566" t="n">
        <v>110197</v>
      </c>
      <c r="B111" s="1382" t="inlineStr">
        <is>
          <t>Anthony Dumbrell</t>
        </is>
      </c>
      <c r="C111" s="1382" t="inlineStr">
        <is>
          <t>Technology &amp; Lab Specialist Stores</t>
        </is>
      </c>
      <c r="D111" s="1382" t="inlineStr">
        <is>
          <t>Vedran Jukic</t>
        </is>
      </c>
      <c r="E111" s="1382" t="inlineStr">
        <is>
          <t>Technology Manager, Retail</t>
        </is>
      </c>
      <c r="F111" s="1382" t="inlineStr">
        <is>
          <t>Ampol Retail &amp; Z</t>
        </is>
      </c>
      <c r="G111" s="1567" t="inlineStr">
        <is>
          <t>Ampol Retail</t>
        </is>
      </c>
      <c r="H111" s="1382" t="inlineStr">
        <is>
          <t>Ampol Retail, Technology</t>
        </is>
      </c>
      <c r="I111" s="1382" t="inlineStr">
        <is>
          <t>Retail</t>
        </is>
      </c>
      <c r="J111" s="1567" t="inlineStr">
        <is>
          <t>Store Operations</t>
        </is>
      </c>
      <c r="K111" s="1382" t="inlineStr">
        <is>
          <t xml:space="preserve">Deployment </t>
        </is>
      </c>
      <c r="L111" s="1567" t="n"/>
      <c r="M111" s="1568" t="inlineStr">
        <is>
          <t>Australia</t>
        </is>
      </c>
      <c r="N111" s="865" t="inlineStr">
        <is>
          <t>Ampol Retail</t>
        </is>
      </c>
      <c r="O111" s="865" t="inlineStr">
        <is>
          <t>Store Operations</t>
        </is>
      </c>
      <c r="P111" s="865" t="inlineStr">
        <is>
          <t>Deployment</t>
        </is>
      </c>
      <c r="Q111" s="865" t="inlineStr">
        <is>
          <t>Squad</t>
        </is>
      </c>
      <c r="R111" s="865" t="inlineStr">
        <is>
          <t>Filled</t>
        </is>
      </c>
    </row>
    <row r="112" ht="18" customHeight="1" s="866">
      <c r="A112" s="1566" t="n">
        <v>107164</v>
      </c>
      <c r="B112" s="1382" t="inlineStr">
        <is>
          <t>Santiago Hernandez Arevalo</t>
        </is>
      </c>
      <c r="C112" s="1382" t="inlineStr">
        <is>
          <t>Systems Analyst</t>
        </is>
      </c>
      <c r="D112" s="1382" t="inlineStr">
        <is>
          <t>Vedran Jukic</t>
        </is>
      </c>
      <c r="E112" s="1382" t="inlineStr">
        <is>
          <t>Technology Manager, Retail</t>
        </is>
      </c>
      <c r="F112" s="1382" t="inlineStr">
        <is>
          <t>Ampol Retail &amp; Z</t>
        </is>
      </c>
      <c r="G112" s="1567" t="inlineStr">
        <is>
          <t>Ampol Retail</t>
        </is>
      </c>
      <c r="H112" s="1382" t="inlineStr">
        <is>
          <t>Ampol Retail, Store Platforms</t>
        </is>
      </c>
      <c r="I112" s="1382" t="inlineStr">
        <is>
          <t>Retail</t>
        </is>
      </c>
      <c r="J112" s="1567" t="inlineStr">
        <is>
          <t>Network/QSR</t>
        </is>
      </c>
      <c r="K112" s="1382" t="inlineStr">
        <is>
          <t>Network &amp; QSR</t>
        </is>
      </c>
      <c r="L112" s="1567" t="n"/>
      <c r="M112" s="1568" t="inlineStr">
        <is>
          <t>Australia</t>
        </is>
      </c>
      <c r="N112" s="865" t="inlineStr">
        <is>
          <t>Ampol Retail</t>
        </is>
      </c>
      <c r="O112" s="865" t="inlineStr">
        <is>
          <t>Network / QSR</t>
        </is>
      </c>
      <c r="P112" s="865" t="inlineStr">
        <is>
          <t>Network / QSR</t>
        </is>
      </c>
      <c r="Q112" s="865" t="inlineStr">
        <is>
          <t>Squad</t>
        </is>
      </c>
      <c r="R112" s="865" t="inlineStr">
        <is>
          <t>Filled</t>
        </is>
      </c>
    </row>
    <row r="113" ht="18" customHeight="1" s="866">
      <c r="A113" s="1566" t="n">
        <v>95286</v>
      </c>
      <c r="B113" s="1382" t="inlineStr">
        <is>
          <t>Navneet Singh</t>
        </is>
      </c>
      <c r="C113" s="1382" t="inlineStr">
        <is>
          <t>Solution Architect</t>
        </is>
      </c>
      <c r="D113" s="1382" t="inlineStr">
        <is>
          <t>Vedran Jukic</t>
        </is>
      </c>
      <c r="E113" s="1382" t="inlineStr">
        <is>
          <t>Technology Manager, Retail</t>
        </is>
      </c>
      <c r="F113" s="1382" t="inlineStr">
        <is>
          <t>Ampol Retail &amp; Z</t>
        </is>
      </c>
      <c r="G113" s="1567" t="inlineStr">
        <is>
          <t>Ampol Retail</t>
        </is>
      </c>
      <c r="H113" s="1382" t="inlineStr">
        <is>
          <t>Ampol Retail, Technology</t>
        </is>
      </c>
      <c r="I113" s="1382" t="inlineStr">
        <is>
          <t>EGI Integration</t>
        </is>
      </c>
      <c r="J113" s="1567" t="inlineStr">
        <is>
          <t>EGI</t>
        </is>
      </c>
      <c r="K113" s="1382" t="inlineStr">
        <is>
          <t>EGI Retail</t>
        </is>
      </c>
      <c r="L113" s="1567" t="n"/>
      <c r="M113" s="1568" t="inlineStr">
        <is>
          <t>Australia</t>
        </is>
      </c>
      <c r="N113" s="865" t="inlineStr">
        <is>
          <t>Ampol Retail</t>
        </is>
      </c>
      <c r="O113" s="865" t="inlineStr">
        <is>
          <t>EGI Retail</t>
        </is>
      </c>
      <c r="P113" s="865" t="inlineStr">
        <is>
          <t>EGI Retail</t>
        </is>
      </c>
      <c r="Q113" s="865" t="inlineStr">
        <is>
          <t>Strategic Program</t>
        </is>
      </c>
      <c r="R113" s="865" t="inlineStr">
        <is>
          <t>Filled</t>
        </is>
      </c>
    </row>
    <row r="114" ht="18" customHeight="1" s="866">
      <c r="A114" s="1566" t="n"/>
      <c r="B114" s="1382" t="inlineStr">
        <is>
          <t>Vacant</t>
        </is>
      </c>
      <c r="C114" s="1382" t="inlineStr">
        <is>
          <t>Engineer - Integration</t>
        </is>
      </c>
      <c r="D114" s="1382" t="inlineStr">
        <is>
          <t>Vedran Jukic</t>
        </is>
      </c>
      <c r="E114" s="1382" t="inlineStr">
        <is>
          <t>Technology Manager, Retail</t>
        </is>
      </c>
      <c r="F114" s="1382" t="inlineStr">
        <is>
          <t>Ampol Retail &amp; Z</t>
        </is>
      </c>
      <c r="G114" s="1567" t="inlineStr">
        <is>
          <t>Ampol Retail</t>
        </is>
      </c>
      <c r="H114" s="1382" t="inlineStr">
        <is>
          <t>Ampol Retail, Technology</t>
        </is>
      </c>
      <c r="I114" s="1382" t="inlineStr">
        <is>
          <t>Retail</t>
        </is>
      </c>
      <c r="J114" s="1567" t="inlineStr">
        <is>
          <t>Network/QSR</t>
        </is>
      </c>
      <c r="K114" s="1382" t="inlineStr">
        <is>
          <t>Network &amp; QSR</t>
        </is>
      </c>
      <c r="L114" s="1567" t="n"/>
      <c r="M114" s="1568" t="n"/>
      <c r="N114" s="865" t="inlineStr">
        <is>
          <t>Ampol Retail</t>
        </is>
      </c>
      <c r="O114" s="865" t="inlineStr">
        <is>
          <t>Network / QSR</t>
        </is>
      </c>
      <c r="P114" s="865" t="inlineStr">
        <is>
          <t>Network / QSR</t>
        </is>
      </c>
      <c r="Q114" s="865" t="inlineStr">
        <is>
          <t>Squad</t>
        </is>
      </c>
      <c r="R114" s="865" t="inlineStr">
        <is>
          <t>Vacant</t>
        </is>
      </c>
    </row>
    <row r="115" ht="18" customHeight="1" s="866">
      <c r="A115" s="1566" t="n">
        <v>113555</v>
      </c>
      <c r="B115" s="1382" t="inlineStr">
        <is>
          <t>Jill Martin</t>
        </is>
      </c>
      <c r="C115" s="1382" t="inlineStr">
        <is>
          <t>Delivery Manager</t>
        </is>
      </c>
      <c r="D115" s="1382" t="inlineStr">
        <is>
          <t>Andy Stewart</t>
        </is>
      </c>
      <c r="E115" s="1382" t="inlineStr">
        <is>
          <t>Head of Technology, Loyalty &amp; Martech</t>
        </is>
      </c>
      <c r="F115" s="1382" t="inlineStr">
        <is>
          <t>Customer</t>
        </is>
      </c>
      <c r="G115" s="1567" t="inlineStr">
        <is>
          <t>Loyalty &amp; Martech</t>
        </is>
      </c>
      <c r="H115" s="1382" t="inlineStr">
        <is>
          <t xml:space="preserve">Loyalty, Delivery </t>
        </is>
      </c>
      <c r="I115" s="1382" t="inlineStr">
        <is>
          <t>Customer</t>
        </is>
      </c>
      <c r="J115" s="1382" t="inlineStr">
        <is>
          <t>Customer Z, Group Customer Platforms</t>
        </is>
      </c>
      <c r="K115" s="1382" t="inlineStr">
        <is>
          <t>Leadership</t>
        </is>
      </c>
      <c r="L115" s="1567" t="n"/>
      <c r="M115" s="1568" t="n"/>
      <c r="N115" s="865" t="inlineStr">
        <is>
          <t>Customer</t>
        </is>
      </c>
      <c r="O115" s="865" t="inlineStr">
        <is>
          <t>Leadership</t>
        </is>
      </c>
      <c r="P115" s="865" t="inlineStr">
        <is>
          <t>Leadership</t>
        </is>
      </c>
      <c r="Q115" s="865" t="inlineStr">
        <is>
          <t>Leadership</t>
        </is>
      </c>
      <c r="R115" s="865" t="inlineStr">
        <is>
          <t>Filled</t>
        </is>
      </c>
    </row>
    <row r="116" ht="18" customHeight="1" s="866">
      <c r="A116" s="1566" t="n">
        <v>99999102079</v>
      </c>
      <c r="B116" s="1382" t="inlineStr">
        <is>
          <t>Sam Turnball</t>
        </is>
      </c>
      <c r="C116" s="1382" t="inlineStr">
        <is>
          <t>Associate Experience Designer</t>
        </is>
      </c>
      <c r="D116" s="1382" t="inlineStr">
        <is>
          <t>Byron Thornhill</t>
        </is>
      </c>
      <c r="E116" s="1382" t="inlineStr">
        <is>
          <t>Design Manager</t>
        </is>
      </c>
      <c r="F116" s="1382" t="inlineStr">
        <is>
          <t>Customer</t>
        </is>
      </c>
      <c r="G116" s="1567" t="inlineStr">
        <is>
          <t>Digital</t>
        </is>
      </c>
      <c r="H116" s="1567" t="inlineStr">
        <is>
          <t>Digital, Design</t>
        </is>
      </c>
      <c r="I116" s="1382" t="inlineStr">
        <is>
          <t>Customer</t>
        </is>
      </c>
      <c r="J116" s="1382" t="inlineStr">
        <is>
          <t>Customer Z</t>
        </is>
      </c>
      <c r="K116" s="1382" t="inlineStr">
        <is>
          <t>Z Energy Apps</t>
        </is>
      </c>
      <c r="L116" s="1567" t="n"/>
      <c r="M116" s="1568" t="inlineStr">
        <is>
          <t>NZ</t>
        </is>
      </c>
      <c r="N116" s="865" t="inlineStr">
        <is>
          <t>Customer</t>
        </is>
      </c>
      <c r="O116" s="865" t="inlineStr">
        <is>
          <t>Customer Z</t>
        </is>
      </c>
      <c r="P116" s="865" t="inlineStr">
        <is>
          <t>Z Energy Apps</t>
        </is>
      </c>
      <c r="Q116" s="865" t="inlineStr">
        <is>
          <t>Squad</t>
        </is>
      </c>
      <c r="R116" s="865" t="inlineStr">
        <is>
          <t>Filled</t>
        </is>
      </c>
    </row>
    <row r="117" ht="18" customHeight="1" s="866">
      <c r="A117" s="1566" t="n">
        <v>99999101676</v>
      </c>
      <c r="B117" s="1382" t="inlineStr">
        <is>
          <t>Ants Jackson</t>
        </is>
      </c>
      <c r="C117" s="1382" t="inlineStr">
        <is>
          <t>Experience Designer</t>
        </is>
      </c>
      <c r="D117" s="1382" t="inlineStr">
        <is>
          <t>Byron Thornhill</t>
        </is>
      </c>
      <c r="E117" s="1382" t="inlineStr">
        <is>
          <t>Design Manager</t>
        </is>
      </c>
      <c r="F117" s="1382" t="inlineStr">
        <is>
          <t>Customer</t>
        </is>
      </c>
      <c r="G117" s="1567" t="inlineStr">
        <is>
          <t>Digital</t>
        </is>
      </c>
      <c r="H117" s="1567" t="inlineStr">
        <is>
          <t>Digital, Design</t>
        </is>
      </c>
      <c r="I117" s="1382" t="inlineStr">
        <is>
          <t>Customer</t>
        </is>
      </c>
      <c r="J117" s="1382" t="inlineStr">
        <is>
          <t>Customer Z</t>
        </is>
      </c>
      <c r="K117" s="1382" t="inlineStr">
        <is>
          <t>Z Energy Apps</t>
        </is>
      </c>
      <c r="L117" s="1567" t="n"/>
      <c r="M117" s="1568" t="inlineStr">
        <is>
          <t>NZ</t>
        </is>
      </c>
      <c r="N117" s="865" t="inlineStr">
        <is>
          <t>Customer</t>
        </is>
      </c>
      <c r="O117" s="865" t="inlineStr">
        <is>
          <t>Customer Z</t>
        </is>
      </c>
      <c r="P117" s="865" t="inlineStr">
        <is>
          <t>Z Energy Apps</t>
        </is>
      </c>
      <c r="Q117" s="865" t="inlineStr">
        <is>
          <t>Squad</t>
        </is>
      </c>
      <c r="R117" s="865" t="inlineStr">
        <is>
          <t>Filled</t>
        </is>
      </c>
    </row>
    <row r="118" ht="18" customHeight="1" s="866">
      <c r="A118" s="1566" t="n">
        <v>98015</v>
      </c>
      <c r="B118" s="1382" t="inlineStr">
        <is>
          <t>Ethan Laffan</t>
        </is>
      </c>
      <c r="C118" s="1382" t="inlineStr">
        <is>
          <t>Associate Experience Designer</t>
        </is>
      </c>
      <c r="D118" s="1382" t="inlineStr">
        <is>
          <t>Byron Thornhill</t>
        </is>
      </c>
      <c r="E118" s="1382" t="inlineStr">
        <is>
          <t>Design Manager</t>
        </is>
      </c>
      <c r="F118" s="1382" t="inlineStr">
        <is>
          <t>Customer</t>
        </is>
      </c>
      <c r="G118" s="1567" t="inlineStr">
        <is>
          <t>Digital</t>
        </is>
      </c>
      <c r="H118" s="1567" t="inlineStr">
        <is>
          <t>Digital, Design</t>
        </is>
      </c>
      <c r="I118" s="1382" t="inlineStr">
        <is>
          <t>Customer</t>
        </is>
      </c>
      <c r="J118" s="1382" t="inlineStr">
        <is>
          <t>Ampol Digital</t>
        </is>
      </c>
      <c r="K118" s="1382" t="inlineStr">
        <is>
          <t>Ampol App</t>
        </is>
      </c>
      <c r="L118" s="1567" t="n"/>
      <c r="M118" s="1568" t="inlineStr">
        <is>
          <t>Australia</t>
        </is>
      </c>
      <c r="N118" s="865" t="inlineStr">
        <is>
          <t>Customer</t>
        </is>
      </c>
      <c r="O118" s="865" t="inlineStr">
        <is>
          <t>Ampol Digital</t>
        </is>
      </c>
      <c r="P118" s="865" t="inlineStr">
        <is>
          <t>Ampol App</t>
        </is>
      </c>
      <c r="Q118" s="865" t="inlineStr">
        <is>
          <t>Squad</t>
        </is>
      </c>
      <c r="R118" s="865" t="inlineStr">
        <is>
          <t>Filled</t>
        </is>
      </c>
    </row>
    <row r="119" ht="18" customHeight="1" s="866">
      <c r="A119" s="1566" t="n">
        <v>113463</v>
      </c>
      <c r="B119" s="1382" t="inlineStr">
        <is>
          <t>Alisha Allport</t>
        </is>
      </c>
      <c r="C119" s="1382" t="inlineStr">
        <is>
          <t>Principal Experience Designer</t>
        </is>
      </c>
      <c r="D119" s="1382" t="inlineStr">
        <is>
          <t>Byron Thornhill</t>
        </is>
      </c>
      <c r="E119" s="1382" t="inlineStr">
        <is>
          <t>Design Manager</t>
        </is>
      </c>
      <c r="F119" s="1382" t="inlineStr">
        <is>
          <t>Customer</t>
        </is>
      </c>
      <c r="G119" s="1567" t="inlineStr">
        <is>
          <t>Loyalty &amp; Martech</t>
        </is>
      </c>
      <c r="H119" s="1567" t="inlineStr">
        <is>
          <t>Digital, Design</t>
        </is>
      </c>
      <c r="I119" s="1567" t="inlineStr">
        <is>
          <t>Customer</t>
        </is>
      </c>
      <c r="J119" s="1382" t="inlineStr">
        <is>
          <t>Ampol Digital</t>
        </is>
      </c>
      <c r="K119" s="1382" t="inlineStr">
        <is>
          <t>Ampol App</t>
        </is>
      </c>
      <c r="L119" s="1567" t="n"/>
      <c r="M119" s="1568" t="inlineStr">
        <is>
          <t>Australia</t>
        </is>
      </c>
      <c r="N119" s="865" t="inlineStr">
        <is>
          <t>Customer</t>
        </is>
      </c>
      <c r="O119" s="865" t="inlineStr">
        <is>
          <t>Ampol Digital</t>
        </is>
      </c>
      <c r="P119" s="865" t="inlineStr">
        <is>
          <t>Ampol App</t>
        </is>
      </c>
      <c r="Q119" s="865" t="inlineStr">
        <is>
          <t>Squad</t>
        </is>
      </c>
      <c r="R119" s="865" t="inlineStr">
        <is>
          <t>Filled</t>
        </is>
      </c>
    </row>
    <row r="120" ht="18" customHeight="1" s="866">
      <c r="A120" s="1566" t="n">
        <v>99999101757</v>
      </c>
      <c r="B120" s="1382" t="inlineStr">
        <is>
          <t>Tim Corin</t>
        </is>
      </c>
      <c r="C120" s="1382" t="inlineStr">
        <is>
          <t>Experience Designer</t>
        </is>
      </c>
      <c r="D120" s="1382" t="inlineStr">
        <is>
          <t>Byron Thornhill</t>
        </is>
      </c>
      <c r="E120" s="1382" t="inlineStr">
        <is>
          <t>Design Manager</t>
        </is>
      </c>
      <c r="F120" s="1382" t="inlineStr">
        <is>
          <t>Customer</t>
        </is>
      </c>
      <c r="G120" s="1567" t="inlineStr">
        <is>
          <t>Digital</t>
        </is>
      </c>
      <c r="H120" s="1567" t="inlineStr">
        <is>
          <t>Ampol Retail, Store Platforms</t>
        </is>
      </c>
      <c r="I120" s="1382" t="inlineStr">
        <is>
          <t>Customer</t>
        </is>
      </c>
      <c r="J120" s="1382" t="inlineStr">
        <is>
          <t>Customer Z</t>
        </is>
      </c>
      <c r="K120" s="1382" t="inlineStr">
        <is>
          <t>Z Energy Apps</t>
        </is>
      </c>
      <c r="L120" s="1567" t="n"/>
      <c r="M120" s="1568" t="inlineStr">
        <is>
          <t>NZ</t>
        </is>
      </c>
      <c r="N120" s="865" t="inlineStr">
        <is>
          <t>Customer</t>
        </is>
      </c>
      <c r="O120" s="865" t="inlineStr">
        <is>
          <t>Customer Z</t>
        </is>
      </c>
      <c r="P120" s="865" t="inlineStr">
        <is>
          <t>Z Energy Apps</t>
        </is>
      </c>
      <c r="Q120" s="865" t="inlineStr">
        <is>
          <t>Squad</t>
        </is>
      </c>
      <c r="R120" s="865" t="inlineStr">
        <is>
          <t>Filled</t>
        </is>
      </c>
    </row>
    <row r="121" ht="18" customHeight="1" s="866">
      <c r="A121" s="1566" t="n">
        <v>116714</v>
      </c>
      <c r="B121" s="1382" t="inlineStr">
        <is>
          <t>Maria Salman</t>
        </is>
      </c>
      <c r="C121" s="1382" t="inlineStr">
        <is>
          <t>Experience Designer</t>
        </is>
      </c>
      <c r="D121" s="1382" t="inlineStr">
        <is>
          <t>Byron Thornhill</t>
        </is>
      </c>
      <c r="E121" s="1382" t="inlineStr">
        <is>
          <t>Design Manager</t>
        </is>
      </c>
      <c r="F121" s="1382" t="inlineStr">
        <is>
          <t>Customer</t>
        </is>
      </c>
      <c r="G121" s="1567" t="inlineStr">
        <is>
          <t>Digital</t>
        </is>
      </c>
      <c r="H121" s="1567" t="inlineStr">
        <is>
          <t>Digital, Design</t>
        </is>
      </c>
      <c r="I121" s="1567" t="inlineStr">
        <is>
          <t>Customer</t>
        </is>
      </c>
      <c r="J121" s="1382" t="inlineStr">
        <is>
          <t>Ampol Digital</t>
        </is>
      </c>
      <c r="K121" s="1382" t="inlineStr">
        <is>
          <t>Ampol App</t>
        </is>
      </c>
      <c r="L121" s="1567" t="n"/>
      <c r="M121" s="1568" t="inlineStr">
        <is>
          <t>Australia</t>
        </is>
      </c>
      <c r="N121" s="865" t="inlineStr">
        <is>
          <t>Customer</t>
        </is>
      </c>
      <c r="O121" s="865" t="inlineStr">
        <is>
          <t>Ampol Digital</t>
        </is>
      </c>
      <c r="P121" s="865" t="inlineStr">
        <is>
          <t>Ampol App</t>
        </is>
      </c>
      <c r="Q121" s="865" t="inlineStr">
        <is>
          <t>Squad</t>
        </is>
      </c>
      <c r="R121" s="865" t="inlineStr">
        <is>
          <t>Filled</t>
        </is>
      </c>
    </row>
    <row r="122" ht="18" customHeight="1" s="866">
      <c r="A122" s="1566" t="n">
        <v>0</v>
      </c>
      <c r="B122" s="1382" t="inlineStr">
        <is>
          <t>Adam Anticaglia</t>
        </is>
      </c>
      <c r="C122" s="1382" t="inlineStr">
        <is>
          <t>Experience Designer (CMS)</t>
        </is>
      </c>
      <c r="D122" s="1382" t="inlineStr">
        <is>
          <t>Byron Thornhill</t>
        </is>
      </c>
      <c r="E122" s="1382" t="inlineStr">
        <is>
          <t>Design Manager</t>
        </is>
      </c>
      <c r="F122" s="1382" t="inlineStr">
        <is>
          <t>Customer</t>
        </is>
      </c>
      <c r="G122" s="1567" t="inlineStr">
        <is>
          <t>Digital</t>
        </is>
      </c>
      <c r="H122" s="1567" t="inlineStr">
        <is>
          <t>Digital, Design</t>
        </is>
      </c>
      <c r="I122" s="1382" t="inlineStr">
        <is>
          <t>Customer</t>
        </is>
      </c>
      <c r="J122" s="1382" t="inlineStr">
        <is>
          <t>Ampol Digital</t>
        </is>
      </c>
      <c r="K122" s="1382" t="inlineStr">
        <is>
          <t>Ampol Web</t>
        </is>
      </c>
      <c r="L122" s="1567" t="n"/>
      <c r="M122" s="1568" t="inlineStr">
        <is>
          <t>Australia</t>
        </is>
      </c>
      <c r="N122" s="865" t="inlineStr">
        <is>
          <t>Customer</t>
        </is>
      </c>
      <c r="O122" s="865" t="inlineStr">
        <is>
          <t>Ampol Digital</t>
        </is>
      </c>
      <c r="P122" s="865" t="inlineStr">
        <is>
          <t>Ampol Web</t>
        </is>
      </c>
      <c r="Q122" s="865" t="inlineStr">
        <is>
          <t>Squad</t>
        </is>
      </c>
      <c r="R122" s="865" t="inlineStr">
        <is>
          <t>Filled</t>
        </is>
      </c>
    </row>
    <row r="123" ht="18" customHeight="1" s="866">
      <c r="A123" s="1566" t="n"/>
      <c r="B123" s="1382" t="inlineStr">
        <is>
          <t>Vacant</t>
        </is>
      </c>
      <c r="C123" s="1382" t="inlineStr">
        <is>
          <t>Program Manager</t>
        </is>
      </c>
      <c r="D123" s="1382" t="inlineStr">
        <is>
          <t>Harley Giles</t>
        </is>
      </c>
      <c r="E123" s="1382" t="inlineStr">
        <is>
          <t>GM TDD, Customer</t>
        </is>
      </c>
      <c r="F123" s="1382" t="inlineStr">
        <is>
          <t>Customer</t>
        </is>
      </c>
      <c r="G123" s="1567" t="inlineStr">
        <is>
          <t>Customer, PMO</t>
        </is>
      </c>
      <c r="H123" s="1382" t="n"/>
      <c r="I123" s="1382" t="inlineStr">
        <is>
          <t>Customer</t>
        </is>
      </c>
      <c r="J123" s="1382" t="inlineStr">
        <is>
          <t>Ampol Digital, Group Customer Platforms</t>
        </is>
      </c>
      <c r="K123" s="1382" t="inlineStr">
        <is>
          <t>Leadership</t>
        </is>
      </c>
      <c r="L123" s="1567" t="n"/>
      <c r="M123" s="1568" t="n"/>
      <c r="N123" s="865" t="inlineStr">
        <is>
          <t>Customer</t>
        </is>
      </c>
      <c r="O123" s="865" t="inlineStr">
        <is>
          <t>Leadership</t>
        </is>
      </c>
      <c r="P123" s="865" t="inlineStr">
        <is>
          <t>Leadership</t>
        </is>
      </c>
      <c r="Q123" s="865" t="inlineStr">
        <is>
          <t>Leadership</t>
        </is>
      </c>
      <c r="R123" s="865" t="inlineStr">
        <is>
          <t>Vacant</t>
        </is>
      </c>
    </row>
    <row r="124" ht="18" customHeight="1" s="866">
      <c r="A124" s="1566" t="n">
        <v>99999101543</v>
      </c>
      <c r="B124" s="1382" t="inlineStr">
        <is>
          <t>Shona Paul</t>
        </is>
      </c>
      <c r="C124" s="1382" t="inlineStr">
        <is>
          <t>Head of Technology - Digital</t>
        </is>
      </c>
      <c r="D124" s="1382" t="inlineStr">
        <is>
          <t>Harley Giles</t>
        </is>
      </c>
      <c r="E124" s="1382" t="inlineStr">
        <is>
          <t>GM TDD, Customer</t>
        </is>
      </c>
      <c r="F124" s="1382" t="inlineStr">
        <is>
          <t>Customer</t>
        </is>
      </c>
      <c r="G124" s="1567" t="inlineStr">
        <is>
          <t>Digital</t>
        </is>
      </c>
      <c r="H124" s="1382" t="n"/>
      <c r="I124" s="1382" t="inlineStr">
        <is>
          <t>Customer</t>
        </is>
      </c>
      <c r="J124" s="1382" t="inlineStr">
        <is>
          <t>(All Customer)</t>
        </is>
      </c>
      <c r="K124" s="1382" t="inlineStr">
        <is>
          <t>Leadership</t>
        </is>
      </c>
      <c r="L124" s="1567" t="n"/>
      <c r="M124" s="1568" t="inlineStr">
        <is>
          <t>NZ</t>
        </is>
      </c>
      <c r="N124" s="865" t="inlineStr">
        <is>
          <t>Customer</t>
        </is>
      </c>
      <c r="O124" s="865" t="inlineStr">
        <is>
          <t>Leadership</t>
        </is>
      </c>
      <c r="P124" s="865" t="inlineStr">
        <is>
          <t>Leadership</t>
        </is>
      </c>
      <c r="Q124" s="865" t="inlineStr">
        <is>
          <t>Leadership</t>
        </is>
      </c>
      <c r="R124" s="865" t="inlineStr">
        <is>
          <t>Filled</t>
        </is>
      </c>
    </row>
    <row r="125" ht="18" customHeight="1" s="866">
      <c r="A125" s="1566" t="n"/>
      <c r="B125" s="1382" t="inlineStr">
        <is>
          <t>vacant</t>
        </is>
      </c>
      <c r="C125" s="1382" t="inlineStr">
        <is>
          <t>engineer - BE</t>
        </is>
      </c>
      <c r="D125" s="1382" t="inlineStr">
        <is>
          <t>Khalid Mahmud</t>
        </is>
      </c>
      <c r="E125" s="1382" t="inlineStr">
        <is>
          <t>Lead Engineer - BE</t>
        </is>
      </c>
      <c r="F125" s="1382" t="inlineStr">
        <is>
          <t>Customer</t>
        </is>
      </c>
      <c r="G125" s="1567" t="inlineStr">
        <is>
          <t>Digital</t>
        </is>
      </c>
      <c r="H125" s="1567" t="inlineStr">
        <is>
          <t>Tech, Digital Engineering</t>
        </is>
      </c>
      <c r="I125" s="1567" t="inlineStr">
        <is>
          <t>Customer</t>
        </is>
      </c>
      <c r="J125" s="1382" t="inlineStr">
        <is>
          <t>Ampol Digital</t>
        </is>
      </c>
      <c r="K125" s="1382" t="inlineStr">
        <is>
          <t>Energy</t>
        </is>
      </c>
      <c r="L125" s="1567" t="n"/>
      <c r="M125" s="1568" t="inlineStr">
        <is>
          <t>Australia</t>
        </is>
      </c>
      <c r="N125" s="865" t="inlineStr">
        <is>
          <t>Energy Solutions &amp; B2B</t>
        </is>
      </c>
      <c r="O125" s="865" t="inlineStr">
        <is>
          <t>Energy Solutions</t>
        </is>
      </c>
      <c r="P125" s="865" t="inlineStr">
        <is>
          <t>Energy</t>
        </is>
      </c>
      <c r="Q125" s="865" t="inlineStr">
        <is>
          <t>Squad</t>
        </is>
      </c>
      <c r="R125" s="865" t="inlineStr">
        <is>
          <t>Vacant</t>
        </is>
      </c>
    </row>
    <row r="126" ht="18" customHeight="1" s="866">
      <c r="A126" s="1566" t="n">
        <v>98144</v>
      </c>
      <c r="B126" s="1382" t="inlineStr">
        <is>
          <t>Angie Ng</t>
        </is>
      </c>
      <c r="C126" s="1382" t="inlineStr">
        <is>
          <t>Snr Engineer - BE</t>
        </is>
      </c>
      <c r="D126" s="1382" t="inlineStr">
        <is>
          <t>Khalid Mahmud</t>
        </is>
      </c>
      <c r="E126" s="1382" t="inlineStr">
        <is>
          <t>Lead Engineer - BE</t>
        </is>
      </c>
      <c r="F126" s="1382" t="inlineStr">
        <is>
          <t>Customer</t>
        </is>
      </c>
      <c r="G126" s="1567" t="inlineStr">
        <is>
          <t>Digital</t>
        </is>
      </c>
      <c r="H126" s="1567" t="inlineStr">
        <is>
          <t>Technology, T&amp;S Data</t>
        </is>
      </c>
      <c r="I126" s="1567" t="inlineStr">
        <is>
          <t>EGI Integration</t>
        </is>
      </c>
      <c r="J126" s="1382" t="inlineStr">
        <is>
          <t>EGI</t>
        </is>
      </c>
      <c r="K126" s="1382" t="inlineStr">
        <is>
          <t>EGI Customer</t>
        </is>
      </c>
      <c r="L126" s="1567" t="n"/>
      <c r="M126" s="1568" t="inlineStr">
        <is>
          <t>Australia</t>
        </is>
      </c>
      <c r="N126" s="865" t="inlineStr">
        <is>
          <t>Customer</t>
        </is>
      </c>
      <c r="O126" s="865" t="inlineStr">
        <is>
          <t>EGI Customer</t>
        </is>
      </c>
      <c r="P126" s="865" t="inlineStr">
        <is>
          <t>EGI Customer</t>
        </is>
      </c>
      <c r="Q126" s="865" t="inlineStr">
        <is>
          <t>Strategic Program</t>
        </is>
      </c>
      <c r="R126" s="865" t="inlineStr">
        <is>
          <t>Filled</t>
        </is>
      </c>
    </row>
    <row r="127" ht="18" customHeight="1" s="866">
      <c r="A127" s="1566" t="n">
        <v>99999101672</v>
      </c>
      <c r="B127" s="1571" t="inlineStr">
        <is>
          <t>Kaye Javier</t>
        </is>
      </c>
      <c r="C127" s="1567" t="inlineStr">
        <is>
          <t>QA Analyst</t>
        </is>
      </c>
      <c r="D127" s="1567" t="inlineStr">
        <is>
          <t>Kris Hamilton</t>
        </is>
      </c>
      <c r="E127" s="1567" t="inlineStr">
        <is>
          <t>Technology Manager, Loyalty &amp; Martech</t>
        </is>
      </c>
      <c r="F127" s="1382" t="inlineStr">
        <is>
          <t>Customer</t>
        </is>
      </c>
      <c r="G127" s="1567" t="inlineStr">
        <is>
          <t>Loyatly &amp; Martec</t>
        </is>
      </c>
      <c r="H127" s="1567" t="inlineStr">
        <is>
          <t>Loyalty, Tech</t>
        </is>
      </c>
      <c r="I127" s="1382" t="inlineStr">
        <is>
          <t>Customer</t>
        </is>
      </c>
      <c r="J127" s="1567" t="inlineStr">
        <is>
          <t>Customer Z</t>
        </is>
      </c>
      <c r="K127" s="1567" t="inlineStr">
        <is>
          <t>Z Energy Martech</t>
        </is>
      </c>
      <c r="L127" s="1567" t="n"/>
      <c r="M127" s="1568" t="inlineStr">
        <is>
          <t>NZ</t>
        </is>
      </c>
      <c r="N127" s="865" t="inlineStr">
        <is>
          <t>Customer</t>
        </is>
      </c>
      <c r="O127" s="865" t="inlineStr">
        <is>
          <t>Customer Z</t>
        </is>
      </c>
      <c r="P127" s="865" t="inlineStr">
        <is>
          <t>Z Energy Martech</t>
        </is>
      </c>
      <c r="Q127" s="865" t="inlineStr">
        <is>
          <t>Squad</t>
        </is>
      </c>
      <c r="R127" s="865" t="inlineStr">
        <is>
          <t>Filled</t>
        </is>
      </c>
    </row>
    <row r="128" ht="18" customHeight="1" s="866">
      <c r="A128" s="1566" t="n">
        <v>99999101500</v>
      </c>
      <c r="B128" s="1571" t="inlineStr">
        <is>
          <t>Bharat Talreja</t>
        </is>
      </c>
      <c r="C128" s="1567" t="inlineStr">
        <is>
          <t>Marketing Technology Lead</t>
        </is>
      </c>
      <c r="D128" s="1567" t="inlineStr">
        <is>
          <t>Kris Hamilton</t>
        </is>
      </c>
      <c r="E128" s="1567" t="inlineStr">
        <is>
          <t>Technology Manager, Loyalty &amp; Martech</t>
        </is>
      </c>
      <c r="F128" s="1382" t="inlineStr">
        <is>
          <t>Customer</t>
        </is>
      </c>
      <c r="G128" s="1567" t="inlineStr">
        <is>
          <t>Loyatly &amp; Martec</t>
        </is>
      </c>
      <c r="H128" s="1567" t="inlineStr">
        <is>
          <t>Loyalty, Tech</t>
        </is>
      </c>
      <c r="I128" s="1382" t="inlineStr">
        <is>
          <t>Customer</t>
        </is>
      </c>
      <c r="J128" s="1567" t="inlineStr">
        <is>
          <t>Customer Z</t>
        </is>
      </c>
      <c r="K128" s="1567" t="inlineStr">
        <is>
          <t>Z Energy Martech</t>
        </is>
      </c>
      <c r="L128" s="1567" t="n"/>
      <c r="M128" s="1568" t="inlineStr">
        <is>
          <t>NZ</t>
        </is>
      </c>
      <c r="N128" s="865" t="inlineStr">
        <is>
          <t>Customer</t>
        </is>
      </c>
      <c r="O128" s="865" t="inlineStr">
        <is>
          <t>Customer Z</t>
        </is>
      </c>
      <c r="P128" s="865" t="inlineStr">
        <is>
          <t>Z Energy Martech</t>
        </is>
      </c>
      <c r="Q128" s="865" t="inlineStr">
        <is>
          <t>Squad</t>
        </is>
      </c>
      <c r="R128" s="865" t="inlineStr">
        <is>
          <t>Filled</t>
        </is>
      </c>
    </row>
    <row r="129" ht="18" customHeight="1" s="866">
      <c r="A129" s="1566" t="n"/>
      <c r="B129" s="1581" t="inlineStr">
        <is>
          <t>Vacant</t>
        </is>
      </c>
      <c r="C129" s="1567" t="inlineStr">
        <is>
          <t>Solution Architect</t>
        </is>
      </c>
      <c r="D129" s="1567" t="inlineStr">
        <is>
          <t>Kris Hamilton</t>
        </is>
      </c>
      <c r="E129" s="1567" t="inlineStr">
        <is>
          <t>Technology Manager, Loyalty &amp; Martech</t>
        </is>
      </c>
      <c r="F129" s="1382" t="inlineStr">
        <is>
          <t>Customer</t>
        </is>
      </c>
      <c r="G129" s="1567" t="inlineStr">
        <is>
          <t>Loyatly &amp; Martec</t>
        </is>
      </c>
      <c r="H129" s="1567" t="inlineStr">
        <is>
          <t>Loyalty, Tech</t>
        </is>
      </c>
      <c r="I129" s="1382" t="inlineStr">
        <is>
          <t>Customer</t>
        </is>
      </c>
      <c r="J129" s="1567" t="inlineStr">
        <is>
          <t>Customer Z</t>
        </is>
      </c>
      <c r="K129" s="1567" t="inlineStr">
        <is>
          <t>Z Energy Martech</t>
        </is>
      </c>
      <c r="L129" s="1567" t="n"/>
      <c r="M129" s="1568" t="n"/>
      <c r="N129" s="865" t="inlineStr">
        <is>
          <t>Customer</t>
        </is>
      </c>
      <c r="O129" s="865" t="inlineStr">
        <is>
          <t>Customer Z</t>
        </is>
      </c>
      <c r="P129" s="865" t="inlineStr">
        <is>
          <t>Z Energy Martech</t>
        </is>
      </c>
      <c r="Q129" s="865" t="inlineStr">
        <is>
          <t>Squad</t>
        </is>
      </c>
      <c r="R129" s="865" t="inlineStr">
        <is>
          <t>Vacant</t>
        </is>
      </c>
    </row>
    <row r="130" ht="18" customHeight="1" s="866">
      <c r="A130" s="1566" t="n">
        <v>99999101633</v>
      </c>
      <c r="B130" s="1571" t="inlineStr">
        <is>
          <t>Kishore Ganesan</t>
        </is>
      </c>
      <c r="C130" s="1567" t="inlineStr">
        <is>
          <t>Intermediate Quality Assurance</t>
        </is>
      </c>
      <c r="D130" s="1567" t="inlineStr">
        <is>
          <t>Kris Hamilton</t>
        </is>
      </c>
      <c r="E130" s="1567" t="inlineStr">
        <is>
          <t>Technology Manager, Loyalty &amp; Martech</t>
        </is>
      </c>
      <c r="F130" s="1382" t="inlineStr">
        <is>
          <t>Customer</t>
        </is>
      </c>
      <c r="G130" s="1567" t="inlineStr">
        <is>
          <t>Loyatly &amp; Martec</t>
        </is>
      </c>
      <c r="H130" s="1567" t="inlineStr">
        <is>
          <t>Loyalty, Tech</t>
        </is>
      </c>
      <c r="I130" s="1382" t="inlineStr">
        <is>
          <t>Customer</t>
        </is>
      </c>
      <c r="J130" s="1567" t="inlineStr">
        <is>
          <t>Customer Z</t>
        </is>
      </c>
      <c r="K130" s="1567" t="inlineStr">
        <is>
          <t>Z Energy Martech</t>
        </is>
      </c>
      <c r="L130" s="1567" t="n"/>
      <c r="M130" s="1568" t="inlineStr">
        <is>
          <t>NZ</t>
        </is>
      </c>
      <c r="N130" s="865" t="inlineStr">
        <is>
          <t>Customer</t>
        </is>
      </c>
      <c r="O130" s="865" t="inlineStr">
        <is>
          <t>Customer Z</t>
        </is>
      </c>
      <c r="P130" s="865" t="inlineStr">
        <is>
          <t>Z Energy Martech</t>
        </is>
      </c>
      <c r="Q130" s="865" t="inlineStr">
        <is>
          <t>Squad</t>
        </is>
      </c>
      <c r="R130" s="865" t="inlineStr">
        <is>
          <t>Filled</t>
        </is>
      </c>
    </row>
    <row r="131" ht="18" customHeight="1" s="866">
      <c r="A131" s="1566" t="n">
        <v>99999101656</v>
      </c>
      <c r="B131" s="1571" t="inlineStr">
        <is>
          <t>Carianne Monast</t>
        </is>
      </c>
      <c r="C131" s="1567" t="inlineStr">
        <is>
          <t>Martech Specialist</t>
        </is>
      </c>
      <c r="D131" s="1567" t="inlineStr">
        <is>
          <t>Kris Hamilton</t>
        </is>
      </c>
      <c r="E131" s="1567" t="inlineStr">
        <is>
          <t>Technology Manager, Loyalty &amp; Martech</t>
        </is>
      </c>
      <c r="F131" s="1382" t="inlineStr">
        <is>
          <t>Customer</t>
        </is>
      </c>
      <c r="G131" s="1567" t="inlineStr">
        <is>
          <t>Loyatly &amp; Martec</t>
        </is>
      </c>
      <c r="H131" s="1567" t="inlineStr">
        <is>
          <t>Loyalty, Tech</t>
        </is>
      </c>
      <c r="I131" s="1382" t="inlineStr">
        <is>
          <t>Customer</t>
        </is>
      </c>
      <c r="J131" s="1567" t="inlineStr">
        <is>
          <t>Customer Z</t>
        </is>
      </c>
      <c r="K131" s="1567" t="inlineStr">
        <is>
          <t>Z Energy Martech</t>
        </is>
      </c>
      <c r="L131" s="1567" t="n"/>
      <c r="M131" s="1568" t="inlineStr">
        <is>
          <t>NZ</t>
        </is>
      </c>
      <c r="N131" s="865" t="inlineStr">
        <is>
          <t>Customer</t>
        </is>
      </c>
      <c r="O131" s="865" t="inlineStr">
        <is>
          <t>Customer Z</t>
        </is>
      </c>
      <c r="P131" s="865" t="inlineStr">
        <is>
          <t>Z Energy Martech</t>
        </is>
      </c>
      <c r="Q131" s="865" t="inlineStr">
        <is>
          <t>Squad</t>
        </is>
      </c>
      <c r="R131" s="865" t="inlineStr">
        <is>
          <t>Filled</t>
        </is>
      </c>
    </row>
    <row r="132" ht="18" customHeight="1" s="866">
      <c r="A132" s="1566" t="n">
        <v>97357</v>
      </c>
      <c r="B132" s="1382" t="inlineStr">
        <is>
          <t>Daniel Arban</t>
        </is>
      </c>
      <c r="C132" s="1382" t="inlineStr">
        <is>
          <t>Service Delivery Lead</t>
        </is>
      </c>
      <c r="D132" s="1382" t="inlineStr">
        <is>
          <t>Mark Wilson</t>
        </is>
      </c>
      <c r="E132" s="1382" t="inlineStr">
        <is>
          <t>Digital Support Manager(AU)</t>
        </is>
      </c>
      <c r="F132" s="1382" t="inlineStr">
        <is>
          <t>Customer</t>
        </is>
      </c>
      <c r="G132" s="1567" t="inlineStr">
        <is>
          <t>Digital</t>
        </is>
      </c>
      <c r="H132" s="1382" t="inlineStr">
        <is>
          <t>Digital Support (AU)</t>
        </is>
      </c>
      <c r="I132" s="1567" t="inlineStr">
        <is>
          <t>Customer</t>
        </is>
      </c>
      <c r="J132" s="1382" t="inlineStr">
        <is>
          <t>Ampol Digital</t>
        </is>
      </c>
      <c r="K132" s="865" t="inlineStr">
        <is>
          <t>Digital Ops Support</t>
        </is>
      </c>
      <c r="L132" s="1567" t="n"/>
      <c r="M132" s="1568" t="inlineStr">
        <is>
          <t>Australia</t>
        </is>
      </c>
      <c r="N132" s="865" t="inlineStr">
        <is>
          <t>Customer</t>
        </is>
      </c>
      <c r="O132" s="865" t="inlineStr">
        <is>
          <t>Ampol Digital</t>
        </is>
      </c>
      <c r="P132" s="865" t="inlineStr">
        <is>
          <t>Digital Operations</t>
        </is>
      </c>
      <c r="Q132" s="865" t="inlineStr">
        <is>
          <t>Squad</t>
        </is>
      </c>
      <c r="R132" s="865" t="inlineStr">
        <is>
          <t>Filled</t>
        </is>
      </c>
    </row>
    <row r="133" ht="18" customHeight="1" s="866">
      <c r="A133" s="1566" t="n">
        <v>106200</v>
      </c>
      <c r="B133" s="1382" t="inlineStr">
        <is>
          <t>Emile Violi</t>
        </is>
      </c>
      <c r="C133" s="1382" t="inlineStr">
        <is>
          <t>Engineer - BE</t>
        </is>
      </c>
      <c r="D133" s="1382" t="inlineStr">
        <is>
          <t>Mark Wilson</t>
        </is>
      </c>
      <c r="E133" s="865" t="inlineStr">
        <is>
          <t>Digital Support Manager(AU)</t>
        </is>
      </c>
      <c r="F133" s="1382" t="inlineStr">
        <is>
          <t>Customer</t>
        </is>
      </c>
      <c r="G133" s="1567" t="inlineStr">
        <is>
          <t>Digital</t>
        </is>
      </c>
      <c r="H133" s="1382" t="inlineStr">
        <is>
          <t>Digital Support (AU)</t>
        </is>
      </c>
      <c r="I133" s="1567" t="inlineStr">
        <is>
          <t>Customer</t>
        </is>
      </c>
      <c r="J133" s="1382" t="inlineStr">
        <is>
          <t>Ampol Digital</t>
        </is>
      </c>
      <c r="K133" s="1382" t="inlineStr">
        <is>
          <t>Digital Ops Support</t>
        </is>
      </c>
      <c r="L133" s="1567" t="n"/>
      <c r="M133" s="1568" t="inlineStr">
        <is>
          <t>Australia</t>
        </is>
      </c>
      <c r="N133" s="865" t="inlineStr">
        <is>
          <t>Customer</t>
        </is>
      </c>
      <c r="O133" s="865" t="inlineStr">
        <is>
          <t>Ampol Digital</t>
        </is>
      </c>
      <c r="P133" s="865" t="inlineStr">
        <is>
          <t>Digital Operations</t>
        </is>
      </c>
      <c r="Q133" s="865" t="inlineStr">
        <is>
          <t>Squad</t>
        </is>
      </c>
      <c r="R133" s="865" t="inlineStr">
        <is>
          <t>Filled</t>
        </is>
      </c>
    </row>
    <row r="134" ht="18" customHeight="1" s="866">
      <c r="A134" s="1566" t="n">
        <v>116957</v>
      </c>
      <c r="B134" s="1571" t="inlineStr">
        <is>
          <t>Raj Ganesan</t>
        </is>
      </c>
      <c r="C134" s="1567" t="inlineStr">
        <is>
          <t>Engineer - Mobile (ios)</t>
        </is>
      </c>
      <c r="D134" s="1567" t="inlineStr">
        <is>
          <t>Mitesh Shah</t>
        </is>
      </c>
      <c r="E134" s="1382" t="inlineStr">
        <is>
          <t>Technology Manager, Digitial</t>
        </is>
      </c>
      <c r="F134" s="1382" t="inlineStr">
        <is>
          <t>Customer</t>
        </is>
      </c>
      <c r="G134" s="1567" t="inlineStr">
        <is>
          <t>Digital</t>
        </is>
      </c>
      <c r="H134" s="1567" t="inlineStr">
        <is>
          <t>Tech, Digital</t>
        </is>
      </c>
      <c r="I134" s="1567" t="inlineStr">
        <is>
          <t>Customer</t>
        </is>
      </c>
      <c r="J134" s="1382" t="inlineStr">
        <is>
          <t>Ampol Digital</t>
        </is>
      </c>
      <c r="K134" s="1382" t="inlineStr">
        <is>
          <t>Ampol App</t>
        </is>
      </c>
      <c r="L134" s="1567" t="n"/>
      <c r="M134" s="1568" t="inlineStr">
        <is>
          <t>Australia</t>
        </is>
      </c>
      <c r="N134" s="865" t="inlineStr">
        <is>
          <t>Customer</t>
        </is>
      </c>
      <c r="O134" s="865" t="inlineStr">
        <is>
          <t>Ampol Digital</t>
        </is>
      </c>
      <c r="P134" s="865" t="inlineStr">
        <is>
          <t>Ampol App</t>
        </is>
      </c>
      <c r="Q134" s="865" t="inlineStr">
        <is>
          <t>Squad</t>
        </is>
      </c>
      <c r="R134" s="865" t="inlineStr">
        <is>
          <t>Filled</t>
        </is>
      </c>
    </row>
    <row r="135" ht="18" customHeight="1" s="866">
      <c r="A135" s="1566" t="n"/>
      <c r="B135" s="865" t="inlineStr">
        <is>
          <t>Shreema Das</t>
        </is>
      </c>
      <c r="C135" s="1382" t="inlineStr">
        <is>
          <t>Solution Architect</t>
        </is>
      </c>
      <c r="D135" s="1382" t="inlineStr">
        <is>
          <t>Mitesh Shah</t>
        </is>
      </c>
      <c r="E135" s="1382" t="inlineStr">
        <is>
          <t>Technology Manager, Digitial</t>
        </is>
      </c>
      <c r="F135" s="1382" t="inlineStr">
        <is>
          <t>Customer</t>
        </is>
      </c>
      <c r="G135" s="1567" t="inlineStr">
        <is>
          <t>Digital</t>
        </is>
      </c>
      <c r="H135" s="1382" t="inlineStr">
        <is>
          <t>Digital, Tech</t>
        </is>
      </c>
      <c r="I135" s="1567" t="inlineStr">
        <is>
          <t>Customer</t>
        </is>
      </c>
      <c r="J135" s="1382" t="inlineStr">
        <is>
          <t>Ampol Digital</t>
        </is>
      </c>
      <c r="K135" s="1382" t="inlineStr">
        <is>
          <t>Digital Ops Support</t>
        </is>
      </c>
      <c r="L135" s="1567" t="n"/>
      <c r="M135" s="1568" t="inlineStr">
        <is>
          <t>Australia</t>
        </is>
      </c>
      <c r="N135" s="865" t="inlineStr">
        <is>
          <t>Customer</t>
        </is>
      </c>
      <c r="O135" s="865" t="inlineStr">
        <is>
          <t>Ampol Digital</t>
        </is>
      </c>
      <c r="P135" s="865" t="inlineStr">
        <is>
          <t>Digital Operations</t>
        </is>
      </c>
      <c r="Q135" s="865" t="inlineStr">
        <is>
          <t>Squad</t>
        </is>
      </c>
      <c r="R135" s="865" t="inlineStr">
        <is>
          <t>Filled</t>
        </is>
      </c>
    </row>
    <row r="136" ht="18" customHeight="1" s="866">
      <c r="A136" s="1566" t="n">
        <v>0</v>
      </c>
      <c r="B136" s="1382" t="inlineStr">
        <is>
          <t>Jordan Askwith</t>
        </is>
      </c>
      <c r="C136" s="1382" t="inlineStr">
        <is>
          <t>Solution Architect</t>
        </is>
      </c>
      <c r="D136" s="1382" t="inlineStr">
        <is>
          <t>Mitesh Shah</t>
        </is>
      </c>
      <c r="E136" s="1382" t="inlineStr">
        <is>
          <t>Technology Manager, Digitial</t>
        </is>
      </c>
      <c r="F136" s="1382" t="inlineStr">
        <is>
          <t>Customer</t>
        </is>
      </c>
      <c r="G136" s="1567" t="inlineStr">
        <is>
          <t>Digital</t>
        </is>
      </c>
      <c r="H136" s="1382" t="inlineStr">
        <is>
          <t>Digital, Tech</t>
        </is>
      </c>
      <c r="I136" s="1567" t="inlineStr">
        <is>
          <t>Customer</t>
        </is>
      </c>
      <c r="J136" s="1382" t="inlineStr">
        <is>
          <t>Ampol Digital</t>
        </is>
      </c>
      <c r="K136" s="1382" t="inlineStr">
        <is>
          <t>Ampol Web</t>
        </is>
      </c>
      <c r="L136" s="1567" t="n"/>
      <c r="M136" s="1568" t="inlineStr">
        <is>
          <t>Australia</t>
        </is>
      </c>
      <c r="N136" s="865" t="inlineStr">
        <is>
          <t>Customer</t>
        </is>
      </c>
      <c r="O136" s="865" t="inlineStr">
        <is>
          <t>Ampol Digital</t>
        </is>
      </c>
      <c r="P136" s="865" t="inlineStr">
        <is>
          <t>Ampol Web</t>
        </is>
      </c>
      <c r="Q136" s="865" t="inlineStr">
        <is>
          <t>Squad</t>
        </is>
      </c>
      <c r="R136" s="865" t="inlineStr">
        <is>
          <t>Filled</t>
        </is>
      </c>
    </row>
    <row r="137" ht="18" customHeight="1" s="866">
      <c r="A137" s="1566" t="n">
        <v>107781</v>
      </c>
      <c r="B137" s="1382" t="inlineStr">
        <is>
          <t>Ramez Haider</t>
        </is>
      </c>
      <c r="C137" s="1382" t="inlineStr">
        <is>
          <t>Solution Architect</t>
        </is>
      </c>
      <c r="D137" s="1382" t="inlineStr">
        <is>
          <t>Mitesh Shah</t>
        </is>
      </c>
      <c r="E137" s="1382" t="inlineStr">
        <is>
          <t>Technology Manager, Digitial</t>
        </is>
      </c>
      <c r="F137" s="1382" t="inlineStr">
        <is>
          <t>Customer</t>
        </is>
      </c>
      <c r="G137" s="1567" t="inlineStr">
        <is>
          <t>Digital</t>
        </is>
      </c>
      <c r="H137" s="1382" t="inlineStr">
        <is>
          <t>Digital, Tech</t>
        </is>
      </c>
      <c r="I137" s="1567" t="inlineStr">
        <is>
          <t>EGI Integration</t>
        </is>
      </c>
      <c r="J137" s="1382" t="inlineStr">
        <is>
          <t>EGI</t>
        </is>
      </c>
      <c r="K137" s="1382" t="inlineStr">
        <is>
          <t>EGI Customer</t>
        </is>
      </c>
      <c r="L137" s="1567" t="n"/>
      <c r="M137" s="1568" t="inlineStr">
        <is>
          <t>Australia</t>
        </is>
      </c>
      <c r="N137" s="865" t="inlineStr">
        <is>
          <t>Customer</t>
        </is>
      </c>
      <c r="O137" s="865" t="inlineStr">
        <is>
          <t>EGI Customer</t>
        </is>
      </c>
      <c r="P137" s="865" t="inlineStr">
        <is>
          <t>EGI Customer</t>
        </is>
      </c>
      <c r="Q137" s="865" t="inlineStr">
        <is>
          <t>Strategic Program</t>
        </is>
      </c>
      <c r="R137" s="865" t="inlineStr">
        <is>
          <t>Filled</t>
        </is>
      </c>
    </row>
    <row r="138" ht="18" customHeight="1" s="866">
      <c r="A138" s="1566" t="n">
        <v>0</v>
      </c>
      <c r="B138" s="1382" t="inlineStr">
        <is>
          <t>Annabel Phu</t>
        </is>
      </c>
      <c r="C138" s="1382" t="inlineStr">
        <is>
          <t>Engineer - Mobile</t>
        </is>
      </c>
      <c r="D138" s="1382" t="inlineStr">
        <is>
          <t>Mitesh Shah</t>
        </is>
      </c>
      <c r="E138" s="1382" t="inlineStr">
        <is>
          <t>Technology Manager, Digitial</t>
        </is>
      </c>
      <c r="F138" s="1382" t="inlineStr">
        <is>
          <t>Customer</t>
        </is>
      </c>
      <c r="G138" s="1567" t="inlineStr">
        <is>
          <t>Digital</t>
        </is>
      </c>
      <c r="H138" s="1382" t="inlineStr">
        <is>
          <t>Digital, Tech</t>
        </is>
      </c>
      <c r="I138" s="1567" t="inlineStr">
        <is>
          <t>Customer</t>
        </is>
      </c>
      <c r="J138" s="1382" t="inlineStr">
        <is>
          <t>Ampol Digital</t>
        </is>
      </c>
      <c r="K138" s="1382" t="inlineStr">
        <is>
          <t>Ampol App</t>
        </is>
      </c>
      <c r="L138" s="1567" t="n"/>
      <c r="M138" s="1568" t="inlineStr">
        <is>
          <t>Australia</t>
        </is>
      </c>
      <c r="N138" s="865" t="inlineStr">
        <is>
          <t>Customer</t>
        </is>
      </c>
      <c r="O138" s="865" t="inlineStr">
        <is>
          <t>Ampol Digital</t>
        </is>
      </c>
      <c r="P138" s="865" t="inlineStr">
        <is>
          <t>Ampol App</t>
        </is>
      </c>
      <c r="Q138" s="865" t="inlineStr">
        <is>
          <t>Squad</t>
        </is>
      </c>
      <c r="R138" s="865" t="inlineStr">
        <is>
          <t>Filled</t>
        </is>
      </c>
    </row>
    <row r="139" ht="18" customHeight="1" s="866">
      <c r="A139" s="1566" t="n">
        <v>108287</v>
      </c>
      <c r="B139" s="1382" t="inlineStr">
        <is>
          <t>Binumon Mathai</t>
        </is>
      </c>
      <c r="C139" s="1382" t="inlineStr">
        <is>
          <t>Senior Quality Assurance</t>
        </is>
      </c>
      <c r="D139" s="1382" t="inlineStr">
        <is>
          <t>Mitesh Shah</t>
        </is>
      </c>
      <c r="E139" s="1382" t="inlineStr">
        <is>
          <t>Technology Manager, Digitial</t>
        </is>
      </c>
      <c r="F139" s="1382" t="inlineStr">
        <is>
          <t>Customer</t>
        </is>
      </c>
      <c r="G139" s="1567" t="inlineStr">
        <is>
          <t>Digital</t>
        </is>
      </c>
      <c r="H139" s="1382" t="inlineStr">
        <is>
          <t>Digital, Tech</t>
        </is>
      </c>
      <c r="I139" s="1567" t="inlineStr">
        <is>
          <t>Customer</t>
        </is>
      </c>
      <c r="J139" s="1382" t="inlineStr">
        <is>
          <t>Ampol Digital</t>
        </is>
      </c>
      <c r="K139" s="1382" t="inlineStr">
        <is>
          <t>Ampol App</t>
        </is>
      </c>
      <c r="L139" s="1567" t="n"/>
      <c r="M139" s="1568" t="inlineStr">
        <is>
          <t>Australia</t>
        </is>
      </c>
      <c r="N139" s="865" t="inlineStr">
        <is>
          <t>Customer</t>
        </is>
      </c>
      <c r="O139" s="865" t="inlineStr">
        <is>
          <t>Ampol Digital</t>
        </is>
      </c>
      <c r="P139" s="865" t="inlineStr">
        <is>
          <t>Ampol App</t>
        </is>
      </c>
      <c r="Q139" s="865" t="inlineStr">
        <is>
          <t>Squad</t>
        </is>
      </c>
      <c r="R139" s="865" t="inlineStr">
        <is>
          <t>Filled</t>
        </is>
      </c>
    </row>
    <row r="140" ht="18" customHeight="1" s="866">
      <c r="A140" s="1566" t="n">
        <v>0</v>
      </c>
      <c r="B140" s="1382" t="inlineStr">
        <is>
          <t>Sheetal Karkera</t>
        </is>
      </c>
      <c r="C140" s="1382" t="inlineStr">
        <is>
          <t>Lead Engineer - Mobile</t>
        </is>
      </c>
      <c r="D140" s="1382" t="inlineStr">
        <is>
          <t>Mitesh Shah</t>
        </is>
      </c>
      <c r="E140" s="1382" t="inlineStr">
        <is>
          <t>Technology Manager, Digitial</t>
        </is>
      </c>
      <c r="F140" s="1382" t="inlineStr">
        <is>
          <t>Customer</t>
        </is>
      </c>
      <c r="G140" s="1567" t="inlineStr">
        <is>
          <t>Digital</t>
        </is>
      </c>
      <c r="H140" s="1382" t="inlineStr">
        <is>
          <t>Digital, Tech</t>
        </is>
      </c>
      <c r="I140" s="1567" t="inlineStr">
        <is>
          <t>Customer</t>
        </is>
      </c>
      <c r="J140" s="1382" t="inlineStr">
        <is>
          <t>Ampol Digital</t>
        </is>
      </c>
      <c r="K140" s="1382" t="inlineStr">
        <is>
          <t>Ampol App</t>
        </is>
      </c>
      <c r="L140" s="1567" t="n"/>
      <c r="M140" s="1568" t="inlineStr">
        <is>
          <t>Australia</t>
        </is>
      </c>
      <c r="N140" s="865" t="inlineStr">
        <is>
          <t>Customer</t>
        </is>
      </c>
      <c r="O140" s="865" t="inlineStr">
        <is>
          <t>Ampol Digital</t>
        </is>
      </c>
      <c r="P140" s="865" t="inlineStr">
        <is>
          <t>Ampol App</t>
        </is>
      </c>
      <c r="Q140" s="865" t="inlineStr">
        <is>
          <t>Squad</t>
        </is>
      </c>
      <c r="R140" s="865" t="inlineStr">
        <is>
          <t>Filled</t>
        </is>
      </c>
    </row>
    <row r="141" ht="18" customHeight="1" s="866">
      <c r="A141" s="1566" t="n">
        <v>115964</v>
      </c>
      <c r="B141" s="1382" t="inlineStr">
        <is>
          <t>Toby Clark</t>
        </is>
      </c>
      <c r="C141" s="1382" t="inlineStr">
        <is>
          <t>Engineer - Mobile (iOS)</t>
        </is>
      </c>
      <c r="D141" s="1382" t="inlineStr">
        <is>
          <t>Mitesh Shah</t>
        </is>
      </c>
      <c r="E141" s="1382" t="inlineStr">
        <is>
          <t>Technology Manager, Digitial</t>
        </is>
      </c>
      <c r="F141" s="1382" t="inlineStr">
        <is>
          <t>Customer</t>
        </is>
      </c>
      <c r="G141" s="1567" t="inlineStr">
        <is>
          <t>Digital</t>
        </is>
      </c>
      <c r="H141" s="1382" t="inlineStr">
        <is>
          <t>Digital, Tech</t>
        </is>
      </c>
      <c r="I141" s="1567" t="inlineStr">
        <is>
          <t>Customer</t>
        </is>
      </c>
      <c r="J141" s="1382" t="inlineStr">
        <is>
          <t>Ampol Digital</t>
        </is>
      </c>
      <c r="K141" s="1382" t="inlineStr">
        <is>
          <t>Ampol App</t>
        </is>
      </c>
      <c r="L141" s="1567" t="n"/>
      <c r="M141" s="1568" t="inlineStr">
        <is>
          <t>Australia</t>
        </is>
      </c>
      <c r="N141" s="865" t="inlineStr">
        <is>
          <t>Customer</t>
        </is>
      </c>
      <c r="O141" s="865" t="inlineStr">
        <is>
          <t>Ampol Digital</t>
        </is>
      </c>
      <c r="P141" s="865" t="inlineStr">
        <is>
          <t>Ampol App</t>
        </is>
      </c>
      <c r="Q141" s="865" t="inlineStr">
        <is>
          <t>Squad</t>
        </is>
      </c>
      <c r="R141" s="865" t="inlineStr">
        <is>
          <t>Filled</t>
        </is>
      </c>
    </row>
    <row r="142" ht="18" customHeight="1" s="866">
      <c r="A142" s="1566" t="n">
        <v>99999101220</v>
      </c>
      <c r="B142" s="1382" t="inlineStr">
        <is>
          <t>Byron Thornhill</t>
        </is>
      </c>
      <c r="C142" s="1382" t="inlineStr">
        <is>
          <t>Design Manager</t>
        </is>
      </c>
      <c r="D142" s="1382" t="inlineStr">
        <is>
          <t>Shona Paul</t>
        </is>
      </c>
      <c r="E142" s="1382" t="inlineStr">
        <is>
          <t>Head of Technology, Digital</t>
        </is>
      </c>
      <c r="F142" s="1382" t="inlineStr">
        <is>
          <t>Customer</t>
        </is>
      </c>
      <c r="G142" s="1567" t="inlineStr">
        <is>
          <t>Digital</t>
        </is>
      </c>
      <c r="H142" s="1567" t="inlineStr">
        <is>
          <t>Digital, Design</t>
        </is>
      </c>
      <c r="I142" s="1382" t="inlineStr">
        <is>
          <t>Customer</t>
        </is>
      </c>
      <c r="J142" s="1382" t="inlineStr">
        <is>
          <t>Customer Z, Ampol Digital</t>
        </is>
      </c>
      <c r="K142" s="1382" t="inlineStr">
        <is>
          <t>Leadership</t>
        </is>
      </c>
      <c r="L142" s="1567" t="n"/>
      <c r="M142" s="1568" t="inlineStr">
        <is>
          <t>NZ</t>
        </is>
      </c>
      <c r="N142" s="865" t="inlineStr">
        <is>
          <t>Customer</t>
        </is>
      </c>
      <c r="O142" s="865" t="inlineStr">
        <is>
          <t>Leadership</t>
        </is>
      </c>
      <c r="P142" s="865" t="inlineStr">
        <is>
          <t>Leadership</t>
        </is>
      </c>
      <c r="Q142" s="865" t="inlineStr">
        <is>
          <t>Leadership</t>
        </is>
      </c>
      <c r="R142" s="865" t="inlineStr">
        <is>
          <t>Filled</t>
        </is>
      </c>
    </row>
    <row r="143" ht="18" customHeight="1" s="866">
      <c r="A143" s="1566" t="n">
        <v>114123</v>
      </c>
      <c r="B143" s="1382" t="inlineStr">
        <is>
          <t>Adriel Jeyanandhan</t>
        </is>
      </c>
      <c r="C143" s="1382" t="inlineStr">
        <is>
          <t>Delivery Manager</t>
        </is>
      </c>
      <c r="D143" s="1382" t="inlineStr">
        <is>
          <t>Shona Paul</t>
        </is>
      </c>
      <c r="E143" s="1382" t="inlineStr">
        <is>
          <t>Head of Technology, Digital</t>
        </is>
      </c>
      <c r="F143" s="1382" t="inlineStr">
        <is>
          <t>Customer</t>
        </is>
      </c>
      <c r="G143" s="1567" t="inlineStr">
        <is>
          <t>Digital</t>
        </is>
      </c>
      <c r="H143" s="1382" t="inlineStr">
        <is>
          <t>Digital, Delivery</t>
        </is>
      </c>
      <c r="I143" s="1382" t="inlineStr">
        <is>
          <t>Customer</t>
        </is>
      </c>
      <c r="J143" s="1382" t="inlineStr">
        <is>
          <t>Ampol Digital</t>
        </is>
      </c>
      <c r="K143" s="1382" t="inlineStr">
        <is>
          <t>Leadership</t>
        </is>
      </c>
      <c r="L143" s="1567" t="n"/>
      <c r="M143" s="1568" t="inlineStr">
        <is>
          <t>Australia</t>
        </is>
      </c>
      <c r="N143" s="865" t="inlineStr">
        <is>
          <t>Customer</t>
        </is>
      </c>
      <c r="O143" s="865" t="inlineStr">
        <is>
          <t>Leadership</t>
        </is>
      </c>
      <c r="P143" s="865" t="inlineStr">
        <is>
          <t>Leadership</t>
        </is>
      </c>
      <c r="Q143" s="865" t="inlineStr">
        <is>
          <t>Leadership</t>
        </is>
      </c>
      <c r="R143" s="865" t="inlineStr">
        <is>
          <t>Filled</t>
        </is>
      </c>
    </row>
    <row r="144" ht="18" customHeight="1" s="866">
      <c r="A144" s="1566" t="n"/>
      <c r="B144" s="1581" t="inlineStr">
        <is>
          <t>Vacant (B2B)</t>
        </is>
      </c>
      <c r="C144" s="1382" t="inlineStr">
        <is>
          <t>Engineer - BE</t>
        </is>
      </c>
      <c r="D144" s="1382" t="inlineStr">
        <is>
          <t>vacant</t>
        </is>
      </c>
      <c r="E144" s="1382" t="inlineStr">
        <is>
          <t>Technology Manager, Digital Engineering</t>
        </is>
      </c>
      <c r="F144" s="1382" t="inlineStr">
        <is>
          <t>Customer</t>
        </is>
      </c>
      <c r="G144" s="1567" t="inlineStr">
        <is>
          <t>Digital</t>
        </is>
      </c>
      <c r="H144" s="1567" t="inlineStr">
        <is>
          <t>Tech, Digital Engineering</t>
        </is>
      </c>
      <c r="I144" s="1567" t="inlineStr">
        <is>
          <t>Customer</t>
        </is>
      </c>
      <c r="J144" s="1382" t="inlineStr">
        <is>
          <t>Ampol Digital</t>
        </is>
      </c>
      <c r="K144" s="1382" t="inlineStr">
        <is>
          <t>B2B</t>
        </is>
      </c>
      <c r="L144" s="1567" t="n"/>
      <c r="M144" s="1568" t="inlineStr">
        <is>
          <t>Australia</t>
        </is>
      </c>
      <c r="N144" s="865" t="inlineStr">
        <is>
          <t>Energy Solutions &amp; B2B</t>
        </is>
      </c>
      <c r="O144" s="865" t="inlineStr">
        <is>
          <t>B2B</t>
        </is>
      </c>
      <c r="P144" s="865" t="inlineStr">
        <is>
          <t>B2B</t>
        </is>
      </c>
      <c r="Q144" s="865" t="inlineStr">
        <is>
          <t>Squad</t>
        </is>
      </c>
      <c r="R144" s="865" t="inlineStr">
        <is>
          <t>Filled</t>
        </is>
      </c>
    </row>
    <row r="145" ht="18" customHeight="1" s="866">
      <c r="A145" s="1566" t="n">
        <v>117173</v>
      </c>
      <c r="B145" s="1382" t="inlineStr">
        <is>
          <t>Ashwini Gaikwad</t>
        </is>
      </c>
      <c r="C145" s="1382" t="inlineStr">
        <is>
          <t>Quality Assurance</t>
        </is>
      </c>
      <c r="D145" s="1382" t="inlineStr">
        <is>
          <t>Vacant</t>
        </is>
      </c>
      <c r="E145" s="1382" t="inlineStr">
        <is>
          <t>Technology Manager, Digitial</t>
        </is>
      </c>
      <c r="F145" s="1382" t="inlineStr">
        <is>
          <t>Customer</t>
        </is>
      </c>
      <c r="G145" s="1567" t="inlineStr">
        <is>
          <t>Digital</t>
        </is>
      </c>
      <c r="H145" s="1382" t="inlineStr">
        <is>
          <t>Digital, Tech</t>
        </is>
      </c>
      <c r="I145" s="1567" t="inlineStr">
        <is>
          <t>Customer</t>
        </is>
      </c>
      <c r="J145" s="1382" t="inlineStr">
        <is>
          <t>Ampol Digital</t>
        </is>
      </c>
      <c r="K145" s="1382" t="inlineStr">
        <is>
          <t>Ampol Web</t>
        </is>
      </c>
      <c r="L145" s="1567" t="n"/>
      <c r="M145" s="1568" t="inlineStr">
        <is>
          <t>Australia</t>
        </is>
      </c>
      <c r="N145" s="865" t="inlineStr">
        <is>
          <t>Customer</t>
        </is>
      </c>
      <c r="O145" s="865" t="inlineStr">
        <is>
          <t>Ampol Digital</t>
        </is>
      </c>
      <c r="P145" s="865" t="inlineStr">
        <is>
          <t>Ampol Web</t>
        </is>
      </c>
      <c r="Q145" s="865" t="inlineStr">
        <is>
          <t>Squad</t>
        </is>
      </c>
      <c r="R145" s="865" t="inlineStr">
        <is>
          <t>Filled</t>
        </is>
      </c>
    </row>
    <row r="146" ht="18" customHeight="1" s="866">
      <c r="A146" s="1566" t="n">
        <v>0</v>
      </c>
      <c r="B146" s="1382" t="inlineStr">
        <is>
          <t>Phillip Kewley</t>
        </is>
      </c>
      <c r="C146" s="1382" t="inlineStr">
        <is>
          <t>Quality Assurance</t>
        </is>
      </c>
      <c r="D146" s="1382" t="inlineStr">
        <is>
          <t>Vacant</t>
        </is>
      </c>
      <c r="E146" s="1382" t="inlineStr">
        <is>
          <t>Technology Manager, Digitial</t>
        </is>
      </c>
      <c r="F146" s="1382" t="inlineStr">
        <is>
          <t>Customer</t>
        </is>
      </c>
      <c r="G146" s="1567" t="inlineStr">
        <is>
          <t>Digital</t>
        </is>
      </c>
      <c r="H146" s="1382" t="inlineStr">
        <is>
          <t>Digital, Tech</t>
        </is>
      </c>
      <c r="I146" s="1567" t="inlineStr">
        <is>
          <t>Customer</t>
        </is>
      </c>
      <c r="J146" s="1382" t="inlineStr">
        <is>
          <t>Ampol Digital</t>
        </is>
      </c>
      <c r="K146" s="1382" t="inlineStr">
        <is>
          <t>Ampol App</t>
        </is>
      </c>
      <c r="L146" s="1567" t="n"/>
      <c r="M146" s="1568" t="inlineStr">
        <is>
          <t>Australia</t>
        </is>
      </c>
      <c r="N146" s="865" t="inlineStr">
        <is>
          <t>Customer</t>
        </is>
      </c>
      <c r="O146" s="865" t="inlineStr">
        <is>
          <t>Ampol Digital</t>
        </is>
      </c>
      <c r="P146" s="865" t="inlineStr">
        <is>
          <t>Ampol App</t>
        </is>
      </c>
      <c r="Q146" s="865" t="inlineStr">
        <is>
          <t>Squad</t>
        </is>
      </c>
      <c r="R146" s="865" t="inlineStr">
        <is>
          <t>Filled</t>
        </is>
      </c>
    </row>
    <row r="147" ht="18" customHeight="1" s="866">
      <c r="A147" s="1566" t="n">
        <v>99999101454</v>
      </c>
      <c r="B147" s="1571" t="inlineStr">
        <is>
          <t>Celia Voysey</t>
        </is>
      </c>
      <c r="C147" s="1567" t="inlineStr">
        <is>
          <t>Delivery Lead</t>
        </is>
      </c>
      <c r="D147" s="1567" t="inlineStr">
        <is>
          <t>Vacant</t>
        </is>
      </c>
      <c r="E147" s="1567" t="inlineStr">
        <is>
          <t>Delivery Manager, Loyalty</t>
        </is>
      </c>
      <c r="F147" s="1382" t="inlineStr">
        <is>
          <t>Customer</t>
        </is>
      </c>
      <c r="G147" s="1567" t="inlineStr">
        <is>
          <t>Loyatly &amp; Martec</t>
        </is>
      </c>
      <c r="H147" s="1382" t="inlineStr">
        <is>
          <t xml:space="preserve">Loyalty, Delivery </t>
        </is>
      </c>
      <c r="I147" s="1382" t="inlineStr">
        <is>
          <t>Customer</t>
        </is>
      </c>
      <c r="J147" s="1567" t="inlineStr">
        <is>
          <t>Customer Z</t>
        </is>
      </c>
      <c r="K147" s="1567" t="inlineStr">
        <is>
          <t>Z Energy Martech</t>
        </is>
      </c>
      <c r="L147" s="1567" t="n"/>
      <c r="M147" s="1568" t="inlineStr">
        <is>
          <t>NZ</t>
        </is>
      </c>
      <c r="N147" s="865" t="inlineStr">
        <is>
          <t>Customer</t>
        </is>
      </c>
      <c r="O147" s="865" t="inlineStr">
        <is>
          <t>Customer Z</t>
        </is>
      </c>
      <c r="P147" s="865" t="inlineStr">
        <is>
          <t>Z Energy Martech</t>
        </is>
      </c>
      <c r="Q147" s="865" t="inlineStr">
        <is>
          <t>Squad</t>
        </is>
      </c>
      <c r="R147" s="865" t="inlineStr">
        <is>
          <t>Filled</t>
        </is>
      </c>
    </row>
    <row r="148" ht="18" customHeight="1" s="866">
      <c r="A148" s="1566" t="n"/>
      <c r="B148" s="1581" t="inlineStr">
        <is>
          <t>Vacant</t>
        </is>
      </c>
      <c r="C148" s="1567" t="inlineStr">
        <is>
          <t>System Specialist</t>
        </is>
      </c>
      <c r="D148" s="1567" t="inlineStr">
        <is>
          <t>Vacant</t>
        </is>
      </c>
      <c r="E148" s="1567" t="inlineStr">
        <is>
          <t>Delivery Manager, Loyalty</t>
        </is>
      </c>
      <c r="F148" s="1382" t="inlineStr">
        <is>
          <t>Customer</t>
        </is>
      </c>
      <c r="G148" s="1567" t="inlineStr">
        <is>
          <t>Loyatly &amp; Martec</t>
        </is>
      </c>
      <c r="H148" s="1382" t="inlineStr">
        <is>
          <t xml:space="preserve">Loyalty, Delivery </t>
        </is>
      </c>
      <c r="I148" s="1382" t="inlineStr">
        <is>
          <t>Customer</t>
        </is>
      </c>
      <c r="J148" s="1567" t="inlineStr">
        <is>
          <t>Group Customer</t>
        </is>
      </c>
      <c r="K148" s="1567" t="inlineStr">
        <is>
          <t>AU CRM &amp; Martech</t>
        </is>
      </c>
      <c r="L148" s="1567" t="n"/>
      <c r="M148" s="1568" t="n"/>
      <c r="N148" s="865" t="inlineStr">
        <is>
          <t>Customer</t>
        </is>
      </c>
      <c r="O148" s="865" t="inlineStr">
        <is>
          <t>Group Customer Platforms</t>
        </is>
      </c>
      <c r="P148" s="865" t="inlineStr">
        <is>
          <t>AU CRM &amp; Martech</t>
        </is>
      </c>
      <c r="Q148" s="865" t="inlineStr">
        <is>
          <t>Squad</t>
        </is>
      </c>
      <c r="R148" s="865" t="inlineStr">
        <is>
          <t>Vacant</t>
        </is>
      </c>
    </row>
    <row r="149" ht="18" customHeight="1" s="866">
      <c r="A149" s="1566" t="n">
        <v>99999101891</v>
      </c>
      <c r="B149" s="1571" t="inlineStr">
        <is>
          <t>Shinal Chamberlain</t>
        </is>
      </c>
      <c r="C149" s="1567" t="inlineStr">
        <is>
          <t>Business Analyst</t>
        </is>
      </c>
      <c r="D149" s="1567" t="inlineStr">
        <is>
          <t>Vacant</t>
        </is>
      </c>
      <c r="E149" s="1567" t="inlineStr">
        <is>
          <t>Delivery Manager, Loyalty</t>
        </is>
      </c>
      <c r="F149" s="1382" t="inlineStr">
        <is>
          <t>Customer</t>
        </is>
      </c>
      <c r="G149" s="1567" t="inlineStr">
        <is>
          <t>Loyatly &amp; Martec</t>
        </is>
      </c>
      <c r="H149" s="1382" t="inlineStr">
        <is>
          <t xml:space="preserve">Loyalty, Delivery </t>
        </is>
      </c>
      <c r="I149" s="1382" t="inlineStr">
        <is>
          <t>Customer</t>
        </is>
      </c>
      <c r="J149" s="1567" t="inlineStr">
        <is>
          <t>Group Customer</t>
        </is>
      </c>
      <c r="K149" s="1567" t="inlineStr">
        <is>
          <t>AU CRM &amp; Martech</t>
        </is>
      </c>
      <c r="L149" s="1567" t="n"/>
      <c r="M149" s="1568" t="inlineStr">
        <is>
          <t>NZ</t>
        </is>
      </c>
      <c r="N149" s="865" t="inlineStr">
        <is>
          <t>Customer</t>
        </is>
      </c>
      <c r="O149" s="865" t="inlineStr">
        <is>
          <t>Group Customer Platforms</t>
        </is>
      </c>
      <c r="P149" s="865" t="inlineStr">
        <is>
          <t>AU CRM &amp; Martech</t>
        </is>
      </c>
      <c r="Q149" s="865" t="inlineStr">
        <is>
          <t>Squad</t>
        </is>
      </c>
      <c r="R149" s="865" t="inlineStr">
        <is>
          <t>Filled</t>
        </is>
      </c>
    </row>
    <row r="150" ht="18" customHeight="1" s="866">
      <c r="A150" s="1566" t="n">
        <v>99999101370</v>
      </c>
      <c r="B150" s="1571" t="inlineStr">
        <is>
          <t>Denise Esguerra</t>
        </is>
      </c>
      <c r="C150" s="1567" t="inlineStr">
        <is>
          <t>Martech Specialist</t>
        </is>
      </c>
      <c r="D150" s="1567" t="inlineStr">
        <is>
          <t>Vacant</t>
        </is>
      </c>
      <c r="E150" s="1567" t="inlineStr">
        <is>
          <t>Technology Manager, Loyalty &amp; Martech</t>
        </is>
      </c>
      <c r="F150" s="1382" t="inlineStr">
        <is>
          <t>Customer</t>
        </is>
      </c>
      <c r="G150" s="1567" t="inlineStr">
        <is>
          <t>Loyatly &amp; Martec</t>
        </is>
      </c>
      <c r="H150" s="1567" t="inlineStr">
        <is>
          <t>Loyalty, Tech</t>
        </is>
      </c>
      <c r="I150" s="1382" t="inlineStr">
        <is>
          <t>Customer</t>
        </is>
      </c>
      <c r="J150" s="1567" t="inlineStr">
        <is>
          <t>(All Customer)</t>
        </is>
      </c>
      <c r="K150" s="1567" t="inlineStr">
        <is>
          <t>Z Energy Martech</t>
        </is>
      </c>
      <c r="L150" s="1567" t="n"/>
      <c r="M150" s="1568" t="inlineStr">
        <is>
          <t>NZ</t>
        </is>
      </c>
      <c r="N150" s="865" t="inlineStr">
        <is>
          <t>Customer</t>
        </is>
      </c>
      <c r="O150" s="865" t="inlineStr">
        <is>
          <t>Customer Z</t>
        </is>
      </c>
      <c r="P150" s="865" t="inlineStr">
        <is>
          <t>Z Energy Martech</t>
        </is>
      </c>
      <c r="Q150" s="865" t="inlineStr">
        <is>
          <t>Squad</t>
        </is>
      </c>
      <c r="R150" s="865" t="inlineStr">
        <is>
          <t>Filled</t>
        </is>
      </c>
    </row>
    <row r="151" ht="18" customHeight="1" s="866">
      <c r="A151" s="1566" t="n">
        <v>0</v>
      </c>
      <c r="B151" s="1382" t="inlineStr">
        <is>
          <t>Waheed Malek</t>
        </is>
      </c>
      <c r="C151" s="1382" t="inlineStr">
        <is>
          <t>Quality Assurance</t>
        </is>
      </c>
      <c r="D151" s="1382" t="inlineStr">
        <is>
          <t>Vacant</t>
        </is>
      </c>
      <c r="E151" s="1382" t="inlineStr">
        <is>
          <t>Technology Manager, Digitial</t>
        </is>
      </c>
      <c r="F151" s="1382" t="inlineStr">
        <is>
          <t>Customer</t>
        </is>
      </c>
      <c r="G151" s="1567" t="inlineStr">
        <is>
          <t>Loyalty &amp; Martech</t>
        </is>
      </c>
      <c r="H151" s="1382" t="inlineStr">
        <is>
          <t>Digital, Tech</t>
        </is>
      </c>
      <c r="I151" s="1567" t="inlineStr">
        <is>
          <t>EGI Integration</t>
        </is>
      </c>
      <c r="J151" s="1382" t="inlineStr">
        <is>
          <t>EGI</t>
        </is>
      </c>
      <c r="K151" s="1382" t="inlineStr">
        <is>
          <t>EGI Customer</t>
        </is>
      </c>
      <c r="L151" s="1567" t="n"/>
      <c r="M151" s="1568" t="inlineStr">
        <is>
          <t>Australia</t>
        </is>
      </c>
      <c r="N151" s="865" t="inlineStr">
        <is>
          <t>Customer</t>
        </is>
      </c>
      <c r="O151" s="865" t="inlineStr">
        <is>
          <t>EGI Customer</t>
        </is>
      </c>
      <c r="P151" s="865" t="inlineStr">
        <is>
          <t>EGI Customer</t>
        </is>
      </c>
      <c r="Q151" s="865" t="inlineStr">
        <is>
          <t>Strategic Program</t>
        </is>
      </c>
      <c r="R151" s="865" t="inlineStr">
        <is>
          <t>Filled</t>
        </is>
      </c>
    </row>
    <row r="152" ht="18" customHeight="1" s="866">
      <c r="A152" s="1566" t="n">
        <v>114753</v>
      </c>
      <c r="B152" s="1382" t="inlineStr">
        <is>
          <t>Zoe Udy</t>
        </is>
      </c>
      <c r="C152" s="1382" t="inlineStr">
        <is>
          <t>Technology Manager - Data &amp; Engineering</t>
        </is>
      </c>
      <c r="D152" s="1382" t="inlineStr">
        <is>
          <t>Vacant</t>
        </is>
      </c>
      <c r="E152" s="1382" t="inlineStr">
        <is>
          <t>Head of Technology, Loyalty &amp; Martech</t>
        </is>
      </c>
      <c r="F152" s="1382" t="inlineStr">
        <is>
          <t>Customer</t>
        </is>
      </c>
      <c r="G152" s="1567" t="inlineStr">
        <is>
          <t>Loyalty &amp; Martech</t>
        </is>
      </c>
      <c r="H152" s="1382" t="inlineStr">
        <is>
          <t>Loyalty, Data &amp; Engineering</t>
        </is>
      </c>
      <c r="I152" s="1382" t="inlineStr">
        <is>
          <t>Customer</t>
        </is>
      </c>
      <c r="J152" s="1382" t="inlineStr">
        <is>
          <t>Customer Z, Group Customer Platforms</t>
        </is>
      </c>
      <c r="K152" s="1382" t="inlineStr">
        <is>
          <t>Leadership</t>
        </is>
      </c>
      <c r="L152" s="1567" t="n"/>
      <c r="M152" s="1568" t="n"/>
      <c r="N152" s="865" t="inlineStr">
        <is>
          <t>Customer</t>
        </is>
      </c>
      <c r="O152" s="865" t="inlineStr">
        <is>
          <t>Leadership</t>
        </is>
      </c>
      <c r="P152" s="865" t="inlineStr">
        <is>
          <t>Leadership</t>
        </is>
      </c>
      <c r="Q152" s="865" t="inlineStr">
        <is>
          <t>Leadership</t>
        </is>
      </c>
      <c r="R152" s="865" t="inlineStr">
        <is>
          <t>Filled</t>
        </is>
      </c>
    </row>
    <row r="153" ht="18" customHeight="1" s="866">
      <c r="A153" s="1566" t="n"/>
      <c r="B153" s="1581" t="inlineStr">
        <is>
          <t>Vacant</t>
        </is>
      </c>
      <c r="C153" s="1567" t="inlineStr">
        <is>
          <t>Engineer Data (Snowflake)</t>
        </is>
      </c>
      <c r="D153" s="1567" t="inlineStr">
        <is>
          <t>Vacant</t>
        </is>
      </c>
      <c r="E153" s="1567" t="inlineStr">
        <is>
          <t>Technology Manager, Data &amp; Engineering</t>
        </is>
      </c>
      <c r="F153" s="1382" t="inlineStr">
        <is>
          <t>Customer</t>
        </is>
      </c>
      <c r="G153" s="1567" t="inlineStr">
        <is>
          <t>Loyatly &amp; Martec</t>
        </is>
      </c>
      <c r="H153" s="1382" t="inlineStr">
        <is>
          <t>Loyalty, Data &amp; Engineering</t>
        </is>
      </c>
      <c r="I153" s="1382" t="inlineStr">
        <is>
          <t>Customer</t>
        </is>
      </c>
      <c r="J153" s="1567" t="inlineStr">
        <is>
          <t>Group Customer</t>
        </is>
      </c>
      <c r="K153" s="1382" t="inlineStr">
        <is>
          <t>AU CRM &amp; Martech</t>
        </is>
      </c>
      <c r="L153" s="1567" t="n"/>
      <c r="M153" s="1568" t="n"/>
      <c r="N153" s="865" t="inlineStr">
        <is>
          <t>Customer</t>
        </is>
      </c>
      <c r="O153" s="865" t="inlineStr">
        <is>
          <t>Group Customer Platforms</t>
        </is>
      </c>
      <c r="P153" s="865" t="inlineStr">
        <is>
          <t>AU CRM &amp; Martech</t>
        </is>
      </c>
      <c r="Q153" s="865" t="inlineStr">
        <is>
          <t>Squad</t>
        </is>
      </c>
      <c r="R153" s="865" t="inlineStr">
        <is>
          <t>Vacant</t>
        </is>
      </c>
    </row>
    <row r="154" ht="18" customHeight="1" s="866">
      <c r="A154" s="1566" t="n">
        <v>97200</v>
      </c>
      <c r="B154" s="1382" t="inlineStr">
        <is>
          <t>Mitesh Shah</t>
        </is>
      </c>
      <c r="C154" s="1382" t="inlineStr">
        <is>
          <t>Technology Manager - Digital</t>
        </is>
      </c>
      <c r="D154" s="1382" t="inlineStr">
        <is>
          <t>Vacant</t>
        </is>
      </c>
      <c r="E154" s="1382" t="inlineStr">
        <is>
          <t>Head of Technology, Digital</t>
        </is>
      </c>
      <c r="F154" s="1382" t="inlineStr">
        <is>
          <t>Customer</t>
        </is>
      </c>
      <c r="G154" s="1567" t="inlineStr">
        <is>
          <t>Digital</t>
        </is>
      </c>
      <c r="H154" s="1567" t="inlineStr">
        <is>
          <t>Tech, Digital</t>
        </is>
      </c>
      <c r="I154" s="1382" t="inlineStr">
        <is>
          <t>Customer</t>
        </is>
      </c>
      <c r="J154" s="1382" t="inlineStr">
        <is>
          <t>Ampol Digital</t>
        </is>
      </c>
      <c r="K154" s="1382" t="inlineStr">
        <is>
          <t>Leadership</t>
        </is>
      </c>
      <c r="L154" s="1567" t="n"/>
      <c r="M154" s="1568" t="inlineStr">
        <is>
          <t>Australia</t>
        </is>
      </c>
      <c r="N154" s="865" t="inlineStr">
        <is>
          <t>Customer</t>
        </is>
      </c>
      <c r="O154" s="865" t="inlineStr">
        <is>
          <t>Leadership</t>
        </is>
      </c>
      <c r="P154" s="865" t="inlineStr">
        <is>
          <t>Leadership</t>
        </is>
      </c>
      <c r="Q154" s="865" t="inlineStr">
        <is>
          <t>Leadership</t>
        </is>
      </c>
      <c r="R154" s="865" t="inlineStr">
        <is>
          <t>Filled</t>
        </is>
      </c>
    </row>
    <row r="155" ht="18" customHeight="1" s="866">
      <c r="A155" s="1566" t="n">
        <v>99999100279</v>
      </c>
      <c r="B155" s="1382" t="inlineStr">
        <is>
          <t>Kris Hamilton</t>
        </is>
      </c>
      <c r="C155" s="1382" t="inlineStr">
        <is>
          <t>Technology Manager - Loyalty &amp; Martech</t>
        </is>
      </c>
      <c r="D155" s="1382" t="inlineStr">
        <is>
          <t>Vacant</t>
        </is>
      </c>
      <c r="E155" s="1382" t="inlineStr">
        <is>
          <t>Head of Technology, Loyalty &amp; Martech</t>
        </is>
      </c>
      <c r="F155" s="1382" t="inlineStr">
        <is>
          <t>Customer</t>
        </is>
      </c>
      <c r="G155" s="1567" t="inlineStr">
        <is>
          <t>Loyalty &amp; Martech</t>
        </is>
      </c>
      <c r="H155" s="1382" t="inlineStr">
        <is>
          <t>Loyalty, Tech</t>
        </is>
      </c>
      <c r="I155" s="1382" t="inlineStr">
        <is>
          <t>Customer</t>
        </is>
      </c>
      <c r="J155" s="1382" t="inlineStr">
        <is>
          <t>Customer Z, Group Customer Platforms</t>
        </is>
      </c>
      <c r="K155" s="1382" t="inlineStr">
        <is>
          <t>Leadership</t>
        </is>
      </c>
      <c r="L155" s="1567" t="n"/>
      <c r="M155" s="1568" t="inlineStr">
        <is>
          <t>NZ</t>
        </is>
      </c>
      <c r="N155" s="865" t="inlineStr">
        <is>
          <t>Customer</t>
        </is>
      </c>
      <c r="O155" s="865" t="inlineStr">
        <is>
          <t>Leadership</t>
        </is>
      </c>
      <c r="P155" s="865" t="inlineStr">
        <is>
          <t>Leadership</t>
        </is>
      </c>
      <c r="Q155" s="865" t="inlineStr">
        <is>
          <t>Leadership</t>
        </is>
      </c>
      <c r="R155" s="865" t="inlineStr">
        <is>
          <t>Filled</t>
        </is>
      </c>
    </row>
    <row r="156" ht="18" customHeight="1" s="866">
      <c r="A156" s="1566" t="n">
        <v>0</v>
      </c>
      <c r="B156" s="1382" t="inlineStr">
        <is>
          <t>Aaron Lu</t>
        </is>
      </c>
      <c r="C156" s="1382" t="inlineStr">
        <is>
          <t>Engineer - BE</t>
        </is>
      </c>
      <c r="D156" s="1382" t="inlineStr">
        <is>
          <t>vacant</t>
        </is>
      </c>
      <c r="E156" s="1382" t="inlineStr">
        <is>
          <t>Technology Manager, Digital Engineering</t>
        </is>
      </c>
      <c r="F156" s="1382" t="inlineStr">
        <is>
          <t>Customer</t>
        </is>
      </c>
      <c r="G156" s="1567" t="inlineStr">
        <is>
          <t>Digital</t>
        </is>
      </c>
      <c r="H156" s="1567" t="inlineStr">
        <is>
          <t>Tech, Digital Engineering</t>
        </is>
      </c>
      <c r="I156" s="1567" t="inlineStr">
        <is>
          <t>Customer</t>
        </is>
      </c>
      <c r="J156" s="1382" t="inlineStr">
        <is>
          <t>Ampol Digital</t>
        </is>
      </c>
      <c r="K156" s="1382" t="inlineStr">
        <is>
          <t>Ampol Web</t>
        </is>
      </c>
      <c r="L156" s="1567" t="n"/>
      <c r="M156" s="1568" t="inlineStr">
        <is>
          <t>Australia</t>
        </is>
      </c>
      <c r="N156" s="865" t="inlineStr">
        <is>
          <t>Customer</t>
        </is>
      </c>
      <c r="O156" s="865" t="inlineStr">
        <is>
          <t>Ampol Digital</t>
        </is>
      </c>
      <c r="P156" s="865" t="inlineStr">
        <is>
          <t>Ampol Web</t>
        </is>
      </c>
      <c r="Q156" s="865" t="inlineStr">
        <is>
          <t>Squad</t>
        </is>
      </c>
      <c r="R156" s="865" t="inlineStr">
        <is>
          <t>Filled</t>
        </is>
      </c>
    </row>
    <row r="157" ht="18" customHeight="1" s="866">
      <c r="A157" s="1566" t="n">
        <v>0</v>
      </c>
      <c r="B157" s="1382" t="inlineStr">
        <is>
          <t>Safiq Iqbal</t>
        </is>
      </c>
      <c r="C157" s="1382" t="inlineStr">
        <is>
          <t>Principal Engineer</t>
        </is>
      </c>
      <c r="D157" s="1382" t="inlineStr">
        <is>
          <t>Vacant</t>
        </is>
      </c>
      <c r="E157" s="1382" t="inlineStr">
        <is>
          <t>Head of Technology, Digital</t>
        </is>
      </c>
      <c r="F157" s="1382" t="inlineStr">
        <is>
          <t>Customer</t>
        </is>
      </c>
      <c r="G157" s="1567" t="inlineStr">
        <is>
          <t>Digital</t>
        </is>
      </c>
      <c r="H157" s="1567" t="inlineStr">
        <is>
          <t>EGI</t>
        </is>
      </c>
      <c r="I157" s="1567" t="inlineStr">
        <is>
          <t>EGI Integration</t>
        </is>
      </c>
      <c r="J157" s="1382" t="inlineStr">
        <is>
          <t>EGI</t>
        </is>
      </c>
      <c r="K157" s="1382" t="inlineStr">
        <is>
          <t>EGI Customer</t>
        </is>
      </c>
      <c r="L157" s="1567" t="n"/>
      <c r="M157" s="1568" t="inlineStr">
        <is>
          <t>Australia</t>
        </is>
      </c>
      <c r="N157" s="865" t="inlineStr">
        <is>
          <t>Customer</t>
        </is>
      </c>
      <c r="O157" s="865" t="inlineStr">
        <is>
          <t>EGI Customer</t>
        </is>
      </c>
      <c r="P157" s="865" t="inlineStr">
        <is>
          <t>EGI Customer</t>
        </is>
      </c>
      <c r="Q157" s="865" t="inlineStr">
        <is>
          <t>Strategic Program</t>
        </is>
      </c>
      <c r="R157" s="865" t="inlineStr">
        <is>
          <t>Filled</t>
        </is>
      </c>
    </row>
    <row r="158" ht="18" customHeight="1" s="866">
      <c r="A158" s="1566" t="n"/>
      <c r="B158" s="1382" t="inlineStr">
        <is>
          <t>Vacant</t>
        </is>
      </c>
      <c r="C158" s="1567" t="inlineStr">
        <is>
          <t>Snr Engineer, (TBD</t>
        </is>
      </c>
      <c r="D158" s="1567" t="inlineStr">
        <is>
          <t>vacant</t>
        </is>
      </c>
      <c r="E158" s="1567" t="inlineStr">
        <is>
          <t>AI Enablement Lead</t>
        </is>
      </c>
      <c r="F158" s="1382" t="inlineStr">
        <is>
          <t>Customer</t>
        </is>
      </c>
      <c r="G158" s="1567" t="inlineStr">
        <is>
          <t>Customer, AI Enablement</t>
        </is>
      </c>
      <c r="H158" s="1567" t="n"/>
      <c r="I158" s="1567" t="inlineStr">
        <is>
          <t>Customer</t>
        </is>
      </c>
      <c r="J158" s="1567" t="inlineStr">
        <is>
          <t>(All Customer)</t>
        </is>
      </c>
      <c r="K158" s="1382" t="inlineStr">
        <is>
          <t>Customer, AI</t>
        </is>
      </c>
      <c r="L158" s="1567" t="n"/>
      <c r="M158" s="1568" t="n"/>
      <c r="N158" s="865" t="inlineStr">
        <is>
          <t>Customer</t>
        </is>
      </c>
      <c r="O158" s="865" t="inlineStr">
        <is>
          <t>-</t>
        </is>
      </c>
      <c r="P158" s="865" t="inlineStr">
        <is>
          <t>Customer AI</t>
        </is>
      </c>
      <c r="Q158" s="865" t="inlineStr">
        <is>
          <t>Squad</t>
        </is>
      </c>
      <c r="R158" s="865" t="inlineStr">
        <is>
          <t>Vacant</t>
        </is>
      </c>
    </row>
    <row r="159" ht="18" customHeight="1" s="866">
      <c r="A159" s="1566" t="n"/>
      <c r="B159" s="1382" t="inlineStr">
        <is>
          <t>Vacant (B2B)</t>
        </is>
      </c>
      <c r="C159" s="1382" t="inlineStr">
        <is>
          <t>Engineer - BE</t>
        </is>
      </c>
      <c r="D159" s="1382" t="inlineStr">
        <is>
          <t>vacant</t>
        </is>
      </c>
      <c r="E159" s="1382" t="inlineStr">
        <is>
          <t>Technology Manager, Digital Engineering</t>
        </is>
      </c>
      <c r="F159" s="1382" t="inlineStr">
        <is>
          <t>Customer</t>
        </is>
      </c>
      <c r="G159" s="1567" t="inlineStr">
        <is>
          <t>Digital</t>
        </is>
      </c>
      <c r="H159" s="1567" t="inlineStr">
        <is>
          <t>Tech, Digital Engineering</t>
        </is>
      </c>
      <c r="I159" s="1567" t="inlineStr">
        <is>
          <t>Customer</t>
        </is>
      </c>
      <c r="J159" s="1382" t="inlineStr">
        <is>
          <t>Ampol Digital</t>
        </is>
      </c>
      <c r="K159" s="1382" t="inlineStr">
        <is>
          <t>B2B</t>
        </is>
      </c>
      <c r="L159" s="1567" t="n"/>
      <c r="M159" s="1568" t="inlineStr">
        <is>
          <t>Australia</t>
        </is>
      </c>
      <c r="N159" s="865" t="inlineStr">
        <is>
          <t>Energy Solutions &amp; B2B</t>
        </is>
      </c>
      <c r="O159" s="865" t="inlineStr">
        <is>
          <t>B2B</t>
        </is>
      </c>
      <c r="P159" s="865" t="inlineStr">
        <is>
          <t>B2B</t>
        </is>
      </c>
      <c r="Q159" s="865" t="inlineStr">
        <is>
          <t>Squad</t>
        </is>
      </c>
      <c r="R159" s="865" t="inlineStr">
        <is>
          <t>Filled</t>
        </is>
      </c>
    </row>
    <row r="160" ht="18" customHeight="1" s="866">
      <c r="A160" s="1566" t="n"/>
      <c r="B160" s="1382" t="inlineStr">
        <is>
          <t>Vacant</t>
        </is>
      </c>
      <c r="C160" s="1382" t="inlineStr">
        <is>
          <t>AI Enablement Lead</t>
        </is>
      </c>
      <c r="D160" s="1382" t="inlineStr">
        <is>
          <t>Vacant</t>
        </is>
      </c>
      <c r="E160" s="1382" t="inlineStr">
        <is>
          <t>GM TDD, Customer</t>
        </is>
      </c>
      <c r="F160" s="1382" t="inlineStr">
        <is>
          <t>Customer</t>
        </is>
      </c>
      <c r="G160" s="1567" t="inlineStr">
        <is>
          <t>Customer, AI Enablement</t>
        </is>
      </c>
      <c r="H160" s="1382" t="n"/>
      <c r="I160" s="1382" t="inlineStr">
        <is>
          <t>Customer</t>
        </is>
      </c>
      <c r="J160" s="1382" t="inlineStr">
        <is>
          <t>(All Customer)</t>
        </is>
      </c>
      <c r="K160" s="1382" t="inlineStr">
        <is>
          <t>Leadership</t>
        </is>
      </c>
      <c r="L160" s="1567" t="n"/>
      <c r="M160" s="1568" t="n"/>
      <c r="N160" s="865" t="inlineStr">
        <is>
          <t>Customer</t>
        </is>
      </c>
      <c r="O160" s="865" t="inlineStr">
        <is>
          <t>Leadership</t>
        </is>
      </c>
      <c r="P160" s="865" t="inlineStr">
        <is>
          <t>Leadership</t>
        </is>
      </c>
      <c r="Q160" s="865" t="inlineStr">
        <is>
          <t>Leadership</t>
        </is>
      </c>
      <c r="R160" s="865" t="inlineStr">
        <is>
          <t>Vacant</t>
        </is>
      </c>
    </row>
    <row r="161" ht="18" customHeight="1" s="866">
      <c r="A161" s="1566" t="n">
        <v>99999101612</v>
      </c>
      <c r="B161" s="1382" t="inlineStr">
        <is>
          <t>Shane Abrahams</t>
        </is>
      </c>
      <c r="C161" s="1382" t="inlineStr">
        <is>
          <t>Digital Support Manager - NZ</t>
        </is>
      </c>
      <c r="D161" s="1382" t="inlineStr">
        <is>
          <t>Vacant</t>
        </is>
      </c>
      <c r="E161" s="1382" t="inlineStr">
        <is>
          <t>Head of Technology, Digital</t>
        </is>
      </c>
      <c r="F161" s="1382" t="inlineStr">
        <is>
          <t>Customer</t>
        </is>
      </c>
      <c r="G161" s="1567" t="inlineStr">
        <is>
          <t>Digital</t>
        </is>
      </c>
      <c r="H161" s="1567" t="inlineStr">
        <is>
          <t>Digital Support (NZ)</t>
        </is>
      </c>
      <c r="I161" s="1382" t="inlineStr">
        <is>
          <t>Customer</t>
        </is>
      </c>
      <c r="J161" s="1382" t="inlineStr">
        <is>
          <t>Customer Z</t>
        </is>
      </c>
      <c r="K161" s="1382" t="inlineStr">
        <is>
          <t>Z Energy Apps</t>
        </is>
      </c>
      <c r="L161" s="1567" t="n"/>
      <c r="M161" s="1568" t="inlineStr">
        <is>
          <t>NZ</t>
        </is>
      </c>
      <c r="N161" s="865" t="inlineStr">
        <is>
          <t>Customer</t>
        </is>
      </c>
      <c r="O161" s="865" t="inlineStr">
        <is>
          <t>Customer Z</t>
        </is>
      </c>
      <c r="P161" s="865" t="inlineStr">
        <is>
          <t>Z Energy Apps</t>
        </is>
      </c>
      <c r="Q161" s="865" t="inlineStr">
        <is>
          <t>Squad</t>
        </is>
      </c>
      <c r="R161" s="865" t="inlineStr">
        <is>
          <t>Filled</t>
        </is>
      </c>
    </row>
    <row r="162" ht="18" customHeight="1" s="866">
      <c r="A162" s="1566" t="n">
        <v>4781</v>
      </c>
      <c r="B162" s="1382" t="inlineStr">
        <is>
          <t>Mark Wilson</t>
        </is>
      </c>
      <c r="C162" s="1382" t="inlineStr">
        <is>
          <t>Digital Support Manager (AU)</t>
        </is>
      </c>
      <c r="D162" s="1382" t="inlineStr">
        <is>
          <t>Vacant</t>
        </is>
      </c>
      <c r="E162" s="1382" t="inlineStr">
        <is>
          <t>Head of Technology, Digital</t>
        </is>
      </c>
      <c r="F162" s="1382" t="inlineStr">
        <is>
          <t>Customer</t>
        </is>
      </c>
      <c r="G162" s="1567" t="inlineStr">
        <is>
          <t>Digital</t>
        </is>
      </c>
      <c r="H162" s="1567" t="inlineStr">
        <is>
          <t>Digital Support (AU)</t>
        </is>
      </c>
      <c r="I162" s="1567" t="inlineStr">
        <is>
          <t>Customer</t>
        </is>
      </c>
      <c r="J162" s="1382" t="inlineStr">
        <is>
          <t>Ampol Digital</t>
        </is>
      </c>
      <c r="K162" s="1382" t="inlineStr">
        <is>
          <t>Digital Ops Support</t>
        </is>
      </c>
      <c r="L162" s="1567" t="n"/>
      <c r="M162" s="1568" t="inlineStr">
        <is>
          <t>Australia</t>
        </is>
      </c>
      <c r="N162" s="865" t="inlineStr">
        <is>
          <t>Customer</t>
        </is>
      </c>
      <c r="O162" s="865" t="inlineStr">
        <is>
          <t>Ampol Digital</t>
        </is>
      </c>
      <c r="P162" s="865" t="inlineStr">
        <is>
          <t>Digital Operations</t>
        </is>
      </c>
      <c r="Q162" s="865" t="inlineStr">
        <is>
          <t>Squad</t>
        </is>
      </c>
      <c r="R162" s="865" t="inlineStr">
        <is>
          <t>Filled</t>
        </is>
      </c>
    </row>
    <row r="163" ht="18" customHeight="1" s="866">
      <c r="A163" s="1566" t="n">
        <v>115607</v>
      </c>
      <c r="B163" s="1382" t="inlineStr">
        <is>
          <t>Zohan Sim</t>
        </is>
      </c>
      <c r="C163" s="1382" t="inlineStr">
        <is>
          <t>Engineer - BE</t>
        </is>
      </c>
      <c r="D163" s="1382" t="inlineStr">
        <is>
          <t>Vacant</t>
        </is>
      </c>
      <c r="E163" s="1382" t="inlineStr">
        <is>
          <t>Lead Engineer - BE</t>
        </is>
      </c>
      <c r="F163" s="1382" t="inlineStr">
        <is>
          <t>Customer</t>
        </is>
      </c>
      <c r="G163" s="1567" t="inlineStr">
        <is>
          <t>Digital</t>
        </is>
      </c>
      <c r="H163" s="1567" t="inlineStr">
        <is>
          <t>Tech, Digital Engineering</t>
        </is>
      </c>
      <c r="I163" s="1567" t="inlineStr">
        <is>
          <t>Customer</t>
        </is>
      </c>
      <c r="J163" s="1382" t="inlineStr">
        <is>
          <t>Ampol Digital</t>
        </is>
      </c>
      <c r="K163" s="1382" t="inlineStr">
        <is>
          <t>Ampol Web</t>
        </is>
      </c>
      <c r="L163" s="1567" t="n"/>
      <c r="M163" s="1568" t="inlineStr">
        <is>
          <t>Australia</t>
        </is>
      </c>
      <c r="N163" s="865" t="inlineStr">
        <is>
          <t>Customer</t>
        </is>
      </c>
      <c r="O163" s="865" t="inlineStr">
        <is>
          <t>Ampol Digital</t>
        </is>
      </c>
      <c r="P163" s="865" t="inlineStr">
        <is>
          <t>Ampol Web</t>
        </is>
      </c>
      <c r="Q163" s="865" t="inlineStr">
        <is>
          <t>Squad</t>
        </is>
      </c>
      <c r="R163" s="865" t="inlineStr">
        <is>
          <t>Filled</t>
        </is>
      </c>
    </row>
    <row r="164" ht="18" customHeight="1" s="866">
      <c r="A164" s="1566" t="n"/>
      <c r="B164" s="1382" t="inlineStr">
        <is>
          <t>Vacant</t>
        </is>
      </c>
      <c r="C164" s="1382" t="inlineStr">
        <is>
          <t>Engineer - BE</t>
        </is>
      </c>
      <c r="D164" s="1382" t="inlineStr">
        <is>
          <t>Vacant</t>
        </is>
      </c>
      <c r="E164" s="1382" t="inlineStr">
        <is>
          <t>Digital Support Manager(AU)</t>
        </is>
      </c>
      <c r="F164" s="1382" t="inlineStr">
        <is>
          <t>Customer</t>
        </is>
      </c>
      <c r="G164" s="1567" t="inlineStr">
        <is>
          <t>Digital</t>
        </is>
      </c>
      <c r="H164" s="1382" t="inlineStr">
        <is>
          <t>Delivery, Commercial Fuels</t>
        </is>
      </c>
      <c r="I164" s="1567" t="inlineStr">
        <is>
          <t>Customer</t>
        </is>
      </c>
      <c r="J164" s="1382" t="inlineStr">
        <is>
          <t>Ampol Digital</t>
        </is>
      </c>
      <c r="K164" s="1382" t="inlineStr">
        <is>
          <t>Digital Ops Support</t>
        </is>
      </c>
      <c r="L164" s="1567" t="n"/>
      <c r="M164" s="1568" t="inlineStr">
        <is>
          <t>Australia</t>
        </is>
      </c>
      <c r="N164" s="865" t="inlineStr">
        <is>
          <t>Customer</t>
        </is>
      </c>
      <c r="O164" s="865" t="inlineStr">
        <is>
          <t>Ampol Digital</t>
        </is>
      </c>
      <c r="P164" s="865" t="inlineStr">
        <is>
          <t>Digital Operations</t>
        </is>
      </c>
      <c r="Q164" s="865" t="inlineStr">
        <is>
          <t>Squad</t>
        </is>
      </c>
      <c r="R164" s="865" t="inlineStr">
        <is>
          <t>Vacant</t>
        </is>
      </c>
    </row>
    <row r="165" ht="18" customHeight="1" s="866">
      <c r="A165" s="1566" t="n"/>
      <c r="B165" s="1382" t="inlineStr">
        <is>
          <t>Vacant</t>
        </is>
      </c>
      <c r="C165" s="1567" t="inlineStr">
        <is>
          <t>Engineer, (TBD)</t>
        </is>
      </c>
      <c r="D165" s="1567" t="inlineStr">
        <is>
          <t>Vacant</t>
        </is>
      </c>
      <c r="E165" s="1567" t="inlineStr">
        <is>
          <t>AI Enablement Lead</t>
        </is>
      </c>
      <c r="F165" s="1382" t="inlineStr">
        <is>
          <t>Customer</t>
        </is>
      </c>
      <c r="G165" s="1567" t="inlineStr">
        <is>
          <t>Customer, AI Enablement</t>
        </is>
      </c>
      <c r="H165" s="1567" t="n"/>
      <c r="I165" s="1567" t="inlineStr">
        <is>
          <t>Customer</t>
        </is>
      </c>
      <c r="J165" s="1567" t="inlineStr">
        <is>
          <t>(All Customer)</t>
        </is>
      </c>
      <c r="K165" s="1382" t="inlineStr">
        <is>
          <t>Customer, AI</t>
        </is>
      </c>
      <c r="L165" s="1567" t="n"/>
      <c r="M165" s="1568" t="n"/>
      <c r="N165" s="865" t="inlineStr">
        <is>
          <t>Customer</t>
        </is>
      </c>
      <c r="O165" s="865" t="inlineStr">
        <is>
          <t>-</t>
        </is>
      </c>
      <c r="P165" s="865" t="inlineStr">
        <is>
          <t>Customer AI</t>
        </is>
      </c>
      <c r="Q165" s="865" t="inlineStr">
        <is>
          <t>Squad</t>
        </is>
      </c>
      <c r="R165" s="865" t="inlineStr">
        <is>
          <t>Vacant</t>
        </is>
      </c>
    </row>
    <row r="166" ht="18" customHeight="1" s="866">
      <c r="A166" s="1566" t="n">
        <v>114395</v>
      </c>
      <c r="B166" s="1382" t="inlineStr">
        <is>
          <t>Rishabh Bhatia</t>
        </is>
      </c>
      <c r="C166" s="1382" t="inlineStr">
        <is>
          <t>Engineer - Mobile (Android)</t>
        </is>
      </c>
      <c r="D166" s="1382" t="inlineStr">
        <is>
          <t>Vacant</t>
        </is>
      </c>
      <c r="E166" s="1382" t="inlineStr">
        <is>
          <t>Technology Manager, Digitial</t>
        </is>
      </c>
      <c r="F166" s="1382" t="inlineStr">
        <is>
          <t>Customer</t>
        </is>
      </c>
      <c r="G166" s="1567" t="inlineStr">
        <is>
          <t>Digital</t>
        </is>
      </c>
      <c r="H166" s="1382" t="inlineStr">
        <is>
          <t>Digital, Tech</t>
        </is>
      </c>
      <c r="I166" s="1567" t="inlineStr">
        <is>
          <t>EGI Integration</t>
        </is>
      </c>
      <c r="J166" s="1382" t="inlineStr">
        <is>
          <t>EGI</t>
        </is>
      </c>
      <c r="K166" s="1382" t="inlineStr">
        <is>
          <t>EGI Customer</t>
        </is>
      </c>
      <c r="L166" s="1567" t="n"/>
      <c r="M166" s="1568" t="inlineStr">
        <is>
          <t>Australia</t>
        </is>
      </c>
      <c r="N166" s="865" t="inlineStr">
        <is>
          <t>Customer</t>
        </is>
      </c>
      <c r="O166" s="865" t="inlineStr">
        <is>
          <t>EGI Customer</t>
        </is>
      </c>
      <c r="P166" s="865" t="inlineStr">
        <is>
          <t>EGI Customer</t>
        </is>
      </c>
      <c r="Q166" s="865" t="inlineStr">
        <is>
          <t>Strategic Program</t>
        </is>
      </c>
      <c r="R166" s="865" t="inlineStr">
        <is>
          <t>Filled</t>
        </is>
      </c>
    </row>
    <row r="167" ht="18" customHeight="1" s="866">
      <c r="A167" s="1566" t="n"/>
      <c r="B167" s="1382" t="inlineStr">
        <is>
          <t>Vacant</t>
        </is>
      </c>
      <c r="C167" s="1382" t="inlineStr">
        <is>
          <t>Engineer - BE</t>
        </is>
      </c>
      <c r="D167" s="1382" t="inlineStr">
        <is>
          <t>Vacant</t>
        </is>
      </c>
      <c r="E167" s="1382" t="inlineStr">
        <is>
          <t>Digital Support Manager(AU)</t>
        </is>
      </c>
      <c r="F167" s="1382" t="inlineStr">
        <is>
          <t>Customer</t>
        </is>
      </c>
      <c r="G167" s="1567" t="inlineStr">
        <is>
          <t>Digital</t>
        </is>
      </c>
      <c r="H167" s="1382" t="inlineStr">
        <is>
          <t>Digital Support (AU)</t>
        </is>
      </c>
      <c r="I167" s="1567" t="inlineStr">
        <is>
          <t>Customer</t>
        </is>
      </c>
      <c r="J167" s="1382" t="inlineStr">
        <is>
          <t>Ampol Digital</t>
        </is>
      </c>
      <c r="K167" s="1382" t="inlineStr">
        <is>
          <t>Digital Ops Support</t>
        </is>
      </c>
      <c r="L167" s="1567" t="n"/>
      <c r="M167" s="1568" t="inlineStr">
        <is>
          <t>Australia</t>
        </is>
      </c>
      <c r="N167" s="865" t="inlineStr">
        <is>
          <t>Customer</t>
        </is>
      </c>
      <c r="O167" s="865" t="inlineStr">
        <is>
          <t>Ampol Digital</t>
        </is>
      </c>
      <c r="P167" s="865" t="inlineStr">
        <is>
          <t>Digital Operations</t>
        </is>
      </c>
      <c r="Q167" s="865" t="inlineStr">
        <is>
          <t>Squad</t>
        </is>
      </c>
      <c r="R167" s="865" t="inlineStr">
        <is>
          <t>Vacant</t>
        </is>
      </c>
    </row>
    <row r="168" ht="18" customHeight="1" s="866">
      <c r="A168" s="1566" t="n">
        <v>99999101730</v>
      </c>
      <c r="B168" s="1571" t="inlineStr">
        <is>
          <t>Scott Cullen</t>
        </is>
      </c>
      <c r="C168" s="1567" t="inlineStr">
        <is>
          <t>Engineer, Dev Ops</t>
        </is>
      </c>
      <c r="D168" s="1567" t="inlineStr">
        <is>
          <t>Vacant</t>
        </is>
      </c>
      <c r="E168" s="1567" t="inlineStr">
        <is>
          <t>Technology Manager, Data &amp; Engineering</t>
        </is>
      </c>
      <c r="F168" s="1382" t="inlineStr">
        <is>
          <t>Customer</t>
        </is>
      </c>
      <c r="G168" s="1567" t="inlineStr">
        <is>
          <t>Loyatly &amp; Martec</t>
        </is>
      </c>
      <c r="H168" s="1382" t="inlineStr">
        <is>
          <t>Loyalty, Data &amp; Engineering</t>
        </is>
      </c>
      <c r="I168" s="1382" t="inlineStr">
        <is>
          <t>Customer</t>
        </is>
      </c>
      <c r="J168" s="1567" t="inlineStr">
        <is>
          <t>Customer Z</t>
        </is>
      </c>
      <c r="K168" s="1567" t="inlineStr">
        <is>
          <t>Z Energy Martech</t>
        </is>
      </c>
      <c r="L168" s="1567" t="n"/>
      <c r="M168" s="1568" t="inlineStr">
        <is>
          <t>NZ</t>
        </is>
      </c>
      <c r="N168" s="865" t="inlineStr">
        <is>
          <t>Customer</t>
        </is>
      </c>
      <c r="O168" s="865" t="inlineStr">
        <is>
          <t>Customer Z</t>
        </is>
      </c>
      <c r="P168" s="865" t="inlineStr">
        <is>
          <t>Z Energy Martech</t>
        </is>
      </c>
      <c r="Q168" s="865" t="inlineStr">
        <is>
          <t>Squad</t>
        </is>
      </c>
      <c r="R168" s="865" t="inlineStr">
        <is>
          <t>Filled</t>
        </is>
      </c>
    </row>
    <row r="169" ht="18" customHeight="1" s="866">
      <c r="A169" s="1566" t="n">
        <v>97634</v>
      </c>
      <c r="B169" s="1382" t="inlineStr">
        <is>
          <t>Khalid Mahmud</t>
        </is>
      </c>
      <c r="C169" s="1382" t="inlineStr">
        <is>
          <t>Lead Engineer - BE</t>
        </is>
      </c>
      <c r="D169" s="1382" t="inlineStr">
        <is>
          <t>vacant</t>
        </is>
      </c>
      <c r="E169" s="1382" t="inlineStr">
        <is>
          <t>Technology Manager, Digital Engineering</t>
        </is>
      </c>
      <c r="F169" s="1382" t="inlineStr">
        <is>
          <t>Customer</t>
        </is>
      </c>
      <c r="G169" s="1567" t="inlineStr">
        <is>
          <t>Digital</t>
        </is>
      </c>
      <c r="H169" s="1567" t="inlineStr">
        <is>
          <t>Tech, Digital Engineering</t>
        </is>
      </c>
      <c r="I169" s="1567" t="inlineStr">
        <is>
          <t>Customer</t>
        </is>
      </c>
      <c r="J169" s="1382" t="inlineStr">
        <is>
          <t>Ampol Digital</t>
        </is>
      </c>
      <c r="K169" s="1382" t="inlineStr">
        <is>
          <t>Ampol App</t>
        </is>
      </c>
      <c r="L169" s="1567" t="n"/>
      <c r="M169" s="1568" t="inlineStr">
        <is>
          <t>Australia</t>
        </is>
      </c>
      <c r="N169" s="865" t="inlineStr">
        <is>
          <t>Customer</t>
        </is>
      </c>
      <c r="O169" s="865" t="inlineStr">
        <is>
          <t>Ampol Digital</t>
        </is>
      </c>
      <c r="P169" s="865" t="inlineStr">
        <is>
          <t>Ampol App</t>
        </is>
      </c>
      <c r="Q169" s="865" t="inlineStr">
        <is>
          <t>Squad</t>
        </is>
      </c>
      <c r="R169" s="865" t="inlineStr">
        <is>
          <t>Filled</t>
        </is>
      </c>
    </row>
    <row r="170" ht="18" customHeight="1" s="866">
      <c r="A170" s="1566" t="n">
        <v>107144</v>
      </c>
      <c r="B170" s="1382" t="inlineStr">
        <is>
          <t>Jasper Na</t>
        </is>
      </c>
      <c r="C170" s="1382" t="inlineStr">
        <is>
          <t>Associate Engineer - BE</t>
        </is>
      </c>
      <c r="D170" s="1382" t="inlineStr">
        <is>
          <t>Vacant</t>
        </is>
      </c>
      <c r="E170" s="1382" t="inlineStr">
        <is>
          <t>Lead Engineer - BE</t>
        </is>
      </c>
      <c r="F170" s="1382" t="inlineStr">
        <is>
          <t>Customer</t>
        </is>
      </c>
      <c r="G170" s="1567" t="inlineStr">
        <is>
          <t>Digital</t>
        </is>
      </c>
      <c r="H170" s="1567" t="inlineStr">
        <is>
          <t>Tech, Digital Engineering</t>
        </is>
      </c>
      <c r="I170" s="1567" t="inlineStr">
        <is>
          <t>Customer</t>
        </is>
      </c>
      <c r="J170" s="1382" t="inlineStr">
        <is>
          <t>Ampol Digital</t>
        </is>
      </c>
      <c r="K170" s="1382" t="inlineStr">
        <is>
          <t>Energy</t>
        </is>
      </c>
      <c r="L170" s="1567" t="n"/>
      <c r="M170" s="1568" t="inlineStr">
        <is>
          <t>Australia</t>
        </is>
      </c>
      <c r="N170" s="865" t="inlineStr">
        <is>
          <t>Energy Solutions &amp; B2B</t>
        </is>
      </c>
      <c r="O170" s="865" t="inlineStr">
        <is>
          <t>Energy Solutions</t>
        </is>
      </c>
      <c r="P170" s="865" t="inlineStr">
        <is>
          <t>Energy</t>
        </is>
      </c>
      <c r="Q170" s="865" t="inlineStr">
        <is>
          <t>Squad</t>
        </is>
      </c>
      <c r="R170" s="865" t="inlineStr">
        <is>
          <t>Filled</t>
        </is>
      </c>
    </row>
    <row r="171" ht="18" customHeight="1" s="866">
      <c r="A171" s="1566" t="n"/>
      <c r="B171" s="1382" t="inlineStr">
        <is>
          <t>Vacant</t>
        </is>
      </c>
      <c r="C171" s="1382" t="inlineStr">
        <is>
          <t>Snr Engineer - BE</t>
        </is>
      </c>
      <c r="D171" s="1382" t="inlineStr">
        <is>
          <t>Vacant</t>
        </is>
      </c>
      <c r="E171" s="1382" t="inlineStr">
        <is>
          <t>Lead Engineer - BE</t>
        </is>
      </c>
      <c r="F171" s="1382" t="inlineStr">
        <is>
          <t>Customer</t>
        </is>
      </c>
      <c r="G171" s="1567" t="inlineStr">
        <is>
          <t>Digital</t>
        </is>
      </c>
      <c r="H171" s="1567" t="inlineStr">
        <is>
          <t>Tech, Digital Engineering</t>
        </is>
      </c>
      <c r="I171" s="1567" t="inlineStr">
        <is>
          <t>Customer</t>
        </is>
      </c>
      <c r="J171" s="1382" t="inlineStr">
        <is>
          <t>Ampol Digital</t>
        </is>
      </c>
      <c r="K171" s="1382" t="inlineStr">
        <is>
          <t>Ampol Web</t>
        </is>
      </c>
      <c r="L171" s="1567" t="n"/>
      <c r="M171" s="1568" t="inlineStr">
        <is>
          <t>Australia</t>
        </is>
      </c>
      <c r="N171" s="865" t="inlineStr">
        <is>
          <t>Customer</t>
        </is>
      </c>
      <c r="O171" s="865" t="inlineStr">
        <is>
          <t>Ampol Digital</t>
        </is>
      </c>
      <c r="P171" s="865" t="inlineStr">
        <is>
          <t>Ampol Web</t>
        </is>
      </c>
      <c r="Q171" s="865" t="inlineStr">
        <is>
          <t>Squad</t>
        </is>
      </c>
      <c r="R171" s="865" t="inlineStr">
        <is>
          <t>Vacant</t>
        </is>
      </c>
    </row>
    <row r="172" ht="18" customHeight="1" s="866">
      <c r="A172" s="1566" t="n"/>
      <c r="B172" s="1581" t="inlineStr">
        <is>
          <t>Vacant</t>
        </is>
      </c>
      <c r="C172" s="1567" t="inlineStr">
        <is>
          <t>Data Analyst</t>
        </is>
      </c>
      <c r="D172" s="1567" t="inlineStr">
        <is>
          <t>Vacant</t>
        </is>
      </c>
      <c r="E172" s="1567" t="inlineStr">
        <is>
          <t>Technology Manager, Data &amp; Engineering</t>
        </is>
      </c>
      <c r="F172" s="1382" t="inlineStr">
        <is>
          <t>Customer</t>
        </is>
      </c>
      <c r="G172" s="1567" t="inlineStr">
        <is>
          <t>Loyatly &amp; Martec</t>
        </is>
      </c>
      <c r="H172" s="1382" t="inlineStr">
        <is>
          <t>Loyalty, Data &amp; Engineering</t>
        </is>
      </c>
      <c r="I172" s="1382" t="inlineStr">
        <is>
          <t>Customer</t>
        </is>
      </c>
      <c r="J172" s="1567" t="inlineStr">
        <is>
          <t>Group Customer</t>
        </is>
      </c>
      <c r="K172" s="1382" t="inlineStr">
        <is>
          <t>AU CRM &amp; Martech</t>
        </is>
      </c>
      <c r="L172" s="1567" t="n"/>
      <c r="M172" s="1568" t="n"/>
      <c r="N172" s="865" t="inlineStr">
        <is>
          <t>Customer</t>
        </is>
      </c>
      <c r="O172" s="865" t="inlineStr">
        <is>
          <t>Group Customer Platforms</t>
        </is>
      </c>
      <c r="P172" s="865" t="inlineStr">
        <is>
          <t>AU CRM &amp; Martech</t>
        </is>
      </c>
      <c r="Q172" s="865" t="inlineStr">
        <is>
          <t>Squad</t>
        </is>
      </c>
      <c r="R172" s="865" t="inlineStr">
        <is>
          <t>Vacant</t>
        </is>
      </c>
    </row>
    <row r="173" ht="18" customHeight="1" s="866">
      <c r="A173" s="1566" t="n">
        <v>99999101324</v>
      </c>
      <c r="B173" s="1571" t="inlineStr">
        <is>
          <t>Angela Gilbert</t>
        </is>
      </c>
      <c r="C173" s="1567" t="inlineStr">
        <is>
          <t>Martech Lead - Dynamics</t>
        </is>
      </c>
      <c r="D173" s="1567" t="inlineStr">
        <is>
          <t>Vacant</t>
        </is>
      </c>
      <c r="E173" s="1567" t="inlineStr">
        <is>
          <t>Delivery Manager, Loyalty</t>
        </is>
      </c>
      <c r="F173" s="1382" t="inlineStr">
        <is>
          <t>Customer</t>
        </is>
      </c>
      <c r="G173" s="1567" t="inlineStr">
        <is>
          <t>Loyatly &amp; Martec</t>
        </is>
      </c>
      <c r="H173" s="1382" t="inlineStr">
        <is>
          <t xml:space="preserve">Loyalty, Delivery </t>
        </is>
      </c>
      <c r="I173" s="1382" t="inlineStr">
        <is>
          <t>Customer</t>
        </is>
      </c>
      <c r="J173" s="1567" t="inlineStr">
        <is>
          <t>Group Customer</t>
        </is>
      </c>
      <c r="K173" s="1567" t="inlineStr">
        <is>
          <t>AU CRM &amp; Martech</t>
        </is>
      </c>
      <c r="L173" s="1567" t="n"/>
      <c r="M173" s="1568" t="inlineStr">
        <is>
          <t>NZ</t>
        </is>
      </c>
      <c r="N173" s="865" t="inlineStr">
        <is>
          <t>Customer</t>
        </is>
      </c>
      <c r="O173" s="865" t="inlineStr">
        <is>
          <t>Group Customer Platforms</t>
        </is>
      </c>
      <c r="P173" s="865" t="inlineStr">
        <is>
          <t>AU CRM &amp; Martech</t>
        </is>
      </c>
      <c r="Q173" s="865" t="inlineStr">
        <is>
          <t>Squad</t>
        </is>
      </c>
      <c r="R173" s="865" t="inlineStr">
        <is>
          <t>Filled</t>
        </is>
      </c>
    </row>
    <row r="174" ht="18" customHeight="1" s="866">
      <c r="A174" s="1566" t="n">
        <v>109041</v>
      </c>
      <c r="B174" s="1382" t="inlineStr">
        <is>
          <t>Darwin Morales</t>
        </is>
      </c>
      <c r="C174" s="1382" t="inlineStr">
        <is>
          <t>Snr Engineer - FE</t>
        </is>
      </c>
      <c r="D174" s="1382" t="inlineStr">
        <is>
          <t>Vacant</t>
        </is>
      </c>
      <c r="E174" s="1382" t="inlineStr">
        <is>
          <t>Technology Manager, Digitial</t>
        </is>
      </c>
      <c r="F174" s="1382" t="inlineStr">
        <is>
          <t>Customer</t>
        </is>
      </c>
      <c r="G174" s="1567" t="inlineStr">
        <is>
          <t>Digital</t>
        </is>
      </c>
      <c r="H174" s="1382" t="inlineStr">
        <is>
          <t>Digital, Tech</t>
        </is>
      </c>
      <c r="I174" s="1567" t="inlineStr">
        <is>
          <t>Customer</t>
        </is>
      </c>
      <c r="J174" s="1382" t="inlineStr">
        <is>
          <t>Ampol Digital</t>
        </is>
      </c>
      <c r="K174" s="1382" t="inlineStr">
        <is>
          <t>Ampol Web</t>
        </is>
      </c>
      <c r="L174" s="1567" t="n"/>
      <c r="M174" s="1568" t="inlineStr">
        <is>
          <t>Australia</t>
        </is>
      </c>
      <c r="N174" s="865" t="inlineStr">
        <is>
          <t>Customer</t>
        </is>
      </c>
      <c r="O174" s="865" t="inlineStr">
        <is>
          <t>Ampol Digital</t>
        </is>
      </c>
      <c r="P174" s="865" t="inlineStr">
        <is>
          <t>Ampol Web</t>
        </is>
      </c>
      <c r="Q174" s="865" t="inlineStr">
        <is>
          <t>Squad</t>
        </is>
      </c>
      <c r="R174" s="865" t="inlineStr">
        <is>
          <t>Filled</t>
        </is>
      </c>
    </row>
    <row r="175" ht="18" customHeight="1" s="866">
      <c r="A175" s="1566" t="n">
        <v>116387</v>
      </c>
      <c r="B175" s="1382" t="inlineStr">
        <is>
          <t>Christian Lazano</t>
        </is>
      </c>
      <c r="C175" s="1382" t="inlineStr">
        <is>
          <t>Business Analyst</t>
        </is>
      </c>
      <c r="D175" s="1382" t="inlineStr">
        <is>
          <t>Vacant</t>
        </is>
      </c>
      <c r="E175" s="1382" t="inlineStr">
        <is>
          <t>customer, program manager</t>
        </is>
      </c>
      <c r="F175" s="1382" t="inlineStr">
        <is>
          <t>Customer</t>
        </is>
      </c>
      <c r="G175" s="1567" t="inlineStr">
        <is>
          <t>Customer, PMO</t>
        </is>
      </c>
      <c r="H175" s="1382" t="n"/>
      <c r="I175" s="1382" t="inlineStr">
        <is>
          <t>Customer</t>
        </is>
      </c>
      <c r="J175" s="1567" t="inlineStr">
        <is>
          <t>(All Customer)</t>
        </is>
      </c>
      <c r="K175" s="1382" t="inlineStr">
        <is>
          <t>Leadership</t>
        </is>
      </c>
      <c r="L175" s="1567" t="n"/>
      <c r="M175" s="1568" t="inlineStr">
        <is>
          <t>Australia</t>
        </is>
      </c>
      <c r="N175" s="865" t="inlineStr">
        <is>
          <t>Customer</t>
        </is>
      </c>
      <c r="O175" s="865" t="inlineStr">
        <is>
          <t>Leadership</t>
        </is>
      </c>
      <c r="P175" s="865" t="inlineStr">
        <is>
          <t>Leadership</t>
        </is>
      </c>
      <c r="Q175" s="865" t="inlineStr">
        <is>
          <t>Leadership</t>
        </is>
      </c>
      <c r="R175" s="865" t="inlineStr">
        <is>
          <t>Filled</t>
        </is>
      </c>
    </row>
    <row r="176" ht="18" customHeight="1" s="866">
      <c r="A176" s="1566" t="n">
        <v>116408</v>
      </c>
      <c r="B176" s="1382" t="inlineStr">
        <is>
          <t>Abhilash Reddy</t>
        </is>
      </c>
      <c r="C176" s="1382" t="inlineStr">
        <is>
          <t>Project Manager</t>
        </is>
      </c>
      <c r="D176" s="1382" t="inlineStr">
        <is>
          <t>Vacant</t>
        </is>
      </c>
      <c r="E176" s="1382" t="inlineStr">
        <is>
          <t>Program Manager</t>
        </is>
      </c>
      <c r="F176" s="1382" t="inlineStr">
        <is>
          <t>Customer</t>
        </is>
      </c>
      <c r="G176" s="1567" t="inlineStr">
        <is>
          <t>Customer, PMO</t>
        </is>
      </c>
      <c r="H176" s="1382" t="n"/>
      <c r="I176" s="1382" t="inlineStr">
        <is>
          <t>Customer</t>
        </is>
      </c>
      <c r="J176" s="1382" t="inlineStr">
        <is>
          <t>Ampol Digital</t>
        </is>
      </c>
      <c r="K176" s="1382" t="inlineStr">
        <is>
          <t>Leadership</t>
        </is>
      </c>
      <c r="L176" s="1567" t="n"/>
      <c r="M176" s="1568" t="inlineStr">
        <is>
          <t>Australia</t>
        </is>
      </c>
      <c r="N176" s="865" t="inlineStr">
        <is>
          <t>Customer</t>
        </is>
      </c>
      <c r="O176" s="865" t="inlineStr">
        <is>
          <t>Leadership</t>
        </is>
      </c>
      <c r="P176" s="865" t="inlineStr">
        <is>
          <t>Leadership</t>
        </is>
      </c>
      <c r="Q176" s="865" t="inlineStr">
        <is>
          <t>Leadership</t>
        </is>
      </c>
      <c r="R176" s="865" t="inlineStr">
        <is>
          <t>Filled</t>
        </is>
      </c>
    </row>
    <row r="177" ht="18" customHeight="1" s="866">
      <c r="A177" s="1566" t="n">
        <v>99999102164</v>
      </c>
      <c r="B177" s="1581" t="inlineStr">
        <is>
          <t>anthonty gen</t>
        </is>
      </c>
      <c r="C177" s="1567" t="inlineStr">
        <is>
          <t>Data Analyst</t>
        </is>
      </c>
      <c r="D177" s="1567" t="inlineStr">
        <is>
          <t>Vacant</t>
        </is>
      </c>
      <c r="E177" s="1567" t="inlineStr">
        <is>
          <t>Technology Manager, Data &amp; Engineering</t>
        </is>
      </c>
      <c r="F177" s="1382" t="inlineStr">
        <is>
          <t>Customer</t>
        </is>
      </c>
      <c r="G177" s="1567" t="inlineStr">
        <is>
          <t>Loyatly &amp; Martec</t>
        </is>
      </c>
      <c r="H177" s="1382" t="inlineStr">
        <is>
          <t>Loyalty, Data &amp; Engineering</t>
        </is>
      </c>
      <c r="I177" s="1382" t="inlineStr">
        <is>
          <t>Customer</t>
        </is>
      </c>
      <c r="J177" s="1567" t="inlineStr">
        <is>
          <t>Group Customer</t>
        </is>
      </c>
      <c r="K177" s="1382" t="inlineStr">
        <is>
          <t>Z Energy Martech</t>
        </is>
      </c>
      <c r="L177" s="1567" t="n"/>
      <c r="M177" s="1568" t="inlineStr">
        <is>
          <t>NZ</t>
        </is>
      </c>
      <c r="N177" s="865" t="inlineStr">
        <is>
          <t>Customer</t>
        </is>
      </c>
      <c r="O177" s="865" t="inlineStr">
        <is>
          <t>Customer Z</t>
        </is>
      </c>
      <c r="P177" s="865" t="inlineStr">
        <is>
          <t>Z Energy Martech</t>
        </is>
      </c>
      <c r="Q177" s="865" t="inlineStr">
        <is>
          <t>Squad</t>
        </is>
      </c>
      <c r="R177" s="865" t="inlineStr">
        <is>
          <t>Filled</t>
        </is>
      </c>
    </row>
    <row r="178" ht="18" customHeight="1" s="866">
      <c r="A178" s="1566" t="n">
        <v>111777</v>
      </c>
      <c r="B178" s="1571" t="inlineStr">
        <is>
          <t>Jeremy Xu</t>
        </is>
      </c>
      <c r="C178" s="1567" t="inlineStr">
        <is>
          <t>Data Analyst</t>
        </is>
      </c>
      <c r="D178" s="1567" t="inlineStr">
        <is>
          <t>Vacant</t>
        </is>
      </c>
      <c r="E178" s="1567" t="inlineStr">
        <is>
          <t>Technology Manager, Data &amp; Engineering</t>
        </is>
      </c>
      <c r="F178" s="1382" t="inlineStr">
        <is>
          <t>Customer</t>
        </is>
      </c>
      <c r="G178" s="1567" t="inlineStr">
        <is>
          <t>Loyatly &amp; Martec</t>
        </is>
      </c>
      <c r="H178" s="1382" t="inlineStr">
        <is>
          <t>Loyalty, Data &amp; Engineering</t>
        </is>
      </c>
      <c r="I178" s="1382" t="inlineStr">
        <is>
          <t>Customer</t>
        </is>
      </c>
      <c r="J178" s="1567" t="inlineStr">
        <is>
          <t>Group Customer</t>
        </is>
      </c>
      <c r="K178" s="1382" t="inlineStr">
        <is>
          <t>AU CRM &amp; Martech</t>
        </is>
      </c>
      <c r="L178" s="1567" t="n"/>
      <c r="M178" s="1568" t="inlineStr">
        <is>
          <t>Australia</t>
        </is>
      </c>
      <c r="N178" s="865" t="inlineStr">
        <is>
          <t>Customer</t>
        </is>
      </c>
      <c r="O178" s="865" t="inlineStr">
        <is>
          <t>Group Customer Platforms</t>
        </is>
      </c>
      <c r="P178" s="865" t="inlineStr">
        <is>
          <t>AU CRM &amp; Martech</t>
        </is>
      </c>
      <c r="Q178" s="865" t="inlineStr">
        <is>
          <t>Squad</t>
        </is>
      </c>
      <c r="R178" s="865" t="inlineStr">
        <is>
          <t>Filled</t>
        </is>
      </c>
    </row>
    <row r="179" ht="18" customHeight="1" s="866">
      <c r="A179" s="1566" t="n"/>
      <c r="B179" s="1382" t="inlineStr">
        <is>
          <t>Sri Balan Raj</t>
        </is>
      </c>
      <c r="C179" s="1382" t="inlineStr">
        <is>
          <t>Business Analyst</t>
        </is>
      </c>
      <c r="D179" s="1567" t="inlineStr">
        <is>
          <t>vacant</t>
        </is>
      </c>
      <c r="E179" s="1382" t="inlineStr">
        <is>
          <t>Delivery Manager, Digital</t>
        </is>
      </c>
      <c r="F179" s="1382" t="inlineStr">
        <is>
          <t>Customer</t>
        </is>
      </c>
      <c r="G179" s="1567" t="inlineStr">
        <is>
          <t>Digital</t>
        </is>
      </c>
      <c r="H179" s="1567" t="inlineStr">
        <is>
          <t>Digital, Delivery</t>
        </is>
      </c>
      <c r="I179" s="1567" t="inlineStr">
        <is>
          <t>EGI Integration</t>
        </is>
      </c>
      <c r="J179" s="1382" t="inlineStr">
        <is>
          <t>EGI</t>
        </is>
      </c>
      <c r="K179" s="1382" t="inlineStr">
        <is>
          <t>EGI Customer</t>
        </is>
      </c>
      <c r="L179" s="1567" t="n"/>
      <c r="M179" s="1568" t="inlineStr">
        <is>
          <t>Australia</t>
        </is>
      </c>
      <c r="N179" s="865" t="inlineStr">
        <is>
          <t>Customer</t>
        </is>
      </c>
      <c r="O179" s="865" t="inlineStr">
        <is>
          <t>EGI Customer</t>
        </is>
      </c>
      <c r="P179" s="865" t="inlineStr">
        <is>
          <t>EGI Customer</t>
        </is>
      </c>
      <c r="Q179" s="865" t="inlineStr">
        <is>
          <t>Strategic Program</t>
        </is>
      </c>
      <c r="R179" s="865" t="inlineStr">
        <is>
          <t>Filled</t>
        </is>
      </c>
    </row>
    <row r="180" ht="18" customHeight="1" s="866">
      <c r="A180" s="1566" t="n"/>
      <c r="B180" s="1581" t="inlineStr">
        <is>
          <t>Vacant</t>
        </is>
      </c>
      <c r="C180" s="1567" t="inlineStr">
        <is>
          <t>Snr Engineer, Data</t>
        </is>
      </c>
      <c r="D180" s="1567" t="inlineStr">
        <is>
          <t>Vacant</t>
        </is>
      </c>
      <c r="E180" s="1557" t="inlineStr">
        <is>
          <t>Technology Manager, Data &amp; Engineering</t>
        </is>
      </c>
      <c r="F180" s="1382" t="inlineStr">
        <is>
          <t>Customer</t>
        </is>
      </c>
      <c r="G180" s="1567" t="inlineStr">
        <is>
          <t>Loyatly &amp; Martec</t>
        </is>
      </c>
      <c r="H180" s="1382" t="inlineStr">
        <is>
          <t>Loyalty, Data &amp; Engineering</t>
        </is>
      </c>
      <c r="I180" s="1382" t="inlineStr">
        <is>
          <t>Customer</t>
        </is>
      </c>
      <c r="J180" s="1567" t="inlineStr">
        <is>
          <t>Customer Z</t>
        </is>
      </c>
      <c r="K180" s="1567" t="inlineStr">
        <is>
          <t>Z Energy Martech</t>
        </is>
      </c>
      <c r="L180" s="1567" t="n"/>
      <c r="M180" s="1568" t="n"/>
      <c r="N180" s="865" t="inlineStr">
        <is>
          <t>Customer</t>
        </is>
      </c>
      <c r="O180" s="865" t="inlineStr">
        <is>
          <t>Customer Z</t>
        </is>
      </c>
      <c r="P180" s="865" t="inlineStr">
        <is>
          <t>Z Energy Martech</t>
        </is>
      </c>
      <c r="Q180" s="865" t="inlineStr">
        <is>
          <t>Squad</t>
        </is>
      </c>
      <c r="R180" s="865" t="inlineStr">
        <is>
          <t>Vacant</t>
        </is>
      </c>
    </row>
    <row r="181" ht="18" customHeight="1" s="866">
      <c r="A181" s="1566" t="n">
        <v>94663</v>
      </c>
      <c r="B181" s="1382" t="inlineStr">
        <is>
          <t>Penny Pennisi</t>
        </is>
      </c>
      <c r="C181" s="1382" t="inlineStr">
        <is>
          <t>Delivery Lead</t>
        </is>
      </c>
      <c r="D181" s="1567" t="inlineStr">
        <is>
          <t>vacant</t>
        </is>
      </c>
      <c r="E181" s="1382" t="inlineStr">
        <is>
          <t>Delivery Manager, Digital</t>
        </is>
      </c>
      <c r="F181" s="1382" t="inlineStr">
        <is>
          <t>Customer</t>
        </is>
      </c>
      <c r="G181" s="1567" t="inlineStr">
        <is>
          <t>Digital</t>
        </is>
      </c>
      <c r="H181" s="1567" t="inlineStr">
        <is>
          <t>Digital, Delivery</t>
        </is>
      </c>
      <c r="I181" s="1567" t="inlineStr">
        <is>
          <t>Customer</t>
        </is>
      </c>
      <c r="J181" s="1382" t="inlineStr">
        <is>
          <t>Ampol Digital</t>
        </is>
      </c>
      <c r="K181" s="1382" t="inlineStr">
        <is>
          <t>Ampol App</t>
        </is>
      </c>
      <c r="L181" s="1567" t="n"/>
      <c r="M181" s="1568" t="inlineStr">
        <is>
          <t>Australia</t>
        </is>
      </c>
      <c r="N181" s="865" t="inlineStr">
        <is>
          <t>Customer</t>
        </is>
      </c>
      <c r="O181" s="865" t="inlineStr">
        <is>
          <t>Ampol Digital</t>
        </is>
      </c>
      <c r="P181" s="865" t="inlineStr">
        <is>
          <t>Ampol App</t>
        </is>
      </c>
      <c r="Q181" s="865" t="inlineStr">
        <is>
          <t>Squad</t>
        </is>
      </c>
      <c r="R181" s="865" t="inlineStr">
        <is>
          <t>Filled</t>
        </is>
      </c>
    </row>
    <row r="182" ht="18" customHeight="1" s="866">
      <c r="A182" s="1566" t="n">
        <v>108384</v>
      </c>
      <c r="B182" s="1382" t="inlineStr">
        <is>
          <t>Saugata Acharya</t>
        </is>
      </c>
      <c r="C182" s="1382" t="inlineStr">
        <is>
          <t>Delivery Lead</t>
        </is>
      </c>
      <c r="D182" s="1567" t="inlineStr">
        <is>
          <t>Vacant</t>
        </is>
      </c>
      <c r="E182" s="1382" t="inlineStr">
        <is>
          <t>Delivery Manager, Digital</t>
        </is>
      </c>
      <c r="F182" s="1382" t="inlineStr">
        <is>
          <t>Customer</t>
        </is>
      </c>
      <c r="G182" s="1567" t="inlineStr">
        <is>
          <t>Digital</t>
        </is>
      </c>
      <c r="H182" s="1567" t="inlineStr">
        <is>
          <t>Digital, Delivery</t>
        </is>
      </c>
      <c r="I182" s="1567" t="inlineStr">
        <is>
          <t>Customer</t>
        </is>
      </c>
      <c r="J182" s="1382" t="inlineStr">
        <is>
          <t>Ampol Digital</t>
        </is>
      </c>
      <c r="K182" s="1382" t="inlineStr">
        <is>
          <t>Ampol Web</t>
        </is>
      </c>
      <c r="L182" s="1567" t="n"/>
      <c r="M182" s="1568" t="inlineStr">
        <is>
          <t>Australia</t>
        </is>
      </c>
      <c r="N182" s="865" t="inlineStr">
        <is>
          <t>Customer</t>
        </is>
      </c>
      <c r="O182" s="865" t="inlineStr">
        <is>
          <t>Ampol Digital</t>
        </is>
      </c>
      <c r="P182" s="865" t="inlineStr">
        <is>
          <t>Ampol Web</t>
        </is>
      </c>
      <c r="Q182" s="865" t="inlineStr">
        <is>
          <t>Squad</t>
        </is>
      </c>
      <c r="R182" s="865" t="inlineStr">
        <is>
          <t>Filled</t>
        </is>
      </c>
    </row>
    <row r="183" ht="18" customHeight="1" s="866">
      <c r="A183" s="1566" t="n">
        <v>99999100621</v>
      </c>
      <c r="B183" s="1571" t="inlineStr">
        <is>
          <t>Kellie Gathergood</t>
        </is>
      </c>
      <c r="C183" s="1567" t="inlineStr">
        <is>
          <t>Lead Quality Assurance</t>
        </is>
      </c>
      <c r="D183" s="1567" t="inlineStr">
        <is>
          <t>Vacant</t>
        </is>
      </c>
      <c r="E183" s="1567" t="inlineStr">
        <is>
          <t>Technology Manager, Loyalty &amp; Martech</t>
        </is>
      </c>
      <c r="F183" s="1382" t="inlineStr">
        <is>
          <t>Customer</t>
        </is>
      </c>
      <c r="G183" s="1567" t="inlineStr">
        <is>
          <t>Loyatly &amp; Martec</t>
        </is>
      </c>
      <c r="H183" s="1567" t="inlineStr">
        <is>
          <t>Loyalty, Tech</t>
        </is>
      </c>
      <c r="I183" s="1382" t="inlineStr">
        <is>
          <t>Customer</t>
        </is>
      </c>
      <c r="J183" s="1567" t="inlineStr">
        <is>
          <t>Customer Z</t>
        </is>
      </c>
      <c r="K183" s="1567" t="inlineStr">
        <is>
          <t>Z Energy Martech</t>
        </is>
      </c>
      <c r="L183" s="1567" t="n"/>
      <c r="M183" s="1568" t="inlineStr">
        <is>
          <t>NZ</t>
        </is>
      </c>
      <c r="N183" s="865" t="inlineStr">
        <is>
          <t>Customer</t>
        </is>
      </c>
      <c r="O183" s="865" t="inlineStr">
        <is>
          <t>Customer Z</t>
        </is>
      </c>
      <c r="P183" s="865" t="inlineStr">
        <is>
          <t>Z Energy Martech</t>
        </is>
      </c>
      <c r="Q183" s="865" t="inlineStr">
        <is>
          <t>Squad</t>
        </is>
      </c>
      <c r="R183" s="865" t="inlineStr">
        <is>
          <t>Filled</t>
        </is>
      </c>
    </row>
    <row r="184" ht="18" customHeight="1" s="866">
      <c r="A184" s="1566" t="n"/>
      <c r="B184" s="1382" t="inlineStr">
        <is>
          <t>Vacant</t>
        </is>
      </c>
      <c r="C184" s="1382" t="inlineStr">
        <is>
          <t>Quality Assurance</t>
        </is>
      </c>
      <c r="D184" s="1382" t="inlineStr">
        <is>
          <t>Vacant</t>
        </is>
      </c>
      <c r="E184" s="1382" t="inlineStr">
        <is>
          <t>Digital Support Manager(AU)</t>
        </is>
      </c>
      <c r="F184" s="1382" t="inlineStr">
        <is>
          <t>Customer</t>
        </is>
      </c>
      <c r="G184" s="1567" t="inlineStr">
        <is>
          <t>Digital</t>
        </is>
      </c>
      <c r="H184" s="1382" t="inlineStr">
        <is>
          <t>Digital Support (AU)</t>
        </is>
      </c>
      <c r="I184" s="1567" t="inlineStr">
        <is>
          <t>Customer</t>
        </is>
      </c>
      <c r="J184" s="1382" t="inlineStr">
        <is>
          <t>Ampol Digital</t>
        </is>
      </c>
      <c r="K184" s="1382" t="inlineStr">
        <is>
          <t>Digital Ops Support</t>
        </is>
      </c>
      <c r="L184" s="1567" t="n"/>
      <c r="M184" s="1568" t="inlineStr">
        <is>
          <t>Australia</t>
        </is>
      </c>
      <c r="N184" s="865" t="inlineStr">
        <is>
          <t>Customer</t>
        </is>
      </c>
      <c r="O184" s="865" t="inlineStr">
        <is>
          <t>Ampol Digital</t>
        </is>
      </c>
      <c r="P184" s="865" t="inlineStr">
        <is>
          <t>Digital Operations</t>
        </is>
      </c>
      <c r="Q184" s="865" t="inlineStr">
        <is>
          <t>Squad</t>
        </is>
      </c>
      <c r="R184" s="865" t="inlineStr">
        <is>
          <t>Vacant</t>
        </is>
      </c>
    </row>
    <row r="185" ht="18" customHeight="1" s="866">
      <c r="A185" s="1566" t="n">
        <v>0</v>
      </c>
      <c r="B185" s="1382" t="inlineStr">
        <is>
          <t>Lily Fong</t>
        </is>
      </c>
      <c r="C185" s="1382" t="inlineStr">
        <is>
          <t>Snr Business Analyst</t>
        </is>
      </c>
      <c r="D185" s="1567" t="inlineStr">
        <is>
          <t>vacant</t>
        </is>
      </c>
      <c r="E185" s="1382" t="inlineStr">
        <is>
          <t>Delivery Manager, Digital</t>
        </is>
      </c>
      <c r="F185" s="1382" t="inlineStr">
        <is>
          <t>Customer</t>
        </is>
      </c>
      <c r="G185" s="1567" t="inlineStr">
        <is>
          <t>Digital</t>
        </is>
      </c>
      <c r="H185" s="1567" t="inlineStr">
        <is>
          <t>Ampol Retail, Store Platforms</t>
        </is>
      </c>
      <c r="I185" s="1567" t="inlineStr">
        <is>
          <t>Customer</t>
        </is>
      </c>
      <c r="J185" s="1382" t="inlineStr">
        <is>
          <t>Ampol Digital</t>
        </is>
      </c>
      <c r="K185" s="1382" t="inlineStr">
        <is>
          <t>Ampol Web</t>
        </is>
      </c>
      <c r="L185" s="1567" t="n"/>
      <c r="M185" s="1568" t="inlineStr">
        <is>
          <t>Australia</t>
        </is>
      </c>
      <c r="N185" s="865" t="inlineStr">
        <is>
          <t>Customer</t>
        </is>
      </c>
      <c r="O185" s="865" t="inlineStr">
        <is>
          <t>Ampol Digital</t>
        </is>
      </c>
      <c r="P185" s="865" t="inlineStr">
        <is>
          <t>Ampol Web</t>
        </is>
      </c>
      <c r="Q185" s="865" t="inlineStr">
        <is>
          <t>Squad</t>
        </is>
      </c>
      <c r="R185" s="865" t="inlineStr">
        <is>
          <t>Filled</t>
        </is>
      </c>
    </row>
    <row r="186" ht="18" customHeight="1" s="866">
      <c r="A186" s="1566" t="n"/>
      <c r="B186" s="1581" t="inlineStr">
        <is>
          <t>Vacant</t>
        </is>
      </c>
      <c r="C186" s="1567" t="inlineStr">
        <is>
          <t>Quality Assurance</t>
        </is>
      </c>
      <c r="D186" s="1567" t="inlineStr">
        <is>
          <t>Vacant</t>
        </is>
      </c>
      <c r="E186" s="1567" t="inlineStr">
        <is>
          <t>Delivery Manager, Loyalty</t>
        </is>
      </c>
      <c r="F186" s="1382" t="inlineStr">
        <is>
          <t>Customer</t>
        </is>
      </c>
      <c r="G186" s="1567" t="inlineStr">
        <is>
          <t>Loyalty &amp; Martech</t>
        </is>
      </c>
      <c r="H186" s="1382" t="inlineStr">
        <is>
          <t xml:space="preserve">Loyalty, Delivery </t>
        </is>
      </c>
      <c r="I186" s="1382" t="inlineStr">
        <is>
          <t>Customer</t>
        </is>
      </c>
      <c r="J186" s="1567" t="inlineStr">
        <is>
          <t>Group Customer</t>
        </is>
      </c>
      <c r="K186" s="1567" t="inlineStr">
        <is>
          <t>AU CRM &amp; Martech</t>
        </is>
      </c>
      <c r="L186" s="1567" t="n"/>
      <c r="M186" s="1568" t="n"/>
      <c r="N186" s="865" t="inlineStr">
        <is>
          <t>Customer</t>
        </is>
      </c>
      <c r="O186" s="865" t="inlineStr">
        <is>
          <t>Group Customer Platforms</t>
        </is>
      </c>
      <c r="P186" s="865" t="inlineStr">
        <is>
          <t>AU CRM &amp; Martech</t>
        </is>
      </c>
      <c r="Q186" s="865" t="inlineStr">
        <is>
          <t>Squad</t>
        </is>
      </c>
      <c r="R186" s="865" t="inlineStr">
        <is>
          <t>Vacant</t>
        </is>
      </c>
    </row>
    <row r="187" ht="18" customHeight="1" s="866">
      <c r="A187" s="1566" t="n">
        <v>0</v>
      </c>
      <c r="B187" s="1382" t="inlineStr">
        <is>
          <t>Swapnil Pithwa</t>
        </is>
      </c>
      <c r="C187" s="1382" t="inlineStr">
        <is>
          <t>Engineer - BE</t>
        </is>
      </c>
      <c r="D187" s="1382" t="inlineStr">
        <is>
          <t>vacant</t>
        </is>
      </c>
      <c r="E187" s="1382" t="inlineStr">
        <is>
          <t>Technology Manager, Digital Engineering</t>
        </is>
      </c>
      <c r="F187" s="1382" t="inlineStr">
        <is>
          <t>Customer</t>
        </is>
      </c>
      <c r="G187" s="1567" t="inlineStr">
        <is>
          <t>Digital</t>
        </is>
      </c>
      <c r="H187" s="1567" t="inlineStr">
        <is>
          <t>Tech, Digital Engineering</t>
        </is>
      </c>
      <c r="I187" s="1567" t="inlineStr">
        <is>
          <t>Commercial Fuels</t>
        </is>
      </c>
      <c r="J187" s="1382" t="inlineStr">
        <is>
          <t>CTRM</t>
        </is>
      </c>
      <c r="K187" s="1382" t="inlineStr">
        <is>
          <t>CTRM</t>
        </is>
      </c>
      <c r="L187" s="1567" t="n"/>
      <c r="M187" s="1568" t="inlineStr">
        <is>
          <t>Australia</t>
        </is>
      </c>
      <c r="N187" s="865" t="inlineStr">
        <is>
          <t>Commercial Fuels</t>
        </is>
      </c>
      <c r="O187" s="865" t="inlineStr">
        <is>
          <t>CTRM</t>
        </is>
      </c>
      <c r="P187" s="865" t="inlineStr">
        <is>
          <t>CTRM</t>
        </is>
      </c>
      <c r="Q187" s="865" t="inlineStr">
        <is>
          <t>Strategic Program</t>
        </is>
      </c>
      <c r="R187" s="865" t="inlineStr">
        <is>
          <t>Filled</t>
        </is>
      </c>
    </row>
    <row r="188" ht="18" customHeight="1" s="866">
      <c r="A188" s="1566" t="n"/>
      <c r="B188" s="1382" t="inlineStr">
        <is>
          <t>Vacant</t>
        </is>
      </c>
      <c r="C188" s="1382" t="inlineStr">
        <is>
          <t>Technology Manager, Engineering</t>
        </is>
      </c>
      <c r="D188" s="1382" t="inlineStr">
        <is>
          <t>Vacant</t>
        </is>
      </c>
      <c r="E188" s="1382" t="inlineStr">
        <is>
          <t>Head of Technology, Digital</t>
        </is>
      </c>
      <c r="F188" s="1382" t="inlineStr">
        <is>
          <t>Customer</t>
        </is>
      </c>
      <c r="G188" s="1567" t="inlineStr">
        <is>
          <t>Loyalty &amp; Martech</t>
        </is>
      </c>
      <c r="H188" s="1567" t="inlineStr">
        <is>
          <t>Tech, Digital Engineering</t>
        </is>
      </c>
      <c r="I188" s="1567" t="inlineStr">
        <is>
          <t>Customer</t>
        </is>
      </c>
      <c r="J188" s="1382" t="inlineStr">
        <is>
          <t>Ampol Digital</t>
        </is>
      </c>
      <c r="K188" s="1382" t="inlineStr">
        <is>
          <t>Leadership</t>
        </is>
      </c>
      <c r="L188" s="1567" t="n"/>
      <c r="M188" s="1568" t="inlineStr">
        <is>
          <t>Australia</t>
        </is>
      </c>
      <c r="N188" s="865" t="inlineStr">
        <is>
          <t>Customer</t>
        </is>
      </c>
      <c r="O188" s="865" t="inlineStr">
        <is>
          <t>Leadership</t>
        </is>
      </c>
      <c r="P188" s="865" t="inlineStr">
        <is>
          <t>Leadership</t>
        </is>
      </c>
      <c r="Q188" s="865" t="inlineStr">
        <is>
          <t>Leadership</t>
        </is>
      </c>
      <c r="R188" s="865" t="inlineStr">
        <is>
          <t>Vacant</t>
        </is>
      </c>
    </row>
    <row r="189" ht="18" customHeight="1" s="866">
      <c r="A189" s="1566" t="n">
        <v>0</v>
      </c>
      <c r="B189" s="1382" t="inlineStr">
        <is>
          <t>Rob Jadrjevic</t>
        </is>
      </c>
      <c r="C189" s="1382" t="inlineStr">
        <is>
          <t>Engineer - BE</t>
        </is>
      </c>
      <c r="D189" s="1382" t="inlineStr">
        <is>
          <t>Vacant</t>
        </is>
      </c>
      <c r="E189" s="1382" t="inlineStr">
        <is>
          <t>Technology Manager, Digital Engineering</t>
        </is>
      </c>
      <c r="F189" s="1382" t="inlineStr">
        <is>
          <t>Customer</t>
        </is>
      </c>
      <c r="G189" s="1567" t="inlineStr">
        <is>
          <t>Digital</t>
        </is>
      </c>
      <c r="H189" s="1567" t="inlineStr">
        <is>
          <t>Delivery, Commercial Fuels</t>
        </is>
      </c>
      <c r="I189" s="1567" t="inlineStr">
        <is>
          <t>EGI Integration</t>
        </is>
      </c>
      <c r="J189" s="1382" t="inlineStr">
        <is>
          <t>EGI</t>
        </is>
      </c>
      <c r="K189" s="1382" t="inlineStr">
        <is>
          <t>EGI Customer</t>
        </is>
      </c>
      <c r="L189" s="1567" t="n"/>
      <c r="M189" s="1568" t="inlineStr">
        <is>
          <t>Australia</t>
        </is>
      </c>
      <c r="N189" s="865" t="inlineStr">
        <is>
          <t>Customer</t>
        </is>
      </c>
      <c r="O189" s="865" t="inlineStr">
        <is>
          <t>EGI Customer</t>
        </is>
      </c>
      <c r="P189" s="865" t="inlineStr">
        <is>
          <t>EGI Customer</t>
        </is>
      </c>
      <c r="Q189" s="865" t="inlineStr">
        <is>
          <t>Strategic Program</t>
        </is>
      </c>
      <c r="R189" s="865" t="inlineStr">
        <is>
          <t>Filled</t>
        </is>
      </c>
    </row>
    <row r="190" ht="18" customHeight="1" s="866">
      <c r="A190" s="1566" t="n">
        <v>0</v>
      </c>
      <c r="B190" s="1382" t="inlineStr">
        <is>
          <t>Andy Stewart</t>
        </is>
      </c>
      <c r="C190" s="1382" t="inlineStr">
        <is>
          <t>Head of Technology, Loyalty &amp; Martech</t>
        </is>
      </c>
      <c r="D190" s="1382" t="inlineStr">
        <is>
          <t>Vacant</t>
        </is>
      </c>
      <c r="E190" s="1382" t="inlineStr">
        <is>
          <t>GM TDD, Customer</t>
        </is>
      </c>
      <c r="F190" s="1382" t="inlineStr">
        <is>
          <t>Customer</t>
        </is>
      </c>
      <c r="G190" s="1567" t="inlineStr">
        <is>
          <t>Loyalty &amp; Martech</t>
        </is>
      </c>
      <c r="H190" s="1382" t="n"/>
      <c r="I190" s="1382" t="inlineStr">
        <is>
          <t>Customer</t>
        </is>
      </c>
      <c r="J190" s="1382" t="inlineStr">
        <is>
          <t>Customer Z, Group Customer Platforms</t>
        </is>
      </c>
      <c r="K190" s="1382" t="inlineStr">
        <is>
          <t>Leadership</t>
        </is>
      </c>
      <c r="L190" s="1567" t="n"/>
      <c r="M190" s="1568" t="n">
        <v>0</v>
      </c>
      <c r="N190" s="865" t="inlineStr">
        <is>
          <t>Customer</t>
        </is>
      </c>
      <c r="O190" s="865" t="inlineStr">
        <is>
          <t>Leadership</t>
        </is>
      </c>
      <c r="P190" s="865" t="inlineStr">
        <is>
          <t>Leadership</t>
        </is>
      </c>
      <c r="Q190" s="865" t="inlineStr">
        <is>
          <t>Leadership</t>
        </is>
      </c>
      <c r="R190" s="865" t="inlineStr">
        <is>
          <t>Filled</t>
        </is>
      </c>
    </row>
    <row r="191" ht="18" customHeight="1" s="866">
      <c r="A191" s="1566" t="n">
        <v>99999100847</v>
      </c>
      <c r="B191" s="1571" t="inlineStr">
        <is>
          <t>Nimi Rose</t>
        </is>
      </c>
      <c r="C191" s="1567" t="inlineStr">
        <is>
          <t>Marketing Technology Lead</t>
        </is>
      </c>
      <c r="D191" s="1567" t="inlineStr">
        <is>
          <t>Vacant</t>
        </is>
      </c>
      <c r="E191" s="1567" t="inlineStr">
        <is>
          <t>Technology Manager, Loyalty &amp; Martech</t>
        </is>
      </c>
      <c r="F191" s="1382" t="inlineStr">
        <is>
          <t>Customer</t>
        </is>
      </c>
      <c r="G191" s="1567" t="inlineStr">
        <is>
          <t>Loyatly &amp; Martec</t>
        </is>
      </c>
      <c r="H191" s="1567" t="inlineStr">
        <is>
          <t>Loyalty, Tech</t>
        </is>
      </c>
      <c r="I191" s="1382" t="inlineStr">
        <is>
          <t>Customer</t>
        </is>
      </c>
      <c r="J191" s="1567" t="inlineStr">
        <is>
          <t>Customer Z</t>
        </is>
      </c>
      <c r="K191" s="1567" t="inlineStr">
        <is>
          <t>Z Energy Martech</t>
        </is>
      </c>
      <c r="L191" s="1567" t="n"/>
      <c r="M191" s="1568" t="inlineStr">
        <is>
          <t>NZ</t>
        </is>
      </c>
      <c r="N191" s="865" t="inlineStr">
        <is>
          <t>Customer</t>
        </is>
      </c>
      <c r="O191" s="865" t="inlineStr">
        <is>
          <t>Customer Z</t>
        </is>
      </c>
      <c r="P191" s="865" t="inlineStr">
        <is>
          <t>Z Energy Martech</t>
        </is>
      </c>
      <c r="Q191" s="865" t="inlineStr">
        <is>
          <t>Squad</t>
        </is>
      </c>
      <c r="R191" s="865" t="inlineStr">
        <is>
          <t>Filled</t>
        </is>
      </c>
    </row>
    <row r="192" ht="18" customHeight="1" s="866">
      <c r="A192" s="1566" t="n">
        <v>114650</v>
      </c>
      <c r="B192" s="1382" t="inlineStr">
        <is>
          <t>Jin Zhong</t>
        </is>
      </c>
      <c r="C192" s="1382" t="inlineStr">
        <is>
          <t>Lead Engineer - BE</t>
        </is>
      </c>
      <c r="D192" s="1382" t="inlineStr">
        <is>
          <t>vacant</t>
        </is>
      </c>
      <c r="E192" s="1382" t="inlineStr">
        <is>
          <t>Technology Manager, Digital Engineering</t>
        </is>
      </c>
      <c r="F192" s="1382" t="inlineStr">
        <is>
          <t>Customer</t>
        </is>
      </c>
      <c r="G192" s="1567" t="inlineStr">
        <is>
          <t>Digital</t>
        </is>
      </c>
      <c r="H192" s="1567" t="inlineStr">
        <is>
          <t>Tech, Digital Engineering</t>
        </is>
      </c>
      <c r="I192" s="1567" t="inlineStr">
        <is>
          <t>Customer</t>
        </is>
      </c>
      <c r="J192" s="1382" t="inlineStr">
        <is>
          <t>Ampol Digital</t>
        </is>
      </c>
      <c r="K192" s="1382" t="inlineStr">
        <is>
          <t>Ampol Web</t>
        </is>
      </c>
      <c r="L192" s="1567" t="n"/>
      <c r="M192" s="1568" t="inlineStr">
        <is>
          <t>Australia</t>
        </is>
      </c>
      <c r="N192" s="865" t="inlineStr">
        <is>
          <t>Customer</t>
        </is>
      </c>
      <c r="O192" s="865" t="inlineStr">
        <is>
          <t>Ampol Digital</t>
        </is>
      </c>
      <c r="P192" s="865" t="inlineStr">
        <is>
          <t>Ampol Web</t>
        </is>
      </c>
      <c r="Q192" s="865" t="inlineStr">
        <is>
          <t>Squad</t>
        </is>
      </c>
      <c r="R192" s="865" t="inlineStr">
        <is>
          <t>Filled</t>
        </is>
      </c>
    </row>
    <row r="193" ht="18" customHeight="1" s="866">
      <c r="A193" s="1566" t="n">
        <v>99999101540</v>
      </c>
      <c r="B193" s="1382" t="inlineStr">
        <is>
          <t>James Nicolle</t>
        </is>
      </c>
      <c r="C193" s="1382" t="inlineStr">
        <is>
          <t>Delivery Lead</t>
        </is>
      </c>
      <c r="D193" s="1567" t="inlineStr">
        <is>
          <t>vacant</t>
        </is>
      </c>
      <c r="E193" s="1382" t="inlineStr">
        <is>
          <t>Delivery Manager, Digital</t>
        </is>
      </c>
      <c r="F193" s="1382" t="inlineStr">
        <is>
          <t>Customer</t>
        </is>
      </c>
      <c r="G193" s="1567" t="inlineStr">
        <is>
          <t>Digital</t>
        </is>
      </c>
      <c r="H193" s="1567" t="inlineStr">
        <is>
          <t>Digital, Delivery</t>
        </is>
      </c>
      <c r="I193" s="1382" t="inlineStr">
        <is>
          <t>Customer</t>
        </is>
      </c>
      <c r="J193" s="1382" t="inlineStr">
        <is>
          <t>Customer Z</t>
        </is>
      </c>
      <c r="K193" s="1382" t="inlineStr">
        <is>
          <t>Z Energy Apps</t>
        </is>
      </c>
      <c r="L193" s="1567" t="n"/>
      <c r="M193" s="1568" t="inlineStr">
        <is>
          <t>NZ</t>
        </is>
      </c>
      <c r="N193" s="865" t="inlineStr">
        <is>
          <t>Customer</t>
        </is>
      </c>
      <c r="O193" s="865" t="inlineStr">
        <is>
          <t>Customer Z</t>
        </is>
      </c>
      <c r="P193" s="865" t="inlineStr">
        <is>
          <t>Z Energy Apps</t>
        </is>
      </c>
      <c r="Q193" s="865" t="inlineStr">
        <is>
          <t>Squad</t>
        </is>
      </c>
      <c r="R193" s="865" t="inlineStr">
        <is>
          <t>Filled</t>
        </is>
      </c>
    </row>
    <row r="194" ht="18" customHeight="1" s="866">
      <c r="A194" s="1566" t="n"/>
      <c r="B194" s="1581" t="inlineStr">
        <is>
          <t>Vacant</t>
        </is>
      </c>
      <c r="C194" s="1567" t="inlineStr">
        <is>
          <t>Engineer, Software</t>
        </is>
      </c>
      <c r="D194" s="1567" t="inlineStr">
        <is>
          <t>Vacant</t>
        </is>
      </c>
      <c r="E194" s="1567" t="inlineStr">
        <is>
          <t>Technology Manager, Data &amp; Engineering</t>
        </is>
      </c>
      <c r="F194" s="1382" t="inlineStr">
        <is>
          <t>Customer</t>
        </is>
      </c>
      <c r="G194" s="1567" t="inlineStr">
        <is>
          <t>Loyatly &amp; Martec</t>
        </is>
      </c>
      <c r="H194" s="1382" t="inlineStr">
        <is>
          <t>Loyalty, Data &amp; Engineering</t>
        </is>
      </c>
      <c r="I194" s="1382" t="inlineStr">
        <is>
          <t>Customer</t>
        </is>
      </c>
      <c r="J194" s="1567" t="inlineStr">
        <is>
          <t>Customer Z</t>
        </is>
      </c>
      <c r="K194" s="1567" t="inlineStr">
        <is>
          <t>Z Energy Martech</t>
        </is>
      </c>
      <c r="L194" s="1567" t="n"/>
      <c r="M194" s="1568" t="n"/>
      <c r="N194" s="865" t="inlineStr">
        <is>
          <t>Customer</t>
        </is>
      </c>
      <c r="O194" s="865" t="inlineStr">
        <is>
          <t>Customer Z</t>
        </is>
      </c>
      <c r="P194" s="865" t="inlineStr">
        <is>
          <t>Z Energy Martech</t>
        </is>
      </c>
      <c r="Q194" s="865" t="inlineStr">
        <is>
          <t>Squad</t>
        </is>
      </c>
      <c r="R194" s="865" t="inlineStr">
        <is>
          <t>Vacant</t>
        </is>
      </c>
    </row>
    <row r="195" ht="18" customHeight="1" s="866">
      <c r="A195" s="1566" t="n">
        <v>99999101312</v>
      </c>
      <c r="B195" s="1571" t="inlineStr">
        <is>
          <t>Megan Rodgers</t>
        </is>
      </c>
      <c r="C195" s="1567" t="inlineStr">
        <is>
          <t>Business Analyst</t>
        </is>
      </c>
      <c r="D195" s="1567" t="inlineStr">
        <is>
          <t>Vacant</t>
        </is>
      </c>
      <c r="E195" s="1567" t="inlineStr">
        <is>
          <t>Delivery Manager, Loyalty</t>
        </is>
      </c>
      <c r="F195" s="1382" t="inlineStr">
        <is>
          <t>Customer</t>
        </is>
      </c>
      <c r="G195" s="1567" t="inlineStr">
        <is>
          <t>Loyatly &amp; Martec</t>
        </is>
      </c>
      <c r="H195" s="1382" t="inlineStr">
        <is>
          <t xml:space="preserve">Loyalty, Delivery </t>
        </is>
      </c>
      <c r="I195" s="1382" t="inlineStr">
        <is>
          <t>Customer</t>
        </is>
      </c>
      <c r="J195" s="1567" t="inlineStr">
        <is>
          <t>Customer Z</t>
        </is>
      </c>
      <c r="K195" s="1567" t="inlineStr">
        <is>
          <t>Z Energy Martech</t>
        </is>
      </c>
      <c r="L195" s="1567" t="n"/>
      <c r="M195" s="1568" t="inlineStr">
        <is>
          <t>NZ</t>
        </is>
      </c>
      <c r="N195" s="865" t="inlineStr">
        <is>
          <t>Customer</t>
        </is>
      </c>
      <c r="O195" s="865" t="inlineStr">
        <is>
          <t>Customer Z</t>
        </is>
      </c>
      <c r="P195" s="865" t="inlineStr">
        <is>
          <t>Z Energy Martech</t>
        </is>
      </c>
      <c r="Q195" s="865" t="inlineStr">
        <is>
          <t>Squad</t>
        </is>
      </c>
      <c r="R195" s="865" t="inlineStr">
        <is>
          <t>Filled</t>
        </is>
      </c>
    </row>
    <row r="196" ht="18" customHeight="1" s="866">
      <c r="A196" s="1566" t="n">
        <v>99999102155</v>
      </c>
      <c r="B196" s="1571" t="inlineStr">
        <is>
          <t>Yash Thakkar</t>
        </is>
      </c>
      <c r="C196" s="1567" t="inlineStr">
        <is>
          <t>Martech Specialist</t>
        </is>
      </c>
      <c r="D196" s="1567" t="inlineStr">
        <is>
          <t>Vacant</t>
        </is>
      </c>
      <c r="E196" s="1567" t="inlineStr">
        <is>
          <t>Technology Manager, Loyalty &amp; Martech</t>
        </is>
      </c>
      <c r="F196" s="1382" t="inlineStr">
        <is>
          <t>Customer</t>
        </is>
      </c>
      <c r="G196" s="1567" t="inlineStr">
        <is>
          <t>Loyatly &amp; Martec</t>
        </is>
      </c>
      <c r="H196" s="1567" t="inlineStr">
        <is>
          <t>Loyalty, Tech</t>
        </is>
      </c>
      <c r="I196" s="1382" t="inlineStr">
        <is>
          <t>Customer</t>
        </is>
      </c>
      <c r="J196" s="1567" t="inlineStr">
        <is>
          <t>(All Customer)</t>
        </is>
      </c>
      <c r="K196" s="1567" t="inlineStr">
        <is>
          <t>Z Energy Martech</t>
        </is>
      </c>
      <c r="L196" s="1567" t="n"/>
      <c r="M196" s="1568" t="inlineStr">
        <is>
          <t>NZ</t>
        </is>
      </c>
      <c r="N196" s="865" t="inlineStr">
        <is>
          <t>Customer</t>
        </is>
      </c>
      <c r="O196" s="865" t="inlineStr">
        <is>
          <t>Customer Z</t>
        </is>
      </c>
      <c r="P196" s="865" t="inlineStr">
        <is>
          <t>Z Energy Martech</t>
        </is>
      </c>
      <c r="Q196" s="865" t="inlineStr">
        <is>
          <t>Squad</t>
        </is>
      </c>
      <c r="R196" s="865" t="inlineStr">
        <is>
          <t>Filled</t>
        </is>
      </c>
    </row>
    <row r="197" ht="18" customHeight="1" s="866">
      <c r="A197" s="1566" t="n">
        <v>0</v>
      </c>
      <c r="B197" s="1382" t="inlineStr">
        <is>
          <t>Alan Peng</t>
        </is>
      </c>
      <c r="C197" s="1382" t="inlineStr">
        <is>
          <t>Delivery Lead</t>
        </is>
      </c>
      <c r="D197" s="1567" t="inlineStr">
        <is>
          <t>vacant</t>
        </is>
      </c>
      <c r="E197" s="1382" t="inlineStr">
        <is>
          <t>Delivery Manager, Digital</t>
        </is>
      </c>
      <c r="F197" s="1382" t="inlineStr">
        <is>
          <t>Customer</t>
        </is>
      </c>
      <c r="G197" s="1567" t="inlineStr">
        <is>
          <t>Digital</t>
        </is>
      </c>
      <c r="H197" s="1567" t="inlineStr">
        <is>
          <t>Digital, Delivery</t>
        </is>
      </c>
      <c r="I197" s="1567" t="inlineStr">
        <is>
          <t>EGI Integration</t>
        </is>
      </c>
      <c r="J197" s="1382" t="inlineStr">
        <is>
          <t>EGI</t>
        </is>
      </c>
      <c r="K197" s="1382" t="inlineStr">
        <is>
          <t>EGI Customer</t>
        </is>
      </c>
      <c r="L197" s="1567" t="n"/>
      <c r="M197" s="1568" t="inlineStr">
        <is>
          <t>Australia</t>
        </is>
      </c>
      <c r="N197" s="865" t="inlineStr">
        <is>
          <t>Customer</t>
        </is>
      </c>
      <c r="O197" s="865" t="inlineStr">
        <is>
          <t>EGI Customer</t>
        </is>
      </c>
      <c r="P197" s="865" t="inlineStr">
        <is>
          <t>EGI Customer</t>
        </is>
      </c>
      <c r="Q197" s="865" t="inlineStr">
        <is>
          <t>Strategic Program</t>
        </is>
      </c>
      <c r="R197" s="865" t="inlineStr">
        <is>
          <t>Filled</t>
        </is>
      </c>
    </row>
    <row r="198" ht="18" customHeight="1" s="866">
      <c r="A198" s="1566" t="n">
        <v>114411</v>
      </c>
      <c r="B198" s="1382" t="inlineStr">
        <is>
          <t>Vacant</t>
        </is>
      </c>
      <c r="C198" s="1382" t="inlineStr">
        <is>
          <t>Senior Engineer - BE</t>
        </is>
      </c>
      <c r="D198" s="1382" t="inlineStr">
        <is>
          <t>Vacant</t>
        </is>
      </c>
      <c r="E198" s="1382" t="inlineStr">
        <is>
          <t>Lead Engineer - BE</t>
        </is>
      </c>
      <c r="F198" s="1382" t="inlineStr">
        <is>
          <t>Customer</t>
        </is>
      </c>
      <c r="G198" s="1567" t="inlineStr">
        <is>
          <t>Digital</t>
        </is>
      </c>
      <c r="H198" s="1567" t="inlineStr">
        <is>
          <t>Tech, Digital Engineering</t>
        </is>
      </c>
      <c r="I198" s="1567" t="inlineStr">
        <is>
          <t>Customer</t>
        </is>
      </c>
      <c r="J198" s="1382" t="inlineStr">
        <is>
          <t>Ampol Digital</t>
        </is>
      </c>
      <c r="K198" s="1382" t="inlineStr">
        <is>
          <t>Ampol App</t>
        </is>
      </c>
      <c r="L198" s="1567" t="n"/>
      <c r="M198" s="1568" t="inlineStr">
        <is>
          <t>Australia</t>
        </is>
      </c>
      <c r="N198" s="865" t="inlineStr">
        <is>
          <t>Customer</t>
        </is>
      </c>
      <c r="O198" s="865" t="inlineStr">
        <is>
          <t>Ampol Digital</t>
        </is>
      </c>
      <c r="P198" s="865" t="inlineStr">
        <is>
          <t>Ampol App</t>
        </is>
      </c>
      <c r="Q198" s="865" t="inlineStr">
        <is>
          <t>Squad</t>
        </is>
      </c>
      <c r="R198" s="865" t="inlineStr">
        <is>
          <t>Vacant</t>
        </is>
      </c>
    </row>
    <row r="199" ht="18" customHeight="1" s="866">
      <c r="A199" s="1566" t="n">
        <v>0</v>
      </c>
      <c r="B199" s="1382" t="inlineStr">
        <is>
          <t>Anup Antony</t>
        </is>
      </c>
      <c r="C199" s="1382" t="inlineStr">
        <is>
          <t>Engineer - BE</t>
        </is>
      </c>
      <c r="D199" s="1382" t="inlineStr">
        <is>
          <t>vacant</t>
        </is>
      </c>
      <c r="E199" s="1382" t="inlineStr">
        <is>
          <t>Technology Manager, Digital Engineering</t>
        </is>
      </c>
      <c r="F199" s="1382" t="inlineStr">
        <is>
          <t>Customer</t>
        </is>
      </c>
      <c r="G199" s="1567" t="inlineStr">
        <is>
          <t>Digital</t>
        </is>
      </c>
      <c r="H199" s="1567" t="inlineStr">
        <is>
          <t>Tech, Digital Engineering</t>
        </is>
      </c>
      <c r="I199" s="1567" t="inlineStr">
        <is>
          <t>Customer</t>
        </is>
      </c>
      <c r="J199" s="1382" t="inlineStr">
        <is>
          <t>Ampol Digital</t>
        </is>
      </c>
      <c r="K199" s="1382" t="inlineStr">
        <is>
          <t>Ampol App</t>
        </is>
      </c>
      <c r="L199" s="1567" t="n"/>
      <c r="M199" s="1568" t="inlineStr">
        <is>
          <t>Australia</t>
        </is>
      </c>
      <c r="N199" s="865" t="inlineStr">
        <is>
          <t>Customer</t>
        </is>
      </c>
      <c r="O199" s="865" t="inlineStr">
        <is>
          <t>Ampol Digital</t>
        </is>
      </c>
      <c r="P199" s="865" t="inlineStr">
        <is>
          <t>Ampol App</t>
        </is>
      </c>
      <c r="Q199" s="865" t="inlineStr">
        <is>
          <t>Squad</t>
        </is>
      </c>
      <c r="R199" s="865" t="inlineStr">
        <is>
          <t>Filled</t>
        </is>
      </c>
    </row>
    <row r="200" ht="18" customHeight="1" s="866">
      <c r="A200" s="1566" t="n"/>
      <c r="B200" s="1382" t="inlineStr">
        <is>
          <t>Dasha Fothergill</t>
        </is>
      </c>
      <c r="C200" s="1382" t="inlineStr">
        <is>
          <t>Data Analyst</t>
        </is>
      </c>
      <c r="D200" s="1382" t="inlineStr">
        <is>
          <t>Vacant</t>
        </is>
      </c>
      <c r="E200" s="1382" t="inlineStr">
        <is>
          <t>Technology Manager, Data &amp; Engineering</t>
        </is>
      </c>
      <c r="F200" s="1571" t="inlineStr">
        <is>
          <t>Customer</t>
        </is>
      </c>
      <c r="G200" s="1567" t="inlineStr">
        <is>
          <t>Loyatly &amp; Martec</t>
        </is>
      </c>
      <c r="H200" s="1571" t="inlineStr">
        <is>
          <t>Ampol Retail, Store Platforms</t>
        </is>
      </c>
      <c r="I200" s="1567" t="inlineStr">
        <is>
          <t>EGI Integration</t>
        </is>
      </c>
      <c r="J200" s="1567" t="inlineStr">
        <is>
          <t>EGI</t>
        </is>
      </c>
      <c r="K200" s="1382" t="inlineStr">
        <is>
          <t>EGI Customer</t>
        </is>
      </c>
      <c r="L200" s="1567" t="n"/>
      <c r="M200" s="1568" t="inlineStr">
        <is>
          <t>NZ</t>
        </is>
      </c>
      <c r="N200" s="865" t="inlineStr">
        <is>
          <t>Customer</t>
        </is>
      </c>
      <c r="O200" s="865" t="inlineStr">
        <is>
          <t>EGI Customer</t>
        </is>
      </c>
      <c r="P200" s="865" t="inlineStr">
        <is>
          <t>EGI Customer</t>
        </is>
      </c>
      <c r="Q200" s="865" t="inlineStr">
        <is>
          <t>Strategic Program</t>
        </is>
      </c>
      <c r="R200" s="865" t="inlineStr">
        <is>
          <t>Filled</t>
        </is>
      </c>
    </row>
    <row r="201" ht="18" customHeight="1" s="866">
      <c r="A201" s="1566" t="n"/>
      <c r="B201" s="1382" t="inlineStr">
        <is>
          <t>Vacant</t>
        </is>
      </c>
      <c r="C201" s="1382" t="inlineStr">
        <is>
          <t>Snr Business Analyst</t>
        </is>
      </c>
      <c r="D201" s="1567" t="inlineStr">
        <is>
          <t>vacant</t>
        </is>
      </c>
      <c r="E201" s="1382" t="inlineStr">
        <is>
          <t>Delivery Manager, Digital</t>
        </is>
      </c>
      <c r="F201" s="1382" t="inlineStr">
        <is>
          <t>Customer</t>
        </is>
      </c>
      <c r="G201" s="1567" t="inlineStr">
        <is>
          <t>Digital</t>
        </is>
      </c>
      <c r="H201" s="1582" t="inlineStr">
        <is>
          <t>Technology, CF Engineering</t>
        </is>
      </c>
      <c r="I201" s="1567" t="inlineStr">
        <is>
          <t>Customer</t>
        </is>
      </c>
      <c r="J201" s="1382" t="inlineStr">
        <is>
          <t>Leadership</t>
        </is>
      </c>
      <c r="K201" s="1567" t="inlineStr">
        <is>
          <t>Leadership</t>
        </is>
      </c>
      <c r="L201" s="1567" t="n"/>
      <c r="M201" s="1568" t="inlineStr">
        <is>
          <t>Australia</t>
        </is>
      </c>
      <c r="N201" s="865" t="inlineStr">
        <is>
          <t>Customer</t>
        </is>
      </c>
      <c r="O201" s="865" t="inlineStr">
        <is>
          <t>Leadership</t>
        </is>
      </c>
      <c r="P201" s="865" t="inlineStr">
        <is>
          <t>Leadership</t>
        </is>
      </c>
      <c r="Q201" s="865" t="inlineStr">
        <is>
          <t>Leadership</t>
        </is>
      </c>
      <c r="R201" s="865" t="inlineStr">
        <is>
          <t>Vacant</t>
        </is>
      </c>
    </row>
    <row r="202" ht="18" customHeight="1" s="866">
      <c r="A202" s="1566" t="n">
        <v>99999101601</v>
      </c>
      <c r="B202" s="1571" t="inlineStr">
        <is>
          <t>Jordan Kettles</t>
        </is>
      </c>
      <c r="C202" s="1567" t="inlineStr">
        <is>
          <t>Engineer, Sotware</t>
        </is>
      </c>
      <c r="D202" s="1567" t="inlineStr">
        <is>
          <t>Vacant</t>
        </is>
      </c>
      <c r="E202" s="1567" t="inlineStr">
        <is>
          <t>Technology Manager, Data &amp; Engineering</t>
        </is>
      </c>
      <c r="F202" s="1382" t="inlineStr">
        <is>
          <t>Customer</t>
        </is>
      </c>
      <c r="G202" s="1567" t="inlineStr">
        <is>
          <t>Loyatly &amp; Martec</t>
        </is>
      </c>
      <c r="H202" s="1382" t="inlineStr">
        <is>
          <t>Loyalty, Data &amp; Engineering</t>
        </is>
      </c>
      <c r="I202" s="1382" t="inlineStr">
        <is>
          <t>Customer</t>
        </is>
      </c>
      <c r="J202" s="1567" t="inlineStr">
        <is>
          <t>Customer Z</t>
        </is>
      </c>
      <c r="K202" s="1567" t="inlineStr">
        <is>
          <t>Z Energy Martech</t>
        </is>
      </c>
      <c r="L202" s="1567" t="n"/>
      <c r="M202" s="1568" t="inlineStr">
        <is>
          <t>NZ</t>
        </is>
      </c>
      <c r="N202" s="865" t="inlineStr">
        <is>
          <t>Customer</t>
        </is>
      </c>
      <c r="O202" s="865" t="inlineStr">
        <is>
          <t>Customer Z</t>
        </is>
      </c>
      <c r="P202" s="865" t="inlineStr">
        <is>
          <t>Z Energy Martech</t>
        </is>
      </c>
      <c r="Q202" s="865" t="inlineStr">
        <is>
          <t>Squad</t>
        </is>
      </c>
      <c r="R202" s="865" t="inlineStr">
        <is>
          <t>Filled</t>
        </is>
      </c>
    </row>
    <row r="203" ht="18" customHeight="1" s="866">
      <c r="A203" s="1566" t="n"/>
      <c r="B203" s="1382" t="inlineStr">
        <is>
          <t xml:space="preserve">Vacant </t>
        </is>
      </c>
      <c r="C203" s="1382" t="inlineStr">
        <is>
          <t>Data Risk Analyst</t>
        </is>
      </c>
      <c r="D203" s="1382" t="inlineStr">
        <is>
          <t>Brian Gates</t>
        </is>
      </c>
      <c r="E203" s="1382" t="n"/>
      <c r="F203" s="1382" t="inlineStr">
        <is>
          <t>Cyber, Risk &amp; Operations</t>
        </is>
      </c>
      <c r="G203" s="1567" t="inlineStr">
        <is>
          <t>Cyber Risk</t>
        </is>
      </c>
      <c r="H203" s="1382" t="inlineStr">
        <is>
          <t>Ampol Retail, Store Platforms</t>
        </is>
      </c>
      <c r="I203" s="1382" t="inlineStr">
        <is>
          <t>NA</t>
        </is>
      </c>
      <c r="J203" s="1382" t="inlineStr">
        <is>
          <t>NA</t>
        </is>
      </c>
      <c r="K203" s="1382" t="inlineStr">
        <is>
          <t>NA</t>
        </is>
      </c>
      <c r="L203" s="1382" t="n"/>
      <c r="M203" s="1568" t="n"/>
      <c r="N203" s="865" t="inlineStr">
        <is>
          <t>TDD Cyber</t>
        </is>
      </c>
      <c r="O203" s="865" t="inlineStr">
        <is>
          <t>TDD Cyber, Risk &amp; Service Ops</t>
        </is>
      </c>
      <c r="P203" s="865" t="inlineStr">
        <is>
          <t>TDD Cyber</t>
        </is>
      </c>
      <c r="Q203" s="865" t="inlineStr">
        <is>
          <t>Squad</t>
        </is>
      </c>
      <c r="R203" s="865" t="inlineStr">
        <is>
          <t>Vacant</t>
        </is>
      </c>
    </row>
    <row r="204" ht="18" customHeight="1" s="866">
      <c r="A204" s="1566" t="n">
        <v>96830</v>
      </c>
      <c r="B204" s="1382" t="inlineStr">
        <is>
          <t>Lynda Niewidok</t>
        </is>
      </c>
      <c r="C204" s="1382" t="inlineStr">
        <is>
          <t>Lead - Service Desk</t>
        </is>
      </c>
      <c r="D204" s="1382" t="inlineStr">
        <is>
          <t>Chris Rojas</t>
        </is>
      </c>
      <c r="E204" s="1382" t="inlineStr">
        <is>
          <t xml:space="preserve">CISO </t>
        </is>
      </c>
      <c r="F204" s="1382" t="inlineStr">
        <is>
          <t>Cyber, Risk &amp; Operations</t>
        </is>
      </c>
      <c r="G204" s="1567" t="inlineStr">
        <is>
          <t>Service Op &amp; Assurance</t>
        </is>
      </c>
      <c r="H204" s="1382" t="inlineStr">
        <is>
          <t>NA</t>
        </is>
      </c>
      <c r="I204" s="1382" t="inlineStr">
        <is>
          <t>NA</t>
        </is>
      </c>
      <c r="J204" s="1382" t="inlineStr">
        <is>
          <t>NA</t>
        </is>
      </c>
      <c r="K204" s="1382" t="inlineStr">
        <is>
          <t>NA</t>
        </is>
      </c>
      <c r="L204" s="1382" t="n"/>
      <c r="M204" s="1568" t="inlineStr">
        <is>
          <t>Australia</t>
        </is>
      </c>
      <c r="N204" s="865" t="inlineStr">
        <is>
          <t>TDD Cyber</t>
        </is>
      </c>
      <c r="O204" s="865" t="inlineStr">
        <is>
          <t>TDD Cyber, Risk &amp; Service Ops</t>
        </is>
      </c>
      <c r="P204" s="865" t="inlineStr">
        <is>
          <t>TDD Cyber</t>
        </is>
      </c>
      <c r="Q204" s="865" t="inlineStr">
        <is>
          <t>Squad</t>
        </is>
      </c>
      <c r="R204" s="865" t="inlineStr">
        <is>
          <t>Filled</t>
        </is>
      </c>
    </row>
    <row r="205" ht="18" customHeight="1" s="866">
      <c r="A205" s="1566" t="n">
        <v>92681</v>
      </c>
      <c r="B205" s="1382" t="inlineStr">
        <is>
          <t>Mark Pearson</t>
        </is>
      </c>
      <c r="C205" s="1382" t="inlineStr">
        <is>
          <t>Lead - Technology Support</t>
        </is>
      </c>
      <c r="D205" s="1382" t="inlineStr">
        <is>
          <t>Chris Rojas</t>
        </is>
      </c>
      <c r="E205" s="1382" t="inlineStr">
        <is>
          <t xml:space="preserve">Manager Service Management &amp; Major Incident Management Lead </t>
        </is>
      </c>
      <c r="F205" s="1382" t="inlineStr">
        <is>
          <t>Cyber, Risk &amp; Operations</t>
        </is>
      </c>
      <c r="G205" s="1567" t="inlineStr">
        <is>
          <t>Service Op &amp; Assurance</t>
        </is>
      </c>
      <c r="H205" s="1382" t="inlineStr">
        <is>
          <t>NA</t>
        </is>
      </c>
      <c r="I205" s="1382" t="inlineStr">
        <is>
          <t>NA</t>
        </is>
      </c>
      <c r="J205" s="1382" t="inlineStr">
        <is>
          <t>NA</t>
        </is>
      </c>
      <c r="K205" s="1382" t="inlineStr">
        <is>
          <t>NA</t>
        </is>
      </c>
      <c r="L205" s="1382" t="n"/>
      <c r="M205" s="1568" t="inlineStr">
        <is>
          <t>Australia</t>
        </is>
      </c>
      <c r="N205" s="865" t="inlineStr">
        <is>
          <t>TDD Cyber</t>
        </is>
      </c>
      <c r="O205" s="865" t="inlineStr">
        <is>
          <t>TDD Cyber, Risk &amp; Service Ops</t>
        </is>
      </c>
      <c r="P205" s="865" t="inlineStr">
        <is>
          <t>TDD Cyber</t>
        </is>
      </c>
      <c r="Q205" s="865" t="inlineStr">
        <is>
          <t>Squad</t>
        </is>
      </c>
      <c r="R205" s="865" t="inlineStr">
        <is>
          <t>Filled</t>
        </is>
      </c>
    </row>
    <row r="206" ht="18" customHeight="1" s="866">
      <c r="A206" s="1566" t="n"/>
      <c r="B206" s="1382" t="inlineStr">
        <is>
          <t>Vacant</t>
        </is>
      </c>
      <c r="C206" s="1382" t="inlineStr">
        <is>
          <t>Lead - Problem Management</t>
        </is>
      </c>
      <c r="D206" s="1382" t="inlineStr">
        <is>
          <t>Darren Koller</t>
        </is>
      </c>
      <c r="E206" s="1382" t="inlineStr">
        <is>
          <t>Manager Cyber Security GRC</t>
        </is>
      </c>
      <c r="F206" s="1382" t="inlineStr">
        <is>
          <t>Cyber, Risk &amp; Operations</t>
        </is>
      </c>
      <c r="G206" s="1567" t="inlineStr">
        <is>
          <t>Service Op &amp; Assurance</t>
        </is>
      </c>
      <c r="H206" s="1382" t="inlineStr">
        <is>
          <t>NA</t>
        </is>
      </c>
      <c r="I206" s="1382" t="inlineStr">
        <is>
          <t>NA</t>
        </is>
      </c>
      <c r="J206" s="1382" t="inlineStr">
        <is>
          <t>NA</t>
        </is>
      </c>
      <c r="K206" s="1382" t="inlineStr">
        <is>
          <t>NA</t>
        </is>
      </c>
      <c r="L206" s="1382" t="n"/>
      <c r="M206" s="1568" t="n"/>
      <c r="N206" s="865" t="inlineStr">
        <is>
          <t>TDD Cyber</t>
        </is>
      </c>
      <c r="O206" s="865" t="inlineStr">
        <is>
          <t>TDD Cyber, Risk &amp; Service Ops</t>
        </is>
      </c>
      <c r="P206" s="865" t="inlineStr">
        <is>
          <t>TDD Cyber</t>
        </is>
      </c>
      <c r="Q206" s="865" t="inlineStr">
        <is>
          <t>Squad</t>
        </is>
      </c>
      <c r="R206" s="865" t="inlineStr">
        <is>
          <t>Vacant</t>
        </is>
      </c>
    </row>
    <row r="207" ht="18" customHeight="1" s="866">
      <c r="A207" s="1566" t="n">
        <v>99999101697</v>
      </c>
      <c r="B207" s="1382" t="inlineStr">
        <is>
          <t>Vanessa Castro</t>
        </is>
      </c>
      <c r="C207" s="1382" t="inlineStr">
        <is>
          <t>Cyber GRC Analyst</t>
        </is>
      </c>
      <c r="D207" s="1382" t="inlineStr">
        <is>
          <t>Diya Thomas</t>
        </is>
      </c>
      <c r="E207" s="1382" t="n"/>
      <c r="F207" s="1382" t="inlineStr">
        <is>
          <t>Cyber, Risk &amp; Operations</t>
        </is>
      </c>
      <c r="G207" s="1567" t="inlineStr">
        <is>
          <t>Cyber GRC</t>
        </is>
      </c>
      <c r="H207" s="1382" t="inlineStr">
        <is>
          <t>NA</t>
        </is>
      </c>
      <c r="I207" s="1382" t="inlineStr">
        <is>
          <t>NA</t>
        </is>
      </c>
      <c r="J207" s="1382" t="inlineStr">
        <is>
          <t>NA</t>
        </is>
      </c>
      <c r="K207" s="1382" t="inlineStr">
        <is>
          <t>NA</t>
        </is>
      </c>
      <c r="L207" s="1382" t="n"/>
      <c r="M207" s="1568" t="inlineStr">
        <is>
          <t>NZ</t>
        </is>
      </c>
      <c r="N207" s="865" t="inlineStr">
        <is>
          <t>TDD Cyber</t>
        </is>
      </c>
      <c r="O207" s="865" t="inlineStr">
        <is>
          <t>TDD Cyber, Risk &amp; Service Ops</t>
        </is>
      </c>
      <c r="P207" s="865" t="inlineStr">
        <is>
          <t>TDD Cyber</t>
        </is>
      </c>
      <c r="Q207" s="865" t="inlineStr">
        <is>
          <t>Squad</t>
        </is>
      </c>
      <c r="R207" s="865" t="inlineStr">
        <is>
          <t>Filled</t>
        </is>
      </c>
    </row>
    <row r="208" ht="18" customHeight="1" s="866">
      <c r="A208" s="1566" t="n">
        <v>114683</v>
      </c>
      <c r="B208" s="1382" t="inlineStr">
        <is>
          <t>Prashanth Chandran</t>
        </is>
      </c>
      <c r="C208" s="1382" t="inlineStr">
        <is>
          <t>Senior Cyber GRC Specialist</t>
        </is>
      </c>
      <c r="D208" s="1382" t="inlineStr">
        <is>
          <t>Diya Thomas</t>
        </is>
      </c>
      <c r="E208" s="1382" t="inlineStr">
        <is>
          <t>Manager Cyber Security GRC</t>
        </is>
      </c>
      <c r="F208" s="1382" t="inlineStr">
        <is>
          <t>Cyber, Risk &amp; Operations</t>
        </is>
      </c>
      <c r="G208" s="1567" t="inlineStr">
        <is>
          <t>Cyber GRC</t>
        </is>
      </c>
      <c r="H208" s="1382" t="inlineStr">
        <is>
          <t>NA</t>
        </is>
      </c>
      <c r="I208" s="1382" t="inlineStr">
        <is>
          <t>NA</t>
        </is>
      </c>
      <c r="J208" s="1382" t="inlineStr">
        <is>
          <t>NA</t>
        </is>
      </c>
      <c r="K208" s="1382" t="inlineStr">
        <is>
          <t>NA</t>
        </is>
      </c>
      <c r="L208" s="1382" t="n"/>
      <c r="M208" s="1568" t="inlineStr">
        <is>
          <t>Australia</t>
        </is>
      </c>
      <c r="N208" s="865" t="inlineStr">
        <is>
          <t>TDD Cyber</t>
        </is>
      </c>
      <c r="O208" s="865" t="inlineStr">
        <is>
          <t>TDD Cyber, Risk &amp; Service Ops</t>
        </is>
      </c>
      <c r="P208" s="865" t="inlineStr">
        <is>
          <t>TDD Cyber</t>
        </is>
      </c>
      <c r="Q208" s="865" t="inlineStr">
        <is>
          <t>Squad</t>
        </is>
      </c>
      <c r="R208" s="865" t="inlineStr">
        <is>
          <t>Filled</t>
        </is>
      </c>
    </row>
    <row r="209" ht="18" customHeight="1" s="866">
      <c r="A209" s="1566" t="n">
        <v>109491</v>
      </c>
      <c r="B209" s="1382" t="inlineStr">
        <is>
          <t>Pooja Kuperkar</t>
        </is>
      </c>
      <c r="C209" s="1382" t="inlineStr">
        <is>
          <t>Cyber GRC Analyst</t>
        </is>
      </c>
      <c r="D209" s="1382" t="inlineStr">
        <is>
          <t>Diya Thomas</t>
        </is>
      </c>
      <c r="E209" s="1382" t="n"/>
      <c r="F209" s="1382" t="inlineStr">
        <is>
          <t>Cyber, Risk &amp; Operations</t>
        </is>
      </c>
      <c r="G209" s="1567" t="inlineStr">
        <is>
          <t>Cyber GRC</t>
        </is>
      </c>
      <c r="H209" s="1382" t="inlineStr">
        <is>
          <t>NA</t>
        </is>
      </c>
      <c r="I209" s="1382" t="inlineStr">
        <is>
          <t>NA</t>
        </is>
      </c>
      <c r="J209" s="1382" t="inlineStr">
        <is>
          <t>NA</t>
        </is>
      </c>
      <c r="K209" s="1382" t="inlineStr">
        <is>
          <t>NA</t>
        </is>
      </c>
      <c r="L209" s="1382" t="n"/>
      <c r="M209" s="1568" t="inlineStr">
        <is>
          <t>Australia</t>
        </is>
      </c>
      <c r="N209" s="865" t="inlineStr">
        <is>
          <t>TDD Cyber</t>
        </is>
      </c>
      <c r="O209" s="865" t="inlineStr">
        <is>
          <t>TDD Cyber, Risk &amp; Service Ops</t>
        </is>
      </c>
      <c r="P209" s="865" t="inlineStr">
        <is>
          <t>TDD Cyber</t>
        </is>
      </c>
      <c r="Q209" s="865" t="inlineStr">
        <is>
          <t>Squad</t>
        </is>
      </c>
      <c r="R209" s="865" t="inlineStr">
        <is>
          <t>Filled</t>
        </is>
      </c>
    </row>
    <row r="210" ht="18" customHeight="1" s="866">
      <c r="A210" s="1566" t="n">
        <v>98823</v>
      </c>
      <c r="B210" s="1382" t="inlineStr">
        <is>
          <t>Brian Gates</t>
        </is>
      </c>
      <c r="C210" s="1382" t="inlineStr">
        <is>
          <t>Manager Risk &amp; Resilience</t>
        </is>
      </c>
      <c r="D210" s="1382" t="inlineStr">
        <is>
          <t>Frances Bouzo</t>
        </is>
      </c>
      <c r="E210" s="1382" t="inlineStr">
        <is>
          <t xml:space="preserve">CISO </t>
        </is>
      </c>
      <c r="F210" s="1382" t="inlineStr">
        <is>
          <t>Cyber, Risk &amp; Operations</t>
        </is>
      </c>
      <c r="G210" s="1567" t="inlineStr">
        <is>
          <t>Cyber Risk</t>
        </is>
      </c>
      <c r="H210" s="1382" t="inlineStr">
        <is>
          <t xml:space="preserve">Risk &amp; Resilience </t>
        </is>
      </c>
      <c r="I210" s="1382" t="inlineStr">
        <is>
          <t>NA</t>
        </is>
      </c>
      <c r="J210" s="1382" t="inlineStr">
        <is>
          <t>NA</t>
        </is>
      </c>
      <c r="K210" s="1382" t="inlineStr">
        <is>
          <t>NA</t>
        </is>
      </c>
      <c r="L210" s="1382" t="n"/>
      <c r="M210" s="1568" t="inlineStr">
        <is>
          <t>Australia</t>
        </is>
      </c>
      <c r="N210" s="865" t="inlineStr">
        <is>
          <t>TDD Cyber</t>
        </is>
      </c>
      <c r="O210" s="865" t="inlineStr">
        <is>
          <t>TDD Cyber, Risk &amp; Service Ops</t>
        </is>
      </c>
      <c r="P210" s="865" t="inlineStr">
        <is>
          <t>TDD Cyber</t>
        </is>
      </c>
      <c r="Q210" s="865" t="inlineStr">
        <is>
          <t>Squad</t>
        </is>
      </c>
      <c r="R210" s="865" t="inlineStr">
        <is>
          <t>Filled</t>
        </is>
      </c>
    </row>
    <row r="211" ht="18" customHeight="1" s="866">
      <c r="A211" s="1566" t="n">
        <v>101700</v>
      </c>
      <c r="B211" s="1382" t="inlineStr">
        <is>
          <t>Diya Thomas</t>
        </is>
      </c>
      <c r="C211" s="1382" t="inlineStr">
        <is>
          <t>Manager Cyber Security GRC</t>
        </is>
      </c>
      <c r="D211" s="1382" t="inlineStr">
        <is>
          <t>Frances Bouzo</t>
        </is>
      </c>
      <c r="E211" s="1382" t="inlineStr">
        <is>
          <t xml:space="preserve">Manager Cyber Security Operations </t>
        </is>
      </c>
      <c r="F211" s="1382" t="inlineStr">
        <is>
          <t>Cyber, Risk &amp; Operations</t>
        </is>
      </c>
      <c r="G211" s="1567" t="inlineStr">
        <is>
          <t>Loyalty &amp; Martech</t>
        </is>
      </c>
      <c r="H211" s="1382" t="inlineStr">
        <is>
          <t>NA</t>
        </is>
      </c>
      <c r="I211" s="1382" t="inlineStr">
        <is>
          <t>NA</t>
        </is>
      </c>
      <c r="J211" s="1382" t="inlineStr">
        <is>
          <t>NA</t>
        </is>
      </c>
      <c r="K211" s="1382" t="inlineStr">
        <is>
          <t>NA</t>
        </is>
      </c>
      <c r="L211" s="1382" t="n"/>
      <c r="M211" s="1568" t="inlineStr">
        <is>
          <t>Australia</t>
        </is>
      </c>
      <c r="N211" s="865" t="inlineStr">
        <is>
          <t>Customer</t>
        </is>
      </c>
      <c r="O211" s="865" t="inlineStr">
        <is>
          <t>Group Customer Platforms</t>
        </is>
      </c>
      <c r="P211" s="865" t="inlineStr">
        <is>
          <t>AU CRM &amp; Martech</t>
        </is>
      </c>
      <c r="Q211" s="865" t="inlineStr">
        <is>
          <t>Squad</t>
        </is>
      </c>
      <c r="R211" s="865" t="inlineStr">
        <is>
          <t>Filled</t>
        </is>
      </c>
    </row>
    <row r="212" ht="18" customHeight="1" s="866">
      <c r="A212" s="1566" t="n">
        <v>100825</v>
      </c>
      <c r="B212" s="1382" t="inlineStr">
        <is>
          <t>James Byrne</t>
        </is>
      </c>
      <c r="C212" s="1382" t="inlineStr">
        <is>
          <t>Head of Cyber Strategy &amp; Technology</t>
        </is>
      </c>
      <c r="D212" s="1382" t="inlineStr">
        <is>
          <t>Frances Bouzo</t>
        </is>
      </c>
      <c r="E212" s="1382" t="inlineStr">
        <is>
          <t xml:space="preserve">Manager Customer Support Operations </t>
        </is>
      </c>
      <c r="F212" s="1382" t="inlineStr">
        <is>
          <t>Cyber, Risk &amp; Operations</t>
        </is>
      </c>
      <c r="G212" s="1567" t="inlineStr">
        <is>
          <t>Cyber Strat &amp; Tech</t>
        </is>
      </c>
      <c r="H212" s="1382" t="inlineStr">
        <is>
          <t>NA</t>
        </is>
      </c>
      <c r="I212" s="1382" t="inlineStr">
        <is>
          <t>EGI Integration</t>
        </is>
      </c>
      <c r="J212" s="1382" t="inlineStr">
        <is>
          <t>EGI</t>
        </is>
      </c>
      <c r="K212" s="1382" t="inlineStr">
        <is>
          <t>EGI Retail</t>
        </is>
      </c>
      <c r="L212" s="1382" t="n"/>
      <c r="M212" s="1568" t="inlineStr">
        <is>
          <t>Australia</t>
        </is>
      </c>
      <c r="N212" s="865" t="inlineStr">
        <is>
          <t>Ampol Retail</t>
        </is>
      </c>
      <c r="O212" s="865" t="inlineStr">
        <is>
          <t>EGI Retail</t>
        </is>
      </c>
      <c r="P212" s="865" t="inlineStr">
        <is>
          <t>EGI Retail</t>
        </is>
      </c>
      <c r="Q212" s="865" t="inlineStr">
        <is>
          <t>Strategic Program</t>
        </is>
      </c>
      <c r="R212" s="865" t="inlineStr">
        <is>
          <t>Filled</t>
        </is>
      </c>
    </row>
    <row r="213" ht="18" customHeight="1" s="866">
      <c r="A213" s="1566" t="n">
        <v>97592</v>
      </c>
      <c r="B213" s="1382" t="inlineStr">
        <is>
          <t>Kevin Sheerin</t>
        </is>
      </c>
      <c r="C213" s="1382" t="inlineStr">
        <is>
          <t>Cyber Architecture Lead</t>
        </is>
      </c>
      <c r="D213" s="1382" t="inlineStr">
        <is>
          <t>James Byrne</t>
        </is>
      </c>
      <c r="E213" s="1382" t="n"/>
      <c r="F213" s="1382" t="inlineStr">
        <is>
          <t>Cyber, Risk &amp; Operations</t>
        </is>
      </c>
      <c r="G213" s="1567" t="inlineStr">
        <is>
          <t>Cyber Strat &amp; Tech</t>
        </is>
      </c>
      <c r="H213" s="1382" t="inlineStr">
        <is>
          <t>NA</t>
        </is>
      </c>
      <c r="I213" s="1382" t="inlineStr">
        <is>
          <t>NA</t>
        </is>
      </c>
      <c r="J213" s="1382" t="inlineStr">
        <is>
          <t>NA</t>
        </is>
      </c>
      <c r="K213" s="1382" t="inlineStr">
        <is>
          <t>NA</t>
        </is>
      </c>
      <c r="L213" s="1382" t="n"/>
      <c r="M213" s="1568" t="inlineStr">
        <is>
          <t>Australia</t>
        </is>
      </c>
      <c r="N213" s="865" t="inlineStr">
        <is>
          <t>TDD Cyber</t>
        </is>
      </c>
      <c r="O213" s="865" t="inlineStr">
        <is>
          <t>TDD Cyber, Risk &amp; Service Ops</t>
        </is>
      </c>
      <c r="P213" s="865" t="inlineStr">
        <is>
          <t>TDD Cyber</t>
        </is>
      </c>
      <c r="Q213" s="865" t="inlineStr">
        <is>
          <t>Squad</t>
        </is>
      </c>
      <c r="R213" s="865" t="inlineStr">
        <is>
          <t>Filled</t>
        </is>
      </c>
    </row>
    <row r="214" ht="18" customHeight="1" s="866">
      <c r="A214" s="1566" t="n">
        <v>108809</v>
      </c>
      <c r="B214" s="1382" t="inlineStr">
        <is>
          <t>Joe Nahma</t>
        </is>
      </c>
      <c r="C214" s="1382" t="inlineStr">
        <is>
          <t>Manager Identity &amp; Access Management</t>
        </is>
      </c>
      <c r="D214" s="1382" t="inlineStr">
        <is>
          <t>James Byrne</t>
        </is>
      </c>
      <c r="E214" s="1382" t="inlineStr">
        <is>
          <t>Manager Cyber Security GRC</t>
        </is>
      </c>
      <c r="F214" s="1382" t="inlineStr">
        <is>
          <t>Cyber, Risk &amp; Operations</t>
        </is>
      </c>
      <c r="G214" s="1567" t="inlineStr">
        <is>
          <t>Cyber Strat &amp; Tech</t>
        </is>
      </c>
      <c r="H214" s="1382" t="inlineStr">
        <is>
          <t>NA</t>
        </is>
      </c>
      <c r="I214" s="1382" t="inlineStr">
        <is>
          <t>NA</t>
        </is>
      </c>
      <c r="J214" s="1382" t="inlineStr">
        <is>
          <t>NA</t>
        </is>
      </c>
      <c r="K214" s="1382" t="inlineStr">
        <is>
          <t>NA</t>
        </is>
      </c>
      <c r="L214" s="1382" t="n"/>
      <c r="M214" s="1568" t="inlineStr">
        <is>
          <t>Australia</t>
        </is>
      </c>
      <c r="N214" s="865" t="inlineStr">
        <is>
          <t>TDD Cyber</t>
        </is>
      </c>
      <c r="O214" s="865" t="inlineStr">
        <is>
          <t>TDD Cyber, Risk &amp; Service Ops</t>
        </is>
      </c>
      <c r="P214" s="865" t="inlineStr">
        <is>
          <t>TDD Cyber</t>
        </is>
      </c>
      <c r="Q214" s="865" t="inlineStr">
        <is>
          <t>Squad</t>
        </is>
      </c>
      <c r="R214" s="865" t="inlineStr">
        <is>
          <t>Filled</t>
        </is>
      </c>
    </row>
    <row r="215" ht="18" customHeight="1" s="866">
      <c r="A215" s="1566" t="n">
        <v>101830</v>
      </c>
      <c r="B215" s="1382" t="inlineStr">
        <is>
          <t>Vivienne Vasak</t>
        </is>
      </c>
      <c r="C215" s="1382" t="inlineStr">
        <is>
          <t>Portfolio Manager Cyber Security</t>
        </is>
      </c>
      <c r="D215" s="1382" t="inlineStr">
        <is>
          <t>James Byrne</t>
        </is>
      </c>
      <c r="E215" s="1382" t="inlineStr">
        <is>
          <t xml:space="preserve">Manager Service Perforance &amp; Assurance </t>
        </is>
      </c>
      <c r="F215" s="1382" t="inlineStr">
        <is>
          <t>Cyber, Risk &amp; Operations</t>
        </is>
      </c>
      <c r="G215" s="1567" t="inlineStr">
        <is>
          <t>Cyber Strat &amp; Tech</t>
        </is>
      </c>
      <c r="H215" s="1382" t="inlineStr">
        <is>
          <t>NA</t>
        </is>
      </c>
      <c r="I215" s="1382" t="inlineStr">
        <is>
          <t>NA</t>
        </is>
      </c>
      <c r="J215" s="1382" t="inlineStr">
        <is>
          <t>NA</t>
        </is>
      </c>
      <c r="K215" s="1382" t="inlineStr">
        <is>
          <t>NA</t>
        </is>
      </c>
      <c r="L215" s="1382" t="n"/>
      <c r="M215" s="1568" t="inlineStr">
        <is>
          <t>Australia</t>
        </is>
      </c>
      <c r="N215" s="865" t="inlineStr">
        <is>
          <t>TDD Cyber</t>
        </is>
      </c>
      <c r="O215" s="865" t="inlineStr">
        <is>
          <t>TDD Cyber, Risk &amp; Service Ops</t>
        </is>
      </c>
      <c r="P215" s="865" t="inlineStr">
        <is>
          <t>TDD Cyber</t>
        </is>
      </c>
      <c r="Q215" s="865" t="inlineStr">
        <is>
          <t>Squad</t>
        </is>
      </c>
      <c r="R215" s="865" t="inlineStr">
        <is>
          <t>Filled</t>
        </is>
      </c>
    </row>
    <row r="216" ht="18" customHeight="1" s="866">
      <c r="A216" s="1566" t="n">
        <v>86962</v>
      </c>
      <c r="B216" s="1382" t="inlineStr">
        <is>
          <t>Cameron Watman</t>
        </is>
      </c>
      <c r="C216" s="1382" t="inlineStr">
        <is>
          <t>Engineer - IDAM</t>
        </is>
      </c>
      <c r="D216" s="1382" t="inlineStr">
        <is>
          <t>Joe Nahma</t>
        </is>
      </c>
      <c r="E216" s="1382" t="inlineStr">
        <is>
          <t xml:space="preserve">Head of Cyber Strategy &amp; Technology </t>
        </is>
      </c>
      <c r="F216" s="1382" t="inlineStr">
        <is>
          <t>Cyber, Risk &amp; Operations</t>
        </is>
      </c>
      <c r="G216" s="1567" t="inlineStr">
        <is>
          <t>Cyber Strat &amp; Tech</t>
        </is>
      </c>
      <c r="H216" s="1567" t="inlineStr">
        <is>
          <t xml:space="preserve">Identity &amp; Access Management </t>
        </is>
      </c>
      <c r="I216" s="1382" t="inlineStr">
        <is>
          <t>NA</t>
        </is>
      </c>
      <c r="J216" s="1382" t="inlineStr">
        <is>
          <t>NA</t>
        </is>
      </c>
      <c r="K216" s="1382" t="inlineStr">
        <is>
          <t>NA</t>
        </is>
      </c>
      <c r="L216" s="1382" t="n"/>
      <c r="M216" s="1568" t="inlineStr">
        <is>
          <t>Australia</t>
        </is>
      </c>
      <c r="N216" s="865" t="inlineStr">
        <is>
          <t>TDD Cyber</t>
        </is>
      </c>
      <c r="O216" s="865" t="inlineStr">
        <is>
          <t>TDD Cyber, Risk &amp; Service Ops</t>
        </is>
      </c>
      <c r="P216" s="865" t="inlineStr">
        <is>
          <t>TDD Cyber</t>
        </is>
      </c>
      <c r="Q216" s="865" t="inlineStr">
        <is>
          <t>Squad</t>
        </is>
      </c>
      <c r="R216" s="865" t="inlineStr">
        <is>
          <t>Filled</t>
        </is>
      </c>
    </row>
    <row r="217" ht="18" customHeight="1" s="866">
      <c r="A217" s="1566" t="n">
        <v>116241</v>
      </c>
      <c r="B217" s="1382" t="inlineStr">
        <is>
          <t>Raymond Cheung</t>
        </is>
      </c>
      <c r="C217" s="1382" t="inlineStr">
        <is>
          <t>Engineer - IDAM</t>
        </is>
      </c>
      <c r="D217" s="1382" t="inlineStr">
        <is>
          <t>Joe Nahma</t>
        </is>
      </c>
      <c r="E217" s="1382" t="inlineStr">
        <is>
          <t xml:space="preserve">Head Cyber Strategy &amp; Technology </t>
        </is>
      </c>
      <c r="F217" s="1382" t="inlineStr">
        <is>
          <t>Cyber, Risk &amp; Operations</t>
        </is>
      </c>
      <c r="G217" s="1567" t="inlineStr">
        <is>
          <t>Cyber Strat &amp; Tech</t>
        </is>
      </c>
      <c r="H217" s="1382" t="inlineStr">
        <is>
          <t>NA</t>
        </is>
      </c>
      <c r="I217" s="1382" t="inlineStr">
        <is>
          <t>NA</t>
        </is>
      </c>
      <c r="J217" s="1382" t="inlineStr">
        <is>
          <t>NA</t>
        </is>
      </c>
      <c r="K217" s="1382" t="inlineStr">
        <is>
          <t>NA</t>
        </is>
      </c>
      <c r="L217" s="1382" t="n"/>
      <c r="M217" s="1568" t="inlineStr">
        <is>
          <t>Australia</t>
        </is>
      </c>
      <c r="N217" s="865" t="inlineStr">
        <is>
          <t>TDD Cyber</t>
        </is>
      </c>
      <c r="O217" s="865" t="inlineStr">
        <is>
          <t>TDD Cyber, Risk &amp; Service Ops</t>
        </is>
      </c>
      <c r="P217" s="865" t="inlineStr">
        <is>
          <t>TDD Cyber</t>
        </is>
      </c>
      <c r="Q217" s="865" t="inlineStr">
        <is>
          <t>Squad</t>
        </is>
      </c>
      <c r="R217" s="865" t="inlineStr">
        <is>
          <t>Filled</t>
        </is>
      </c>
    </row>
    <row r="218" ht="18" customHeight="1" s="866">
      <c r="A218" s="1566" t="n">
        <v>102385</v>
      </c>
      <c r="B218" s="1382" t="inlineStr">
        <is>
          <t>Chris Lyons</t>
        </is>
      </c>
      <c r="C218" s="1382" t="inlineStr">
        <is>
          <t>Cyber Security Architect</t>
        </is>
      </c>
      <c r="D218" s="1382" t="inlineStr">
        <is>
          <t>Kevin Sheerin</t>
        </is>
      </c>
      <c r="E218" s="1382" t="inlineStr">
        <is>
          <t xml:space="preserve">Head of Cyber Strategy &amp; Technology </t>
        </is>
      </c>
      <c r="F218" s="1382" t="inlineStr">
        <is>
          <t>Cyber, Risk &amp; Operations</t>
        </is>
      </c>
      <c r="G218" s="1567" t="inlineStr">
        <is>
          <t>Cyber Strat &amp; Tech</t>
        </is>
      </c>
      <c r="H218" s="1382" t="inlineStr">
        <is>
          <t>NA</t>
        </is>
      </c>
      <c r="I218" s="1382" t="inlineStr">
        <is>
          <t>NA</t>
        </is>
      </c>
      <c r="J218" s="1382" t="inlineStr">
        <is>
          <t>NA</t>
        </is>
      </c>
      <c r="K218" s="1382" t="inlineStr">
        <is>
          <t>NA</t>
        </is>
      </c>
      <c r="L218" s="1382" t="n"/>
      <c r="M218" s="1568" t="inlineStr">
        <is>
          <t>Australia</t>
        </is>
      </c>
      <c r="N218" s="865" t="inlineStr">
        <is>
          <t>TDD Cyber</t>
        </is>
      </c>
      <c r="O218" s="865" t="inlineStr">
        <is>
          <t>TDD Cyber, Risk &amp; Service Ops</t>
        </is>
      </c>
      <c r="P218" s="865" t="inlineStr">
        <is>
          <t>TDD Cyber</t>
        </is>
      </c>
      <c r="Q218" s="865" t="inlineStr">
        <is>
          <t>Squad</t>
        </is>
      </c>
      <c r="R218" s="865" t="inlineStr">
        <is>
          <t>Filled</t>
        </is>
      </c>
    </row>
    <row r="219" ht="18" customHeight="1" s="866">
      <c r="A219" s="1566" t="n">
        <v>99707</v>
      </c>
      <c r="B219" s="1382" t="inlineStr">
        <is>
          <t>Darshan Suvama</t>
        </is>
      </c>
      <c r="C219" s="1382" t="inlineStr">
        <is>
          <t>Cyber Offensive Security Lead</t>
        </is>
      </c>
      <c r="D219" s="1382" t="inlineStr">
        <is>
          <t>Kevin Sheerin</t>
        </is>
      </c>
      <c r="E219" s="1382" t="inlineStr">
        <is>
          <t>Cyber Architecture Lead</t>
        </is>
      </c>
      <c r="F219" s="1382" t="inlineStr">
        <is>
          <t>Cyber, Risk &amp; Operations</t>
        </is>
      </c>
      <c r="G219" s="1567" t="inlineStr">
        <is>
          <t>Cyber Strat &amp; Tech</t>
        </is>
      </c>
      <c r="H219" s="1382" t="inlineStr">
        <is>
          <t>NA</t>
        </is>
      </c>
      <c r="I219" s="1382" t="inlineStr">
        <is>
          <t>NA</t>
        </is>
      </c>
      <c r="J219" s="1382" t="inlineStr">
        <is>
          <t>NA</t>
        </is>
      </c>
      <c r="K219" s="1382" t="inlineStr">
        <is>
          <t>NA</t>
        </is>
      </c>
      <c r="L219" s="1382" t="n"/>
      <c r="M219" s="1568" t="inlineStr">
        <is>
          <t>Australia</t>
        </is>
      </c>
      <c r="N219" s="865" t="inlineStr">
        <is>
          <t>TDD Cyber</t>
        </is>
      </c>
      <c r="O219" s="865" t="inlineStr">
        <is>
          <t>TDD Cyber, Risk &amp; Service Ops</t>
        </is>
      </c>
      <c r="P219" s="865" t="inlineStr">
        <is>
          <t>TDD Cyber</t>
        </is>
      </c>
      <c r="Q219" s="865" t="inlineStr">
        <is>
          <t>Squad</t>
        </is>
      </c>
      <c r="R219" s="865" t="inlineStr">
        <is>
          <t>Filled</t>
        </is>
      </c>
    </row>
    <row r="220" ht="18" customHeight="1" s="866">
      <c r="A220" s="1566" t="n">
        <v>104966</v>
      </c>
      <c r="B220" s="1382" t="inlineStr">
        <is>
          <t>Rahul Sahni</t>
        </is>
      </c>
      <c r="C220" s="1382" t="inlineStr">
        <is>
          <t>Cyber Security Architect</t>
        </is>
      </c>
      <c r="D220" s="1382" t="inlineStr">
        <is>
          <t>Kevin Sheerin</t>
        </is>
      </c>
      <c r="E220" s="1382" t="n"/>
      <c r="F220" s="1382" t="inlineStr">
        <is>
          <t>Cyber, Risk &amp; Operations</t>
        </is>
      </c>
      <c r="G220" s="1567" t="inlineStr">
        <is>
          <t>Cyber Strat &amp; Tech</t>
        </is>
      </c>
      <c r="H220" s="1382" t="inlineStr">
        <is>
          <t>NA</t>
        </is>
      </c>
      <c r="I220" s="1382" t="inlineStr">
        <is>
          <t>NA</t>
        </is>
      </c>
      <c r="J220" s="1382" t="inlineStr">
        <is>
          <t>NA</t>
        </is>
      </c>
      <c r="K220" s="1382" t="inlineStr">
        <is>
          <t>NA</t>
        </is>
      </c>
      <c r="L220" s="1382" t="n"/>
      <c r="M220" s="1568" t="inlineStr">
        <is>
          <t>Australia</t>
        </is>
      </c>
      <c r="N220" s="865" t="inlineStr">
        <is>
          <t>TDD Cyber</t>
        </is>
      </c>
      <c r="O220" s="865" t="inlineStr">
        <is>
          <t>TDD Cyber, Risk &amp; Service Ops</t>
        </is>
      </c>
      <c r="P220" s="865" t="inlineStr">
        <is>
          <t>TDD Cyber</t>
        </is>
      </c>
      <c r="Q220" s="865" t="inlineStr">
        <is>
          <t>Squad</t>
        </is>
      </c>
      <c r="R220" s="865" t="inlineStr">
        <is>
          <t>Filled</t>
        </is>
      </c>
    </row>
    <row r="221" ht="18" customHeight="1" s="866">
      <c r="A221" s="1566" t="n"/>
      <c r="B221" s="1382" t="inlineStr">
        <is>
          <t>Vacant</t>
        </is>
      </c>
      <c r="C221" s="1382" t="inlineStr">
        <is>
          <t>Cyber Architect (backfill for EGI Secondment)</t>
        </is>
      </c>
      <c r="D221" s="1382" t="inlineStr">
        <is>
          <t>Kevin Sheerin</t>
        </is>
      </c>
      <c r="E221" s="1382" t="n"/>
      <c r="F221" s="1382" t="inlineStr">
        <is>
          <t>Cyber, Risk &amp; Operations</t>
        </is>
      </c>
      <c r="G221" s="1567" t="inlineStr">
        <is>
          <t>Cyber Strat &amp; Tech</t>
        </is>
      </c>
      <c r="H221" s="1382" t="inlineStr">
        <is>
          <t>NA</t>
        </is>
      </c>
      <c r="I221" s="1382" t="inlineStr">
        <is>
          <t>NA</t>
        </is>
      </c>
      <c r="J221" s="1382" t="inlineStr">
        <is>
          <t>NA</t>
        </is>
      </c>
      <c r="K221" s="1382" t="inlineStr">
        <is>
          <t>NA</t>
        </is>
      </c>
      <c r="L221" s="1382" t="n"/>
      <c r="M221" s="1568" t="n"/>
      <c r="N221" s="865" t="inlineStr">
        <is>
          <t>TDD Cyber</t>
        </is>
      </c>
      <c r="O221" s="865" t="inlineStr">
        <is>
          <t>TDD Cyber, Risk &amp; Service Ops</t>
        </is>
      </c>
      <c r="P221" s="865" t="inlineStr">
        <is>
          <t>TDD Cyber</t>
        </is>
      </c>
      <c r="Q221" s="865" t="inlineStr">
        <is>
          <t>Squad</t>
        </is>
      </c>
      <c r="R221" s="865" t="inlineStr">
        <is>
          <t>Vacant</t>
        </is>
      </c>
    </row>
    <row r="222" ht="18" customHeight="1" s="866">
      <c r="A222" s="1566" t="n">
        <v>113382</v>
      </c>
      <c r="B222" s="1382" t="inlineStr">
        <is>
          <t>Jack Jenkins</t>
        </is>
      </c>
      <c r="C222" s="1382" t="inlineStr">
        <is>
          <t>Asset Analyst</t>
        </is>
      </c>
      <c r="D222" s="1382" t="inlineStr">
        <is>
          <t>Lead - Asset &amp; Configuration (Vacant)</t>
        </is>
      </c>
      <c r="E222" s="1382" t="n"/>
      <c r="F222" s="1382" t="inlineStr">
        <is>
          <t>Cyber, Risk &amp; Operations</t>
        </is>
      </c>
      <c r="G222" s="1567" t="inlineStr">
        <is>
          <t>Service Op &amp; Assurance</t>
        </is>
      </c>
      <c r="H222" s="1382" t="inlineStr">
        <is>
          <t>NA</t>
        </is>
      </c>
      <c r="I222" s="1382" t="inlineStr">
        <is>
          <t>NA</t>
        </is>
      </c>
      <c r="J222" s="1382" t="inlineStr">
        <is>
          <t>NA</t>
        </is>
      </c>
      <c r="K222" s="1382" t="inlineStr">
        <is>
          <t>NA</t>
        </is>
      </c>
      <c r="L222" s="1382" t="n"/>
      <c r="M222" s="1568" t="inlineStr">
        <is>
          <t>Australia</t>
        </is>
      </c>
      <c r="N222" s="865" t="inlineStr">
        <is>
          <t>TDD Cyber</t>
        </is>
      </c>
      <c r="O222" s="865" t="inlineStr">
        <is>
          <t>TDD Cyber, Risk &amp; Service Ops</t>
        </is>
      </c>
      <c r="P222" s="865" t="inlineStr">
        <is>
          <t>TDD Cyber</t>
        </is>
      </c>
      <c r="Q222" s="865" t="inlineStr">
        <is>
          <t>Squad</t>
        </is>
      </c>
      <c r="R222" s="865" t="inlineStr">
        <is>
          <t>Filled</t>
        </is>
      </c>
    </row>
    <row r="223" ht="18" customHeight="1" s="866">
      <c r="A223" s="1566" t="n">
        <v>104555</v>
      </c>
      <c r="B223" s="1382" t="inlineStr">
        <is>
          <t>Ritika Salaria</t>
        </is>
      </c>
      <c r="C223" s="1382" t="inlineStr">
        <is>
          <t>Configuration Analyst</t>
        </is>
      </c>
      <c r="D223" s="1382" t="inlineStr">
        <is>
          <t>Lead - Asset &amp; Configuration (Vacant)</t>
        </is>
      </c>
      <c r="E223" s="1382" t="n"/>
      <c r="F223" s="1382" t="inlineStr">
        <is>
          <t>Cyber, Risk &amp; Operations</t>
        </is>
      </c>
      <c r="G223" s="1567" t="inlineStr">
        <is>
          <t>Service Op &amp; Assurance</t>
        </is>
      </c>
      <c r="H223" s="1382" t="inlineStr">
        <is>
          <t>NA</t>
        </is>
      </c>
      <c r="I223" s="1382" t="inlineStr">
        <is>
          <t>NA</t>
        </is>
      </c>
      <c r="J223" s="1382" t="inlineStr">
        <is>
          <t>NA</t>
        </is>
      </c>
      <c r="K223" s="1382" t="inlineStr">
        <is>
          <t>NA</t>
        </is>
      </c>
      <c r="L223" s="1382" t="n"/>
      <c r="M223" s="1568" t="inlineStr">
        <is>
          <t>Australia</t>
        </is>
      </c>
      <c r="N223" s="865" t="inlineStr">
        <is>
          <t>TDD Cyber</t>
        </is>
      </c>
      <c r="O223" s="865" t="inlineStr">
        <is>
          <t>TDD Cyber, Risk &amp; Service Ops</t>
        </is>
      </c>
      <c r="P223" s="865" t="inlineStr">
        <is>
          <t>TDD Cyber</t>
        </is>
      </c>
      <c r="Q223" s="865" t="inlineStr">
        <is>
          <t>Squad</t>
        </is>
      </c>
      <c r="R223" s="865" t="inlineStr">
        <is>
          <t>Filled</t>
        </is>
      </c>
    </row>
    <row r="224" ht="18" customHeight="1" s="866">
      <c r="A224" s="1566" t="n">
        <v>114354</v>
      </c>
      <c r="B224" s="1382" t="inlineStr">
        <is>
          <t>Kaaviya Salai Manimudian</t>
        </is>
      </c>
      <c r="C224" s="1382" t="inlineStr">
        <is>
          <t>Graduate</t>
        </is>
      </c>
      <c r="D224" s="1382" t="inlineStr">
        <is>
          <t>Lynda Niewidok</t>
        </is>
      </c>
      <c r="E224" s="1382" t="inlineStr">
        <is>
          <t xml:space="preserve">Manager Customer Support Operations </t>
        </is>
      </c>
      <c r="F224" s="1382" t="inlineStr">
        <is>
          <t>Cyber, Risk &amp; Operations</t>
        </is>
      </c>
      <c r="G224" s="1567" t="inlineStr">
        <is>
          <t>Service Op &amp; Assurance</t>
        </is>
      </c>
      <c r="H224" s="1382" t="inlineStr">
        <is>
          <t>NA</t>
        </is>
      </c>
      <c r="I224" s="1382" t="inlineStr">
        <is>
          <t>NA</t>
        </is>
      </c>
      <c r="J224" s="1382" t="inlineStr">
        <is>
          <t>NA</t>
        </is>
      </c>
      <c r="K224" s="1382" t="inlineStr">
        <is>
          <t>NA</t>
        </is>
      </c>
      <c r="L224" s="1382" t="n"/>
      <c r="M224" s="1568" t="inlineStr">
        <is>
          <t>Australia</t>
        </is>
      </c>
      <c r="N224" s="865" t="inlineStr">
        <is>
          <t>TDD Cyber</t>
        </is>
      </c>
      <c r="O224" s="865" t="inlineStr">
        <is>
          <t>TDD Cyber, Risk &amp; Service Ops</t>
        </is>
      </c>
      <c r="P224" s="865" t="inlineStr">
        <is>
          <t>TDD Cyber</t>
        </is>
      </c>
      <c r="Q224" s="865" t="inlineStr">
        <is>
          <t>Squad</t>
        </is>
      </c>
      <c r="R224" s="865" t="inlineStr">
        <is>
          <t>Filled</t>
        </is>
      </c>
    </row>
    <row r="225" ht="18" customHeight="1" s="866">
      <c r="A225" s="1566" t="n"/>
      <c r="B225" s="1382" t="inlineStr">
        <is>
          <t>Vacant (SYD)</t>
        </is>
      </c>
      <c r="C225" s="1382" t="inlineStr">
        <is>
          <t>Tech Support Technician</t>
        </is>
      </c>
      <c r="D225" s="1382" t="inlineStr">
        <is>
          <t>Mark Pearson</t>
        </is>
      </c>
      <c r="E225" s="1382" t="n"/>
      <c r="F225" s="1382" t="inlineStr">
        <is>
          <t>Cyber, Risk &amp; Operations</t>
        </is>
      </c>
      <c r="G225" s="1567" t="inlineStr">
        <is>
          <t>Service Op &amp; Assurance</t>
        </is>
      </c>
      <c r="H225" s="1382" t="inlineStr">
        <is>
          <t>NA</t>
        </is>
      </c>
      <c r="I225" s="1382" t="inlineStr">
        <is>
          <t>NA</t>
        </is>
      </c>
      <c r="J225" s="1382" t="inlineStr">
        <is>
          <t>NA</t>
        </is>
      </c>
      <c r="K225" s="1382" t="inlineStr">
        <is>
          <t>NA</t>
        </is>
      </c>
      <c r="L225" s="1382" t="n"/>
      <c r="M225" s="1568" t="n"/>
      <c r="N225" s="865" t="inlineStr">
        <is>
          <t>TDD Cyber</t>
        </is>
      </c>
      <c r="O225" s="865" t="inlineStr">
        <is>
          <t>TDD Cyber, Risk &amp; Service Ops</t>
        </is>
      </c>
      <c r="P225" s="865" t="inlineStr">
        <is>
          <t>TDD Cyber</t>
        </is>
      </c>
      <c r="Q225" s="865" t="inlineStr">
        <is>
          <t>Squad</t>
        </is>
      </c>
      <c r="R225" s="865" t="inlineStr">
        <is>
          <t>Filled</t>
        </is>
      </c>
    </row>
    <row r="226" ht="18" customHeight="1" s="866">
      <c r="A226" s="1566" t="n">
        <v>108727</v>
      </c>
      <c r="B226" s="1382" t="inlineStr">
        <is>
          <t>Jas Mann</t>
        </is>
      </c>
      <c r="C226" s="1382" t="inlineStr">
        <is>
          <t>Technology Support Engineer</t>
        </is>
      </c>
      <c r="D226" s="1382" t="inlineStr">
        <is>
          <t>Mark Pearson</t>
        </is>
      </c>
      <c r="E226" s="1382" t="inlineStr">
        <is>
          <t xml:space="preserve">Lead Technology Support </t>
        </is>
      </c>
      <c r="F226" s="1382" t="inlineStr">
        <is>
          <t>Cyber, Risk &amp; Operations</t>
        </is>
      </c>
      <c r="G226" s="1567" t="inlineStr">
        <is>
          <t>Service Op &amp; Assurance</t>
        </is>
      </c>
      <c r="H226" s="1382" t="inlineStr">
        <is>
          <t>NA</t>
        </is>
      </c>
      <c r="I226" s="1382" t="inlineStr">
        <is>
          <t>NA</t>
        </is>
      </c>
      <c r="J226" s="1382" t="inlineStr">
        <is>
          <t>NA</t>
        </is>
      </c>
      <c r="K226" s="1382" t="inlineStr">
        <is>
          <t>NA</t>
        </is>
      </c>
      <c r="L226" s="1382" t="n"/>
      <c r="M226" s="1568" t="inlineStr">
        <is>
          <t>Australia</t>
        </is>
      </c>
      <c r="N226" s="865" t="inlineStr">
        <is>
          <t>TDD Cyber</t>
        </is>
      </c>
      <c r="O226" s="865" t="inlineStr">
        <is>
          <t>TDD Cyber, Risk &amp; Service Ops</t>
        </is>
      </c>
      <c r="P226" s="865" t="inlineStr">
        <is>
          <t>TDD Cyber</t>
        </is>
      </c>
      <c r="Q226" s="865" t="inlineStr">
        <is>
          <t>Squad</t>
        </is>
      </c>
      <c r="R226" s="865" t="inlineStr">
        <is>
          <t>Filled</t>
        </is>
      </c>
    </row>
    <row r="227" ht="18" customHeight="1" s="866">
      <c r="A227" s="1566" t="n">
        <v>108013</v>
      </c>
      <c r="B227" s="1382" t="inlineStr">
        <is>
          <t>Vacant</t>
        </is>
      </c>
      <c r="C227" s="1382" t="inlineStr">
        <is>
          <t>Technology Support Engineer</t>
        </is>
      </c>
      <c r="D227" s="1382" t="inlineStr">
        <is>
          <t>Mark Pearson</t>
        </is>
      </c>
      <c r="E227" s="1382" t="inlineStr">
        <is>
          <t xml:space="preserve">Lead Technology Support </t>
        </is>
      </c>
      <c r="F227" s="1382" t="inlineStr">
        <is>
          <t>Cyber, Risk &amp; Operations</t>
        </is>
      </c>
      <c r="G227" s="1567" t="inlineStr">
        <is>
          <t>Service Op &amp; Assurance</t>
        </is>
      </c>
      <c r="H227" s="1382" t="inlineStr">
        <is>
          <t xml:space="preserve">Technology Support </t>
        </is>
      </c>
      <c r="I227" s="1382" t="inlineStr">
        <is>
          <t>NA</t>
        </is>
      </c>
      <c r="J227" s="1382" t="inlineStr">
        <is>
          <t>NA</t>
        </is>
      </c>
      <c r="K227" s="1382" t="inlineStr">
        <is>
          <t>NA</t>
        </is>
      </c>
      <c r="L227" s="1382" t="n"/>
      <c r="M227" s="1568" t="inlineStr">
        <is>
          <t>Australia</t>
        </is>
      </c>
      <c r="N227" s="865" t="inlineStr">
        <is>
          <t>TDD Cyber</t>
        </is>
      </c>
      <c r="O227" s="865" t="inlineStr">
        <is>
          <t>TDD Cyber, Risk &amp; Service Ops</t>
        </is>
      </c>
      <c r="P227" s="865" t="inlineStr">
        <is>
          <t>TDD Cyber</t>
        </is>
      </c>
      <c r="Q227" s="865" t="inlineStr">
        <is>
          <t>Squad</t>
        </is>
      </c>
      <c r="R227" s="865" t="inlineStr">
        <is>
          <t>Vacant</t>
        </is>
      </c>
    </row>
    <row r="228" ht="18" customHeight="1" s="866">
      <c r="A228" s="1566" t="n"/>
      <c r="B228" s="1382" t="inlineStr">
        <is>
          <t>Vacant</t>
        </is>
      </c>
      <c r="C228" s="1382" t="inlineStr">
        <is>
          <t>Operations Analyst</t>
        </is>
      </c>
      <c r="D228" s="1382" t="inlineStr">
        <is>
          <t>Mick Collins</t>
        </is>
      </c>
      <c r="E228" s="1382" t="inlineStr">
        <is>
          <t xml:space="preserve">Manager Service Management &amp; Major Incident Management Lead </t>
        </is>
      </c>
      <c r="F228" s="1382" t="inlineStr">
        <is>
          <t>Cyber, Risk &amp; Operations</t>
        </is>
      </c>
      <c r="G228" s="1567" t="inlineStr">
        <is>
          <t>Loyalty &amp; Martech</t>
        </is>
      </c>
      <c r="H228" s="1382" t="inlineStr">
        <is>
          <t>NA</t>
        </is>
      </c>
      <c r="I228" s="1382" t="inlineStr">
        <is>
          <t>NA</t>
        </is>
      </c>
      <c r="J228" s="1382" t="inlineStr">
        <is>
          <t>NA</t>
        </is>
      </c>
      <c r="K228" s="1382" t="inlineStr">
        <is>
          <t>NA</t>
        </is>
      </c>
      <c r="L228" s="1382" t="n"/>
      <c r="M228" s="1568" t="n"/>
      <c r="N228" s="865" t="inlineStr">
        <is>
          <t>Customer</t>
        </is>
      </c>
      <c r="O228" s="865" t="inlineStr">
        <is>
          <t>Group Customer Platforms</t>
        </is>
      </c>
      <c r="P228" s="865" t="inlineStr">
        <is>
          <t>AU CRM &amp; Martech</t>
        </is>
      </c>
      <c r="Q228" s="865" t="inlineStr">
        <is>
          <t>Squad</t>
        </is>
      </c>
      <c r="R228" s="865" t="inlineStr">
        <is>
          <t>Vacant</t>
        </is>
      </c>
    </row>
    <row r="229" ht="18" customHeight="1" s="866">
      <c r="A229" s="1566" t="n">
        <v>99999101684</v>
      </c>
      <c r="B229" s="1382" t="inlineStr">
        <is>
          <t>Ashley Mueller</t>
        </is>
      </c>
      <c r="C229" s="1382" t="inlineStr">
        <is>
          <t>Lead - Service Assurance</t>
        </is>
      </c>
      <c r="D229" s="1382" t="inlineStr">
        <is>
          <t>Mick Collins</t>
        </is>
      </c>
      <c r="E229" s="1382" t="inlineStr">
        <is>
          <t>Cyber Architecture Lead</t>
        </is>
      </c>
      <c r="F229" s="1382" t="inlineStr">
        <is>
          <t>Cyber, Risk &amp; Operations</t>
        </is>
      </c>
      <c r="G229" s="1567" t="inlineStr">
        <is>
          <t>Service Op &amp; Assurance</t>
        </is>
      </c>
      <c r="H229" s="1382" t="inlineStr">
        <is>
          <t xml:space="preserve">Service Performance &amp; Assurance </t>
        </is>
      </c>
      <c r="I229" s="1382" t="inlineStr">
        <is>
          <t>NA</t>
        </is>
      </c>
      <c r="J229" s="1382" t="inlineStr">
        <is>
          <t>NA</t>
        </is>
      </c>
      <c r="K229" s="1382" t="inlineStr">
        <is>
          <t>NA</t>
        </is>
      </c>
      <c r="L229" s="1382" t="n"/>
      <c r="M229" s="1568" t="inlineStr">
        <is>
          <t>NZ</t>
        </is>
      </c>
      <c r="N229" s="865" t="inlineStr">
        <is>
          <t>TDD Cyber</t>
        </is>
      </c>
      <c r="O229" s="865" t="inlineStr">
        <is>
          <t>TDD Cyber, Risk &amp; Service Ops</t>
        </is>
      </c>
      <c r="P229" s="865" t="inlineStr">
        <is>
          <t>TDD Cyber</t>
        </is>
      </c>
      <c r="Q229" s="865" t="inlineStr">
        <is>
          <t>Squad</t>
        </is>
      </c>
      <c r="R229" s="865" t="inlineStr">
        <is>
          <t>Filled</t>
        </is>
      </c>
    </row>
    <row r="230" ht="18" customHeight="1" s="866">
      <c r="A230" s="1566" t="n"/>
      <c r="B230" s="1382" t="inlineStr">
        <is>
          <t>Vacant</t>
        </is>
      </c>
      <c r="C230" s="1382" t="inlineStr">
        <is>
          <t>Lead - Asset &amp; Configuration</t>
        </is>
      </c>
      <c r="D230" s="1382" t="inlineStr">
        <is>
          <t>Mick Collins</t>
        </is>
      </c>
      <c r="E230" s="1382" t="inlineStr">
        <is>
          <t xml:space="preserve">Manager Cyber Security Operations </t>
        </is>
      </c>
      <c r="F230" s="1382" t="inlineStr">
        <is>
          <t>Cyber, Risk &amp; Operations</t>
        </is>
      </c>
      <c r="G230" s="1567" t="inlineStr">
        <is>
          <t>Service Op &amp; Assurance</t>
        </is>
      </c>
      <c r="H230" s="1382" t="inlineStr">
        <is>
          <t>NA</t>
        </is>
      </c>
      <c r="I230" s="1382" t="inlineStr">
        <is>
          <t>NA</t>
        </is>
      </c>
      <c r="J230" s="1382" t="inlineStr">
        <is>
          <t>NA</t>
        </is>
      </c>
      <c r="K230" s="1382" t="inlineStr">
        <is>
          <t>NA</t>
        </is>
      </c>
      <c r="L230" s="1382" t="n"/>
      <c r="M230" s="1568" t="n"/>
      <c r="N230" s="865" t="inlineStr">
        <is>
          <t>TDD Cyber</t>
        </is>
      </c>
      <c r="O230" s="865" t="inlineStr">
        <is>
          <t>TDD Cyber, Risk &amp; Service Ops</t>
        </is>
      </c>
      <c r="P230" s="865" t="inlineStr">
        <is>
          <t>TDD Cyber</t>
        </is>
      </c>
      <c r="Q230" s="865" t="inlineStr">
        <is>
          <t>Squad</t>
        </is>
      </c>
      <c r="R230" s="865" t="inlineStr">
        <is>
          <t>Vacant</t>
        </is>
      </c>
    </row>
    <row r="231" ht="18" customHeight="1" s="866">
      <c r="A231" s="1566" t="n">
        <v>6307</v>
      </c>
      <c r="B231" s="1382" t="inlineStr">
        <is>
          <t>Darren Koller</t>
        </is>
      </c>
      <c r="C231" s="1382" t="inlineStr">
        <is>
          <t>Manager, Service Management &amp; Major Incident Mgmt Lead</t>
        </is>
      </c>
      <c r="D231" s="1382" t="inlineStr">
        <is>
          <t>Rajini Onteddu Reddy</t>
        </is>
      </c>
      <c r="E231" s="1382" t="inlineStr">
        <is>
          <t>Head of Service Operatoins &amp; Assurance</t>
        </is>
      </c>
      <c r="F231" s="1382" t="inlineStr">
        <is>
          <t>Cyber, Risk &amp; Operations</t>
        </is>
      </c>
      <c r="G231" s="1567" t="inlineStr">
        <is>
          <t>Service Op &amp; Assurance</t>
        </is>
      </c>
      <c r="H231" s="1382" t="inlineStr">
        <is>
          <t>NA</t>
        </is>
      </c>
      <c r="I231" s="1382" t="inlineStr">
        <is>
          <t>NA</t>
        </is>
      </c>
      <c r="J231" s="1382" t="inlineStr">
        <is>
          <t>NA</t>
        </is>
      </c>
      <c r="K231" s="1382" t="inlineStr">
        <is>
          <t>NA</t>
        </is>
      </c>
      <c r="L231" s="1382" t="n"/>
      <c r="M231" s="1568" t="inlineStr">
        <is>
          <t>Australia</t>
        </is>
      </c>
      <c r="N231" s="865" t="inlineStr">
        <is>
          <t>TDD Cyber</t>
        </is>
      </c>
      <c r="O231" s="865" t="inlineStr">
        <is>
          <t>TDD Cyber, Risk &amp; Service Ops</t>
        </is>
      </c>
      <c r="P231" s="865" t="inlineStr">
        <is>
          <t>TDD Cyber</t>
        </is>
      </c>
      <c r="Q231" s="865" t="inlineStr">
        <is>
          <t>Squad</t>
        </is>
      </c>
      <c r="R231" s="865" t="inlineStr">
        <is>
          <t>Filled</t>
        </is>
      </c>
    </row>
    <row r="232" ht="18" customHeight="1" s="866">
      <c r="A232" s="1566" t="n">
        <v>99999101673</v>
      </c>
      <c r="B232" s="1382" t="inlineStr">
        <is>
          <t>Lisa Ng</t>
        </is>
      </c>
      <c r="C232" s="1382" t="inlineStr">
        <is>
          <t>Cyber Security Analyst</t>
        </is>
      </c>
      <c r="D232" s="1382" t="inlineStr">
        <is>
          <t>Steven Atcheson</t>
        </is>
      </c>
      <c r="E232" s="1382" t="n"/>
      <c r="F232" s="1382" t="inlineStr">
        <is>
          <t>Cyber, Risk &amp; Operations</t>
        </is>
      </c>
      <c r="G232" s="1567" t="inlineStr">
        <is>
          <t>Cyber Sec Ops</t>
        </is>
      </c>
      <c r="H232" s="1382" t="inlineStr">
        <is>
          <t>NA</t>
        </is>
      </c>
      <c r="I232" s="1382" t="inlineStr">
        <is>
          <t>NA</t>
        </is>
      </c>
      <c r="J232" s="1382" t="inlineStr">
        <is>
          <t>NA</t>
        </is>
      </c>
      <c r="K232" s="1382" t="inlineStr">
        <is>
          <t>NA</t>
        </is>
      </c>
      <c r="L232" s="1382" t="n"/>
      <c r="M232" s="1568" t="inlineStr">
        <is>
          <t>NZ</t>
        </is>
      </c>
      <c r="N232" s="865" t="inlineStr">
        <is>
          <t>TDD Cyber</t>
        </is>
      </c>
      <c r="O232" s="865" t="inlineStr">
        <is>
          <t>TDD Cyber, Risk &amp; Service Ops</t>
        </is>
      </c>
      <c r="P232" s="865" t="inlineStr">
        <is>
          <t>TDD Cyber</t>
        </is>
      </c>
      <c r="Q232" s="865" t="inlineStr">
        <is>
          <t>Squad</t>
        </is>
      </c>
      <c r="R232" s="865" t="inlineStr">
        <is>
          <t>Filled</t>
        </is>
      </c>
    </row>
    <row r="233" ht="18" customHeight="1" s="866">
      <c r="A233" s="1566" t="n">
        <v>98371</v>
      </c>
      <c r="B233" s="1382" t="inlineStr">
        <is>
          <t>Stafford Dowling</t>
        </is>
      </c>
      <c r="C233" s="1382" t="inlineStr">
        <is>
          <t>Cyber Security Analyst</t>
        </is>
      </c>
      <c r="D233" s="1382" t="inlineStr">
        <is>
          <t>Steven Atcheson</t>
        </is>
      </c>
      <c r="E233" s="1382" t="n"/>
      <c r="F233" s="1382" t="inlineStr">
        <is>
          <t>Cyber, Risk &amp; Operations</t>
        </is>
      </c>
      <c r="G233" s="1567" t="inlineStr">
        <is>
          <t>Cyber Sec Ops</t>
        </is>
      </c>
      <c r="H233" s="1382" t="inlineStr">
        <is>
          <t>NA</t>
        </is>
      </c>
      <c r="I233" s="1382" t="inlineStr">
        <is>
          <t>NA</t>
        </is>
      </c>
      <c r="J233" s="1382" t="inlineStr">
        <is>
          <t>NA</t>
        </is>
      </c>
      <c r="K233" s="1382" t="inlineStr">
        <is>
          <t>NA</t>
        </is>
      </c>
      <c r="L233" s="1382" t="n"/>
      <c r="M233" s="1568" t="inlineStr">
        <is>
          <t>Australia</t>
        </is>
      </c>
      <c r="N233" s="865" t="inlineStr">
        <is>
          <t>TDD Cyber</t>
        </is>
      </c>
      <c r="O233" s="865" t="inlineStr">
        <is>
          <t>TDD Cyber, Risk &amp; Service Ops</t>
        </is>
      </c>
      <c r="P233" s="865" t="inlineStr">
        <is>
          <t>TDD Cyber</t>
        </is>
      </c>
      <c r="Q233" s="865" t="inlineStr">
        <is>
          <t>Squad</t>
        </is>
      </c>
      <c r="R233" s="865" t="inlineStr">
        <is>
          <t>Filled</t>
        </is>
      </c>
    </row>
    <row r="234" ht="18" customHeight="1" s="866">
      <c r="A234" s="1566" t="n">
        <v>97425</v>
      </c>
      <c r="B234" s="1382" t="inlineStr">
        <is>
          <t>Nischal Bhusal</t>
        </is>
      </c>
      <c r="C234" s="1382" t="inlineStr">
        <is>
          <t>Cyber Security Analyst</t>
        </is>
      </c>
      <c r="D234" s="1382" t="inlineStr">
        <is>
          <t>Steven Atcheson</t>
        </is>
      </c>
      <c r="E234" s="1382" t="n"/>
      <c r="F234" s="1382" t="inlineStr">
        <is>
          <t>Cyber, Risk &amp; Operations</t>
        </is>
      </c>
      <c r="G234" s="1567" t="inlineStr">
        <is>
          <t>Cyber Sec Ops</t>
        </is>
      </c>
      <c r="H234" s="1382" t="inlineStr">
        <is>
          <t>NA</t>
        </is>
      </c>
      <c r="I234" s="1382" t="inlineStr">
        <is>
          <t>NA</t>
        </is>
      </c>
      <c r="J234" s="1382" t="inlineStr">
        <is>
          <t>NA</t>
        </is>
      </c>
      <c r="K234" s="1382" t="inlineStr">
        <is>
          <t>NA</t>
        </is>
      </c>
      <c r="L234" s="1382" t="n"/>
      <c r="M234" s="1568" t="inlineStr">
        <is>
          <t>Australia</t>
        </is>
      </c>
      <c r="N234" s="865" t="inlineStr">
        <is>
          <t>TDD Cyber</t>
        </is>
      </c>
      <c r="O234" s="865" t="inlineStr">
        <is>
          <t>TDD Cyber, Risk &amp; Service Ops</t>
        </is>
      </c>
      <c r="P234" s="865" t="inlineStr">
        <is>
          <t>TDD Cyber</t>
        </is>
      </c>
      <c r="Q234" s="865" t="inlineStr">
        <is>
          <t>Squad</t>
        </is>
      </c>
      <c r="R234" s="865" t="inlineStr">
        <is>
          <t>Filled</t>
        </is>
      </c>
    </row>
    <row r="235" ht="18" customHeight="1" s="866">
      <c r="A235" s="1566" t="n">
        <v>99999101321</v>
      </c>
      <c r="B235" s="1382" t="inlineStr">
        <is>
          <t>Sameer Pattanaik</t>
        </is>
      </c>
      <c r="C235" s="1382" t="inlineStr">
        <is>
          <t>Cyber Security Operations Lead</t>
        </is>
      </c>
      <c r="D235" s="1382" t="inlineStr">
        <is>
          <t>Steven Atcheson</t>
        </is>
      </c>
      <c r="E235" s="1382" t="n"/>
      <c r="F235" s="1382" t="inlineStr">
        <is>
          <t>Cyber, Risk &amp; Operations</t>
        </is>
      </c>
      <c r="G235" s="1567" t="inlineStr">
        <is>
          <t>Cyber Sec Ops</t>
        </is>
      </c>
      <c r="H235" s="1382" t="inlineStr">
        <is>
          <t>NA</t>
        </is>
      </c>
      <c r="I235" s="1382" t="inlineStr">
        <is>
          <t>NA</t>
        </is>
      </c>
      <c r="J235" s="1382" t="inlineStr">
        <is>
          <t>NA</t>
        </is>
      </c>
      <c r="K235" s="1382" t="inlineStr">
        <is>
          <t>NA</t>
        </is>
      </c>
      <c r="L235" s="1382" t="n"/>
      <c r="M235" s="1568" t="inlineStr">
        <is>
          <t>NZ</t>
        </is>
      </c>
      <c r="N235" s="865" t="inlineStr">
        <is>
          <t>TDD Cyber</t>
        </is>
      </c>
      <c r="O235" s="865" t="inlineStr">
        <is>
          <t>TDD Cyber, Risk &amp; Service Ops</t>
        </is>
      </c>
      <c r="P235" s="865" t="inlineStr">
        <is>
          <t>TDD Cyber</t>
        </is>
      </c>
      <c r="Q235" s="865" t="inlineStr">
        <is>
          <t>Squad</t>
        </is>
      </c>
      <c r="R235" s="865" t="inlineStr">
        <is>
          <t>Filled</t>
        </is>
      </c>
    </row>
    <row r="236" ht="18" customHeight="1" s="866">
      <c r="A236" s="1566" t="n">
        <v>98924</v>
      </c>
      <c r="B236" s="1382" t="inlineStr">
        <is>
          <t>Dan Balsamo</t>
        </is>
      </c>
      <c r="C236" s="1382" t="inlineStr">
        <is>
          <t>Senior Cyber Project Manager</t>
        </is>
      </c>
      <c r="D236" s="1382" t="inlineStr">
        <is>
          <t>Vacant</t>
        </is>
      </c>
      <c r="E236" s="1382" t="inlineStr">
        <is>
          <t xml:space="preserve">Head of Cyber Strategy &amp; Technology </t>
        </is>
      </c>
      <c r="F236" s="1382" t="inlineStr">
        <is>
          <t>Cyber, Risk &amp; Operations</t>
        </is>
      </c>
      <c r="G236" s="1567" t="inlineStr">
        <is>
          <t>Cyber Strat &amp; Tech</t>
        </is>
      </c>
      <c r="H236" s="1382" t="inlineStr">
        <is>
          <t>NA</t>
        </is>
      </c>
      <c r="I236" s="1382" t="inlineStr">
        <is>
          <t>NA</t>
        </is>
      </c>
      <c r="J236" s="1382" t="inlineStr">
        <is>
          <t>NA</t>
        </is>
      </c>
      <c r="K236" s="1382" t="inlineStr">
        <is>
          <t>NA</t>
        </is>
      </c>
      <c r="L236" s="1382" t="n"/>
      <c r="M236" s="1568" t="inlineStr">
        <is>
          <t>Australia</t>
        </is>
      </c>
      <c r="N236" s="865" t="inlineStr">
        <is>
          <t>TDD Cyber</t>
        </is>
      </c>
      <c r="O236" s="865" t="inlineStr">
        <is>
          <t>TDD Cyber, Risk &amp; Service Ops</t>
        </is>
      </c>
      <c r="P236" s="865" t="inlineStr">
        <is>
          <t>TDD Cyber</t>
        </is>
      </c>
      <c r="Q236" s="865" t="inlineStr">
        <is>
          <t>Squad</t>
        </is>
      </c>
      <c r="R236" s="865" t="inlineStr">
        <is>
          <t>Filled</t>
        </is>
      </c>
    </row>
    <row r="237" ht="18" customHeight="1" s="866">
      <c r="A237" s="1566" t="n">
        <v>87951</v>
      </c>
      <c r="B237" s="1382" t="inlineStr">
        <is>
          <t>Iwan Wibisono</t>
        </is>
      </c>
      <c r="C237" s="1382" t="inlineStr">
        <is>
          <t>Engineer - IDAM</t>
        </is>
      </c>
      <c r="D237" s="1382" t="inlineStr">
        <is>
          <t>Vacant</t>
        </is>
      </c>
      <c r="E237" s="1382" t="inlineStr">
        <is>
          <t xml:space="preserve">Lead Service Desk </t>
        </is>
      </c>
      <c r="F237" s="1382" t="inlineStr">
        <is>
          <t>Cyber, Risk &amp; Operations</t>
        </is>
      </c>
      <c r="G237" s="1567" t="inlineStr">
        <is>
          <t>Cyber Strat &amp; Tech</t>
        </is>
      </c>
      <c r="H237" s="1382" t="inlineStr">
        <is>
          <t>NA</t>
        </is>
      </c>
      <c r="I237" s="1382" t="inlineStr">
        <is>
          <t>NA</t>
        </is>
      </c>
      <c r="J237" s="1382" t="inlineStr">
        <is>
          <t>NA</t>
        </is>
      </c>
      <c r="K237" s="1382" t="inlineStr">
        <is>
          <t>NA</t>
        </is>
      </c>
      <c r="L237" s="1382" t="n"/>
      <c r="M237" s="1568" t="inlineStr">
        <is>
          <t>Australia</t>
        </is>
      </c>
      <c r="N237" s="865" t="inlineStr">
        <is>
          <t>TDD Cyber</t>
        </is>
      </c>
      <c r="O237" s="865" t="inlineStr">
        <is>
          <t>TDD Cyber, Risk &amp; Service Ops</t>
        </is>
      </c>
      <c r="P237" s="865" t="inlineStr">
        <is>
          <t>TDD Cyber</t>
        </is>
      </c>
      <c r="Q237" s="865" t="inlineStr">
        <is>
          <t>Squad</t>
        </is>
      </c>
      <c r="R237" s="865" t="inlineStr">
        <is>
          <t>Filled</t>
        </is>
      </c>
    </row>
    <row r="238" ht="18" customHeight="1" s="866">
      <c r="A238" s="1566" t="n">
        <v>108728</v>
      </c>
      <c r="B238" s="1382" t="inlineStr">
        <is>
          <t>Remya Pookat</t>
        </is>
      </c>
      <c r="C238" s="1382" t="inlineStr">
        <is>
          <t>Lead - Change &amp; Release Management</t>
        </is>
      </c>
      <c r="D238" s="1382" t="inlineStr">
        <is>
          <t>Vacant</t>
        </is>
      </c>
      <c r="E238" s="1382" t="inlineStr">
        <is>
          <t>Manager Cyber Security GRC</t>
        </is>
      </c>
      <c r="F238" s="1382" t="inlineStr">
        <is>
          <t>Cyber, Risk &amp; Operations</t>
        </is>
      </c>
      <c r="G238" s="1567" t="inlineStr">
        <is>
          <t>Service Op &amp; Assurance</t>
        </is>
      </c>
      <c r="H238" s="1382" t="inlineStr">
        <is>
          <t>NA</t>
        </is>
      </c>
      <c r="I238" s="1382" t="inlineStr">
        <is>
          <t>NA</t>
        </is>
      </c>
      <c r="J238" s="1382" t="inlineStr">
        <is>
          <t>NA</t>
        </is>
      </c>
      <c r="K238" s="1382" t="inlineStr">
        <is>
          <t>NA</t>
        </is>
      </c>
      <c r="L238" s="1382" t="n"/>
      <c r="M238" s="1568" t="inlineStr">
        <is>
          <t>Australia</t>
        </is>
      </c>
      <c r="N238" s="865" t="inlineStr">
        <is>
          <t>TDD Cyber</t>
        </is>
      </c>
      <c r="O238" s="865" t="inlineStr">
        <is>
          <t>TDD Cyber, Risk &amp; Service Ops</t>
        </is>
      </c>
      <c r="P238" s="865" t="inlineStr">
        <is>
          <t>TDD Cyber</t>
        </is>
      </c>
      <c r="Q238" s="865" t="inlineStr">
        <is>
          <t>Squad</t>
        </is>
      </c>
      <c r="R238" s="865" t="inlineStr">
        <is>
          <t>Filled</t>
        </is>
      </c>
    </row>
    <row r="239" ht="18" customHeight="1" s="866">
      <c r="A239" s="1566" t="n">
        <v>113900</v>
      </c>
      <c r="B239" s="1382" t="inlineStr">
        <is>
          <t>Mick Collins</t>
        </is>
      </c>
      <c r="C239" s="1382" t="inlineStr">
        <is>
          <t>Manager, Service Performance &amp; Assurance</t>
        </is>
      </c>
      <c r="D239" s="1382" t="inlineStr">
        <is>
          <t>Vacant</t>
        </is>
      </c>
      <c r="E239" s="1382" t="n"/>
      <c r="F239" s="1382" t="inlineStr">
        <is>
          <t>Cyber, Risk &amp; Operations</t>
        </is>
      </c>
      <c r="G239" s="1567" t="inlineStr">
        <is>
          <t>Service Op &amp; Assurance</t>
        </is>
      </c>
      <c r="H239" s="1382" t="inlineStr">
        <is>
          <t>NA</t>
        </is>
      </c>
      <c r="I239" s="1382" t="inlineStr">
        <is>
          <t>NA</t>
        </is>
      </c>
      <c r="J239" s="1382" t="inlineStr">
        <is>
          <t>NA</t>
        </is>
      </c>
      <c r="K239" s="1382" t="inlineStr">
        <is>
          <t>NA</t>
        </is>
      </c>
      <c r="L239" s="1382" t="n"/>
      <c r="M239" s="1568" t="inlineStr">
        <is>
          <t>Australia</t>
        </is>
      </c>
      <c r="N239" s="865" t="inlineStr">
        <is>
          <t>TDD Cyber</t>
        </is>
      </c>
      <c r="O239" s="865" t="inlineStr">
        <is>
          <t>TDD Cyber, Risk &amp; Service Ops</t>
        </is>
      </c>
      <c r="P239" s="865" t="inlineStr">
        <is>
          <t>TDD Cyber</t>
        </is>
      </c>
      <c r="Q239" s="865" t="inlineStr">
        <is>
          <t>Squad</t>
        </is>
      </c>
      <c r="R239" s="865" t="inlineStr">
        <is>
          <t>Filled</t>
        </is>
      </c>
    </row>
    <row r="240" ht="18" customHeight="1" s="866">
      <c r="A240" s="1566" t="n">
        <v>99999100770</v>
      </c>
      <c r="B240" s="1382" t="inlineStr">
        <is>
          <t>Spoilagi Bhutwala</t>
        </is>
      </c>
      <c r="C240" s="1382" t="inlineStr">
        <is>
          <t>Tech Support Technician</t>
        </is>
      </c>
      <c r="D240" s="1382" t="inlineStr">
        <is>
          <t>Vacant</t>
        </is>
      </c>
      <c r="E240" s="1382" t="inlineStr">
        <is>
          <t xml:space="preserve">Lead Technology Support </t>
        </is>
      </c>
      <c r="F240" s="1382" t="inlineStr">
        <is>
          <t>Cyber, Risk &amp; Operations</t>
        </is>
      </c>
      <c r="G240" s="1567" t="inlineStr">
        <is>
          <t>Service Op &amp; Assurance</t>
        </is>
      </c>
      <c r="H240" s="1382" t="inlineStr">
        <is>
          <t>NA</t>
        </is>
      </c>
      <c r="I240" s="1382" t="inlineStr">
        <is>
          <t>NA</t>
        </is>
      </c>
      <c r="J240" s="1382" t="inlineStr">
        <is>
          <t>NA</t>
        </is>
      </c>
      <c r="K240" s="1382" t="inlineStr">
        <is>
          <t>NA</t>
        </is>
      </c>
      <c r="L240" s="1382" t="n"/>
      <c r="M240" s="1568" t="inlineStr">
        <is>
          <t>NZ</t>
        </is>
      </c>
      <c r="N240" s="865" t="inlineStr">
        <is>
          <t>TDD Cyber</t>
        </is>
      </c>
      <c r="O240" s="865" t="inlineStr">
        <is>
          <t>TDD Cyber, Risk &amp; Service Ops</t>
        </is>
      </c>
      <c r="P240" s="865" t="inlineStr">
        <is>
          <t>TDD Cyber</t>
        </is>
      </c>
      <c r="Q240" s="865" t="inlineStr">
        <is>
          <t>Squad</t>
        </is>
      </c>
      <c r="R240" s="865" t="inlineStr">
        <is>
          <t>Filled</t>
        </is>
      </c>
    </row>
    <row r="241" ht="18" customHeight="1" s="866">
      <c r="A241" s="1566" t="n">
        <v>99999101346</v>
      </c>
      <c r="B241" s="1382" t="inlineStr">
        <is>
          <t>Shomiya Shayal</t>
        </is>
      </c>
      <c r="C241" s="1382" t="inlineStr">
        <is>
          <t>Risk &amp; Resilience Lead</t>
        </is>
      </c>
      <c r="D241" s="1382" t="inlineStr">
        <is>
          <t>Vacant</t>
        </is>
      </c>
      <c r="E241" s="1382" t="inlineStr">
        <is>
          <t xml:space="preserve">Manager Risk &amp; Resilience </t>
        </is>
      </c>
      <c r="F241" s="1382" t="inlineStr">
        <is>
          <t>Cyber, Risk &amp; Operations</t>
        </is>
      </c>
      <c r="G241" s="1567" t="inlineStr">
        <is>
          <t>Cyber Risk</t>
        </is>
      </c>
      <c r="H241" s="1382" t="inlineStr">
        <is>
          <t>NA</t>
        </is>
      </c>
      <c r="I241" s="1382" t="inlineStr">
        <is>
          <t>NA</t>
        </is>
      </c>
      <c r="J241" s="1382" t="inlineStr">
        <is>
          <t>NA</t>
        </is>
      </c>
      <c r="K241" s="1382" t="inlineStr">
        <is>
          <t>NA</t>
        </is>
      </c>
      <c r="L241" s="1382" t="n"/>
      <c r="M241" s="1568" t="inlineStr">
        <is>
          <t>NZ</t>
        </is>
      </c>
      <c r="N241" s="865" t="inlineStr">
        <is>
          <t>TDD Cyber</t>
        </is>
      </c>
      <c r="O241" s="865" t="inlineStr">
        <is>
          <t>TDD Cyber, Risk &amp; Service Ops</t>
        </is>
      </c>
      <c r="P241" s="865" t="inlineStr">
        <is>
          <t>TDD Cyber</t>
        </is>
      </c>
      <c r="Q241" s="865" t="inlineStr">
        <is>
          <t>Squad</t>
        </is>
      </c>
      <c r="R241" s="865" t="inlineStr">
        <is>
          <t>Filled</t>
        </is>
      </c>
    </row>
    <row r="242" ht="18" customHeight="1" s="866">
      <c r="A242" s="1566" t="n"/>
      <c r="B242" s="1382" t="inlineStr">
        <is>
          <t>Vacant</t>
        </is>
      </c>
      <c r="C242" s="1382" t="inlineStr">
        <is>
          <t>Operations Analyst</t>
        </is>
      </c>
      <c r="D242" s="1382" t="inlineStr">
        <is>
          <t>Vacant</t>
        </is>
      </c>
      <c r="E242" s="1382" t="inlineStr">
        <is>
          <t>Cyber Architecture Lead</t>
        </is>
      </c>
      <c r="F242" s="1382" t="inlineStr">
        <is>
          <t>Cyber, Risk &amp; Operations</t>
        </is>
      </c>
      <c r="G242" s="1567" t="inlineStr">
        <is>
          <t>Service Op &amp; Assurance</t>
        </is>
      </c>
      <c r="H242" s="1382" t="inlineStr">
        <is>
          <t>NA</t>
        </is>
      </c>
      <c r="I242" s="1382" t="inlineStr">
        <is>
          <t>NA</t>
        </is>
      </c>
      <c r="J242" s="1382" t="inlineStr">
        <is>
          <t>NA</t>
        </is>
      </c>
      <c r="K242" s="1382" t="inlineStr">
        <is>
          <t>NA</t>
        </is>
      </c>
      <c r="L242" s="1382" t="n"/>
      <c r="M242" s="1568" t="n"/>
      <c r="N242" s="865" t="inlineStr">
        <is>
          <t>TDD Cyber</t>
        </is>
      </c>
      <c r="O242" s="865" t="inlineStr">
        <is>
          <t>TDD Cyber, Risk &amp; Service Ops</t>
        </is>
      </c>
      <c r="P242" s="865" t="inlineStr">
        <is>
          <t>TDD Cyber</t>
        </is>
      </c>
      <c r="Q242" s="865" t="inlineStr">
        <is>
          <t>Squad</t>
        </is>
      </c>
      <c r="R242" s="865" t="inlineStr">
        <is>
          <t>Vacant</t>
        </is>
      </c>
    </row>
    <row r="243" ht="18" customHeight="1" s="866">
      <c r="A243" s="1566" t="n">
        <v>90096</v>
      </c>
      <c r="B243" s="1382" t="inlineStr">
        <is>
          <t>Mary-Grace Rivera</t>
        </is>
      </c>
      <c r="C243" s="1382" t="inlineStr">
        <is>
          <t>Lead, Service Management</t>
        </is>
      </c>
      <c r="D243" s="1567" t="inlineStr">
        <is>
          <t>Vacant</t>
        </is>
      </c>
      <c r="E243" s="1382" t="inlineStr">
        <is>
          <t>Darren Koller</t>
        </is>
      </c>
      <c r="F243" s="1382" t="inlineStr">
        <is>
          <t>Cyber, Risk &amp; Operations</t>
        </is>
      </c>
      <c r="G243" s="1567" t="inlineStr">
        <is>
          <t>Service Op &amp; Assurance</t>
        </is>
      </c>
      <c r="H243" s="1382" t="inlineStr">
        <is>
          <t>NA</t>
        </is>
      </c>
      <c r="I243" s="1382" t="inlineStr">
        <is>
          <t>NA</t>
        </is>
      </c>
      <c r="J243" s="1382" t="inlineStr">
        <is>
          <t>NA</t>
        </is>
      </c>
      <c r="K243" s="1382" t="inlineStr">
        <is>
          <t>NA</t>
        </is>
      </c>
      <c r="L243" s="1382" t="n"/>
      <c r="M243" s="1568" t="inlineStr">
        <is>
          <t>Australia</t>
        </is>
      </c>
      <c r="N243" s="865" t="inlineStr">
        <is>
          <t>TDD Cyber</t>
        </is>
      </c>
      <c r="O243" s="865" t="inlineStr">
        <is>
          <t>TDD Cyber, Risk &amp; Service Ops</t>
        </is>
      </c>
      <c r="P243" s="865" t="inlineStr">
        <is>
          <t>TDD Cyber</t>
        </is>
      </c>
      <c r="Q243" s="865" t="inlineStr">
        <is>
          <t>Squad</t>
        </is>
      </c>
      <c r="R243" s="865" t="inlineStr">
        <is>
          <t>Filled</t>
        </is>
      </c>
    </row>
    <row r="244" ht="18" customHeight="1" s="866">
      <c r="A244" s="1566" t="n">
        <v>105647</v>
      </c>
      <c r="B244" s="1382" t="inlineStr">
        <is>
          <t>Rajini Onteddu Reddy</t>
        </is>
      </c>
      <c r="C244" s="1382" t="inlineStr">
        <is>
          <t>Head of Service Operations &amp; Assurance</t>
        </is>
      </c>
      <c r="D244" s="1382" t="inlineStr">
        <is>
          <t>Vacant</t>
        </is>
      </c>
      <c r="E244" s="1382" t="inlineStr">
        <is>
          <t xml:space="preserve">Manager Service Management &amp; Major Incident Management Lead </t>
        </is>
      </c>
      <c r="F244" s="1382" t="inlineStr">
        <is>
          <t>Cyber, Risk &amp; Operations</t>
        </is>
      </c>
      <c r="G244" s="1567" t="inlineStr">
        <is>
          <t>Service Op &amp; Assurance</t>
        </is>
      </c>
      <c r="H244" s="1382" t="inlineStr">
        <is>
          <t>NA</t>
        </is>
      </c>
      <c r="I244" s="1382" t="inlineStr">
        <is>
          <t>NA</t>
        </is>
      </c>
      <c r="J244" s="1382" t="inlineStr">
        <is>
          <t>NA</t>
        </is>
      </c>
      <c r="K244" s="1382" t="inlineStr">
        <is>
          <t>NA</t>
        </is>
      </c>
      <c r="L244" s="1382" t="n"/>
      <c r="M244" s="1568" t="inlineStr">
        <is>
          <t>Australia</t>
        </is>
      </c>
      <c r="N244" s="865" t="inlineStr">
        <is>
          <t>TDD Cyber</t>
        </is>
      </c>
      <c r="O244" s="865" t="inlineStr">
        <is>
          <t>TDD Cyber, Risk &amp; Service Ops</t>
        </is>
      </c>
      <c r="P244" s="865" t="inlineStr">
        <is>
          <t>TDD Cyber</t>
        </is>
      </c>
      <c r="Q244" s="865" t="inlineStr">
        <is>
          <t>Squad</t>
        </is>
      </c>
      <c r="R244" s="865" t="inlineStr">
        <is>
          <t>Filled</t>
        </is>
      </c>
    </row>
    <row r="245" ht="18" customHeight="1" s="866">
      <c r="A245" s="1566" t="n">
        <v>106511</v>
      </c>
      <c r="B245" s="1382" t="inlineStr">
        <is>
          <t>Catherine Gire</t>
        </is>
      </c>
      <c r="C245" s="1382" t="inlineStr">
        <is>
          <t>Cyber Technical Business Analyst</t>
        </is>
      </c>
      <c r="D245" s="1382" t="inlineStr">
        <is>
          <t>Vacant</t>
        </is>
      </c>
      <c r="E245" s="1382" t="inlineStr">
        <is>
          <t xml:space="preserve">Portfolio Manger Cyber Security </t>
        </is>
      </c>
      <c r="F245" s="1382" t="inlineStr">
        <is>
          <t>Cyber, Risk &amp; Operations</t>
        </is>
      </c>
      <c r="G245" s="1567" t="inlineStr">
        <is>
          <t>Cyber Strat &amp; Tech</t>
        </is>
      </c>
      <c r="H245" s="1382" t="inlineStr">
        <is>
          <t>Cyber Security Uplift Program</t>
        </is>
      </c>
      <c r="I245" s="1382" t="inlineStr">
        <is>
          <t>NA</t>
        </is>
      </c>
      <c r="J245" s="1382" t="inlineStr">
        <is>
          <t>NA</t>
        </is>
      </c>
      <c r="K245" s="1382" t="inlineStr">
        <is>
          <t>NA</t>
        </is>
      </c>
      <c r="L245" s="1382" t="n"/>
      <c r="M245" s="1568" t="inlineStr">
        <is>
          <t>Australia</t>
        </is>
      </c>
      <c r="N245" s="865" t="inlineStr">
        <is>
          <t>TDD Cyber</t>
        </is>
      </c>
      <c r="O245" s="865" t="inlineStr">
        <is>
          <t>TDD Cyber, Risk &amp; Service Ops</t>
        </is>
      </c>
      <c r="P245" s="865" t="inlineStr">
        <is>
          <t>TDD Cyber</t>
        </is>
      </c>
      <c r="Q245" s="865" t="inlineStr">
        <is>
          <t>Squad</t>
        </is>
      </c>
      <c r="R245" s="865" t="inlineStr">
        <is>
          <t>Filled</t>
        </is>
      </c>
    </row>
    <row r="246" ht="18" customHeight="1" s="866">
      <c r="A246" s="1566" t="n">
        <v>99999102157</v>
      </c>
      <c r="B246" s="1382" t="inlineStr">
        <is>
          <t>Ethan Lamhert (FT)</t>
        </is>
      </c>
      <c r="C246" s="1382" t="inlineStr">
        <is>
          <t>Tech Support Technician</t>
        </is>
      </c>
      <c r="D246" s="1382" t="inlineStr">
        <is>
          <t>Vacant</t>
        </is>
      </c>
      <c r="E246" s="1382" t="inlineStr">
        <is>
          <t xml:space="preserve">Lead Technology Support </t>
        </is>
      </c>
      <c r="F246" s="1382" t="inlineStr">
        <is>
          <t>Cyber, Risk &amp; Operations</t>
        </is>
      </c>
      <c r="G246" s="1567" t="inlineStr">
        <is>
          <t>Service Op &amp; Assurance</t>
        </is>
      </c>
      <c r="H246" s="1382" t="inlineStr">
        <is>
          <t>NA</t>
        </is>
      </c>
      <c r="I246" s="1382" t="inlineStr">
        <is>
          <t>NA</t>
        </is>
      </c>
      <c r="J246" s="1382" t="inlineStr">
        <is>
          <t>NA</t>
        </is>
      </c>
      <c r="K246" s="1382" t="inlineStr">
        <is>
          <t>NA</t>
        </is>
      </c>
      <c r="L246" s="1382" t="n"/>
      <c r="M246" s="1568" t="inlineStr">
        <is>
          <t>NZ</t>
        </is>
      </c>
      <c r="N246" s="865" t="inlineStr">
        <is>
          <t>TDD Cyber</t>
        </is>
      </c>
      <c r="O246" s="865" t="inlineStr">
        <is>
          <t>TDD Cyber, Risk &amp; Service Ops</t>
        </is>
      </c>
      <c r="P246" s="865" t="inlineStr">
        <is>
          <t>TDD Cyber</t>
        </is>
      </c>
      <c r="Q246" s="865" t="inlineStr">
        <is>
          <t>Squad</t>
        </is>
      </c>
      <c r="R246" s="865" t="inlineStr">
        <is>
          <t>Filled</t>
        </is>
      </c>
    </row>
    <row r="247" ht="18" customHeight="1" s="866">
      <c r="A247" s="1566" t="n"/>
      <c r="B247" s="1382" t="inlineStr">
        <is>
          <t>Vacant  (AKL )</t>
        </is>
      </c>
      <c r="C247" s="1382" t="inlineStr">
        <is>
          <t>Tech Support Technician</t>
        </is>
      </c>
      <c r="D247" s="1382" t="inlineStr">
        <is>
          <t>Vacant</t>
        </is>
      </c>
      <c r="E247" s="1382" t="n"/>
      <c r="F247" s="1382" t="inlineStr">
        <is>
          <t>Cyber, Risk &amp; Operations</t>
        </is>
      </c>
      <c r="G247" s="1567" t="inlineStr">
        <is>
          <t>Service Op &amp; Assurance</t>
        </is>
      </c>
      <c r="H247" s="1382" t="inlineStr">
        <is>
          <t>NA</t>
        </is>
      </c>
      <c r="I247" s="1382" t="inlineStr">
        <is>
          <t>NA</t>
        </is>
      </c>
      <c r="J247" s="1382" t="inlineStr">
        <is>
          <t>NA</t>
        </is>
      </c>
      <c r="K247" s="1382" t="inlineStr">
        <is>
          <t>NA</t>
        </is>
      </c>
      <c r="L247" s="1382" t="n"/>
      <c r="M247" s="1568" t="n"/>
      <c r="N247" s="865" t="inlineStr">
        <is>
          <t>TDD Cyber</t>
        </is>
      </c>
      <c r="O247" s="865" t="inlineStr">
        <is>
          <t>TDD Cyber, Risk &amp; Service Ops</t>
        </is>
      </c>
      <c r="P247" s="865" t="inlineStr">
        <is>
          <t>TDD Cyber</t>
        </is>
      </c>
      <c r="Q247" s="865" t="inlineStr">
        <is>
          <t>Squad</t>
        </is>
      </c>
      <c r="R247" s="865" t="inlineStr">
        <is>
          <t>Filled</t>
        </is>
      </c>
    </row>
    <row r="248" ht="18" customHeight="1" s="866">
      <c r="A248" s="1566" t="n">
        <v>110204</v>
      </c>
      <c r="B248" s="1382" t="inlineStr">
        <is>
          <t>Daniel Jolley</t>
        </is>
      </c>
      <c r="C248" s="1382" t="inlineStr">
        <is>
          <t>Tech Support Technician</t>
        </is>
      </c>
      <c r="D248" s="1382" t="inlineStr">
        <is>
          <t>Vacant</t>
        </is>
      </c>
      <c r="E248" s="1382" t="inlineStr">
        <is>
          <t xml:space="preserve">Lead Technology Support </t>
        </is>
      </c>
      <c r="F248" s="1382" t="inlineStr">
        <is>
          <t>Cyber, Risk &amp; Operations</t>
        </is>
      </c>
      <c r="G248" s="1567" t="inlineStr">
        <is>
          <t>Service Op &amp; Assurance</t>
        </is>
      </c>
      <c r="H248" s="1382" t="inlineStr">
        <is>
          <t>NA</t>
        </is>
      </c>
      <c r="I248" s="1382" t="inlineStr">
        <is>
          <t>NA</t>
        </is>
      </c>
      <c r="J248" s="1382" t="inlineStr">
        <is>
          <t>NA</t>
        </is>
      </c>
      <c r="K248" s="1382" t="inlineStr">
        <is>
          <t>NA</t>
        </is>
      </c>
      <c r="L248" s="1382" t="n"/>
      <c r="M248" s="1568" t="inlineStr">
        <is>
          <t>Australia</t>
        </is>
      </c>
      <c r="N248" s="865" t="inlineStr">
        <is>
          <t>TDD Cyber</t>
        </is>
      </c>
      <c r="O248" s="865" t="inlineStr">
        <is>
          <t>TDD Cyber, Risk &amp; Service Ops</t>
        </is>
      </c>
      <c r="P248" s="865" t="inlineStr">
        <is>
          <t>TDD Cyber</t>
        </is>
      </c>
      <c r="Q248" s="865" t="inlineStr">
        <is>
          <t>Squad</t>
        </is>
      </c>
      <c r="R248" s="865" t="inlineStr">
        <is>
          <t>Filled</t>
        </is>
      </c>
    </row>
    <row r="249" ht="18" customHeight="1" s="866">
      <c r="A249" s="1566" t="n"/>
      <c r="B249" s="1382" t="inlineStr">
        <is>
          <t xml:space="preserve">Vacant </t>
        </is>
      </c>
      <c r="C249" s="1382" t="inlineStr">
        <is>
          <t>Data Risk Analyst</t>
        </is>
      </c>
      <c r="D249" s="1382" t="inlineStr">
        <is>
          <t>Vacant</t>
        </is>
      </c>
      <c r="E249" s="1382" t="n"/>
      <c r="F249" s="1382" t="inlineStr">
        <is>
          <t>Cyber, Risk &amp; Operations</t>
        </is>
      </c>
      <c r="G249" s="1567" t="inlineStr">
        <is>
          <t>Cyber Risk</t>
        </is>
      </c>
      <c r="H249" s="1382" t="inlineStr">
        <is>
          <t>NA</t>
        </is>
      </c>
      <c r="I249" s="1382" t="inlineStr">
        <is>
          <t>NA</t>
        </is>
      </c>
      <c r="J249" s="1382" t="inlineStr">
        <is>
          <t>NA</t>
        </is>
      </c>
      <c r="K249" s="1382" t="inlineStr">
        <is>
          <t>NA</t>
        </is>
      </c>
      <c r="L249" s="1382" t="n"/>
      <c r="M249" s="1568" t="n"/>
      <c r="N249" s="865" t="inlineStr">
        <is>
          <t>TDD Cyber</t>
        </is>
      </c>
      <c r="O249" s="865" t="inlineStr">
        <is>
          <t>TDD Cyber, Risk &amp; Service Ops</t>
        </is>
      </c>
      <c r="P249" s="865" t="inlineStr">
        <is>
          <t>TDD Cyber</t>
        </is>
      </c>
      <c r="Q249" s="865" t="inlineStr">
        <is>
          <t>Squad</t>
        </is>
      </c>
      <c r="R249" s="865" t="inlineStr">
        <is>
          <t>Vacant</t>
        </is>
      </c>
    </row>
    <row r="250" ht="18" customHeight="1" s="866">
      <c r="A250" s="1566" t="n">
        <v>84274</v>
      </c>
      <c r="B250" s="1382" t="inlineStr">
        <is>
          <t>Chris Rojas</t>
        </is>
      </c>
      <c r="C250" s="1382" t="inlineStr">
        <is>
          <t>Manager, Customer Support Operations</t>
        </is>
      </c>
      <c r="D250" s="1382" t="inlineStr">
        <is>
          <t>Vacant</t>
        </is>
      </c>
      <c r="E250" s="1382" t="inlineStr">
        <is>
          <t xml:space="preserve">Manager Cyber Security Operations </t>
        </is>
      </c>
      <c r="F250" s="1382" t="inlineStr">
        <is>
          <t>Cyber, Risk &amp; Operations</t>
        </is>
      </c>
      <c r="G250" s="1567" t="inlineStr">
        <is>
          <t>Service Op &amp; Assurance</t>
        </is>
      </c>
      <c r="H250" s="1382" t="inlineStr">
        <is>
          <t>NA</t>
        </is>
      </c>
      <c r="I250" s="1382" t="inlineStr">
        <is>
          <t>NA</t>
        </is>
      </c>
      <c r="J250" s="1382" t="inlineStr">
        <is>
          <t>NA</t>
        </is>
      </c>
      <c r="K250" s="1382" t="inlineStr">
        <is>
          <t>NA</t>
        </is>
      </c>
      <c r="L250" s="1382" t="n"/>
      <c r="M250" s="1568" t="inlineStr">
        <is>
          <t>Australia</t>
        </is>
      </c>
      <c r="N250" s="865" t="inlineStr">
        <is>
          <t>TDD Cyber</t>
        </is>
      </c>
      <c r="O250" s="865" t="inlineStr">
        <is>
          <t>TDD Cyber, Risk &amp; Service Ops</t>
        </is>
      </c>
      <c r="P250" s="865" t="inlineStr">
        <is>
          <t>TDD Cyber</t>
        </is>
      </c>
      <c r="Q250" s="865" t="inlineStr">
        <is>
          <t>Squad</t>
        </is>
      </c>
      <c r="R250" s="865" t="inlineStr">
        <is>
          <t>Filled</t>
        </is>
      </c>
    </row>
    <row r="251" ht="18" customHeight="1" s="866">
      <c r="A251" s="1566" t="n">
        <v>101504</v>
      </c>
      <c r="B251" s="1382" t="inlineStr">
        <is>
          <t>Steven Atcheson</t>
        </is>
      </c>
      <c r="C251" s="1382" t="inlineStr">
        <is>
          <t>Manager Cyber Security Operations</t>
        </is>
      </c>
      <c r="D251" s="1382" t="inlineStr">
        <is>
          <t>Vacant</t>
        </is>
      </c>
      <c r="E251" s="1382" t="inlineStr">
        <is>
          <t xml:space="preserve">Manager, Risk &amp; Resilience </t>
        </is>
      </c>
      <c r="F251" s="1382" t="inlineStr">
        <is>
          <t>Cyber, Risk &amp; Operations</t>
        </is>
      </c>
      <c r="G251" s="1567" t="inlineStr">
        <is>
          <t>Cyber Sec Ops</t>
        </is>
      </c>
      <c r="H251" s="1382" t="inlineStr">
        <is>
          <t>NA</t>
        </is>
      </c>
      <c r="I251" s="1382" t="inlineStr">
        <is>
          <t>NA</t>
        </is>
      </c>
      <c r="J251" s="1382" t="inlineStr">
        <is>
          <t>NA</t>
        </is>
      </c>
      <c r="K251" s="1382" t="inlineStr">
        <is>
          <t>NA</t>
        </is>
      </c>
      <c r="L251" s="1382" t="n"/>
      <c r="M251" s="1568" t="inlineStr">
        <is>
          <t>Australia</t>
        </is>
      </c>
      <c r="N251" s="865" t="inlineStr">
        <is>
          <t>TDD Cyber</t>
        </is>
      </c>
      <c r="O251" s="865" t="inlineStr">
        <is>
          <t>TDD Cyber, Risk &amp; Service Ops</t>
        </is>
      </c>
      <c r="P251" s="865" t="inlineStr">
        <is>
          <t>TDD Cyber</t>
        </is>
      </c>
      <c r="Q251" s="865" t="inlineStr">
        <is>
          <t>Squad</t>
        </is>
      </c>
      <c r="R251" s="865" t="inlineStr">
        <is>
          <t>Filled</t>
        </is>
      </c>
    </row>
    <row r="252" ht="18" customHeight="1" s="866">
      <c r="A252" s="1566" t="n">
        <v>104805</v>
      </c>
      <c r="B252" s="1382" t="inlineStr">
        <is>
          <t>Shruti Manchanda</t>
        </is>
      </c>
      <c r="C252" s="1382" t="inlineStr">
        <is>
          <t>Cyber GRC Analyst</t>
        </is>
      </c>
      <c r="D252" s="1382" t="inlineStr">
        <is>
          <t>Vacant</t>
        </is>
      </c>
      <c r="E252" s="1382" t="n"/>
      <c r="F252" s="1382" t="inlineStr">
        <is>
          <t>Cyber, Risk &amp; Operations</t>
        </is>
      </c>
      <c r="G252" s="1567" t="inlineStr">
        <is>
          <t>Cyber GRC</t>
        </is>
      </c>
      <c r="H252" s="1382" t="inlineStr">
        <is>
          <t>Technology, Trading &amp; Shipping</t>
        </is>
      </c>
      <c r="I252" s="1382" t="inlineStr">
        <is>
          <t>NA</t>
        </is>
      </c>
      <c r="J252" s="1382" t="inlineStr">
        <is>
          <t>Leadership</t>
        </is>
      </c>
      <c r="K252" s="1382" t="inlineStr">
        <is>
          <t>Leadership</t>
        </is>
      </c>
      <c r="L252" s="1382" t="n"/>
      <c r="M252" s="1568" t="inlineStr">
        <is>
          <t>Australia</t>
        </is>
      </c>
      <c r="N252" s="865" t="inlineStr">
        <is>
          <t>Unmapped</t>
        </is>
      </c>
      <c r="O252" s="865" t="inlineStr">
        <is>
          <t>Leadership</t>
        </is>
      </c>
      <c r="P252" s="865" t="inlineStr">
        <is>
          <t>Leadership</t>
        </is>
      </c>
      <c r="Q252" s="865" t="inlineStr">
        <is>
          <t>Leadership</t>
        </is>
      </c>
      <c r="R252" s="865" t="inlineStr">
        <is>
          <t>Filled</t>
        </is>
      </c>
    </row>
    <row r="253" ht="18" customHeight="1" s="866">
      <c r="A253" s="1566" t="n"/>
      <c r="B253" s="1382" t="inlineStr">
        <is>
          <t>Vacant</t>
        </is>
      </c>
      <c r="C253" s="1382" t="inlineStr">
        <is>
          <t>Lead - Service Performance &amp; Insights</t>
        </is>
      </c>
      <c r="D253" s="1382" t="inlineStr">
        <is>
          <t>Vacant</t>
        </is>
      </c>
      <c r="E253" s="1382" t="inlineStr">
        <is>
          <t xml:space="preserve">Manager Identity &amp; Access Management </t>
        </is>
      </c>
      <c r="F253" s="1382" t="inlineStr">
        <is>
          <t>Cyber, Risk &amp; Operations</t>
        </is>
      </c>
      <c r="G253" s="1567" t="inlineStr">
        <is>
          <t>Service Op &amp; Assurance</t>
        </is>
      </c>
      <c r="H253" s="1382" t="inlineStr">
        <is>
          <t>NA</t>
        </is>
      </c>
      <c r="I253" s="1382" t="inlineStr">
        <is>
          <t>NA</t>
        </is>
      </c>
      <c r="J253" s="1382" t="inlineStr">
        <is>
          <t>NA</t>
        </is>
      </c>
      <c r="K253" s="1382" t="inlineStr">
        <is>
          <t>NA</t>
        </is>
      </c>
      <c r="L253" s="1382" t="n"/>
      <c r="M253" s="1568" t="n"/>
      <c r="N253" s="865" t="inlineStr">
        <is>
          <t>TDD Cyber</t>
        </is>
      </c>
      <c r="O253" s="865" t="inlineStr">
        <is>
          <t>TDD Cyber, Risk &amp; Service Ops</t>
        </is>
      </c>
      <c r="P253" s="865" t="inlineStr">
        <is>
          <t>TDD Cyber</t>
        </is>
      </c>
      <c r="Q253" s="865" t="inlineStr">
        <is>
          <t>Squad</t>
        </is>
      </c>
      <c r="R253" s="865" t="inlineStr">
        <is>
          <t>Vacant</t>
        </is>
      </c>
    </row>
    <row r="254" ht="18" customHeight="1" s="866">
      <c r="A254" s="1566" t="n">
        <v>114383</v>
      </c>
      <c r="B254" s="1382" t="inlineStr">
        <is>
          <t>Tony Keeler</t>
        </is>
      </c>
      <c r="C254" s="1382" t="inlineStr">
        <is>
          <t>Cyber Business Analyst</t>
        </is>
      </c>
      <c r="D254" s="1382" t="inlineStr">
        <is>
          <t>Vivienne Vasak</t>
        </is>
      </c>
      <c r="E254" s="1382" t="inlineStr">
        <is>
          <t xml:space="preserve">Portfolio Manger Cyber Security </t>
        </is>
      </c>
      <c r="F254" s="1382" t="inlineStr">
        <is>
          <t>Cyber, Risk &amp; Operations</t>
        </is>
      </c>
      <c r="G254" s="1567" t="inlineStr">
        <is>
          <t>Cyber Strat &amp; Tech</t>
        </is>
      </c>
      <c r="H254" s="1382" t="inlineStr">
        <is>
          <t>NA</t>
        </is>
      </c>
      <c r="I254" s="1382" t="inlineStr">
        <is>
          <t>NA</t>
        </is>
      </c>
      <c r="J254" s="1382" t="inlineStr">
        <is>
          <t>NA</t>
        </is>
      </c>
      <c r="K254" s="1382" t="inlineStr">
        <is>
          <t>NA</t>
        </is>
      </c>
      <c r="L254" s="1382" t="n"/>
      <c r="M254" s="1568" t="inlineStr">
        <is>
          <t>Australia</t>
        </is>
      </c>
      <c r="N254" s="865" t="inlineStr">
        <is>
          <t>TDD Cyber</t>
        </is>
      </c>
      <c r="O254" s="865" t="inlineStr">
        <is>
          <t>TDD Cyber, Risk &amp; Service Ops</t>
        </is>
      </c>
      <c r="P254" s="865" t="inlineStr">
        <is>
          <t>TDD Cyber</t>
        </is>
      </c>
      <c r="Q254" s="865" t="inlineStr">
        <is>
          <t>Squad</t>
        </is>
      </c>
      <c r="R254" s="865" t="inlineStr">
        <is>
          <t>Filled</t>
        </is>
      </c>
    </row>
    <row r="255" ht="18" customHeight="1" s="866">
      <c r="A255" s="1566" t="n">
        <v>0</v>
      </c>
      <c r="B255" s="1382" t="inlineStr">
        <is>
          <t>Niall Greene</t>
        </is>
      </c>
      <c r="C255" s="1382" t="inlineStr">
        <is>
          <t>Project Manager (PEP13-EGI-UKG)</t>
        </is>
      </c>
      <c r="D255" s="1572" t="inlineStr">
        <is>
          <t>Vacant</t>
        </is>
      </c>
      <c r="E255" s="1382" t="n"/>
      <c r="F255" s="1382" t="inlineStr">
        <is>
          <t>EGI</t>
        </is>
      </c>
      <c r="G255" s="1567" t="n"/>
      <c r="H255" s="1382" t="n"/>
      <c r="I255" s="1382" t="inlineStr">
        <is>
          <t>EGI</t>
        </is>
      </c>
      <c r="J255" s="1567" t="inlineStr">
        <is>
          <t>EGI</t>
        </is>
      </c>
      <c r="K255" s="1382" t="inlineStr">
        <is>
          <t>EGI</t>
        </is>
      </c>
      <c r="L255" s="1567" t="n"/>
      <c r="M255" s="1568" t="n">
        <v>0</v>
      </c>
      <c r="N255" s="865" t="inlineStr">
        <is>
          <t>EGI</t>
        </is>
      </c>
      <c r="O255" s="865" t="inlineStr">
        <is>
          <t>EGI</t>
        </is>
      </c>
      <c r="P255" s="865" t="inlineStr">
        <is>
          <t>EGI (unassigned)</t>
        </is>
      </c>
      <c r="Q255" s="865" t="inlineStr">
        <is>
          <t>Unmapped</t>
        </is>
      </c>
      <c r="R255" s="865" t="inlineStr">
        <is>
          <t>Filled</t>
        </is>
      </c>
    </row>
    <row r="256" ht="18" customHeight="1" s="866">
      <c r="A256" s="1566" t="n">
        <v>0</v>
      </c>
      <c r="B256" s="1382" t="inlineStr">
        <is>
          <t>Winnie Fernandes</t>
        </is>
      </c>
      <c r="C256" s="1382" t="inlineStr">
        <is>
          <t>Delivery Lead</t>
        </is>
      </c>
      <c r="D256" s="1382" t="inlineStr">
        <is>
          <t>Vacant</t>
        </is>
      </c>
      <c r="E256" s="1382" t="n"/>
      <c r="F256" s="1382" t="inlineStr">
        <is>
          <t>EGI</t>
        </is>
      </c>
      <c r="G256" s="1567" t="n"/>
      <c r="H256" s="1382" t="n"/>
      <c r="I256" s="1382" t="inlineStr">
        <is>
          <t>EGI</t>
        </is>
      </c>
      <c r="J256" s="1567" t="inlineStr">
        <is>
          <t>EGI</t>
        </is>
      </c>
      <c r="K256" s="1382" t="inlineStr">
        <is>
          <t>EGI</t>
        </is>
      </c>
      <c r="L256" s="1567" t="n"/>
      <c r="M256" s="1568" t="n">
        <v>0</v>
      </c>
      <c r="N256" s="865" t="inlineStr">
        <is>
          <t>EGI</t>
        </is>
      </c>
      <c r="O256" s="865" t="inlineStr">
        <is>
          <t>EGI</t>
        </is>
      </c>
      <c r="P256" s="865" t="inlineStr">
        <is>
          <t>EGI (unassigned)</t>
        </is>
      </c>
      <c r="Q256" s="865" t="inlineStr">
        <is>
          <t>Unmapped</t>
        </is>
      </c>
      <c r="R256" s="865" t="inlineStr">
        <is>
          <t>Filled</t>
        </is>
      </c>
    </row>
    <row r="257" ht="18" customHeight="1" s="866">
      <c r="A257" s="1566" t="n">
        <v>0</v>
      </c>
      <c r="B257" s="1382" t="inlineStr">
        <is>
          <t>Areum Kim Lee</t>
        </is>
      </c>
      <c r="C257" s="1382" t="inlineStr">
        <is>
          <t>Program Manager (PEP13-EGI-UKG)</t>
        </is>
      </c>
      <c r="D257" s="1382" t="n"/>
      <c r="E257" s="1382" t="n"/>
      <c r="F257" s="1382" t="inlineStr">
        <is>
          <t>EGI</t>
        </is>
      </c>
      <c r="G257" s="1567" t="n"/>
      <c r="H257" s="1382" t="n"/>
      <c r="I257" s="1382" t="inlineStr">
        <is>
          <t>EGI</t>
        </is>
      </c>
      <c r="J257" s="1567" t="inlineStr">
        <is>
          <t>EGI</t>
        </is>
      </c>
      <c r="K257" s="1382" t="inlineStr">
        <is>
          <t>EGI</t>
        </is>
      </c>
      <c r="L257" s="1567" t="n"/>
      <c r="M257" s="1568" t="n">
        <v>0</v>
      </c>
      <c r="N257" s="865" t="inlineStr">
        <is>
          <t>EGI</t>
        </is>
      </c>
      <c r="O257" s="865" t="inlineStr">
        <is>
          <t>EGI</t>
        </is>
      </c>
      <c r="P257" s="865" t="inlineStr">
        <is>
          <t>EGI (unassigned)</t>
        </is>
      </c>
      <c r="Q257" s="865" t="inlineStr">
        <is>
          <t>Unmapped</t>
        </is>
      </c>
      <c r="R257" s="865" t="inlineStr">
        <is>
          <t>Filled</t>
        </is>
      </c>
    </row>
    <row r="258" ht="18" customHeight="1" s="866">
      <c r="A258" s="1566" t="n">
        <v>113935</v>
      </c>
      <c r="B258" s="1382" t="inlineStr">
        <is>
          <t>Thomas Reid</t>
        </is>
      </c>
      <c r="C258" s="1382" t="inlineStr">
        <is>
          <t>TDD BP - Retail &amp; Customer - Store Digital</t>
        </is>
      </c>
      <c r="D258" s="1382" t="inlineStr">
        <is>
          <t>Michael Schofield</t>
        </is>
      </c>
      <c r="E258" s="1382" t="inlineStr">
        <is>
          <t>GM TDD, Partnering &amp; Transformation</t>
        </is>
      </c>
      <c r="F258" s="1382" t="inlineStr">
        <is>
          <t>Partnering &amp; Transformation</t>
        </is>
      </c>
      <c r="G258" s="1382" t="inlineStr">
        <is>
          <t>TDD Business Partner</t>
        </is>
      </c>
      <c r="H258" s="1382" t="inlineStr">
        <is>
          <t>NA</t>
        </is>
      </c>
      <c r="I258" s="1382" t="inlineStr">
        <is>
          <t>NA</t>
        </is>
      </c>
      <c r="J258" s="1382" t="inlineStr">
        <is>
          <t>NA</t>
        </is>
      </c>
      <c r="K258" s="1382" t="inlineStr">
        <is>
          <t>NA</t>
        </is>
      </c>
      <c r="L258" s="1567" t="n"/>
      <c r="M258" s="1568" t="inlineStr">
        <is>
          <t>Australia</t>
        </is>
      </c>
      <c r="N258" s="865" t="inlineStr">
        <is>
          <t>COE</t>
        </is>
      </c>
      <c r="O258" s="865" t="inlineStr">
        <is>
          <t>COE - Business Partnering</t>
        </is>
      </c>
      <c r="P258" s="865" t="inlineStr">
        <is>
          <t>COE - Business Partnering</t>
        </is>
      </c>
      <c r="Q258" s="865" t="inlineStr">
        <is>
          <t>COE</t>
        </is>
      </c>
      <c r="R258" s="865" t="inlineStr">
        <is>
          <t>Filled</t>
        </is>
      </c>
    </row>
    <row r="259" ht="18" customHeight="1" s="866">
      <c r="A259" s="1566" t="n"/>
      <c r="B259" s="1382" t="inlineStr">
        <is>
          <t>Vacant</t>
        </is>
      </c>
      <c r="C259" s="1382" t="inlineStr">
        <is>
          <t>Head of Transformation</t>
        </is>
      </c>
      <c r="D259" s="1382" t="inlineStr">
        <is>
          <t>Michael Schofield</t>
        </is>
      </c>
      <c r="E259" s="1382" t="inlineStr">
        <is>
          <t>Head of Service Operatoins &amp; Assurance</t>
        </is>
      </c>
      <c r="F259" s="1382" t="inlineStr">
        <is>
          <t>Partnering &amp; Transformation</t>
        </is>
      </c>
      <c r="G259" s="1382" t="inlineStr">
        <is>
          <t>Transformation</t>
        </is>
      </c>
      <c r="H259" s="1382" t="inlineStr">
        <is>
          <t>NA</t>
        </is>
      </c>
      <c r="I259" s="1382" t="inlineStr">
        <is>
          <t>NA</t>
        </is>
      </c>
      <c r="J259" s="1382" t="inlineStr">
        <is>
          <t>NA</t>
        </is>
      </c>
      <c r="K259" s="1382" t="inlineStr">
        <is>
          <t>NA</t>
        </is>
      </c>
      <c r="L259" s="1567" t="n"/>
      <c r="M259" s="1568" t="n"/>
      <c r="N259" s="865" t="inlineStr">
        <is>
          <t>COE</t>
        </is>
      </c>
      <c r="O259" s="865" t="inlineStr">
        <is>
          <t>COE - Transformation</t>
        </is>
      </c>
      <c r="P259" s="865" t="inlineStr">
        <is>
          <t>COE - Transformation</t>
        </is>
      </c>
      <c r="Q259" s="865" t="inlineStr">
        <is>
          <t>COE</t>
        </is>
      </c>
      <c r="R259" s="865" t="inlineStr">
        <is>
          <t>Vacant</t>
        </is>
      </c>
    </row>
    <row r="260" ht="18" customHeight="1" s="866">
      <c r="A260" s="1566" t="n"/>
      <c r="B260" s="1382" t="inlineStr">
        <is>
          <t>Vacant</t>
        </is>
      </c>
      <c r="C260" s="1382" t="inlineStr">
        <is>
          <t>Commercial Director</t>
        </is>
      </c>
      <c r="D260" s="1382" t="inlineStr">
        <is>
          <t>Michael Schofield</t>
        </is>
      </c>
      <c r="E260" s="1382" t="inlineStr">
        <is>
          <t>GM TDD, Partnering &amp; Transformation</t>
        </is>
      </c>
      <c r="F260" s="1382" t="inlineStr">
        <is>
          <t>Partnering &amp; Transformation</t>
        </is>
      </c>
      <c r="G260" s="1382" t="inlineStr">
        <is>
          <t>Commercial</t>
        </is>
      </c>
      <c r="H260" s="1382" t="inlineStr">
        <is>
          <t>NA</t>
        </is>
      </c>
      <c r="I260" s="1382" t="inlineStr">
        <is>
          <t>NA</t>
        </is>
      </c>
      <c r="J260" s="1382" t="inlineStr">
        <is>
          <t>NA</t>
        </is>
      </c>
      <c r="K260" s="1382" t="inlineStr">
        <is>
          <t>NA</t>
        </is>
      </c>
      <c r="L260" s="1567" t="n"/>
      <c r="M260" s="1568" t="n"/>
      <c r="N260" s="865" t="inlineStr">
        <is>
          <t>COE</t>
        </is>
      </c>
      <c r="O260" s="865" t="inlineStr">
        <is>
          <t>COE - Business Partnering</t>
        </is>
      </c>
      <c r="P260" s="865" t="inlineStr">
        <is>
          <t>COE - Business Partnering</t>
        </is>
      </c>
      <c r="Q260" s="865" t="inlineStr">
        <is>
          <t>COE</t>
        </is>
      </c>
      <c r="R260" s="865" t="inlineStr">
        <is>
          <t>Vacant</t>
        </is>
      </c>
    </row>
    <row r="261" ht="18" customHeight="1" s="866">
      <c r="A261" s="1566" t="n"/>
      <c r="B261" s="1382" t="inlineStr">
        <is>
          <t>Vacant</t>
        </is>
      </c>
      <c r="C261" s="1382" t="inlineStr">
        <is>
          <t>Delivery Systems Analyst</t>
        </is>
      </c>
      <c r="D261" s="865" t="inlineStr">
        <is>
          <t>Ruth Chou</t>
        </is>
      </c>
      <c r="E261" s="1382" t="inlineStr">
        <is>
          <t>Portfolio Reporting Manger</t>
        </is>
      </c>
      <c r="F261" s="1382" t="inlineStr">
        <is>
          <t>Partnering &amp; Transformation</t>
        </is>
      </c>
      <c r="G261" s="1382" t="inlineStr">
        <is>
          <t>Transformation</t>
        </is>
      </c>
      <c r="H261" s="1382" t="inlineStr">
        <is>
          <t>NA</t>
        </is>
      </c>
      <c r="I261" s="1382" t="inlineStr">
        <is>
          <t>NA</t>
        </is>
      </c>
      <c r="J261" s="1382" t="inlineStr">
        <is>
          <t>NA</t>
        </is>
      </c>
      <c r="K261" s="1382" t="inlineStr">
        <is>
          <t>NA</t>
        </is>
      </c>
      <c r="L261" s="1567" t="n"/>
      <c r="M261" s="1568" t="n"/>
      <c r="N261" s="865" t="inlineStr">
        <is>
          <t>COE</t>
        </is>
      </c>
      <c r="O261" s="865" t="inlineStr">
        <is>
          <t>COE - Transformation</t>
        </is>
      </c>
      <c r="P261" s="865" t="inlineStr">
        <is>
          <t>COE - Transformation</t>
        </is>
      </c>
      <c r="Q261" s="865" t="inlineStr">
        <is>
          <t>COE</t>
        </is>
      </c>
      <c r="R261" s="865" t="inlineStr">
        <is>
          <t>Vacant</t>
        </is>
      </c>
    </row>
    <row r="262" ht="18" customHeight="1" s="866">
      <c r="A262" s="1566" t="n"/>
      <c r="B262" s="1382" t="inlineStr">
        <is>
          <t xml:space="preserve">Vacant </t>
        </is>
      </c>
      <c r="C262" s="1382" t="inlineStr">
        <is>
          <t>Portfolio Analyst</t>
        </is>
      </c>
      <c r="D262" s="1382" t="inlineStr">
        <is>
          <t>Ruth Chou</t>
        </is>
      </c>
      <c r="E262" s="1382" t="inlineStr">
        <is>
          <t xml:space="preserve">Manager Service Perforance &amp; Assurance </t>
        </is>
      </c>
      <c r="F262" s="1382" t="inlineStr">
        <is>
          <t>Partnering &amp; Transformation</t>
        </is>
      </c>
      <c r="G262" s="1382" t="inlineStr">
        <is>
          <t>Transformation</t>
        </is>
      </c>
      <c r="H262" s="1382" t="inlineStr">
        <is>
          <t>NA</t>
        </is>
      </c>
      <c r="I262" s="1382" t="inlineStr">
        <is>
          <t>NA</t>
        </is>
      </c>
      <c r="J262" s="1382" t="inlineStr">
        <is>
          <t>NA</t>
        </is>
      </c>
      <c r="K262" s="1382" t="inlineStr">
        <is>
          <t>NA</t>
        </is>
      </c>
      <c r="L262" s="1567" t="n"/>
      <c r="M262" s="1568" t="n"/>
      <c r="N262" s="865" t="inlineStr">
        <is>
          <t>COE</t>
        </is>
      </c>
      <c r="O262" s="865" t="inlineStr">
        <is>
          <t>COE - Transformation</t>
        </is>
      </c>
      <c r="P262" s="865" t="inlineStr">
        <is>
          <t>COE - Transformation</t>
        </is>
      </c>
      <c r="Q262" s="865" t="inlineStr">
        <is>
          <t>COE</t>
        </is>
      </c>
      <c r="R262" s="865" t="inlineStr">
        <is>
          <t>Vacant</t>
        </is>
      </c>
    </row>
    <row r="263" ht="18" customHeight="1" s="866">
      <c r="A263" s="1566" t="n"/>
      <c r="B263" s="1382" t="inlineStr">
        <is>
          <t xml:space="preserve">Vacant </t>
        </is>
      </c>
      <c r="C263" s="1382" t="inlineStr">
        <is>
          <t>Portfolio Analyst</t>
        </is>
      </c>
      <c r="D263" s="1382" t="inlineStr">
        <is>
          <t>Ruth Chou</t>
        </is>
      </c>
      <c r="E263" s="1382" t="inlineStr">
        <is>
          <t xml:space="preserve">Manager Service Perforance &amp; Assurance </t>
        </is>
      </c>
      <c r="F263" s="1382" t="inlineStr">
        <is>
          <t>Partnering &amp; Transformation</t>
        </is>
      </c>
      <c r="G263" s="1382" t="inlineStr">
        <is>
          <t>Transformation</t>
        </is>
      </c>
      <c r="H263" s="1382" t="inlineStr">
        <is>
          <t>NA</t>
        </is>
      </c>
      <c r="I263" s="1382" t="inlineStr">
        <is>
          <t>NA</t>
        </is>
      </c>
      <c r="J263" s="1382" t="inlineStr">
        <is>
          <t>NA</t>
        </is>
      </c>
      <c r="K263" s="1382" t="inlineStr">
        <is>
          <t>NA</t>
        </is>
      </c>
      <c r="L263" s="1567" t="n"/>
      <c r="M263" s="1568" t="n"/>
      <c r="N263" s="865" t="inlineStr">
        <is>
          <t>COE</t>
        </is>
      </c>
      <c r="O263" s="865" t="inlineStr">
        <is>
          <t>COE - Transformation</t>
        </is>
      </c>
      <c r="P263" s="865" t="inlineStr">
        <is>
          <t>COE - Transformation</t>
        </is>
      </c>
      <c r="Q263" s="865" t="inlineStr">
        <is>
          <t>COE</t>
        </is>
      </c>
      <c r="R263" s="865" t="inlineStr">
        <is>
          <t>Vacant</t>
        </is>
      </c>
    </row>
    <row r="264" ht="18" customHeight="1" s="866">
      <c r="A264" s="1566" t="n">
        <v>12992</v>
      </c>
      <c r="B264" s="1382" t="inlineStr">
        <is>
          <t>Jeannie Chu</t>
        </is>
      </c>
      <c r="C264" s="1382" t="inlineStr">
        <is>
          <t>Snr Finance Support Administrator</t>
        </is>
      </c>
      <c r="D264" s="865" t="inlineStr">
        <is>
          <t>Sam Chan</t>
        </is>
      </c>
      <c r="E264" s="1382" t="inlineStr">
        <is>
          <t>Fin Ops Manager</t>
        </is>
      </c>
      <c r="F264" s="1382" t="inlineStr">
        <is>
          <t>Partnering &amp; Transformation</t>
        </is>
      </c>
      <c r="G264" s="1382" t="inlineStr">
        <is>
          <t>Transformation</t>
        </is>
      </c>
      <c r="H264" s="1382" t="inlineStr">
        <is>
          <t>NA</t>
        </is>
      </c>
      <c r="I264" s="1382" t="inlineStr">
        <is>
          <t>NA</t>
        </is>
      </c>
      <c r="J264" s="1382" t="inlineStr">
        <is>
          <t>NA</t>
        </is>
      </c>
      <c r="K264" s="1382" t="inlineStr">
        <is>
          <t>NA</t>
        </is>
      </c>
      <c r="L264" s="1567" t="n"/>
      <c r="M264" s="1568" t="inlineStr">
        <is>
          <t>Australia</t>
        </is>
      </c>
      <c r="N264" s="865" t="inlineStr">
        <is>
          <t>COE</t>
        </is>
      </c>
      <c r="O264" s="865" t="inlineStr">
        <is>
          <t>COE - Transformation</t>
        </is>
      </c>
      <c r="P264" s="865" t="inlineStr">
        <is>
          <t>COE - Transformation</t>
        </is>
      </c>
      <c r="Q264" s="865" t="inlineStr">
        <is>
          <t>COE</t>
        </is>
      </c>
      <c r="R264" s="865" t="inlineStr">
        <is>
          <t>Filled</t>
        </is>
      </c>
    </row>
    <row r="265" ht="18" customHeight="1" s="866">
      <c r="A265" s="1566" t="n">
        <v>5607</v>
      </c>
      <c r="B265" s="1382" t="inlineStr">
        <is>
          <t>Maria Somera</t>
        </is>
      </c>
      <c r="C265" s="1382" t="inlineStr">
        <is>
          <t>Technology Finance Analyst</t>
        </is>
      </c>
      <c r="D265" s="1382" t="inlineStr">
        <is>
          <t>Sam Chan</t>
        </is>
      </c>
      <c r="E265" s="1382" t="inlineStr">
        <is>
          <t>Fin Ops Manager</t>
        </is>
      </c>
      <c r="F265" s="1382" t="inlineStr">
        <is>
          <t>Partnering &amp; Transformation</t>
        </is>
      </c>
      <c r="G265" s="1382" t="inlineStr">
        <is>
          <t>Transformation</t>
        </is>
      </c>
      <c r="H265" s="1382" t="inlineStr">
        <is>
          <t>NA</t>
        </is>
      </c>
      <c r="I265" s="1382" t="inlineStr">
        <is>
          <t>NA</t>
        </is>
      </c>
      <c r="J265" s="1382" t="inlineStr">
        <is>
          <t>NA</t>
        </is>
      </c>
      <c r="K265" s="1382" t="inlineStr">
        <is>
          <t>NA</t>
        </is>
      </c>
      <c r="L265" s="1567" t="n"/>
      <c r="M265" s="1568" t="inlineStr">
        <is>
          <t>Australia</t>
        </is>
      </c>
      <c r="N265" s="865" t="inlineStr">
        <is>
          <t>COE</t>
        </is>
      </c>
      <c r="O265" s="865" t="inlineStr">
        <is>
          <t>COE - Transformation</t>
        </is>
      </c>
      <c r="P265" s="865" t="inlineStr">
        <is>
          <t>COE - Transformation</t>
        </is>
      </c>
      <c r="Q265" s="865" t="inlineStr">
        <is>
          <t>COE</t>
        </is>
      </c>
      <c r="R265" s="865" t="inlineStr">
        <is>
          <t>Filled</t>
        </is>
      </c>
    </row>
    <row r="266" ht="18" customHeight="1" s="866">
      <c r="A266" s="1566" t="n">
        <v>83658</v>
      </c>
      <c r="B266" s="1382" t="inlineStr">
        <is>
          <t>Sam Chan</t>
        </is>
      </c>
      <c r="C266" s="1382" t="inlineStr">
        <is>
          <t>FinOps Manager</t>
        </is>
      </c>
      <c r="D266" s="1567" t="inlineStr">
        <is>
          <t>vacant</t>
        </is>
      </c>
      <c r="E266" s="1382" t="inlineStr">
        <is>
          <t xml:space="preserve">Manager Cyber Security Operations </t>
        </is>
      </c>
      <c r="F266" s="1382" t="inlineStr">
        <is>
          <t>Partnering &amp; Transformation</t>
        </is>
      </c>
      <c r="G266" s="1382" t="inlineStr">
        <is>
          <t>Transformation</t>
        </is>
      </c>
      <c r="H266" s="1382" t="inlineStr">
        <is>
          <t>NA</t>
        </is>
      </c>
      <c r="I266" s="1382" t="inlineStr">
        <is>
          <t>NA</t>
        </is>
      </c>
      <c r="J266" s="1382" t="inlineStr">
        <is>
          <t>NA</t>
        </is>
      </c>
      <c r="K266" s="1382" t="inlineStr">
        <is>
          <t>NA</t>
        </is>
      </c>
      <c r="L266" s="1567" t="n"/>
      <c r="M266" s="1568" t="inlineStr">
        <is>
          <t>Australia</t>
        </is>
      </c>
      <c r="N266" s="865" t="inlineStr">
        <is>
          <t>COE</t>
        </is>
      </c>
      <c r="O266" s="865" t="inlineStr">
        <is>
          <t>COE - Transformation</t>
        </is>
      </c>
      <c r="P266" s="865" t="inlineStr">
        <is>
          <t>COE - Transformation</t>
        </is>
      </c>
      <c r="Q266" s="865" t="inlineStr">
        <is>
          <t>COE</t>
        </is>
      </c>
      <c r="R266" s="865" t="inlineStr">
        <is>
          <t>Filled</t>
        </is>
      </c>
    </row>
    <row r="267" ht="18" customHeight="1" s="866">
      <c r="A267" s="1566" t="n">
        <v>116540</v>
      </c>
      <c r="B267" s="1382" t="inlineStr">
        <is>
          <t>Neil Reilly</t>
        </is>
      </c>
      <c r="C267" s="1382" t="inlineStr">
        <is>
          <t>TDD BP - T&amp;S</t>
        </is>
      </c>
      <c r="D267" s="1382" t="inlineStr">
        <is>
          <t>Vacant</t>
        </is>
      </c>
      <c r="E267" s="1382" t="inlineStr">
        <is>
          <t>GM TDD, Partnering &amp; Transformation</t>
        </is>
      </c>
      <c r="F267" s="1382" t="inlineStr">
        <is>
          <t>Partnering &amp; Transformation</t>
        </is>
      </c>
      <c r="G267" s="1382" t="inlineStr">
        <is>
          <t>TDD Business Partner</t>
        </is>
      </c>
      <c r="H267" s="1382" t="inlineStr">
        <is>
          <t>NA</t>
        </is>
      </c>
      <c r="I267" s="1382" t="inlineStr">
        <is>
          <t>NA</t>
        </is>
      </c>
      <c r="J267" s="1382" t="inlineStr">
        <is>
          <t>NA</t>
        </is>
      </c>
      <c r="K267" s="1382" t="inlineStr">
        <is>
          <t>NA</t>
        </is>
      </c>
      <c r="L267" s="1567" t="n"/>
      <c r="M267" s="1568" t="inlineStr">
        <is>
          <t>Singapore</t>
        </is>
      </c>
      <c r="N267" s="865" t="inlineStr">
        <is>
          <t>COE</t>
        </is>
      </c>
      <c r="O267" s="865" t="inlineStr">
        <is>
          <t>COE - Business Partnering</t>
        </is>
      </c>
      <c r="P267" s="865" t="inlineStr">
        <is>
          <t>COE - Business Partnering</t>
        </is>
      </c>
      <c r="Q267" s="865" t="inlineStr">
        <is>
          <t>COE</t>
        </is>
      </c>
      <c r="R267" s="865" t="inlineStr">
        <is>
          <t>Filled</t>
        </is>
      </c>
    </row>
    <row r="268" ht="18" customHeight="1" s="866">
      <c r="A268" s="1566" t="n"/>
      <c r="B268" s="1382" t="inlineStr">
        <is>
          <t>Vacant</t>
        </is>
      </c>
      <c r="C268" s="1382" t="inlineStr">
        <is>
          <t>Business Analysis Practice Lead</t>
        </is>
      </c>
      <c r="D268" s="1567" t="inlineStr">
        <is>
          <t>vacant</t>
        </is>
      </c>
      <c r="E268" s="1382" t="inlineStr">
        <is>
          <t>Delivery Excellence Manager</t>
        </is>
      </c>
      <c r="F268" s="1382" t="inlineStr">
        <is>
          <t>Partnering &amp; Transformation</t>
        </is>
      </c>
      <c r="G268" s="1382" t="inlineStr">
        <is>
          <t>Transformation</t>
        </is>
      </c>
      <c r="H268" s="1382" t="inlineStr">
        <is>
          <t>NA</t>
        </is>
      </c>
      <c r="I268" s="1382" t="inlineStr">
        <is>
          <t>NA</t>
        </is>
      </c>
      <c r="J268" s="1382" t="inlineStr">
        <is>
          <t>NA</t>
        </is>
      </c>
      <c r="K268" s="1382" t="inlineStr">
        <is>
          <t>NA</t>
        </is>
      </c>
      <c r="L268" s="1567" t="n"/>
      <c r="M268" s="1568" t="n"/>
      <c r="N268" s="865" t="inlineStr">
        <is>
          <t>COE</t>
        </is>
      </c>
      <c r="O268" s="865" t="inlineStr">
        <is>
          <t>COE - Transformation</t>
        </is>
      </c>
      <c r="P268" s="865" t="inlineStr">
        <is>
          <t>COE - Transformation</t>
        </is>
      </c>
      <c r="Q268" s="865" t="inlineStr">
        <is>
          <t>COE</t>
        </is>
      </c>
      <c r="R268" s="865" t="inlineStr">
        <is>
          <t>Vacant</t>
        </is>
      </c>
    </row>
    <row r="269" ht="18" customHeight="1" s="866">
      <c r="A269" s="1566" t="n">
        <v>95835</v>
      </c>
      <c r="B269" s="1382" t="inlineStr">
        <is>
          <t>Briony Scott</t>
        </is>
      </c>
      <c r="C269" s="1382" t="inlineStr">
        <is>
          <t>Service &amp; Contract Specialist AU</t>
        </is>
      </c>
      <c r="D269" s="1567" t="inlineStr">
        <is>
          <t>vacant</t>
        </is>
      </c>
      <c r="E269" s="1382" t="inlineStr">
        <is>
          <t>Commercial Director</t>
        </is>
      </c>
      <c r="F269" s="1382" t="inlineStr">
        <is>
          <t>Partnering &amp; Transformation</t>
        </is>
      </c>
      <c r="G269" s="1382" t="inlineStr">
        <is>
          <t>Commercial</t>
        </is>
      </c>
      <c r="H269" s="1382" t="inlineStr">
        <is>
          <t>NA</t>
        </is>
      </c>
      <c r="I269" s="1382" t="inlineStr">
        <is>
          <t>NA</t>
        </is>
      </c>
      <c r="J269" s="1382" t="inlineStr">
        <is>
          <t>NA</t>
        </is>
      </c>
      <c r="K269" s="1382" t="inlineStr">
        <is>
          <t>NA</t>
        </is>
      </c>
      <c r="L269" s="1567" t="n"/>
      <c r="M269" s="1568" t="inlineStr">
        <is>
          <t>Australia</t>
        </is>
      </c>
      <c r="N269" s="865" t="inlineStr">
        <is>
          <t>COE</t>
        </is>
      </c>
      <c r="O269" s="865" t="inlineStr">
        <is>
          <t>COE - Business Partnering</t>
        </is>
      </c>
      <c r="P269" s="865" t="inlineStr">
        <is>
          <t>COE - Business Partnering</t>
        </is>
      </c>
      <c r="Q269" s="865" t="inlineStr">
        <is>
          <t>COE</t>
        </is>
      </c>
      <c r="R269" s="865" t="inlineStr">
        <is>
          <t>Filled</t>
        </is>
      </c>
    </row>
    <row r="270" ht="18" customHeight="1" s="866">
      <c r="A270" s="1566" t="n">
        <v>99999170371</v>
      </c>
      <c r="B270" s="1382" t="inlineStr">
        <is>
          <t>Helen Ngu</t>
        </is>
      </c>
      <c r="C270" s="1382" t="inlineStr">
        <is>
          <t>Service &amp; Contract Specialist NZ</t>
        </is>
      </c>
      <c r="D270" s="1567" t="inlineStr">
        <is>
          <t>vacant</t>
        </is>
      </c>
      <c r="E270" s="1382" t="inlineStr">
        <is>
          <t>Commercial Director</t>
        </is>
      </c>
      <c r="F270" s="1382" t="inlineStr">
        <is>
          <t>Partnering &amp; Transformation</t>
        </is>
      </c>
      <c r="G270" s="1382" t="inlineStr">
        <is>
          <t>Commercial</t>
        </is>
      </c>
      <c r="H270" s="1382" t="inlineStr">
        <is>
          <t>NA</t>
        </is>
      </c>
      <c r="I270" s="1382" t="inlineStr">
        <is>
          <t>NA</t>
        </is>
      </c>
      <c r="J270" s="1382" t="inlineStr">
        <is>
          <t>NA</t>
        </is>
      </c>
      <c r="K270" s="1382" t="inlineStr">
        <is>
          <t>NA</t>
        </is>
      </c>
      <c r="L270" s="1567" t="n"/>
      <c r="M270" s="1568" t="inlineStr">
        <is>
          <t>NZ</t>
        </is>
      </c>
      <c r="N270" s="865" t="inlineStr">
        <is>
          <t>COE</t>
        </is>
      </c>
      <c r="O270" s="865" t="inlineStr">
        <is>
          <t>COE - Business Partnering</t>
        </is>
      </c>
      <c r="P270" s="865" t="inlineStr">
        <is>
          <t>COE - Business Partnering</t>
        </is>
      </c>
      <c r="Q270" s="865" t="inlineStr">
        <is>
          <t>COE</t>
        </is>
      </c>
      <c r="R270" s="865" t="inlineStr">
        <is>
          <t>Filled</t>
        </is>
      </c>
    </row>
    <row r="271" ht="18" customHeight="1" s="866">
      <c r="A271" s="1566" t="n">
        <v>101862</v>
      </c>
      <c r="B271" s="1382" t="inlineStr">
        <is>
          <t>Vaughn Scott</t>
        </is>
      </c>
      <c r="C271" s="1382" t="inlineStr">
        <is>
          <t>TDD BP - ES</t>
        </is>
      </c>
      <c r="D271" s="1382" t="inlineStr">
        <is>
          <t>Vacant</t>
        </is>
      </c>
      <c r="E271" s="1382" t="inlineStr">
        <is>
          <t>GM TDD, Partnering &amp; Transformation</t>
        </is>
      </c>
      <c r="F271" s="1382" t="inlineStr">
        <is>
          <t>Partnering &amp; Transformation</t>
        </is>
      </c>
      <c r="G271" s="1382" t="inlineStr">
        <is>
          <t>TDD Business Partner</t>
        </is>
      </c>
      <c r="H271" s="865" t="inlineStr">
        <is>
          <t>NA</t>
        </is>
      </c>
      <c r="I271" s="1382" t="inlineStr">
        <is>
          <t>NA</t>
        </is>
      </c>
      <c r="J271" s="1382" t="inlineStr">
        <is>
          <t>NA</t>
        </is>
      </c>
      <c r="K271" s="1382" t="inlineStr">
        <is>
          <t>NA</t>
        </is>
      </c>
      <c r="L271" s="1567" t="n"/>
      <c r="M271" s="1568" t="inlineStr">
        <is>
          <t>Australia</t>
        </is>
      </c>
      <c r="N271" s="865" t="inlineStr">
        <is>
          <t>COE</t>
        </is>
      </c>
      <c r="O271" s="865" t="inlineStr">
        <is>
          <t>COE - Business Partnering</t>
        </is>
      </c>
      <c r="P271" s="865" t="inlineStr">
        <is>
          <t>COE - Business Partnering</t>
        </is>
      </c>
      <c r="Q271" s="865" t="inlineStr">
        <is>
          <t>COE</t>
        </is>
      </c>
      <c r="R271" s="865" t="inlineStr">
        <is>
          <t>Filled</t>
        </is>
      </c>
    </row>
    <row r="272" ht="18" customHeight="1" s="866">
      <c r="A272" s="1566" t="n">
        <v>82561</v>
      </c>
      <c r="B272" s="1382" t="inlineStr">
        <is>
          <t>Jenny Chan</t>
        </is>
      </c>
      <c r="C272" s="1382" t="inlineStr">
        <is>
          <t>Project Finance Lead</t>
        </is>
      </c>
      <c r="D272" s="1382" t="inlineStr">
        <is>
          <t>Vacant</t>
        </is>
      </c>
      <c r="E272" s="1382" t="inlineStr">
        <is>
          <t xml:space="preserve">Manager Risk &amp; Resilience </t>
        </is>
      </c>
      <c r="F272" s="1382" t="inlineStr">
        <is>
          <t>Partnering &amp; Transformation</t>
        </is>
      </c>
      <c r="G272" s="1382" t="inlineStr">
        <is>
          <t>Transformation</t>
        </is>
      </c>
      <c r="H272" s="1382" t="inlineStr">
        <is>
          <t>Technology, CF Engineering</t>
        </is>
      </c>
      <c r="I272" s="1382" t="inlineStr">
        <is>
          <t>NA</t>
        </is>
      </c>
      <c r="J272" s="1382" t="inlineStr">
        <is>
          <t>NA</t>
        </is>
      </c>
      <c r="K272" s="1382" t="inlineStr">
        <is>
          <t>NA</t>
        </is>
      </c>
      <c r="L272" s="1567" t="n"/>
      <c r="M272" s="1568" t="inlineStr">
        <is>
          <t>Australia</t>
        </is>
      </c>
      <c r="N272" s="865" t="inlineStr">
        <is>
          <t>COE</t>
        </is>
      </c>
      <c r="O272" s="865" t="inlineStr">
        <is>
          <t>COE - Transformation</t>
        </is>
      </c>
      <c r="P272" s="865" t="inlineStr">
        <is>
          <t>COE - Transformation</t>
        </is>
      </c>
      <c r="Q272" s="865" t="inlineStr">
        <is>
          <t>COE</t>
        </is>
      </c>
      <c r="R272" s="865" t="inlineStr">
        <is>
          <t>Filled</t>
        </is>
      </c>
    </row>
    <row r="273" ht="18" customHeight="1" s="866">
      <c r="A273" s="1566" t="n"/>
      <c r="B273" s="1382" t="inlineStr">
        <is>
          <t>Vacant</t>
        </is>
      </c>
      <c r="C273" s="1382" t="inlineStr">
        <is>
          <t>Scrum Master</t>
        </is>
      </c>
      <c r="D273" s="1567" t="inlineStr">
        <is>
          <t>Vacant</t>
        </is>
      </c>
      <c r="E273" s="1382" t="inlineStr">
        <is>
          <t xml:space="preserve">Lead Technology Support </t>
        </is>
      </c>
      <c r="F273" s="1382" t="inlineStr">
        <is>
          <t>Partnering &amp; Transformation</t>
        </is>
      </c>
      <c r="G273" s="1382" t="inlineStr">
        <is>
          <t>Loyalty &amp; Martech</t>
        </is>
      </c>
      <c r="H273" s="1382" t="inlineStr">
        <is>
          <t>NA</t>
        </is>
      </c>
      <c r="I273" s="1382" t="inlineStr">
        <is>
          <t>NA</t>
        </is>
      </c>
      <c r="J273" s="1382" t="inlineStr">
        <is>
          <t>NA</t>
        </is>
      </c>
      <c r="K273" s="1382" t="inlineStr">
        <is>
          <t>NA</t>
        </is>
      </c>
      <c r="L273" s="1567" t="n"/>
      <c r="M273" s="1568" t="n"/>
      <c r="N273" s="865" t="inlineStr">
        <is>
          <t>Customer</t>
        </is>
      </c>
      <c r="O273" s="865" t="inlineStr">
        <is>
          <t>Group Customer Platforms</t>
        </is>
      </c>
      <c r="P273" s="865" t="inlineStr">
        <is>
          <t>AU CRM &amp; Martech</t>
        </is>
      </c>
      <c r="Q273" s="865" t="inlineStr">
        <is>
          <t>Squad</t>
        </is>
      </c>
      <c r="R273" s="865" t="inlineStr">
        <is>
          <t>Vacant</t>
        </is>
      </c>
    </row>
    <row r="274" ht="18" customHeight="1" s="866">
      <c r="A274" s="1566" t="n">
        <v>99999102029</v>
      </c>
      <c r="B274" s="1382" t="inlineStr">
        <is>
          <t>Matt Saunders</t>
        </is>
      </c>
      <c r="C274" s="1382" t="inlineStr">
        <is>
          <t>Scrum Master</t>
        </is>
      </c>
      <c r="D274" s="1567" t="inlineStr">
        <is>
          <t>Vacant</t>
        </is>
      </c>
      <c r="E274" s="1382" t="inlineStr">
        <is>
          <t xml:space="preserve">Lead Technology Support </t>
        </is>
      </c>
      <c r="F274" s="1382" t="inlineStr">
        <is>
          <t>Partnering &amp; Transformation</t>
        </is>
      </c>
      <c r="G274" s="1382" t="inlineStr">
        <is>
          <t>Transformation</t>
        </is>
      </c>
      <c r="H274" s="1382" t="inlineStr">
        <is>
          <t>NA</t>
        </is>
      </c>
      <c r="I274" s="1382" t="inlineStr">
        <is>
          <t>NA</t>
        </is>
      </c>
      <c r="J274" s="1382" t="inlineStr">
        <is>
          <t>NA</t>
        </is>
      </c>
      <c r="K274" s="1382" t="inlineStr">
        <is>
          <t>NA</t>
        </is>
      </c>
      <c r="L274" s="1567" t="n"/>
      <c r="M274" s="1568" t="inlineStr">
        <is>
          <t>NZ</t>
        </is>
      </c>
      <c r="N274" s="865" t="inlineStr">
        <is>
          <t>COE</t>
        </is>
      </c>
      <c r="O274" s="865" t="inlineStr">
        <is>
          <t>COE - Transformation</t>
        </is>
      </c>
      <c r="P274" s="865" t="inlineStr">
        <is>
          <t>COE - Transformation</t>
        </is>
      </c>
      <c r="Q274" s="865" t="inlineStr">
        <is>
          <t>COE</t>
        </is>
      </c>
      <c r="R274" s="865" t="inlineStr">
        <is>
          <t>Filled</t>
        </is>
      </c>
    </row>
    <row r="275" ht="18" customHeight="1" s="866">
      <c r="A275" s="1566" t="n">
        <v>0</v>
      </c>
      <c r="B275" s="1382" t="inlineStr">
        <is>
          <t>Malcolm Deare</t>
        </is>
      </c>
      <c r="C275" s="1382" t="inlineStr">
        <is>
          <t>TDD BP, Group Functions</t>
        </is>
      </c>
      <c r="D275" s="1382" t="inlineStr">
        <is>
          <t>Vacant</t>
        </is>
      </c>
      <c r="E275" s="1382" t="inlineStr">
        <is>
          <t>GM TDD, Partnering &amp; Transformation</t>
        </is>
      </c>
      <c r="F275" s="1382" t="inlineStr">
        <is>
          <t>Partnering &amp; Transformation</t>
        </is>
      </c>
      <c r="G275" s="1382" t="inlineStr">
        <is>
          <t>TDD Business Partner</t>
        </is>
      </c>
      <c r="H275" s="1382" t="inlineStr">
        <is>
          <t>NA</t>
        </is>
      </c>
      <c r="I275" s="1382" t="inlineStr">
        <is>
          <t>NA</t>
        </is>
      </c>
      <c r="J275" s="1382" t="inlineStr">
        <is>
          <t>NA</t>
        </is>
      </c>
      <c r="K275" s="1382" t="inlineStr">
        <is>
          <t>NA</t>
        </is>
      </c>
      <c r="L275" s="1567" t="n"/>
      <c r="M275" s="1568" t="n">
        <v>0</v>
      </c>
      <c r="N275" s="865" t="inlineStr">
        <is>
          <t>COE</t>
        </is>
      </c>
      <c r="O275" s="865" t="inlineStr">
        <is>
          <t>COE - Business Partnering</t>
        </is>
      </c>
      <c r="P275" s="865" t="inlineStr">
        <is>
          <t>COE - Business Partnering</t>
        </is>
      </c>
      <c r="Q275" s="865" t="inlineStr">
        <is>
          <t>COE</t>
        </is>
      </c>
      <c r="R275" s="865" t="inlineStr">
        <is>
          <t>Filled</t>
        </is>
      </c>
    </row>
    <row r="276" ht="18" customHeight="1" s="866">
      <c r="A276" s="1566" t="n">
        <v>113835</v>
      </c>
      <c r="B276" s="1382" t="inlineStr">
        <is>
          <t>Ruth Chou</t>
        </is>
      </c>
      <c r="C276" s="1382" t="inlineStr">
        <is>
          <t>Portfolio Reporting Manager</t>
        </is>
      </c>
      <c r="D276" s="1567" t="inlineStr">
        <is>
          <t>vacant</t>
        </is>
      </c>
      <c r="E276" s="1382" t="inlineStr">
        <is>
          <t xml:space="preserve">Manager Service Perforance &amp; Assurance </t>
        </is>
      </c>
      <c r="F276" s="1382" t="inlineStr">
        <is>
          <t>Partnering &amp; Transformation</t>
        </is>
      </c>
      <c r="G276" s="1382" t="inlineStr">
        <is>
          <t>Loyalty &amp; Martech</t>
        </is>
      </c>
      <c r="H276" s="1382" t="inlineStr">
        <is>
          <t>NA</t>
        </is>
      </c>
      <c r="I276" s="1382" t="inlineStr">
        <is>
          <t>NA</t>
        </is>
      </c>
      <c r="J276" s="1382" t="inlineStr">
        <is>
          <t>NA</t>
        </is>
      </c>
      <c r="K276" s="1382" t="inlineStr">
        <is>
          <t>NA</t>
        </is>
      </c>
      <c r="L276" s="1567" t="n"/>
      <c r="M276" s="1568" t="inlineStr">
        <is>
          <t>Australia</t>
        </is>
      </c>
      <c r="N276" s="865" t="inlineStr">
        <is>
          <t>Customer</t>
        </is>
      </c>
      <c r="O276" s="865" t="inlineStr">
        <is>
          <t>Group Customer Platforms</t>
        </is>
      </c>
      <c r="P276" s="865" t="inlineStr">
        <is>
          <t>AU CRM &amp; Martech</t>
        </is>
      </c>
      <c r="Q276" s="865" t="inlineStr">
        <is>
          <t>Squad</t>
        </is>
      </c>
      <c r="R276" s="865" t="inlineStr">
        <is>
          <t>Filled</t>
        </is>
      </c>
    </row>
    <row r="277" ht="18" customHeight="1" s="866">
      <c r="A277" s="1566" t="n"/>
      <c r="B277" s="1382" t="inlineStr">
        <is>
          <t>Vacant</t>
        </is>
      </c>
      <c r="C277" s="1382" t="inlineStr">
        <is>
          <t>Delivery Capacity &amp; Assurance Lead</t>
        </is>
      </c>
      <c r="D277" s="1567" t="inlineStr">
        <is>
          <t>Vacant</t>
        </is>
      </c>
      <c r="E277" s="1567" t="inlineStr">
        <is>
          <t>vacant</t>
        </is>
      </c>
      <c r="F277" s="1382" t="inlineStr">
        <is>
          <t>Partnering &amp; Transformation</t>
        </is>
      </c>
      <c r="G277" s="1382" t="inlineStr">
        <is>
          <t>Transformation</t>
        </is>
      </c>
      <c r="H277" s="865" t="inlineStr">
        <is>
          <t>NA</t>
        </is>
      </c>
      <c r="I277" s="1382" t="inlineStr">
        <is>
          <t>NA</t>
        </is>
      </c>
      <c r="J277" s="1382" t="inlineStr">
        <is>
          <t>NA</t>
        </is>
      </c>
      <c r="K277" s="1382" t="inlineStr">
        <is>
          <t>NA</t>
        </is>
      </c>
      <c r="L277" s="1567" t="n"/>
      <c r="M277" s="1568" t="n"/>
      <c r="N277" s="865" t="inlineStr">
        <is>
          <t>COE</t>
        </is>
      </c>
      <c r="O277" s="865" t="inlineStr">
        <is>
          <t>COE - Transformation</t>
        </is>
      </c>
      <c r="P277" s="865" t="inlineStr">
        <is>
          <t>COE - Transformation</t>
        </is>
      </c>
      <c r="Q277" s="865" t="inlineStr">
        <is>
          <t>COE</t>
        </is>
      </c>
      <c r="R277" s="865" t="inlineStr">
        <is>
          <t>Vacant</t>
        </is>
      </c>
    </row>
    <row r="278" ht="18" customHeight="1" s="866">
      <c r="A278" s="1566" t="n">
        <v>99999102144</v>
      </c>
      <c r="B278" s="1382" t="inlineStr">
        <is>
          <t>Shelley Crawford</t>
        </is>
      </c>
      <c r="C278" s="1382" t="inlineStr">
        <is>
          <t>TDD BP - Z</t>
        </is>
      </c>
      <c r="D278" s="1382" t="inlineStr">
        <is>
          <t>Vacant</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567" t="n"/>
      <c r="M278" s="1568" t="inlineStr">
        <is>
          <t>NZ</t>
        </is>
      </c>
      <c r="N278" s="865" t="inlineStr">
        <is>
          <t>COE</t>
        </is>
      </c>
      <c r="O278" s="865" t="inlineStr">
        <is>
          <t>COE - Business Partnering</t>
        </is>
      </c>
      <c r="P278" s="865" t="inlineStr">
        <is>
          <t>COE - Business Partnering</t>
        </is>
      </c>
      <c r="Q278" s="865" t="inlineStr">
        <is>
          <t>COE</t>
        </is>
      </c>
      <c r="R278" s="865" t="inlineStr">
        <is>
          <t>Filled</t>
        </is>
      </c>
    </row>
    <row r="279" ht="18" customHeight="1" s="866">
      <c r="A279" s="1566" t="n">
        <v>102411</v>
      </c>
      <c r="B279" s="1382" t="inlineStr">
        <is>
          <t>Vacant</t>
        </is>
      </c>
      <c r="C279" s="1382" t="inlineStr">
        <is>
          <t>TDD BP - Infrastructure</t>
        </is>
      </c>
      <c r="D279" s="1382" t="inlineStr">
        <is>
          <t>Vacant</t>
        </is>
      </c>
      <c r="E279" s="1382" t="inlineStr">
        <is>
          <t>GM TDD, Partnering &amp; Transformation</t>
        </is>
      </c>
      <c r="F279" s="1382" t="inlineStr">
        <is>
          <t>Partnering &amp; Transformation</t>
        </is>
      </c>
      <c r="G279" s="1382" t="inlineStr">
        <is>
          <t>TDD Business Partner</t>
        </is>
      </c>
      <c r="H279" s="1382" t="inlineStr">
        <is>
          <t>NA</t>
        </is>
      </c>
      <c r="I279" s="1382" t="inlineStr">
        <is>
          <t>NA</t>
        </is>
      </c>
      <c r="J279" s="1382" t="inlineStr">
        <is>
          <t>NA</t>
        </is>
      </c>
      <c r="K279" s="1382" t="inlineStr">
        <is>
          <t>NA</t>
        </is>
      </c>
      <c r="L279" s="1567" t="n"/>
      <c r="M279" s="1568" t="inlineStr">
        <is>
          <t>Australia</t>
        </is>
      </c>
      <c r="N279" s="865" t="inlineStr">
        <is>
          <t>COE</t>
        </is>
      </c>
      <c r="O279" s="865" t="inlineStr">
        <is>
          <t>COE - Business Partnering</t>
        </is>
      </c>
      <c r="P279" s="865" t="inlineStr">
        <is>
          <t>COE - Business Partnering</t>
        </is>
      </c>
      <c r="Q279" s="865" t="inlineStr">
        <is>
          <t>COE</t>
        </is>
      </c>
      <c r="R279" s="865" t="inlineStr">
        <is>
          <t>Vacant</t>
        </is>
      </c>
    </row>
    <row r="280" ht="18" customHeight="1" s="866">
      <c r="A280" s="1566" t="n"/>
      <c r="B280" s="1567" t="inlineStr">
        <is>
          <t>Vacant</t>
        </is>
      </c>
      <c r="C280" s="1567" t="inlineStr">
        <is>
          <t>Delivery Assurance Manager</t>
        </is>
      </c>
      <c r="D280" s="1567" t="inlineStr">
        <is>
          <t>vacant</t>
        </is>
      </c>
      <c r="E280" s="1567" t="inlineStr">
        <is>
          <t xml:space="preserve">Manager Identity &amp; Access Management </t>
        </is>
      </c>
      <c r="F280" s="1382" t="inlineStr">
        <is>
          <t>Partnering &amp; Transformation</t>
        </is>
      </c>
      <c r="G280" s="1567" t="inlineStr">
        <is>
          <t>Transformation</t>
        </is>
      </c>
      <c r="H280" s="1382" t="inlineStr">
        <is>
          <t>NA</t>
        </is>
      </c>
      <c r="I280" s="1382" t="inlineStr">
        <is>
          <t>NA</t>
        </is>
      </c>
      <c r="J280" s="1382" t="inlineStr">
        <is>
          <t>NA</t>
        </is>
      </c>
      <c r="K280" s="1382" t="inlineStr">
        <is>
          <t>NA</t>
        </is>
      </c>
      <c r="L280" s="1567" t="n"/>
      <c r="M280" s="1568" t="n"/>
      <c r="N280" s="865" t="inlineStr">
        <is>
          <t>COE</t>
        </is>
      </c>
      <c r="O280" s="865" t="inlineStr">
        <is>
          <t>COE - Transformation</t>
        </is>
      </c>
      <c r="P280" s="865" t="inlineStr">
        <is>
          <t>COE - Transformation</t>
        </is>
      </c>
      <c r="Q280" s="865" t="inlineStr">
        <is>
          <t>COE</t>
        </is>
      </c>
      <c r="R280" s="865" t="inlineStr">
        <is>
          <t>Vacant</t>
        </is>
      </c>
    </row>
    <row r="281" ht="18" customHeight="1" s="866">
      <c r="A281" s="1566" t="n">
        <v>113362</v>
      </c>
      <c r="B281" s="1382" t="inlineStr">
        <is>
          <t>Vacant</t>
        </is>
      </c>
      <c r="C281" s="1382" t="inlineStr">
        <is>
          <t>Software Asset Specialist</t>
        </is>
      </c>
      <c r="D281" s="1567" t="inlineStr">
        <is>
          <t>vacant</t>
        </is>
      </c>
      <c r="E281" s="1382" t="inlineStr">
        <is>
          <t>Commercial Director</t>
        </is>
      </c>
      <c r="F281" s="1382" t="inlineStr">
        <is>
          <t>Partnering &amp; Transformation</t>
        </is>
      </c>
      <c r="G281" s="1382" t="inlineStr">
        <is>
          <t>Commercial</t>
        </is>
      </c>
      <c r="H281" s="1382" t="inlineStr">
        <is>
          <t>NA</t>
        </is>
      </c>
      <c r="I281" s="1382" t="inlineStr">
        <is>
          <t>NA</t>
        </is>
      </c>
      <c r="J281" s="1382" t="inlineStr">
        <is>
          <t>NA</t>
        </is>
      </c>
      <c r="K281" s="1382" t="inlineStr">
        <is>
          <t>NA</t>
        </is>
      </c>
      <c r="L281" s="1567" t="n"/>
      <c r="M281" s="1568" t="inlineStr">
        <is>
          <t>Australia</t>
        </is>
      </c>
      <c r="N281" s="865" t="inlineStr">
        <is>
          <t>COE</t>
        </is>
      </c>
      <c r="O281" s="865" t="inlineStr">
        <is>
          <t>COE - Business Partnering</t>
        </is>
      </c>
      <c r="P281" s="865" t="inlineStr">
        <is>
          <t>COE - Business Partnering</t>
        </is>
      </c>
      <c r="Q281" s="865" t="inlineStr">
        <is>
          <t>COE</t>
        </is>
      </c>
      <c r="R281" s="865" t="inlineStr">
        <is>
          <t>Vacant</t>
        </is>
      </c>
    </row>
    <row r="282" ht="18" customHeight="1" s="866">
      <c r="A282" s="1566" t="n"/>
      <c r="B282" s="1382" t="inlineStr">
        <is>
          <t>Vacant</t>
        </is>
      </c>
      <c r="C282" s="1382" t="inlineStr">
        <is>
          <t>Delivery Excellence Manager</t>
        </is>
      </c>
      <c r="D282" s="1567" t="inlineStr">
        <is>
          <t>vacant</t>
        </is>
      </c>
      <c r="E282" s="1382" t="inlineStr">
        <is>
          <t xml:space="preserve">CISO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567" t="n"/>
      <c r="M282" s="1568" t="n"/>
      <c r="N282" s="865" t="inlineStr">
        <is>
          <t>COE</t>
        </is>
      </c>
      <c r="O282" s="865" t="inlineStr">
        <is>
          <t>COE - Transformation</t>
        </is>
      </c>
      <c r="P282" s="865" t="inlineStr">
        <is>
          <t>COE - Transformation</t>
        </is>
      </c>
      <c r="Q282" s="865" t="inlineStr">
        <is>
          <t>COE</t>
        </is>
      </c>
      <c r="R282" s="865" t="inlineStr">
        <is>
          <t>Vacant</t>
        </is>
      </c>
    </row>
    <row r="283" ht="18" customHeight="1" s="866">
      <c r="A283" s="1566" t="n"/>
      <c r="B283" s="1382" t="inlineStr">
        <is>
          <t>Vacant</t>
        </is>
      </c>
      <c r="C283" s="1382" t="inlineStr">
        <is>
          <t>Service Transition Lead</t>
        </is>
      </c>
      <c r="D283" s="1382" t="inlineStr">
        <is>
          <t>Deepali Mahajan</t>
        </is>
      </c>
      <c r="E283" s="1382" t="inlineStr">
        <is>
          <t>Data Operations Manager</t>
        </is>
      </c>
      <c r="F283" s="1571" t="inlineStr">
        <is>
          <t>Strategy, Architecture &amp; Data</t>
        </is>
      </c>
      <c r="G283" s="1567" t="inlineStr">
        <is>
          <t>Group Data</t>
        </is>
      </c>
      <c r="H283" s="1571" t="inlineStr">
        <is>
          <t>Data Operations</t>
        </is>
      </c>
      <c r="I283" s="1571" t="inlineStr">
        <is>
          <t>Enterprise Data</t>
        </is>
      </c>
      <c r="J283" s="1567" t="n"/>
      <c r="K283" s="1567" t="inlineStr">
        <is>
          <t>COE, Data Operations</t>
        </is>
      </c>
      <c r="L283" s="1567" t="n"/>
      <c r="M283" s="1568" t="n"/>
      <c r="N283" s="865" t="inlineStr">
        <is>
          <t>Enterprise Data</t>
        </is>
      </c>
      <c r="O283" s="865" t="inlineStr">
        <is>
          <t>Group Data</t>
        </is>
      </c>
      <c r="P283" s="865" t="inlineStr">
        <is>
          <t>Operations</t>
        </is>
      </c>
      <c r="Q283" s="865" t="inlineStr">
        <is>
          <t>Squad</t>
        </is>
      </c>
      <c r="R283" s="865" t="inlineStr">
        <is>
          <t>Vacant</t>
        </is>
      </c>
    </row>
    <row r="284" ht="18" customHeight="1" s="866">
      <c r="A284" s="1566" t="n"/>
      <c r="B284" s="1382" t="inlineStr">
        <is>
          <t>Vacant</t>
        </is>
      </c>
      <c r="C284" s="1382" t="inlineStr">
        <is>
          <t>Engineer Data - Reporting</t>
        </is>
      </c>
      <c r="D284" s="1382" t="inlineStr">
        <is>
          <t>Dinesh Chandrasekaran</t>
        </is>
      </c>
      <c r="E284" s="1382" t="inlineStr">
        <is>
          <t>Lead Engineer (Snowflake)</t>
        </is>
      </c>
      <c r="F284" s="1571" t="inlineStr">
        <is>
          <t>Strategy, Architecture &amp; Data</t>
        </is>
      </c>
      <c r="G284" s="1567" t="inlineStr">
        <is>
          <t>Group Data</t>
        </is>
      </c>
      <c r="H284" s="1571" t="inlineStr">
        <is>
          <t>Data Engineering &amp; Platforms</t>
        </is>
      </c>
      <c r="I284" s="1571" t="inlineStr">
        <is>
          <t>Enterprise Data</t>
        </is>
      </c>
      <c r="J284" s="1571" t="inlineStr">
        <is>
          <t>Group Data</t>
        </is>
      </c>
      <c r="K284" s="1571" t="inlineStr">
        <is>
          <t>Reporting &amp; Analytics</t>
        </is>
      </c>
      <c r="L284" s="1567" t="n"/>
      <c r="M284" s="1568" t="n"/>
      <c r="N284" s="865" t="inlineStr">
        <is>
          <t>Enterprise Data</t>
        </is>
      </c>
      <c r="O284" s="865" t="inlineStr">
        <is>
          <t>Group Data</t>
        </is>
      </c>
      <c r="P284" s="865" t="inlineStr">
        <is>
          <t>Reporting &amp; Analytics</t>
        </is>
      </c>
      <c r="Q284" s="865" t="inlineStr">
        <is>
          <t>Squad</t>
        </is>
      </c>
      <c r="R284" s="865" t="inlineStr">
        <is>
          <t>Vacant</t>
        </is>
      </c>
    </row>
    <row r="285" ht="18" customHeight="1" s="866">
      <c r="A285" s="1566" t="n"/>
      <c r="B285" s="1382" t="inlineStr">
        <is>
          <t>Vacant</t>
        </is>
      </c>
      <c r="C285" s="1382" t="inlineStr">
        <is>
          <t xml:space="preserve">Engineer Data  </t>
        </is>
      </c>
      <c r="D285" s="1382" t="inlineStr">
        <is>
          <t>Dinesh Chandrasekaran</t>
        </is>
      </c>
      <c r="E285" s="1382" t="inlineStr">
        <is>
          <t>Lead Engineer (Snowflake)</t>
        </is>
      </c>
      <c r="F285" s="1571" t="inlineStr">
        <is>
          <t>Strategy, Architecture &amp; Data</t>
        </is>
      </c>
      <c r="G285" s="1567" t="inlineStr">
        <is>
          <t>Group Data</t>
        </is>
      </c>
      <c r="H285" s="1571" t="inlineStr">
        <is>
          <t>Data Engineering &amp; Platforms</t>
        </is>
      </c>
      <c r="I285" s="1567" t="inlineStr">
        <is>
          <t>Enterprise Data</t>
        </is>
      </c>
      <c r="J285" s="1571" t="inlineStr">
        <is>
          <t>Group Data</t>
        </is>
      </c>
      <c r="K285" s="1567" t="inlineStr">
        <is>
          <t>Data Platform</t>
        </is>
      </c>
      <c r="L285" s="1567" t="n"/>
      <c r="M285" s="1568" t="n"/>
      <c r="N285" s="865" t="inlineStr">
        <is>
          <t>Enterprise Data</t>
        </is>
      </c>
      <c r="O285" s="865" t="inlineStr">
        <is>
          <t>Group Data</t>
        </is>
      </c>
      <c r="P285" s="865" t="inlineStr">
        <is>
          <t>Data Platforms</t>
        </is>
      </c>
      <c r="Q285" s="865" t="inlineStr">
        <is>
          <t>Squad</t>
        </is>
      </c>
      <c r="R285" s="865" t="inlineStr">
        <is>
          <t>Vacant</t>
        </is>
      </c>
    </row>
    <row r="286" ht="18" customHeight="1" s="866">
      <c r="A286" s="1566" t="n">
        <v>113559</v>
      </c>
      <c r="B286" s="1382" t="inlineStr">
        <is>
          <t>John Forde</t>
        </is>
      </c>
      <c r="C286" s="1382" t="inlineStr">
        <is>
          <t>Enterprise Architect</t>
        </is>
      </c>
      <c r="D286" s="1382" t="inlineStr">
        <is>
          <t>Ed Tacey</t>
        </is>
      </c>
      <c r="E286" s="1382" t="inlineStr">
        <is>
          <t>Head of Architecture</t>
        </is>
      </c>
      <c r="F286" s="1571" t="inlineStr">
        <is>
          <t>Strategy, Architecture &amp; Data</t>
        </is>
      </c>
      <c r="G286" s="1567" t="inlineStr">
        <is>
          <t>Architecture</t>
        </is>
      </c>
      <c r="H286" s="1571" t="inlineStr">
        <is>
          <t>Architecture</t>
        </is>
      </c>
      <c r="I286" s="1571" t="n"/>
      <c r="J286" s="1571" t="n"/>
      <c r="K286" s="1567" t="inlineStr">
        <is>
          <t>COE, Architecture</t>
        </is>
      </c>
      <c r="L286" s="1567" t="n"/>
      <c r="M286" s="1568" t="n"/>
      <c r="N286" s="865" t="inlineStr">
        <is>
          <t>COE</t>
        </is>
      </c>
      <c r="O286" s="865" t="inlineStr">
        <is>
          <t>COE - Strategy Architecture</t>
        </is>
      </c>
      <c r="P286" s="865" t="inlineStr">
        <is>
          <t>COE - Strategy Architecture</t>
        </is>
      </c>
      <c r="Q286" s="865" t="inlineStr">
        <is>
          <t>COE</t>
        </is>
      </c>
      <c r="R286" s="865" t="inlineStr">
        <is>
          <t>Filled</t>
        </is>
      </c>
    </row>
    <row r="287" ht="18" customHeight="1" s="866">
      <c r="A287" s="1566" t="n"/>
      <c r="B287" s="1382" t="inlineStr">
        <is>
          <t>ring fenced</t>
        </is>
      </c>
      <c r="C287" s="1382" t="inlineStr">
        <is>
          <t>Domain Architect - Customer &amp; Digital Tech</t>
        </is>
      </c>
      <c r="D287" s="1382" t="inlineStr">
        <is>
          <t>Ed Tacey</t>
        </is>
      </c>
      <c r="E287" s="1382" t="inlineStr">
        <is>
          <t>Head of Architecture</t>
        </is>
      </c>
      <c r="F287" s="1571" t="inlineStr">
        <is>
          <t>Strategy, Architecture &amp; Data</t>
        </is>
      </c>
      <c r="G287" s="1567" t="inlineStr">
        <is>
          <t>Architecture</t>
        </is>
      </c>
      <c r="H287" s="1571" t="inlineStr">
        <is>
          <t>Architecture</t>
        </is>
      </c>
      <c r="I287" s="1571" t="n"/>
      <c r="J287" s="1571" t="n"/>
      <c r="K287" s="1567" t="inlineStr">
        <is>
          <t>COE, Architecture</t>
        </is>
      </c>
      <c r="L287" s="1567" t="n"/>
      <c r="M287" s="1568" t="n"/>
      <c r="N287" s="865" t="inlineStr">
        <is>
          <t>COE</t>
        </is>
      </c>
      <c r="O287" s="865" t="inlineStr">
        <is>
          <t>COE - Strategy Architecture</t>
        </is>
      </c>
      <c r="P287" s="865" t="inlineStr">
        <is>
          <t>COE - Strategy Architecture</t>
        </is>
      </c>
      <c r="Q287" s="865" t="inlineStr">
        <is>
          <t>COE</t>
        </is>
      </c>
      <c r="R287" s="865" t="inlineStr">
        <is>
          <t>Filled</t>
        </is>
      </c>
    </row>
    <row r="288" ht="18" customHeight="1" s="866">
      <c r="A288" s="1566" t="n">
        <v>115483</v>
      </c>
      <c r="B288" s="1382" t="inlineStr">
        <is>
          <t>Craig Ambrose</t>
        </is>
      </c>
      <c r="C288" s="1382" t="inlineStr">
        <is>
          <t>Domain Architect - Group Functions</t>
        </is>
      </c>
      <c r="D288" s="1382" t="inlineStr">
        <is>
          <t>Ed Tacey</t>
        </is>
      </c>
      <c r="E288" s="1382" t="inlineStr">
        <is>
          <t>Head of Architecture</t>
        </is>
      </c>
      <c r="F288" s="1571" t="inlineStr">
        <is>
          <t>Strategy, Architecture &amp; Data</t>
        </is>
      </c>
      <c r="G288" s="1567" t="inlineStr">
        <is>
          <t>Architecture</t>
        </is>
      </c>
      <c r="H288" s="1571" t="inlineStr">
        <is>
          <t>Architecture</t>
        </is>
      </c>
      <c r="I288" s="1571" t="n"/>
      <c r="J288" s="1571" t="n"/>
      <c r="K288" s="1567" t="inlineStr">
        <is>
          <t>COE, Architecture</t>
        </is>
      </c>
      <c r="L288" s="1567" t="n"/>
      <c r="M288" s="1568" t="n"/>
      <c r="N288" s="865" t="inlineStr">
        <is>
          <t>COE</t>
        </is>
      </c>
      <c r="O288" s="865" t="inlineStr">
        <is>
          <t>COE - Strategy Architecture</t>
        </is>
      </c>
      <c r="P288" s="865" t="inlineStr">
        <is>
          <t>COE - Strategy Architecture</t>
        </is>
      </c>
      <c r="Q288" s="865" t="inlineStr">
        <is>
          <t>COE</t>
        </is>
      </c>
      <c r="R288" s="865" t="inlineStr">
        <is>
          <t>Filled</t>
        </is>
      </c>
    </row>
    <row r="289" ht="18" customHeight="1" s="866">
      <c r="A289" s="1566" t="n"/>
      <c r="B289" s="1382" t="inlineStr">
        <is>
          <t>ring fenced</t>
        </is>
      </c>
      <c r="C289" s="1382" t="inlineStr">
        <is>
          <t>Domain Architect - TDD</t>
        </is>
      </c>
      <c r="D289" s="1382" t="inlineStr">
        <is>
          <t>Ed Tacey</t>
        </is>
      </c>
      <c r="E289" s="1382" t="inlineStr">
        <is>
          <t>Head of Architecture</t>
        </is>
      </c>
      <c r="F289" s="1571" t="inlineStr">
        <is>
          <t>Strategy, Architecture &amp; Data</t>
        </is>
      </c>
      <c r="G289" s="1567" t="inlineStr">
        <is>
          <t>Architecture</t>
        </is>
      </c>
      <c r="H289" s="1571" t="inlineStr">
        <is>
          <t>Architecture</t>
        </is>
      </c>
      <c r="I289" s="1571" t="n"/>
      <c r="J289" s="1571" t="n"/>
      <c r="K289" s="1567" t="inlineStr">
        <is>
          <t>COE, Architecture</t>
        </is>
      </c>
      <c r="L289" s="1567" t="n"/>
      <c r="M289" s="1568" t="n"/>
      <c r="N289" s="865" t="inlineStr">
        <is>
          <t>COE</t>
        </is>
      </c>
      <c r="O289" s="865" t="inlineStr">
        <is>
          <t>COE - Strategy Architecture</t>
        </is>
      </c>
      <c r="P289" s="865" t="inlineStr">
        <is>
          <t>COE - Strategy Architecture</t>
        </is>
      </c>
      <c r="Q289" s="865" t="inlineStr">
        <is>
          <t>COE</t>
        </is>
      </c>
      <c r="R289" s="865" t="inlineStr">
        <is>
          <t>Filled</t>
        </is>
      </c>
    </row>
    <row r="290" ht="18" customHeight="1" s="866">
      <c r="A290" s="1566" t="n">
        <v>110144</v>
      </c>
      <c r="B290" s="1382" t="inlineStr">
        <is>
          <t>Sanjay Tikoo</t>
        </is>
      </c>
      <c r="C290" s="1382" t="inlineStr">
        <is>
          <t>Principal, Data Architecture &amp; Governance</t>
        </is>
      </c>
      <c r="D290" s="1382" t="inlineStr">
        <is>
          <t>James Holgate</t>
        </is>
      </c>
      <c r="E290" s="1382" t="inlineStr">
        <is>
          <t>Head of Technology,  Group Data</t>
        </is>
      </c>
      <c r="F290" s="1571" t="inlineStr">
        <is>
          <t>Strategy, Architecture &amp; Data</t>
        </is>
      </c>
      <c r="G290" s="1567" t="inlineStr">
        <is>
          <t>Group Data</t>
        </is>
      </c>
      <c r="H290" s="1567" t="inlineStr">
        <is>
          <t>Data Capability</t>
        </is>
      </c>
      <c r="I290" s="1567" t="n"/>
      <c r="J290" s="1571" t="n"/>
      <c r="K290" s="1567" t="inlineStr">
        <is>
          <t>COE, Leadership</t>
        </is>
      </c>
      <c r="L290" s="1567" t="n"/>
      <c r="M290" s="1568" t="inlineStr">
        <is>
          <t>Australia</t>
        </is>
      </c>
      <c r="N290" s="865" t="inlineStr">
        <is>
          <t>COE</t>
        </is>
      </c>
      <c r="O290" s="865" t="inlineStr">
        <is>
          <t>COE - Data</t>
        </is>
      </c>
      <c r="P290" s="865" t="inlineStr">
        <is>
          <t>COE - Data</t>
        </is>
      </c>
      <c r="Q290" s="865" t="inlineStr">
        <is>
          <t>COE</t>
        </is>
      </c>
      <c r="R290" s="865" t="inlineStr">
        <is>
          <t>Filled</t>
        </is>
      </c>
    </row>
    <row r="291" ht="18" customHeight="1" s="866">
      <c r="A291" s="1566" t="n">
        <v>99999102152</v>
      </c>
      <c r="B291" s="1382" t="inlineStr">
        <is>
          <t>Vacant</t>
        </is>
      </c>
      <c r="C291" s="1382" t="inlineStr">
        <is>
          <t>Technology Manager, Data Engineering &amp; Platforms</t>
        </is>
      </c>
      <c r="D291" s="1382" t="inlineStr">
        <is>
          <t>James Holgate</t>
        </is>
      </c>
      <c r="E291" s="1382" t="inlineStr">
        <is>
          <t>Head of Technology,  Group Data</t>
        </is>
      </c>
      <c r="F291" s="1571" t="inlineStr">
        <is>
          <t>Strategy, Architecture &amp; Data</t>
        </is>
      </c>
      <c r="G291" s="1567" t="inlineStr">
        <is>
          <t>Group Data</t>
        </is>
      </c>
      <c r="H291" s="1571" t="inlineStr">
        <is>
          <t>Data Engineering &amp; Platforms</t>
        </is>
      </c>
      <c r="I291" s="1571" t="inlineStr">
        <is>
          <t>Enterprise Data</t>
        </is>
      </c>
      <c r="J291" s="1571" t="inlineStr">
        <is>
          <t>Group Data</t>
        </is>
      </c>
      <c r="K291" s="1567" t="inlineStr">
        <is>
          <t>COE, Leadership</t>
        </is>
      </c>
      <c r="L291" s="1567" t="n"/>
      <c r="M291" s="1568" t="inlineStr">
        <is>
          <t>NZ</t>
        </is>
      </c>
      <c r="N291" s="865" t="inlineStr">
        <is>
          <t>COE</t>
        </is>
      </c>
      <c r="O291" s="865" t="inlineStr">
        <is>
          <t>Leadership</t>
        </is>
      </c>
      <c r="P291" s="865" t="inlineStr">
        <is>
          <t>Leadership</t>
        </is>
      </c>
      <c r="Q291" s="865" t="inlineStr">
        <is>
          <t>Leadership</t>
        </is>
      </c>
      <c r="R291" s="865" t="inlineStr">
        <is>
          <t>Vacant</t>
        </is>
      </c>
    </row>
    <row r="292" ht="18" customHeight="1" s="866">
      <c r="A292" s="1566" t="n">
        <v>113956</v>
      </c>
      <c r="B292" s="1382" t="inlineStr">
        <is>
          <t>Deepali Mahajan</t>
        </is>
      </c>
      <c r="C292" s="1382" t="inlineStr">
        <is>
          <t>Data Operations Manager</t>
        </is>
      </c>
      <c r="D292" s="1382" t="inlineStr">
        <is>
          <t>James Holgate</t>
        </is>
      </c>
      <c r="E292" s="1382" t="inlineStr">
        <is>
          <t>Head of Technology,  Group Data</t>
        </is>
      </c>
      <c r="F292" s="1571" t="inlineStr">
        <is>
          <t>Strategy, Architecture &amp; Data</t>
        </is>
      </c>
      <c r="G292" s="1567" t="inlineStr">
        <is>
          <t>Group Data</t>
        </is>
      </c>
      <c r="H292" s="1567" t="inlineStr">
        <is>
          <t>Data Operations</t>
        </is>
      </c>
      <c r="I292" s="1571" t="inlineStr">
        <is>
          <t>Enterprise Data</t>
        </is>
      </c>
      <c r="J292" s="1571" t="n"/>
      <c r="K292" s="1567" t="inlineStr">
        <is>
          <t>COE, Data Operations</t>
        </is>
      </c>
      <c r="L292" s="1567" t="n"/>
      <c r="M292" s="1568" t="inlineStr">
        <is>
          <t>Australia</t>
        </is>
      </c>
      <c r="N292" s="865" t="inlineStr">
        <is>
          <t>Enterprise Data</t>
        </is>
      </c>
      <c r="O292" s="865" t="inlineStr">
        <is>
          <t>Group Data</t>
        </is>
      </c>
      <c r="P292" s="865" t="inlineStr">
        <is>
          <t>Operations</t>
        </is>
      </c>
      <c r="Q292" s="865" t="inlineStr">
        <is>
          <t>Squad</t>
        </is>
      </c>
      <c r="R292" s="865" t="inlineStr">
        <is>
          <t>Filled</t>
        </is>
      </c>
    </row>
    <row r="293" ht="18" customHeight="1" s="866">
      <c r="A293" s="1566" t="n"/>
      <c r="B293" s="1382" t="inlineStr">
        <is>
          <t>Vacant</t>
        </is>
      </c>
      <c r="C293" s="1382" t="inlineStr">
        <is>
          <t>Engineer - DevOps</t>
        </is>
      </c>
      <c r="D293" s="1382" t="inlineStr">
        <is>
          <t>Jason Gleason</t>
        </is>
      </c>
      <c r="E293" s="1382" t="inlineStr">
        <is>
          <t>Technology Manager, Data Engineering &amp; Platforms</t>
        </is>
      </c>
      <c r="F293" s="1571" t="inlineStr">
        <is>
          <t>Strategy, Architecture &amp; Data</t>
        </is>
      </c>
      <c r="G293" s="1567" t="inlineStr">
        <is>
          <t>Group Data</t>
        </is>
      </c>
      <c r="H293" s="1571" t="inlineStr">
        <is>
          <t>Data Engineering &amp; Platforms</t>
        </is>
      </c>
      <c r="I293" s="1567" t="inlineStr">
        <is>
          <t>Enterprise Data</t>
        </is>
      </c>
      <c r="J293" s="1571" t="inlineStr">
        <is>
          <t>Group Data</t>
        </is>
      </c>
      <c r="K293" s="1567" t="inlineStr">
        <is>
          <t>Data Platform</t>
        </is>
      </c>
      <c r="L293" s="1567" t="n"/>
      <c r="M293" s="1568" t="n"/>
      <c r="N293" s="865" t="inlineStr">
        <is>
          <t>Enterprise Data</t>
        </is>
      </c>
      <c r="O293" s="865" t="inlineStr">
        <is>
          <t>Group Data</t>
        </is>
      </c>
      <c r="P293" s="865" t="inlineStr">
        <is>
          <t>Data Platforms</t>
        </is>
      </c>
      <c r="Q293" s="865" t="inlineStr">
        <is>
          <t>Squad</t>
        </is>
      </c>
      <c r="R293" s="865" t="inlineStr">
        <is>
          <t>Vacant</t>
        </is>
      </c>
    </row>
    <row r="294" ht="18" customHeight="1" s="866">
      <c r="A294" s="1566" t="n">
        <v>114147</v>
      </c>
      <c r="B294" s="1382" t="inlineStr">
        <is>
          <t>Sumathi Manikkampichai</t>
        </is>
      </c>
      <c r="C294" s="1382" t="inlineStr">
        <is>
          <t>Data Architect</t>
        </is>
      </c>
      <c r="D294" s="1382" t="inlineStr">
        <is>
          <t>Jason Gleason</t>
        </is>
      </c>
      <c r="E294" s="1382" t="inlineStr">
        <is>
          <t>Technology Manager, Data Engineering &amp; Platforms</t>
        </is>
      </c>
      <c r="F294" s="1571" t="inlineStr">
        <is>
          <t>Strategy, Architecture &amp; Data</t>
        </is>
      </c>
      <c r="G294" s="1567" t="inlineStr">
        <is>
          <t>Group Data</t>
        </is>
      </c>
      <c r="H294" s="1571" t="inlineStr">
        <is>
          <t>Data Engineering &amp; Platforms</t>
        </is>
      </c>
      <c r="I294" s="1571" t="inlineStr">
        <is>
          <t>Enterprise Data</t>
        </is>
      </c>
      <c r="J294" s="1571" t="inlineStr">
        <is>
          <t>EGI</t>
        </is>
      </c>
      <c r="K294" s="1571" t="inlineStr">
        <is>
          <t>Reporting &amp; Analytics</t>
        </is>
      </c>
      <c r="L294" s="1567" t="n"/>
      <c r="M294" s="1568" t="inlineStr">
        <is>
          <t>Australia</t>
        </is>
      </c>
      <c r="N294" s="865" t="inlineStr">
        <is>
          <t>Enterprise Data</t>
        </is>
      </c>
      <c r="O294" s="865" t="inlineStr">
        <is>
          <t>Group Data</t>
        </is>
      </c>
      <c r="P294" s="865" t="inlineStr">
        <is>
          <t>Reporting &amp; Analytics</t>
        </is>
      </c>
      <c r="Q294" s="865" t="inlineStr">
        <is>
          <t>Squad</t>
        </is>
      </c>
      <c r="R294" s="865" t="inlineStr">
        <is>
          <t>Filled</t>
        </is>
      </c>
    </row>
    <row r="295" ht="18" customHeight="1" s="866">
      <c r="A295" s="1566" t="n">
        <v>99999101674</v>
      </c>
      <c r="B295" s="1382" t="inlineStr">
        <is>
          <t>Roozbeh Shahbazirad</t>
        </is>
      </c>
      <c r="C295" s="1382" t="inlineStr">
        <is>
          <t>Lead Engineer</t>
        </is>
      </c>
      <c r="D295" s="1382" t="inlineStr">
        <is>
          <t>Jason Gleason</t>
        </is>
      </c>
      <c r="E295" s="1382" t="inlineStr">
        <is>
          <t>Technology Manager, Data Engineering &amp; Platforms</t>
        </is>
      </c>
      <c r="F295" s="1571" t="inlineStr">
        <is>
          <t>Strategy, Architecture &amp; Data</t>
        </is>
      </c>
      <c r="G295" s="1567" t="inlineStr">
        <is>
          <t>Group Data</t>
        </is>
      </c>
      <c r="H295" s="1571" t="inlineStr">
        <is>
          <t>Data Engineering &amp; Platforms</t>
        </is>
      </c>
      <c r="I295" s="1567" t="inlineStr">
        <is>
          <t>Enterprise Data</t>
        </is>
      </c>
      <c r="J295" s="1571" t="inlineStr">
        <is>
          <t>An</t>
        </is>
      </c>
      <c r="K295" s="1567" t="inlineStr">
        <is>
          <t>Data Platform</t>
        </is>
      </c>
      <c r="L295" s="1567" t="n"/>
      <c r="M295" s="1568" t="inlineStr">
        <is>
          <t>NZ</t>
        </is>
      </c>
      <c r="N295" s="865" t="inlineStr">
        <is>
          <t>Enterprise Data</t>
        </is>
      </c>
      <c r="O295" s="865" t="inlineStr">
        <is>
          <t>Group Data</t>
        </is>
      </c>
      <c r="P295" s="865" t="inlineStr">
        <is>
          <t>Data Platforms</t>
        </is>
      </c>
      <c r="Q295" s="865" t="inlineStr">
        <is>
          <t>Squad</t>
        </is>
      </c>
      <c r="R295" s="865" t="inlineStr">
        <is>
          <t>Filled</t>
        </is>
      </c>
    </row>
    <row r="296" ht="18" customHeight="1" s="866">
      <c r="A296" s="1566" t="n"/>
      <c r="B296" s="1382" t="inlineStr">
        <is>
          <t>Vacant</t>
        </is>
      </c>
      <c r="C296" s="1382" t="inlineStr">
        <is>
          <t>Business Analyst</t>
        </is>
      </c>
      <c r="D296" s="1382" t="inlineStr">
        <is>
          <t>Joel Vijayakumar</t>
        </is>
      </c>
      <c r="E296" s="1382" t="inlineStr">
        <is>
          <t>Delivery Manager, Strategy, Architecture &amp; Data</t>
        </is>
      </c>
      <c r="F296" s="1571" t="inlineStr">
        <is>
          <t>Strategy, Architecture &amp; Data</t>
        </is>
      </c>
      <c r="G296" s="1567" t="inlineStr">
        <is>
          <t>Delivery, SADA</t>
        </is>
      </c>
      <c r="H296" s="1567" t="n"/>
      <c r="I296" s="1571" t="inlineStr">
        <is>
          <t>Enterprise Data</t>
        </is>
      </c>
      <c r="J296" s="1571" t="inlineStr">
        <is>
          <t>EGI</t>
        </is>
      </c>
      <c r="K296" s="1571" t="inlineStr">
        <is>
          <t>Reporting &amp; Analytics</t>
        </is>
      </c>
      <c r="L296" s="1567" t="n"/>
      <c r="M296" s="1568" t="n"/>
      <c r="N296" s="865" t="inlineStr">
        <is>
          <t>COE</t>
        </is>
      </c>
      <c r="O296" s="865" t="inlineStr">
        <is>
          <t>COE - Strategy Architecture</t>
        </is>
      </c>
      <c r="P296" s="865" t="inlineStr">
        <is>
          <t>COE - Strategy Architecture</t>
        </is>
      </c>
      <c r="Q296" s="865" t="inlineStr">
        <is>
          <t>COE</t>
        </is>
      </c>
      <c r="R296" s="865" t="inlineStr">
        <is>
          <t>Vacant</t>
        </is>
      </c>
    </row>
    <row r="297" ht="18" customHeight="1" s="866">
      <c r="A297" s="1566" t="n">
        <v>80477</v>
      </c>
      <c r="B297" s="1382" t="inlineStr">
        <is>
          <t>Vacant</t>
        </is>
      </c>
      <c r="C297" s="1382" t="inlineStr">
        <is>
          <t>Delivery Lead</t>
        </is>
      </c>
      <c r="D297" s="1382" t="inlineStr">
        <is>
          <t>Joel Vijayakumar</t>
        </is>
      </c>
      <c r="E297" s="1382" t="inlineStr">
        <is>
          <t>Delivery Manager, Strategy, Architecture &amp; Data</t>
        </is>
      </c>
      <c r="F297" s="1571" t="inlineStr">
        <is>
          <t>Strategy, Architecture &amp; Data</t>
        </is>
      </c>
      <c r="G297" s="1567" t="inlineStr">
        <is>
          <t>Delivery, SADA</t>
        </is>
      </c>
      <c r="H297" s="1567" t="n"/>
      <c r="I297" s="1571" t="inlineStr">
        <is>
          <t>Enterprise Data</t>
        </is>
      </c>
      <c r="J297" s="1571" t="inlineStr">
        <is>
          <t>Group Data</t>
        </is>
      </c>
      <c r="K297" s="1571" t="inlineStr">
        <is>
          <t>Reporting &amp; Analytics</t>
        </is>
      </c>
      <c r="L297" s="1567" t="n"/>
      <c r="M297" s="1568" t="inlineStr">
        <is>
          <t>Australia</t>
        </is>
      </c>
      <c r="N297" s="865" t="inlineStr">
        <is>
          <t>Enterprise Data</t>
        </is>
      </c>
      <c r="O297" s="865" t="inlineStr">
        <is>
          <t>Group Data</t>
        </is>
      </c>
      <c r="P297" s="865" t="inlineStr">
        <is>
          <t>Reporting &amp; Analytics</t>
        </is>
      </c>
      <c r="Q297" s="865" t="inlineStr">
        <is>
          <t>Squad</t>
        </is>
      </c>
      <c r="R297" s="865" t="inlineStr">
        <is>
          <t>Vacant</t>
        </is>
      </c>
    </row>
    <row r="298" ht="18" customHeight="1" s="866">
      <c r="A298" s="1566" t="n">
        <v>94631</v>
      </c>
      <c r="B298" s="1382" t="inlineStr">
        <is>
          <t>Rihan Schalkwyk</t>
        </is>
      </c>
      <c r="C298" s="1382" t="inlineStr">
        <is>
          <t>Senior Business Analyst</t>
        </is>
      </c>
      <c r="D298" s="1382" t="inlineStr">
        <is>
          <t>Joel Vijayakumar</t>
        </is>
      </c>
      <c r="E298" s="1382" t="inlineStr">
        <is>
          <t>Delivery Manager, Strategy, Architecture &amp; Data</t>
        </is>
      </c>
      <c r="F298" s="1571" t="inlineStr">
        <is>
          <t>Strategy, Architecture &amp; Data</t>
        </is>
      </c>
      <c r="G298" s="1567" t="inlineStr">
        <is>
          <t>Delivery, SADA</t>
        </is>
      </c>
      <c r="H298" s="1567" t="n"/>
      <c r="I298" s="1567" t="n"/>
      <c r="J298" s="1571" t="n"/>
      <c r="K298" s="1567" t="inlineStr">
        <is>
          <t>COE</t>
        </is>
      </c>
      <c r="L298" s="1567" t="n"/>
      <c r="M298" s="1568" t="inlineStr">
        <is>
          <t>Australia</t>
        </is>
      </c>
      <c r="N298" s="865" t="inlineStr">
        <is>
          <t>COE</t>
        </is>
      </c>
      <c r="O298" s="865" t="inlineStr">
        <is>
          <t>COE - Strategy Architecture</t>
        </is>
      </c>
      <c r="P298" s="865" t="inlineStr">
        <is>
          <t>COE - Strategy Architecture</t>
        </is>
      </c>
      <c r="Q298" s="865" t="inlineStr">
        <is>
          <t>COE</t>
        </is>
      </c>
      <c r="R298" s="865" t="inlineStr">
        <is>
          <t>Filled</t>
        </is>
      </c>
    </row>
    <row r="299" ht="18" customHeight="1" s="866">
      <c r="A299" s="1566" t="n"/>
      <c r="B299" s="1382" t="inlineStr">
        <is>
          <t>Vacant</t>
        </is>
      </c>
      <c r="C299" s="1382" t="inlineStr">
        <is>
          <t>Business Analyst</t>
        </is>
      </c>
      <c r="D299" s="1382" t="inlineStr">
        <is>
          <t>Joel Vijayakumar</t>
        </is>
      </c>
      <c r="E299" s="1382" t="inlineStr">
        <is>
          <t>Delivery Manager, Strategy, Architecture &amp; Data</t>
        </is>
      </c>
      <c r="F299" s="1571" t="inlineStr">
        <is>
          <t>Strategy, Architecture &amp; Data</t>
        </is>
      </c>
      <c r="G299" s="1567" t="inlineStr">
        <is>
          <t>Delivery, SADA</t>
        </is>
      </c>
      <c r="H299" s="1567" t="n"/>
      <c r="I299" s="1567" t="inlineStr">
        <is>
          <t>Enterprise Data</t>
        </is>
      </c>
      <c r="J299" s="1571" t="inlineStr">
        <is>
          <t>Group Data</t>
        </is>
      </c>
      <c r="K299" s="1567" t="inlineStr">
        <is>
          <t>Data Platform</t>
        </is>
      </c>
      <c r="L299" s="1567" t="n"/>
      <c r="M299" s="1568" t="n"/>
      <c r="N299" s="865" t="inlineStr">
        <is>
          <t>Enterprise Data</t>
        </is>
      </c>
      <c r="O299" s="865" t="inlineStr">
        <is>
          <t>Group Data</t>
        </is>
      </c>
      <c r="P299" s="865" t="inlineStr">
        <is>
          <t>Data Platforms</t>
        </is>
      </c>
      <c r="Q299" s="865" t="inlineStr">
        <is>
          <t>Squad</t>
        </is>
      </c>
      <c r="R299" s="865" t="inlineStr">
        <is>
          <t>Vacant</t>
        </is>
      </c>
    </row>
    <row r="300" ht="18" customHeight="1" s="866">
      <c r="A300" s="1566" t="n">
        <v>99999101251</v>
      </c>
      <c r="B300" s="1382" t="inlineStr">
        <is>
          <t>Tim Snedden</t>
        </is>
      </c>
      <c r="C300" s="1382" t="inlineStr">
        <is>
          <t>Delivery Lead</t>
        </is>
      </c>
      <c r="D300" s="1382" t="inlineStr">
        <is>
          <t>Joel Vijayakumar</t>
        </is>
      </c>
      <c r="E300" s="1382" t="inlineStr">
        <is>
          <t>Delivery Manager, Strategy, Architecture &amp; Data</t>
        </is>
      </c>
      <c r="F300" s="1571" t="inlineStr">
        <is>
          <t>Strategy, Architecture &amp; Data</t>
        </is>
      </c>
      <c r="G300" s="1567" t="inlineStr">
        <is>
          <t>Delivery, SADA</t>
        </is>
      </c>
      <c r="H300" s="1567" t="n"/>
      <c r="I300" s="1567" t="inlineStr">
        <is>
          <t>Enterprise Data</t>
        </is>
      </c>
      <c r="J300" s="1571" t="inlineStr">
        <is>
          <t>Group Data</t>
        </is>
      </c>
      <c r="K300" s="1567" t="inlineStr">
        <is>
          <t>Data Platform</t>
        </is>
      </c>
      <c r="L300" s="1567" t="n"/>
      <c r="M300" s="1568" t="inlineStr">
        <is>
          <t>NZ</t>
        </is>
      </c>
      <c r="N300" s="865" t="inlineStr">
        <is>
          <t>COE</t>
        </is>
      </c>
      <c r="O300" s="865" t="inlineStr">
        <is>
          <t>COE - Strategy Architecture</t>
        </is>
      </c>
      <c r="P300" s="865" t="inlineStr">
        <is>
          <t>COE - Strategy Architecture</t>
        </is>
      </c>
      <c r="Q300" s="865" t="inlineStr">
        <is>
          <t>COE</t>
        </is>
      </c>
      <c r="R300" s="865" t="inlineStr">
        <is>
          <t>Filled</t>
        </is>
      </c>
    </row>
    <row r="301" ht="18" customHeight="1" s="866">
      <c r="A301" s="1566" t="n">
        <v>101166</v>
      </c>
      <c r="B301" s="1567" t="inlineStr">
        <is>
          <t>Yu Chen</t>
        </is>
      </c>
      <c r="C301" s="1567" t="inlineStr">
        <is>
          <t>Senior Data Scientist</t>
        </is>
      </c>
      <c r="D301" s="1382" t="inlineStr">
        <is>
          <t>Jonathan Robinson</t>
        </is>
      </c>
      <c r="E301" s="1382" t="inlineStr">
        <is>
          <t>Technology Manager, Data Science</t>
        </is>
      </c>
      <c r="F301" s="1571" t="inlineStr">
        <is>
          <t>Strategy, Architecture &amp; Data</t>
        </is>
      </c>
      <c r="G301" s="1567" t="inlineStr">
        <is>
          <t>Group Data</t>
        </is>
      </c>
      <c r="H301" s="1571" t="inlineStr">
        <is>
          <t>Data Science</t>
        </is>
      </c>
      <c r="I301" s="1571" t="inlineStr">
        <is>
          <t>Enterprise Data</t>
        </is>
      </c>
      <c r="J301" s="1571" t="inlineStr">
        <is>
          <t>Group Data</t>
        </is>
      </c>
      <c r="K301" s="1567" t="inlineStr">
        <is>
          <t>COE, Data Science</t>
        </is>
      </c>
      <c r="L301" s="1567" t="n"/>
      <c r="M301" s="1568" t="inlineStr">
        <is>
          <t>Australia</t>
        </is>
      </c>
      <c r="N301" s="865" t="inlineStr">
        <is>
          <t>Enterprise Data</t>
        </is>
      </c>
      <c r="O301" s="865" t="inlineStr">
        <is>
          <t>Group Data</t>
        </is>
      </c>
      <c r="P301" s="865" t="inlineStr">
        <is>
          <t>Data Science</t>
        </is>
      </c>
      <c r="Q301" s="865" t="inlineStr">
        <is>
          <t>Squad</t>
        </is>
      </c>
      <c r="R301" s="865" t="inlineStr">
        <is>
          <t>Filled</t>
        </is>
      </c>
    </row>
    <row r="302" ht="18" customHeight="1" s="866">
      <c r="A302" s="1566" t="n"/>
      <c r="B302" s="1382" t="inlineStr">
        <is>
          <t>vacant</t>
        </is>
      </c>
      <c r="C302" s="1382" t="inlineStr">
        <is>
          <t>Data Analyst</t>
        </is>
      </c>
      <c r="D302" s="1382" t="inlineStr">
        <is>
          <t>Jonathan Robinson</t>
        </is>
      </c>
      <c r="E302" s="1382" t="inlineStr">
        <is>
          <t>Technology Manager, Data Science</t>
        </is>
      </c>
      <c r="F302" s="1571" t="inlineStr">
        <is>
          <t>Strategy, Architecture &amp; Data</t>
        </is>
      </c>
      <c r="G302" s="1567" t="inlineStr">
        <is>
          <t>Group Data</t>
        </is>
      </c>
      <c r="H302" s="1571" t="inlineStr">
        <is>
          <t>Ampol Retail, Store Platforms</t>
        </is>
      </c>
      <c r="I302" s="1571" t="inlineStr">
        <is>
          <t>Enterprise Data</t>
        </is>
      </c>
      <c r="J302" s="1571" t="inlineStr">
        <is>
          <t>Group Data</t>
        </is>
      </c>
      <c r="K302" s="1567" t="inlineStr">
        <is>
          <t>COE, Data Science</t>
        </is>
      </c>
      <c r="L302" s="1567" t="n"/>
      <c r="M302" s="1568" t="n"/>
      <c r="N302" s="865" t="inlineStr">
        <is>
          <t>Enterprise Data</t>
        </is>
      </c>
      <c r="O302" s="865" t="inlineStr">
        <is>
          <t>Group Data</t>
        </is>
      </c>
      <c r="P302" s="865" t="inlineStr">
        <is>
          <t>Data Science</t>
        </is>
      </c>
      <c r="Q302" s="865" t="inlineStr">
        <is>
          <t>Squad</t>
        </is>
      </c>
      <c r="R302" s="865" t="inlineStr">
        <is>
          <t>Vacant</t>
        </is>
      </c>
    </row>
    <row r="303" ht="18" customHeight="1" s="866">
      <c r="A303" s="1566" t="n">
        <v>107048</v>
      </c>
      <c r="B303" s="1382" t="inlineStr">
        <is>
          <t>Om Singh</t>
        </is>
      </c>
      <c r="C303" s="1382" t="inlineStr">
        <is>
          <t>Data Scientist</t>
        </is>
      </c>
      <c r="D303" s="1382" t="inlineStr">
        <is>
          <t>Jonathan Robinson</t>
        </is>
      </c>
      <c r="E303" s="1382" t="inlineStr">
        <is>
          <t>Technology Manager, Data Science</t>
        </is>
      </c>
      <c r="F303" s="1571" t="inlineStr">
        <is>
          <t>Strategy, Architecture &amp; Data</t>
        </is>
      </c>
      <c r="G303" s="1567" t="inlineStr">
        <is>
          <t>Group Data</t>
        </is>
      </c>
      <c r="H303" s="1571" t="inlineStr">
        <is>
          <t>Data Science</t>
        </is>
      </c>
      <c r="I303" s="1571" t="inlineStr">
        <is>
          <t>Enterprise Data</t>
        </is>
      </c>
      <c r="J303" s="1571" t="inlineStr">
        <is>
          <t>Group Data</t>
        </is>
      </c>
      <c r="K303" s="1567" t="inlineStr">
        <is>
          <t>COE, Data Science</t>
        </is>
      </c>
      <c r="L303" s="1567" t="n"/>
      <c r="M303" s="1568" t="inlineStr">
        <is>
          <t>Australia</t>
        </is>
      </c>
      <c r="N303" s="865" t="inlineStr">
        <is>
          <t>Enterprise Data</t>
        </is>
      </c>
      <c r="O303" s="865" t="inlineStr">
        <is>
          <t>Group Data</t>
        </is>
      </c>
      <c r="P303" s="865" t="inlineStr">
        <is>
          <t>Data Science</t>
        </is>
      </c>
      <c r="Q303" s="865" t="inlineStr">
        <is>
          <t>Squad</t>
        </is>
      </c>
      <c r="R303" s="865" t="inlineStr">
        <is>
          <t>Filled</t>
        </is>
      </c>
    </row>
    <row r="304" ht="18" customHeight="1" s="866">
      <c r="A304" s="1566" t="n"/>
      <c r="B304" s="1382" t="inlineStr">
        <is>
          <t>vacant</t>
        </is>
      </c>
      <c r="C304" s="1382" t="inlineStr">
        <is>
          <t>Data Scientist</t>
        </is>
      </c>
      <c r="D304" s="1382" t="inlineStr">
        <is>
          <t>Jonathan Robinson</t>
        </is>
      </c>
      <c r="E304" s="1382" t="inlineStr">
        <is>
          <t>Technology Manager, Data Science</t>
        </is>
      </c>
      <c r="F304" s="1571" t="inlineStr">
        <is>
          <t>Strategy, Architecture &amp; Data</t>
        </is>
      </c>
      <c r="G304" s="1567" t="inlineStr">
        <is>
          <t>Group Data</t>
        </is>
      </c>
      <c r="H304" s="1571" t="inlineStr">
        <is>
          <t>Data Science</t>
        </is>
      </c>
      <c r="I304" s="1571" t="inlineStr">
        <is>
          <t>Enterprise Data</t>
        </is>
      </c>
      <c r="J304" s="1571" t="inlineStr">
        <is>
          <t>Group Data</t>
        </is>
      </c>
      <c r="K304" s="1567" t="inlineStr">
        <is>
          <t>COE, Data Science</t>
        </is>
      </c>
      <c r="L304" s="1567" t="n"/>
      <c r="M304" s="1568" t="n"/>
      <c r="N304" s="865" t="inlineStr">
        <is>
          <t>Enterprise Data</t>
        </is>
      </c>
      <c r="O304" s="865" t="inlineStr">
        <is>
          <t>Group Data</t>
        </is>
      </c>
      <c r="P304" s="865" t="inlineStr">
        <is>
          <t>Data Science</t>
        </is>
      </c>
      <c r="Q304" s="865" t="inlineStr">
        <is>
          <t>Squad</t>
        </is>
      </c>
      <c r="R304" s="865" t="inlineStr">
        <is>
          <t>Vacant</t>
        </is>
      </c>
    </row>
    <row r="305" ht="18" customHeight="1" s="866">
      <c r="A305" s="1566" t="n">
        <v>99999101507</v>
      </c>
      <c r="B305" s="1382" t="inlineStr">
        <is>
          <t>Vacant</t>
        </is>
      </c>
      <c r="C305" s="1382" t="inlineStr">
        <is>
          <t>Senior Data Scientist</t>
        </is>
      </c>
      <c r="D305" s="1382" t="inlineStr">
        <is>
          <t>Jonathan Robinson</t>
        </is>
      </c>
      <c r="E305" s="1382" t="inlineStr">
        <is>
          <t>Technology Manager, Data Science</t>
        </is>
      </c>
      <c r="F305" s="1571" t="inlineStr">
        <is>
          <t>Strategy, Architecture &amp; Data</t>
        </is>
      </c>
      <c r="G305" s="1567" t="inlineStr">
        <is>
          <t>Group Data</t>
        </is>
      </c>
      <c r="H305" s="1571" t="inlineStr">
        <is>
          <t>Data Science</t>
        </is>
      </c>
      <c r="I305" s="1571" t="inlineStr">
        <is>
          <t>Enterprise Data</t>
        </is>
      </c>
      <c r="J305" s="1571" t="inlineStr">
        <is>
          <t>Group Data</t>
        </is>
      </c>
      <c r="K305" s="1567" t="inlineStr">
        <is>
          <t>COE, Data Science</t>
        </is>
      </c>
      <c r="L305" s="1567" t="n"/>
      <c r="M305" s="1568" t="inlineStr">
        <is>
          <t>NZ</t>
        </is>
      </c>
      <c r="N305" s="865" t="inlineStr">
        <is>
          <t>Enterprise Data</t>
        </is>
      </c>
      <c r="O305" s="865" t="inlineStr">
        <is>
          <t>Group Data</t>
        </is>
      </c>
      <c r="P305" s="865" t="inlineStr">
        <is>
          <t>Data Science</t>
        </is>
      </c>
      <c r="Q305" s="865" t="inlineStr">
        <is>
          <t>Squad</t>
        </is>
      </c>
      <c r="R305" s="865" t="inlineStr">
        <is>
          <t>Vacant</t>
        </is>
      </c>
    </row>
    <row r="306" ht="18" customHeight="1" s="866">
      <c r="A306" s="1566" t="n"/>
      <c r="B306" s="1382" t="inlineStr">
        <is>
          <t>Vacant</t>
        </is>
      </c>
      <c r="C306" s="1382" t="inlineStr">
        <is>
          <t>Senior Communications Advisor</t>
        </is>
      </c>
      <c r="D306" s="1382" t="inlineStr">
        <is>
          <t>Matt Ashley</t>
        </is>
      </c>
      <c r="E306" s="1382" t="inlineStr">
        <is>
          <t>GM TDD, Strategy, Architecture, Data</t>
        </is>
      </c>
      <c r="F306" s="1571" t="inlineStr">
        <is>
          <t>Strategy, Architecture &amp; Data</t>
        </is>
      </c>
      <c r="G306" s="1567" t="inlineStr">
        <is>
          <t>na</t>
        </is>
      </c>
      <c r="H306" s="1567" t="n"/>
      <c r="I306" s="1567" t="n"/>
      <c r="J306" s="1571" t="n"/>
      <c r="K306" s="1571" t="inlineStr">
        <is>
          <t>Leadership</t>
        </is>
      </c>
      <c r="L306" s="1567" t="n"/>
      <c r="M306" s="1568" t="n"/>
      <c r="N306" s="865" t="inlineStr">
        <is>
          <t>COE</t>
        </is>
      </c>
      <c r="O306" s="865" t="inlineStr">
        <is>
          <t>COE - Strategy Architecture</t>
        </is>
      </c>
      <c r="P306" s="865" t="inlineStr">
        <is>
          <t>COE - Strategy Architecture</t>
        </is>
      </c>
      <c r="Q306" s="865" t="inlineStr">
        <is>
          <t>COE</t>
        </is>
      </c>
      <c r="R306" s="865" t="inlineStr">
        <is>
          <t>Vacant</t>
        </is>
      </c>
    </row>
    <row r="307" ht="18" customHeight="1" s="866">
      <c r="A307" s="1566" t="n">
        <v>80469</v>
      </c>
      <c r="B307" s="1382" t="inlineStr">
        <is>
          <t>James Holgate</t>
        </is>
      </c>
      <c r="C307" s="1382" t="inlineStr">
        <is>
          <t>Head of Technology,  Group Data</t>
        </is>
      </c>
      <c r="D307" s="1382" t="inlineStr">
        <is>
          <t>Matt Ashley</t>
        </is>
      </c>
      <c r="E307" s="1382" t="inlineStr">
        <is>
          <t>GM TDD, Strategy, Architecture, Data</t>
        </is>
      </c>
      <c r="F307" s="1571" t="inlineStr">
        <is>
          <t>Strategy, Architecture &amp; Data</t>
        </is>
      </c>
      <c r="G307" s="1567" t="inlineStr">
        <is>
          <t>Group Data</t>
        </is>
      </c>
      <c r="H307" s="1571" t="n"/>
      <c r="I307" s="1567" t="n"/>
      <c r="J307" s="1571" t="n"/>
      <c r="K307" s="1571" t="inlineStr">
        <is>
          <t>Leadership</t>
        </is>
      </c>
      <c r="L307" s="1567" t="n"/>
      <c r="M307" s="1568" t="inlineStr">
        <is>
          <t>Australia</t>
        </is>
      </c>
      <c r="N307" s="865" t="inlineStr">
        <is>
          <t>COE</t>
        </is>
      </c>
      <c r="O307" s="865" t="inlineStr">
        <is>
          <t>COE - Data</t>
        </is>
      </c>
      <c r="P307" s="865" t="inlineStr">
        <is>
          <t>COE - Data</t>
        </is>
      </c>
      <c r="Q307" s="865" t="inlineStr">
        <is>
          <t>COE</t>
        </is>
      </c>
      <c r="R307" s="865" t="inlineStr">
        <is>
          <t>Filled</t>
        </is>
      </c>
    </row>
    <row r="308" ht="18" customHeight="1" s="866">
      <c r="A308" s="1566" t="n">
        <v>113381</v>
      </c>
      <c r="B308" s="1382" t="inlineStr">
        <is>
          <t>Joel Vijayakumar</t>
        </is>
      </c>
      <c r="C308" s="1382" t="inlineStr">
        <is>
          <t>Delivery Manager, Strategy, Architecture &amp; Data</t>
        </is>
      </c>
      <c r="D308" s="1382" t="inlineStr">
        <is>
          <t>Matt Ashley</t>
        </is>
      </c>
      <c r="E308" s="1382" t="inlineStr">
        <is>
          <t>GM TDD, Strategy, Architecture, Data</t>
        </is>
      </c>
      <c r="F308" s="1571" t="inlineStr">
        <is>
          <t>Strategy, Architecture &amp; Data</t>
        </is>
      </c>
      <c r="G308" s="1567" t="inlineStr">
        <is>
          <t>Delivery, SADA</t>
        </is>
      </c>
      <c r="H308" s="1567" t="n"/>
      <c r="I308" s="1567" t="n"/>
      <c r="J308" s="1571" t="n"/>
      <c r="K308" s="1571" t="inlineStr">
        <is>
          <t>Leadership</t>
        </is>
      </c>
      <c r="L308" s="1567" t="n"/>
      <c r="M308" s="1568" t="inlineStr">
        <is>
          <t>Australia</t>
        </is>
      </c>
      <c r="N308" s="865" t="inlineStr">
        <is>
          <t>COE</t>
        </is>
      </c>
      <c r="O308" s="865" t="inlineStr">
        <is>
          <t>COE - Strategy Architecture</t>
        </is>
      </c>
      <c r="P308" s="865" t="inlineStr">
        <is>
          <t>COE - Strategy Architecture</t>
        </is>
      </c>
      <c r="Q308" s="865" t="inlineStr">
        <is>
          <t>COE</t>
        </is>
      </c>
      <c r="R308" s="865" t="inlineStr">
        <is>
          <t>Filled</t>
        </is>
      </c>
    </row>
    <row r="309" ht="18" customHeight="1" s="866">
      <c r="A309" s="1566" t="n"/>
      <c r="B309" s="1382" t="inlineStr">
        <is>
          <t>Vacant</t>
        </is>
      </c>
      <c r="C309" s="1382" t="inlineStr">
        <is>
          <t>Head of Technology Strategy &amp; AI Capability</t>
        </is>
      </c>
      <c r="D309" s="1382" t="inlineStr">
        <is>
          <t>Matt Ashley</t>
        </is>
      </c>
      <c r="E309" s="1382" t="inlineStr">
        <is>
          <t>GM TDD, Strategy, Architecture, Data</t>
        </is>
      </c>
      <c r="F309" s="1571" t="inlineStr">
        <is>
          <t>Strategy, Architecture &amp; Data</t>
        </is>
      </c>
      <c r="G309" s="1567" t="inlineStr">
        <is>
          <t>Technology Strategy &amp; AI Capability</t>
        </is>
      </c>
      <c r="H309" s="1567" t="n"/>
      <c r="I309" s="1567" t="n"/>
      <c r="J309" s="1571" t="n"/>
      <c r="K309" s="1571" t="inlineStr">
        <is>
          <t>Leadership</t>
        </is>
      </c>
      <c r="L309" s="1567" t="n"/>
      <c r="M309" s="1568" t="n"/>
      <c r="N309" s="865" t="inlineStr">
        <is>
          <t>COE</t>
        </is>
      </c>
      <c r="O309" s="865" t="inlineStr">
        <is>
          <t>COE - Strategy Architecture</t>
        </is>
      </c>
      <c r="P309" s="865" t="inlineStr">
        <is>
          <t>COE - Strategy Architecture</t>
        </is>
      </c>
      <c r="Q309" s="865" t="inlineStr">
        <is>
          <t>COE</t>
        </is>
      </c>
      <c r="R309" s="865" t="inlineStr">
        <is>
          <t>Vacant</t>
        </is>
      </c>
    </row>
    <row r="310" ht="18" customHeight="1" s="866">
      <c r="A310" s="1566" t="n"/>
      <c r="B310" s="1382" t="inlineStr">
        <is>
          <t>Vacant (contract)</t>
        </is>
      </c>
      <c r="C310" s="1382" t="inlineStr">
        <is>
          <t>Reporting analysts - Strategic Programs</t>
        </is>
      </c>
      <c r="D310" s="1382" t="inlineStr">
        <is>
          <t>Prashanth Krishnankutty</t>
        </is>
      </c>
      <c r="E310" s="1382" t="inlineStr">
        <is>
          <t>Lead, Reporting &amp; Insights</t>
        </is>
      </c>
      <c r="F310" s="1571" t="inlineStr">
        <is>
          <t>Strategy, Architecture &amp; Data</t>
        </is>
      </c>
      <c r="G310" s="1567" t="inlineStr">
        <is>
          <t>Group Data</t>
        </is>
      </c>
      <c r="H310" s="1571" t="inlineStr">
        <is>
          <t>Data Engineering &amp; Platforms</t>
        </is>
      </c>
      <c r="I310" s="1567" t="inlineStr">
        <is>
          <t>Enterprise Data</t>
        </is>
      </c>
      <c r="J310" s="1571" t="inlineStr">
        <is>
          <t>Group Data</t>
        </is>
      </c>
      <c r="K310" s="1571" t="inlineStr">
        <is>
          <t>Reporting &amp; Analytics</t>
        </is>
      </c>
      <c r="L310" s="1567" t="n"/>
      <c r="M310" s="1568" t="n"/>
      <c r="N310" s="865" t="inlineStr">
        <is>
          <t>Enterprise Data</t>
        </is>
      </c>
      <c r="O310" s="865" t="inlineStr">
        <is>
          <t>Group Data</t>
        </is>
      </c>
      <c r="P310" s="865" t="inlineStr">
        <is>
          <t>Reporting &amp; Analytics</t>
        </is>
      </c>
      <c r="Q310" s="865" t="inlineStr">
        <is>
          <t>Squad</t>
        </is>
      </c>
      <c r="R310" s="865" t="inlineStr">
        <is>
          <t>Filled</t>
        </is>
      </c>
    </row>
    <row r="311" ht="18" customHeight="1" s="866">
      <c r="A311" s="1566" t="n">
        <v>106026</v>
      </c>
      <c r="B311" s="1382" t="inlineStr">
        <is>
          <t>Vincent Lu</t>
        </is>
      </c>
      <c r="C311" s="1382" t="inlineStr">
        <is>
          <t>Reporting Analyst</t>
        </is>
      </c>
      <c r="D311" s="1382" t="inlineStr">
        <is>
          <t>Prashanth Krishnankutty</t>
        </is>
      </c>
      <c r="E311" s="1382" t="inlineStr">
        <is>
          <t>Lead, Reporting &amp; Insights</t>
        </is>
      </c>
      <c r="F311" s="1571" t="inlineStr">
        <is>
          <t>Strategy, Architecture &amp; Data</t>
        </is>
      </c>
      <c r="G311" s="1567" t="inlineStr">
        <is>
          <t>Group Data</t>
        </is>
      </c>
      <c r="H311" s="1571" t="inlineStr">
        <is>
          <t>Data Engineering &amp; Platforms</t>
        </is>
      </c>
      <c r="I311" s="1571" t="inlineStr">
        <is>
          <t>Enterprise Data</t>
        </is>
      </c>
      <c r="J311" s="1571" t="inlineStr">
        <is>
          <t>Group Data</t>
        </is>
      </c>
      <c r="K311" s="1571" t="inlineStr">
        <is>
          <t>Reporting &amp; Analytics</t>
        </is>
      </c>
      <c r="L311" s="1567" t="n"/>
      <c r="M311" s="1568" t="inlineStr">
        <is>
          <t>Australia</t>
        </is>
      </c>
      <c r="N311" s="865" t="inlineStr">
        <is>
          <t>Enterprise Data</t>
        </is>
      </c>
      <c r="O311" s="865" t="inlineStr">
        <is>
          <t>Group Data</t>
        </is>
      </c>
      <c r="P311" s="865" t="inlineStr">
        <is>
          <t>Reporting &amp; Analytics</t>
        </is>
      </c>
      <c r="Q311" s="865" t="inlineStr">
        <is>
          <t>Squad</t>
        </is>
      </c>
      <c r="R311" s="865" t="inlineStr">
        <is>
          <t>Filled</t>
        </is>
      </c>
    </row>
    <row r="312" ht="18" customHeight="1" s="866">
      <c r="A312" s="1566" t="n"/>
      <c r="B312" s="1382" t="inlineStr">
        <is>
          <t>vacant  (Contract)</t>
        </is>
      </c>
      <c r="C312" s="1382" t="inlineStr">
        <is>
          <t>Applications Specialist - Strategic Programs</t>
        </is>
      </c>
      <c r="D312" s="1382" t="inlineStr">
        <is>
          <t>Sai Konka</t>
        </is>
      </c>
      <c r="E312" s="1382" t="inlineStr">
        <is>
          <t>Applications &amp; Analytics Manager</t>
        </is>
      </c>
      <c r="F312" s="1571" t="inlineStr">
        <is>
          <t>Strategy, Architecture &amp; Data</t>
        </is>
      </c>
      <c r="G312" s="1567" t="inlineStr">
        <is>
          <t>Group Data</t>
        </is>
      </c>
      <c r="H312" s="1571" t="inlineStr">
        <is>
          <t>Data Engineering &amp; Platforms</t>
        </is>
      </c>
      <c r="I312" s="1567" t="inlineStr">
        <is>
          <t>Enterprise Data</t>
        </is>
      </c>
      <c r="J312" s="1571" t="inlineStr">
        <is>
          <t>EGI</t>
        </is>
      </c>
      <c r="K312" s="1571" t="inlineStr">
        <is>
          <t>Reporting &amp; Analytics</t>
        </is>
      </c>
      <c r="L312" s="1567" t="n"/>
      <c r="M312" s="1568" t="n"/>
      <c r="N312" s="865" t="inlineStr">
        <is>
          <t>Enterprise Data</t>
        </is>
      </c>
      <c r="O312" s="865" t="inlineStr">
        <is>
          <t>Group Data</t>
        </is>
      </c>
      <c r="P312" s="865" t="inlineStr">
        <is>
          <t>Reporting &amp; Analytics</t>
        </is>
      </c>
      <c r="Q312" s="865" t="inlineStr">
        <is>
          <t>Squad</t>
        </is>
      </c>
      <c r="R312" s="865" t="inlineStr">
        <is>
          <t>Filled</t>
        </is>
      </c>
    </row>
    <row r="313" ht="18" customHeight="1" s="866">
      <c r="A313" s="1566" t="n">
        <v>116032</v>
      </c>
      <c r="B313" s="1567" t="inlineStr">
        <is>
          <t>Abdul Ghaffar</t>
        </is>
      </c>
      <c r="C313" s="1567" t="inlineStr">
        <is>
          <t>Applications Specialist - Demand Planning</t>
        </is>
      </c>
      <c r="D313" s="1382" t="inlineStr">
        <is>
          <t>Sai Konka</t>
        </is>
      </c>
      <c r="E313" s="1382" t="inlineStr">
        <is>
          <t>Applications &amp; Analytics Manager</t>
        </is>
      </c>
      <c r="F313" s="1571" t="inlineStr">
        <is>
          <t>Strategy, Architecture &amp; Data</t>
        </is>
      </c>
      <c r="G313" s="1567" t="inlineStr">
        <is>
          <t>Group Data</t>
        </is>
      </c>
      <c r="H313" s="1571" t="inlineStr">
        <is>
          <t>Data Engineering &amp; Platforms</t>
        </is>
      </c>
      <c r="I313" s="1571" t="inlineStr">
        <is>
          <t>Enterprise Data</t>
        </is>
      </c>
      <c r="J313" s="1571" t="inlineStr">
        <is>
          <t>EGI</t>
        </is>
      </c>
      <c r="K313" s="1571" t="inlineStr">
        <is>
          <t>Reporting &amp; Analytics</t>
        </is>
      </c>
      <c r="L313" s="1567" t="n"/>
      <c r="M313" s="1568" t="inlineStr">
        <is>
          <t>Australia</t>
        </is>
      </c>
      <c r="N313" s="865" t="inlineStr">
        <is>
          <t>Enterprise Data</t>
        </is>
      </c>
      <c r="O313" s="865" t="inlineStr">
        <is>
          <t>Group Data</t>
        </is>
      </c>
      <c r="P313" s="865" t="inlineStr">
        <is>
          <t>Reporting &amp; Analytics</t>
        </is>
      </c>
      <c r="Q313" s="865" t="inlineStr">
        <is>
          <t>Squad</t>
        </is>
      </c>
      <c r="R313" s="865" t="inlineStr">
        <is>
          <t>Filled</t>
        </is>
      </c>
    </row>
    <row r="314" ht="18" customHeight="1" s="866">
      <c r="A314" s="1566" t="n">
        <v>80549</v>
      </c>
      <c r="B314" s="1382" t="inlineStr">
        <is>
          <t>Steve Murray</t>
        </is>
      </c>
      <c r="C314" s="1382" t="inlineStr">
        <is>
          <t>Applications Specialist</t>
        </is>
      </c>
      <c r="D314" s="1382" t="inlineStr">
        <is>
          <t>Sai Konka</t>
        </is>
      </c>
      <c r="E314" s="1382" t="inlineStr">
        <is>
          <t>Applications &amp; Analytics Manager</t>
        </is>
      </c>
      <c r="F314" s="1571" t="inlineStr">
        <is>
          <t>Strategy, Architecture &amp; Data</t>
        </is>
      </c>
      <c r="G314" s="1567" t="inlineStr">
        <is>
          <t>Group Data</t>
        </is>
      </c>
      <c r="H314" s="1571" t="inlineStr">
        <is>
          <t>Data Engineering &amp; Platforms</t>
        </is>
      </c>
      <c r="I314" s="1571" t="inlineStr">
        <is>
          <t>Enterprise Data</t>
        </is>
      </c>
      <c r="J314" s="1571" t="inlineStr">
        <is>
          <t>EGI</t>
        </is>
      </c>
      <c r="K314" s="1571" t="inlineStr">
        <is>
          <t>Reporting &amp; Analytics</t>
        </is>
      </c>
      <c r="L314" s="1567" t="n"/>
      <c r="M314" s="1568" t="inlineStr">
        <is>
          <t>Australia</t>
        </is>
      </c>
      <c r="N314" s="865" t="inlineStr">
        <is>
          <t>Enterprise Data</t>
        </is>
      </c>
      <c r="O314" s="865" t="inlineStr">
        <is>
          <t>Group Data</t>
        </is>
      </c>
      <c r="P314" s="865" t="inlineStr">
        <is>
          <t>Reporting &amp; Analytics</t>
        </is>
      </c>
      <c r="Q314" s="865" t="inlineStr">
        <is>
          <t>Squad</t>
        </is>
      </c>
      <c r="R314" s="865" t="inlineStr">
        <is>
          <t>Filled</t>
        </is>
      </c>
    </row>
    <row r="315" ht="18" customHeight="1" s="866">
      <c r="A315" s="1566" t="n">
        <v>83092</v>
      </c>
      <c r="B315" s="1382" t="inlineStr">
        <is>
          <t>Rakshit Kaul</t>
        </is>
      </c>
      <c r="C315" s="1382" t="inlineStr">
        <is>
          <t>Applications Specialist</t>
        </is>
      </c>
      <c r="D315" s="1382" t="inlineStr">
        <is>
          <t>Sai Konka</t>
        </is>
      </c>
      <c r="E315" s="1382" t="inlineStr">
        <is>
          <t>Applications &amp; Analytics Manager</t>
        </is>
      </c>
      <c r="F315" s="1571" t="inlineStr">
        <is>
          <t>Strategy, Architecture &amp; Data</t>
        </is>
      </c>
      <c r="G315" s="1567" t="inlineStr">
        <is>
          <t>Group Data</t>
        </is>
      </c>
      <c r="H315" s="1571" t="inlineStr">
        <is>
          <t>Data Engineering &amp; Platforms</t>
        </is>
      </c>
      <c r="I315" s="1571" t="inlineStr">
        <is>
          <t>Enterprise Data</t>
        </is>
      </c>
      <c r="J315" s="1571" t="inlineStr">
        <is>
          <t>EGI</t>
        </is>
      </c>
      <c r="K315" s="1571" t="inlineStr">
        <is>
          <t>Reporting &amp; Analytics</t>
        </is>
      </c>
      <c r="L315" s="1567" t="n"/>
      <c r="M315" s="1568" t="inlineStr">
        <is>
          <t>Australia</t>
        </is>
      </c>
      <c r="N315" s="865" t="inlineStr">
        <is>
          <t>Enterprise Data</t>
        </is>
      </c>
      <c r="O315" s="865" t="inlineStr">
        <is>
          <t>Group Data</t>
        </is>
      </c>
      <c r="P315" s="865" t="inlineStr">
        <is>
          <t>Reporting &amp; Analytics</t>
        </is>
      </c>
      <c r="Q315" s="865" t="inlineStr">
        <is>
          <t>Squad</t>
        </is>
      </c>
      <c r="R315" s="865" t="inlineStr">
        <is>
          <t>Filled</t>
        </is>
      </c>
    </row>
    <row r="316" ht="18" customHeight="1" s="866">
      <c r="A316" s="1566" t="n">
        <v>98599</v>
      </c>
      <c r="B316" s="1382" t="inlineStr">
        <is>
          <t>Raymond Bai</t>
        </is>
      </c>
      <c r="C316" s="1382" t="inlineStr">
        <is>
          <t>Data Adoption Specialist</t>
        </is>
      </c>
      <c r="D316" s="1567" t="inlineStr">
        <is>
          <t>Sanjay Tikoo</t>
        </is>
      </c>
      <c r="E316" s="1382" t="inlineStr">
        <is>
          <t>Lead Engineer (Databricks)</t>
        </is>
      </c>
      <c r="F316" s="1571" t="inlineStr">
        <is>
          <t>Strategy, Architecture &amp; Data</t>
        </is>
      </c>
      <c r="G316" s="1567" t="inlineStr">
        <is>
          <t>Group Data</t>
        </is>
      </c>
      <c r="H316" s="1571" t="inlineStr">
        <is>
          <t>Data Capability</t>
        </is>
      </c>
      <c r="I316" s="1567" t="inlineStr">
        <is>
          <t>Enterprise Data</t>
        </is>
      </c>
      <c r="J316" s="1571" t="inlineStr">
        <is>
          <t>Group Data</t>
        </is>
      </c>
      <c r="K316" s="1567" t="inlineStr">
        <is>
          <t>COE, Data Capability</t>
        </is>
      </c>
      <c r="L316" s="1567" t="n"/>
      <c r="M316" s="1568" t="inlineStr">
        <is>
          <t>Australia</t>
        </is>
      </c>
      <c r="N316" s="865" t="inlineStr">
        <is>
          <t>COE</t>
        </is>
      </c>
      <c r="O316" s="865" t="inlineStr">
        <is>
          <t>COE - Data</t>
        </is>
      </c>
      <c r="P316" s="865" t="inlineStr">
        <is>
          <t>COE - Data</t>
        </is>
      </c>
      <c r="Q316" s="865" t="inlineStr">
        <is>
          <t>COE</t>
        </is>
      </c>
      <c r="R316" s="865" t="inlineStr">
        <is>
          <t>Filled</t>
        </is>
      </c>
    </row>
    <row r="317" ht="18" customHeight="1" s="866">
      <c r="A317" s="1566" t="n">
        <v>99522</v>
      </c>
      <c r="B317" s="1382" t="inlineStr">
        <is>
          <t>Mitchell Clarke</t>
        </is>
      </c>
      <c r="C317" s="1382" t="inlineStr">
        <is>
          <t>Snr Data Governance Specialist</t>
        </is>
      </c>
      <c r="D317" s="1567" t="inlineStr">
        <is>
          <t>Sanjay Tikoo</t>
        </is>
      </c>
      <c r="E317" s="1382" t="inlineStr">
        <is>
          <t>Data Capability Manager</t>
        </is>
      </c>
      <c r="F317" s="1571" t="inlineStr">
        <is>
          <t>Strategy, Architecture &amp; Data</t>
        </is>
      </c>
      <c r="G317" s="1567" t="inlineStr">
        <is>
          <t>Group Data</t>
        </is>
      </c>
      <c r="H317" s="1567" t="inlineStr">
        <is>
          <t>Delivery, Commercial Fuels</t>
        </is>
      </c>
      <c r="I317" s="1571" t="inlineStr">
        <is>
          <t>Enterprise Data</t>
        </is>
      </c>
      <c r="J317" s="1571" t="inlineStr">
        <is>
          <t>Leadership</t>
        </is>
      </c>
      <c r="K317" s="1567" t="inlineStr">
        <is>
          <t>Leadership</t>
        </is>
      </c>
      <c r="L317" s="1567" t="n"/>
      <c r="M317" s="1568" t="inlineStr">
        <is>
          <t>Australia</t>
        </is>
      </c>
      <c r="N317" s="865" t="inlineStr">
        <is>
          <t>COE</t>
        </is>
      </c>
      <c r="O317" s="865" t="inlineStr">
        <is>
          <t>COE - Data</t>
        </is>
      </c>
      <c r="P317" s="865" t="inlineStr">
        <is>
          <t>COE - Data</t>
        </is>
      </c>
      <c r="Q317" s="865" t="inlineStr">
        <is>
          <t>COE</t>
        </is>
      </c>
      <c r="R317" s="865" t="inlineStr">
        <is>
          <t>Filled</t>
        </is>
      </c>
    </row>
    <row r="318" ht="18" customHeight="1" s="866">
      <c r="A318" s="1566" t="n"/>
      <c r="B318" s="1382" t="inlineStr">
        <is>
          <t>Vacant</t>
        </is>
      </c>
      <c r="C318" s="1382" t="inlineStr">
        <is>
          <t>Data Governance Lead</t>
        </is>
      </c>
      <c r="D318" s="1567" t="inlineStr">
        <is>
          <t>Sanjay Tikoo</t>
        </is>
      </c>
      <c r="E318" s="1382" t="inlineStr">
        <is>
          <t>Data Capability Manager</t>
        </is>
      </c>
      <c r="F318" s="1571" t="inlineStr">
        <is>
          <t>Strategy, Architecture &amp; Data</t>
        </is>
      </c>
      <c r="G318" s="1567" t="inlineStr">
        <is>
          <t>Group Data</t>
        </is>
      </c>
      <c r="H318" s="1571" t="inlineStr">
        <is>
          <t>Data Capability</t>
        </is>
      </c>
      <c r="I318" s="1571" t="inlineStr">
        <is>
          <t>Enterprise Data</t>
        </is>
      </c>
      <c r="J318" s="1571" t="n"/>
      <c r="K318" s="1567" t="inlineStr">
        <is>
          <t>COE, Data Capability</t>
        </is>
      </c>
      <c r="L318" s="1567" t="n"/>
      <c r="M318" s="1568" t="n"/>
      <c r="N318" s="865" t="inlineStr">
        <is>
          <t>COE</t>
        </is>
      </c>
      <c r="O318" s="865" t="inlineStr">
        <is>
          <t>COE - Data</t>
        </is>
      </c>
      <c r="P318" s="865" t="inlineStr">
        <is>
          <t>COE - Data</t>
        </is>
      </c>
      <c r="Q318" s="865" t="inlineStr">
        <is>
          <t>COE</t>
        </is>
      </c>
      <c r="R318" s="865" t="inlineStr">
        <is>
          <t>Vacant</t>
        </is>
      </c>
    </row>
    <row r="319" ht="18" customHeight="1" s="866">
      <c r="A319" s="1566" t="n">
        <v>99999101535</v>
      </c>
      <c r="B319" s="1382" t="inlineStr">
        <is>
          <t>Lynn Yiew</t>
        </is>
      </c>
      <c r="C319" s="1382" t="inlineStr">
        <is>
          <t>Data Governance Specialist</t>
        </is>
      </c>
      <c r="D319" s="1567" t="inlineStr">
        <is>
          <t>Sanjay Tikoo</t>
        </is>
      </c>
      <c r="E319" s="1382" t="inlineStr">
        <is>
          <t>Data Capability Manager</t>
        </is>
      </c>
      <c r="F319" s="1571" t="inlineStr">
        <is>
          <t>Strategy, Architecture &amp; Data</t>
        </is>
      </c>
      <c r="G319" s="1567" t="inlineStr">
        <is>
          <t>Group Data</t>
        </is>
      </c>
      <c r="H319" s="1567" t="inlineStr">
        <is>
          <t>Data Capability</t>
        </is>
      </c>
      <c r="I319" s="1571" t="inlineStr">
        <is>
          <t>Enterprise Data</t>
        </is>
      </c>
      <c r="J319" s="1571" t="n"/>
      <c r="K319" s="1567" t="inlineStr">
        <is>
          <t>COE, Data Capability</t>
        </is>
      </c>
      <c r="L319" s="1567" t="n"/>
      <c r="M319" s="1568" t="inlineStr">
        <is>
          <t>NZ</t>
        </is>
      </c>
      <c r="N319" s="865" t="inlineStr">
        <is>
          <t>COE</t>
        </is>
      </c>
      <c r="O319" s="865" t="inlineStr">
        <is>
          <t>COE - Data</t>
        </is>
      </c>
      <c r="P319" s="865" t="inlineStr">
        <is>
          <t>COE - Data</t>
        </is>
      </c>
      <c r="Q319" s="865" t="inlineStr">
        <is>
          <t>COE</t>
        </is>
      </c>
      <c r="R319" s="865" t="inlineStr">
        <is>
          <t>Filled</t>
        </is>
      </c>
    </row>
    <row r="320" ht="18" customHeight="1" s="866">
      <c r="A320" s="1566" t="n">
        <v>110146</v>
      </c>
      <c r="B320" s="1382" t="inlineStr">
        <is>
          <t>Renosh Matthew Thomas</t>
        </is>
      </c>
      <c r="C320" s="1382" t="inlineStr">
        <is>
          <t>Data Enablement Lead</t>
        </is>
      </c>
      <c r="D320" s="1567" t="inlineStr">
        <is>
          <t>Sanjay Tikoo</t>
        </is>
      </c>
      <c r="E320" s="1382" t="inlineStr">
        <is>
          <t>Data Capability Manager</t>
        </is>
      </c>
      <c r="F320" s="1571" t="inlineStr">
        <is>
          <t>Strategy, Architecture &amp; Data</t>
        </is>
      </c>
      <c r="G320" s="1567" t="inlineStr">
        <is>
          <t>Group Data</t>
        </is>
      </c>
      <c r="H320" s="1567" t="inlineStr">
        <is>
          <t>Data Capability</t>
        </is>
      </c>
      <c r="I320" s="1571" t="inlineStr">
        <is>
          <t>Enterprise Data</t>
        </is>
      </c>
      <c r="J320" s="1571" t="inlineStr">
        <is>
          <t>Group Data</t>
        </is>
      </c>
      <c r="K320" s="1567" t="inlineStr">
        <is>
          <t>COE, Data Capability</t>
        </is>
      </c>
      <c r="L320" s="1567" t="n"/>
      <c r="M320" s="1568" t="inlineStr">
        <is>
          <t>Australia</t>
        </is>
      </c>
      <c r="N320" s="865" t="inlineStr">
        <is>
          <t>COE</t>
        </is>
      </c>
      <c r="O320" s="865" t="inlineStr">
        <is>
          <t>COE - Data</t>
        </is>
      </c>
      <c r="P320" s="865" t="inlineStr">
        <is>
          <t>COE - Data</t>
        </is>
      </c>
      <c r="Q320" s="865" t="inlineStr">
        <is>
          <t>COE</t>
        </is>
      </c>
      <c r="R320" s="865" t="inlineStr">
        <is>
          <t>Filled</t>
        </is>
      </c>
    </row>
    <row r="321" ht="18" customHeight="1" s="866">
      <c r="A321" s="1566" t="n">
        <v>100330</v>
      </c>
      <c r="B321" s="1382" t="inlineStr">
        <is>
          <t>Milan Patel</t>
        </is>
      </c>
      <c r="C321" s="1382" t="inlineStr">
        <is>
          <t>Platform Architect</t>
        </is>
      </c>
      <c r="D321" s="1567" t="inlineStr">
        <is>
          <t>Sanjay Tikoo</t>
        </is>
      </c>
      <c r="E321" s="1382" t="inlineStr">
        <is>
          <t>Data Capability Manager</t>
        </is>
      </c>
      <c r="F321" s="1571" t="inlineStr">
        <is>
          <t>Strategy, Architecture &amp; Data</t>
        </is>
      </c>
      <c r="G321" s="1567" t="inlineStr">
        <is>
          <t>Group Data</t>
        </is>
      </c>
      <c r="H321" s="1567" t="inlineStr">
        <is>
          <t>Data Capability</t>
        </is>
      </c>
      <c r="I321" s="1571" t="n"/>
      <c r="J321" s="1571" t="n"/>
      <c r="K321" s="1567" t="inlineStr">
        <is>
          <t>Data Platform</t>
        </is>
      </c>
      <c r="L321" s="1567" t="n"/>
      <c r="M321" s="1568" t="inlineStr">
        <is>
          <t>Australia</t>
        </is>
      </c>
      <c r="N321" s="865" t="inlineStr">
        <is>
          <t>COE</t>
        </is>
      </c>
      <c r="O321" s="865" t="inlineStr">
        <is>
          <t>COE - Data</t>
        </is>
      </c>
      <c r="P321" s="865" t="inlineStr">
        <is>
          <t>COE - Data</t>
        </is>
      </c>
      <c r="Q321" s="865" t="inlineStr">
        <is>
          <t>COE</t>
        </is>
      </c>
      <c r="R321" s="865" t="inlineStr">
        <is>
          <t>Filled</t>
        </is>
      </c>
    </row>
    <row r="322" ht="18" customHeight="1" s="866">
      <c r="A322" s="1583" t="n"/>
      <c r="B322" s="1584" t="inlineStr">
        <is>
          <t>Vacant</t>
        </is>
      </c>
      <c r="C322" s="1584" t="inlineStr">
        <is>
          <t>Enterprise Data Architect</t>
        </is>
      </c>
      <c r="D322" s="1585" t="inlineStr">
        <is>
          <t>Vacant</t>
        </is>
      </c>
      <c r="E322" s="1584" t="inlineStr">
        <is>
          <t>Lead - Asset &amp; Configuration (Vacant)</t>
        </is>
      </c>
      <c r="F322" s="1586" t="inlineStr">
        <is>
          <t>Strategy, Architecture &amp; Data</t>
        </is>
      </c>
      <c r="G322" s="1585" t="inlineStr">
        <is>
          <t>Group Data</t>
        </is>
      </c>
      <c r="H322" s="1585" t="inlineStr">
        <is>
          <t>Data Capability</t>
        </is>
      </c>
      <c r="I322" s="1586" t="n"/>
      <c r="J322" s="1586" t="n"/>
      <c r="K322" s="1585" t="inlineStr">
        <is>
          <t>COE</t>
        </is>
      </c>
      <c r="L322" s="1585" t="n"/>
      <c r="M322" s="1587" t="n"/>
      <c r="N322" s="865" t="inlineStr">
        <is>
          <t>COE</t>
        </is>
      </c>
      <c r="O322" s="865" t="inlineStr">
        <is>
          <t>COE - Data</t>
        </is>
      </c>
      <c r="P322" s="865" t="inlineStr">
        <is>
          <t>COE - Data</t>
        </is>
      </c>
      <c r="Q322" s="865" t="inlineStr">
        <is>
          <t>COE</t>
        </is>
      </c>
      <c r="R322" s="865" t="inlineStr">
        <is>
          <t>Vacant</t>
        </is>
      </c>
    </row>
    <row r="323" ht="18" customHeight="1" s="866">
      <c r="A323" s="1566" t="n">
        <v>114067</v>
      </c>
      <c r="B323" s="1382" t="inlineStr">
        <is>
          <t>Jonathan Robinson</t>
        </is>
      </c>
      <c r="C323" s="1382" t="inlineStr">
        <is>
          <t>Technology Manager  Data Science</t>
        </is>
      </c>
      <c r="D323" s="1382" t="inlineStr">
        <is>
          <t>Vacant</t>
        </is>
      </c>
      <c r="E323" s="1382" t="inlineStr">
        <is>
          <t>Head of Technology,  Group Data</t>
        </is>
      </c>
      <c r="F323" s="1571" t="inlineStr">
        <is>
          <t>Strategy, Architecture &amp; Data</t>
        </is>
      </c>
      <c r="G323" s="1567" t="inlineStr">
        <is>
          <t>Group Data</t>
        </is>
      </c>
      <c r="H323" s="1567" t="inlineStr">
        <is>
          <t>Data Science</t>
        </is>
      </c>
      <c r="I323" s="1571" t="inlineStr">
        <is>
          <t>Enterprise Data</t>
        </is>
      </c>
      <c r="J323" s="1571" t="inlineStr">
        <is>
          <t>Group Data</t>
        </is>
      </c>
      <c r="K323" s="1567" t="inlineStr">
        <is>
          <t>COE, Leadership</t>
        </is>
      </c>
      <c r="L323" s="1567" t="n"/>
      <c r="M323" s="1568" t="inlineStr">
        <is>
          <t>Australia</t>
        </is>
      </c>
      <c r="N323" s="865" t="inlineStr">
        <is>
          <t>COE</t>
        </is>
      </c>
      <c r="O323" s="865" t="inlineStr">
        <is>
          <t>Leadership</t>
        </is>
      </c>
      <c r="P323" s="865" t="inlineStr">
        <is>
          <t>Leadership</t>
        </is>
      </c>
      <c r="Q323" s="865" t="inlineStr">
        <is>
          <t>Leadership</t>
        </is>
      </c>
      <c r="R323" s="865" t="inlineStr">
        <is>
          <t>Filled</t>
        </is>
      </c>
    </row>
    <row r="324" ht="18" customHeight="1" s="866">
      <c r="A324" s="1566" t="n"/>
      <c r="B324" s="1382" t="inlineStr">
        <is>
          <t>Vacant</t>
        </is>
      </c>
      <c r="C324" s="1382" t="inlineStr">
        <is>
          <t xml:space="preserve">Reporting Lead </t>
        </is>
      </c>
      <c r="D324" s="1382" t="inlineStr">
        <is>
          <t>Vacant</t>
        </is>
      </c>
      <c r="E324" s="1382" t="inlineStr">
        <is>
          <t>Lead, Reporting &amp; Insights</t>
        </is>
      </c>
      <c r="F324" s="1571" t="inlineStr">
        <is>
          <t>Strategy, Architecture &amp; Data</t>
        </is>
      </c>
      <c r="G324" s="1567" t="inlineStr">
        <is>
          <t>Loyalty &amp; Martech</t>
        </is>
      </c>
      <c r="H324" s="1571" t="inlineStr">
        <is>
          <t>Data Engineering &amp; Platforms</t>
        </is>
      </c>
      <c r="I324" s="1571" t="inlineStr">
        <is>
          <t>Enterprise Data</t>
        </is>
      </c>
      <c r="J324" s="1571" t="inlineStr">
        <is>
          <t>Group Data</t>
        </is>
      </c>
      <c r="K324" s="1571" t="inlineStr">
        <is>
          <t>Reporting &amp; Analytics</t>
        </is>
      </c>
      <c r="L324" s="1567" t="n"/>
      <c r="M324" s="1568" t="n"/>
      <c r="N324" s="865" t="inlineStr">
        <is>
          <t>Enterprise Data</t>
        </is>
      </c>
      <c r="O324" s="865" t="inlineStr">
        <is>
          <t>Group Data</t>
        </is>
      </c>
      <c r="P324" s="865" t="inlineStr">
        <is>
          <t>Reporting &amp; Analytics</t>
        </is>
      </c>
      <c r="Q324" s="865" t="inlineStr">
        <is>
          <t>Squad</t>
        </is>
      </c>
      <c r="R324" s="865" t="inlineStr">
        <is>
          <t>Vacant</t>
        </is>
      </c>
    </row>
    <row r="325" ht="19.5" customHeight="1" s="866">
      <c r="A325" s="1566" t="n">
        <v>107154</v>
      </c>
      <c r="B325" s="1382" t="inlineStr">
        <is>
          <t>Prashant Tataskar</t>
        </is>
      </c>
      <c r="C325" s="1382" t="inlineStr">
        <is>
          <t>Data Scientist</t>
        </is>
      </c>
      <c r="D325" s="1382" t="inlineStr">
        <is>
          <t>Vacant</t>
        </is>
      </c>
      <c r="E325" s="1382" t="inlineStr">
        <is>
          <t>Technology Manager, Data Science</t>
        </is>
      </c>
      <c r="F325" s="1571" t="inlineStr">
        <is>
          <t>Strategy, Architecture &amp; Data</t>
        </is>
      </c>
      <c r="G325" s="1567" t="inlineStr">
        <is>
          <t>Group Data</t>
        </is>
      </c>
      <c r="H325" s="1571" t="inlineStr">
        <is>
          <t>Data Science</t>
        </is>
      </c>
      <c r="I325" s="1571" t="inlineStr">
        <is>
          <t>Enterprise Data</t>
        </is>
      </c>
      <c r="J325" s="1571" t="inlineStr">
        <is>
          <t>Group Data</t>
        </is>
      </c>
      <c r="K325" s="1567" t="inlineStr">
        <is>
          <t>COE, Data Science</t>
        </is>
      </c>
      <c r="L325" s="1567" t="n"/>
      <c r="M325" s="1568" t="inlineStr">
        <is>
          <t>Australia</t>
        </is>
      </c>
      <c r="N325" s="865" t="inlineStr">
        <is>
          <t>Enterprise Data</t>
        </is>
      </c>
      <c r="O325" s="865" t="inlineStr">
        <is>
          <t>Group Data</t>
        </is>
      </c>
      <c r="P325" s="865" t="inlineStr">
        <is>
          <t>Data Science</t>
        </is>
      </c>
      <c r="Q325" s="865" t="inlineStr">
        <is>
          <t>Squad</t>
        </is>
      </c>
      <c r="R325" s="865" t="inlineStr">
        <is>
          <t>Filled</t>
        </is>
      </c>
    </row>
    <row r="326" ht="18" customHeight="1" s="866">
      <c r="A326" s="1566" t="n">
        <v>113595</v>
      </c>
      <c r="B326" s="1382" t="inlineStr">
        <is>
          <t>Mike Gilbert</t>
        </is>
      </c>
      <c r="C326" s="1382" t="inlineStr">
        <is>
          <t xml:space="preserve">Domain Architect - CFE &amp; Infrastructure </t>
        </is>
      </c>
      <c r="D326" s="1382" t="inlineStr">
        <is>
          <t>Vacant</t>
        </is>
      </c>
      <c r="E326" s="1382" t="inlineStr">
        <is>
          <t>Head of Architecture</t>
        </is>
      </c>
      <c r="F326" s="1571" t="inlineStr">
        <is>
          <t>Strategy, Architecture &amp; Data</t>
        </is>
      </c>
      <c r="G326" s="1567" t="inlineStr">
        <is>
          <t>Architecture</t>
        </is>
      </c>
      <c r="H326" s="1571" t="inlineStr">
        <is>
          <t>Architecture</t>
        </is>
      </c>
      <c r="I326" s="1571" t="n"/>
      <c r="J326" s="1571" t="n"/>
      <c r="K326" s="1567" t="inlineStr">
        <is>
          <t>COE, Architecture</t>
        </is>
      </c>
      <c r="L326" s="1567" t="n"/>
      <c r="M326" s="1568" t="n"/>
      <c r="N326" s="865" t="inlineStr">
        <is>
          <t>COE</t>
        </is>
      </c>
      <c r="O326" s="865" t="inlineStr">
        <is>
          <t>COE - Strategy Architecture</t>
        </is>
      </c>
      <c r="P326" s="865" t="inlineStr">
        <is>
          <t>COE - Strategy Architecture</t>
        </is>
      </c>
      <c r="Q326" s="865" t="inlineStr">
        <is>
          <t>COE</t>
        </is>
      </c>
      <c r="R326" s="865" t="inlineStr">
        <is>
          <t>Filled</t>
        </is>
      </c>
    </row>
    <row r="327" ht="18" customHeight="1" s="866">
      <c r="A327" s="1566" t="n"/>
      <c r="B327" s="1382" t="inlineStr">
        <is>
          <t>Vacant</t>
        </is>
      </c>
      <c r="C327" s="1382" t="inlineStr">
        <is>
          <t>AI Capability Lead</t>
        </is>
      </c>
      <c r="D327" s="1382" t="inlineStr">
        <is>
          <t>Vacant</t>
        </is>
      </c>
      <c r="E327" s="1382" t="inlineStr">
        <is>
          <t>Head of Technology  Strategy &amp; AI Capability</t>
        </is>
      </c>
      <c r="F327" s="1571" t="inlineStr">
        <is>
          <t>Strategy, Architecture &amp; Data</t>
        </is>
      </c>
      <c r="G327" s="1567" t="inlineStr">
        <is>
          <t>Technology Strategy &amp; AI Capability</t>
        </is>
      </c>
      <c r="H327" s="1567" t="inlineStr">
        <is>
          <t>Technology Strategy &amp; AI Capability</t>
        </is>
      </c>
      <c r="I327" s="1571" t="n"/>
      <c r="J327" s="1571" t="n"/>
      <c r="K327" s="1567" t="inlineStr">
        <is>
          <t>COE</t>
        </is>
      </c>
      <c r="L327" s="1567" t="n"/>
      <c r="M327" s="1568" t="n"/>
      <c r="N327" s="865" t="inlineStr">
        <is>
          <t>COE</t>
        </is>
      </c>
      <c r="O327" s="865" t="inlineStr">
        <is>
          <t>COE - Strategy Architecture</t>
        </is>
      </c>
      <c r="P327" s="865" t="inlineStr">
        <is>
          <t>COE - Strategy Architecture</t>
        </is>
      </c>
      <c r="Q327" s="865" t="inlineStr">
        <is>
          <t>COE</t>
        </is>
      </c>
      <c r="R327" s="865" t="inlineStr">
        <is>
          <t>Vacant</t>
        </is>
      </c>
    </row>
    <row r="328" ht="18" customHeight="1" s="866">
      <c r="A328" s="1566" t="n">
        <v>12010</v>
      </c>
      <c r="B328" s="1382" t="inlineStr">
        <is>
          <t>Sai Konka</t>
        </is>
      </c>
      <c r="C328" s="1382" t="inlineStr">
        <is>
          <t>Application &amp; Analytics Manager</t>
        </is>
      </c>
      <c r="D328" s="1382" t="inlineStr">
        <is>
          <t>Vacant</t>
        </is>
      </c>
      <c r="E328" s="1382" t="inlineStr">
        <is>
          <t>Technology Manager, Data Engineering &amp; Platforms</t>
        </is>
      </c>
      <c r="F328" s="1571" t="inlineStr">
        <is>
          <t>Strategy, Architecture &amp; Data</t>
        </is>
      </c>
      <c r="G328" s="1567" t="inlineStr">
        <is>
          <t>Group Data</t>
        </is>
      </c>
      <c r="H328" s="1571" t="inlineStr">
        <is>
          <t>Data Engineering &amp; Platforms</t>
        </is>
      </c>
      <c r="I328" s="1571" t="inlineStr">
        <is>
          <t>Enterprise Data</t>
        </is>
      </c>
      <c r="J328" s="1571" t="inlineStr">
        <is>
          <t>EGI</t>
        </is>
      </c>
      <c r="K328" s="1571" t="inlineStr">
        <is>
          <t>Reporting &amp; Analytics</t>
        </is>
      </c>
      <c r="L328" s="1567" t="n"/>
      <c r="M328" s="1568" t="inlineStr">
        <is>
          <t>Australia</t>
        </is>
      </c>
      <c r="N328" s="865" t="inlineStr">
        <is>
          <t>Enterprise Data</t>
        </is>
      </c>
      <c r="O328" s="865" t="inlineStr">
        <is>
          <t>Group Data</t>
        </is>
      </c>
      <c r="P328" s="865" t="inlineStr">
        <is>
          <t>Reporting &amp; Analytics</t>
        </is>
      </c>
      <c r="Q328" s="865" t="inlineStr">
        <is>
          <t>Squad</t>
        </is>
      </c>
      <c r="R328" s="865" t="inlineStr">
        <is>
          <t>Filled</t>
        </is>
      </c>
    </row>
    <row r="329" ht="18" customHeight="1" s="866">
      <c r="A329" s="1566" t="n"/>
      <c r="B329" s="1382" t="inlineStr">
        <is>
          <t>Vacant</t>
        </is>
      </c>
      <c r="C329" s="1382" t="inlineStr">
        <is>
          <t>Quality Assurance</t>
        </is>
      </c>
      <c r="D329" s="1382" t="inlineStr">
        <is>
          <t>Vacant</t>
        </is>
      </c>
      <c r="E329" s="1382" t="inlineStr">
        <is>
          <t>Lead Engineer (Snowflake)</t>
        </is>
      </c>
      <c r="F329" s="1571" t="inlineStr">
        <is>
          <t>Strategy, Architecture &amp; Data</t>
        </is>
      </c>
      <c r="G329" s="1567" t="inlineStr">
        <is>
          <t>Group Data</t>
        </is>
      </c>
      <c r="H329" s="1571" t="inlineStr">
        <is>
          <t>Data Engineering &amp; Platforms</t>
        </is>
      </c>
      <c r="I329" s="1567" t="inlineStr">
        <is>
          <t>Enterprise Data</t>
        </is>
      </c>
      <c r="J329" s="1571" t="inlineStr">
        <is>
          <t>Group Data</t>
        </is>
      </c>
      <c r="K329" s="1567" t="inlineStr">
        <is>
          <t>Data Platform</t>
        </is>
      </c>
      <c r="L329" s="1567" t="n"/>
      <c r="M329" s="1568" t="n"/>
      <c r="N329" s="865" t="inlineStr">
        <is>
          <t>Enterprise Data</t>
        </is>
      </c>
      <c r="O329" s="865" t="inlineStr">
        <is>
          <t>Group Data</t>
        </is>
      </c>
      <c r="P329" s="865" t="inlineStr">
        <is>
          <t>Data Platforms</t>
        </is>
      </c>
      <c r="Q329" s="865" t="inlineStr">
        <is>
          <t>Squad</t>
        </is>
      </c>
      <c r="R329" s="865" t="inlineStr">
        <is>
          <t>Vacant</t>
        </is>
      </c>
    </row>
    <row r="330" ht="18" customHeight="1" s="866">
      <c r="A330" s="1566" t="n"/>
      <c r="B330" s="1382" t="inlineStr">
        <is>
          <t>vacant</t>
        </is>
      </c>
      <c r="C330" s="1382" t="inlineStr">
        <is>
          <t>Quality Assurance</t>
        </is>
      </c>
      <c r="D330" s="1382" t="inlineStr">
        <is>
          <t>Vacant</t>
        </is>
      </c>
      <c r="E330" s="1382" t="inlineStr">
        <is>
          <t>Lead Engineer (Databricks)</t>
        </is>
      </c>
      <c r="F330" s="1571" t="inlineStr">
        <is>
          <t>Strategy, Architecture &amp; Data</t>
        </is>
      </c>
      <c r="G330" s="1567" t="inlineStr">
        <is>
          <t>Group Data</t>
        </is>
      </c>
      <c r="H330" s="1571" t="inlineStr">
        <is>
          <t>Data Engineering &amp; Platforms</t>
        </is>
      </c>
      <c r="I330" s="1567" t="inlineStr">
        <is>
          <t>Enterprise Data</t>
        </is>
      </c>
      <c r="J330" s="1571" t="inlineStr">
        <is>
          <t>EGI</t>
        </is>
      </c>
      <c r="K330" s="1567" t="inlineStr">
        <is>
          <t>Data Platform</t>
        </is>
      </c>
      <c r="L330" s="1567" t="n"/>
      <c r="M330" s="1568" t="n"/>
      <c r="N330" s="865" t="inlineStr">
        <is>
          <t>Enterprise Data</t>
        </is>
      </c>
      <c r="O330" s="865" t="inlineStr">
        <is>
          <t>Group Data</t>
        </is>
      </c>
      <c r="P330" s="865" t="inlineStr">
        <is>
          <t>Data Platforms</t>
        </is>
      </c>
      <c r="Q330" s="865" t="inlineStr">
        <is>
          <t>Squad</t>
        </is>
      </c>
      <c r="R330" s="865" t="inlineStr">
        <is>
          <t>Vacant</t>
        </is>
      </c>
    </row>
    <row r="331" ht="18" customHeight="1" s="866">
      <c r="A331" s="1566" t="n">
        <v>109802</v>
      </c>
      <c r="B331" s="1382" t="inlineStr">
        <is>
          <t>Roger Blazey</t>
        </is>
      </c>
      <c r="C331" s="1382" t="inlineStr">
        <is>
          <t>Architect (AI Innovation)</t>
        </is>
      </c>
      <c r="D331" s="1382" t="inlineStr">
        <is>
          <t>Vacant</t>
        </is>
      </c>
      <c r="E331" s="1382" t="inlineStr">
        <is>
          <t>Head of Technology  Strategy &amp; AI Capability</t>
        </is>
      </c>
      <c r="F331" s="1571" t="inlineStr">
        <is>
          <t>Strategy, Architecture &amp; Data</t>
        </is>
      </c>
      <c r="G331" s="1567" t="inlineStr">
        <is>
          <t>Technology Strategy &amp; AI Capability</t>
        </is>
      </c>
      <c r="H331" s="1567" t="inlineStr">
        <is>
          <t>Technology Strategy &amp; AI Capability</t>
        </is>
      </c>
      <c r="I331" s="1571" t="n"/>
      <c r="J331" s="1571" t="n"/>
      <c r="K331" s="1567" t="inlineStr">
        <is>
          <t>COE</t>
        </is>
      </c>
      <c r="L331" s="1567" t="n"/>
      <c r="M331" s="1568" t="inlineStr">
        <is>
          <t>Australia</t>
        </is>
      </c>
      <c r="N331" s="865" t="inlineStr">
        <is>
          <t>COE</t>
        </is>
      </c>
      <c r="O331" s="865" t="inlineStr">
        <is>
          <t>COE - Strategy Architecture</t>
        </is>
      </c>
      <c r="P331" s="865" t="inlineStr">
        <is>
          <t>COE - Strategy Architecture</t>
        </is>
      </c>
      <c r="Q331" s="865" t="inlineStr">
        <is>
          <t>COE</t>
        </is>
      </c>
      <c r="R331" s="865" t="inlineStr">
        <is>
          <t>Filled</t>
        </is>
      </c>
    </row>
    <row r="332" ht="18" customHeight="1" s="866">
      <c r="A332" s="1566" t="n"/>
      <c r="B332" s="1382" t="inlineStr">
        <is>
          <t>vacant</t>
        </is>
      </c>
      <c r="C332" s="1382" t="inlineStr">
        <is>
          <t>Engineer - Data</t>
        </is>
      </c>
      <c r="D332" s="1382" t="inlineStr">
        <is>
          <t>Vacant</t>
        </is>
      </c>
      <c r="E332" s="1382" t="inlineStr">
        <is>
          <t>Lead Engineer (Databricks)</t>
        </is>
      </c>
      <c r="F332" s="1571" t="inlineStr">
        <is>
          <t>Strategy, Architecture &amp; Data</t>
        </is>
      </c>
      <c r="G332" s="1567" t="inlineStr">
        <is>
          <t>Group Data</t>
        </is>
      </c>
      <c r="H332" s="1571" t="inlineStr">
        <is>
          <t>Data Engineering &amp; Platforms</t>
        </is>
      </c>
      <c r="I332" s="1567" t="inlineStr">
        <is>
          <t>Enterprise Data</t>
        </is>
      </c>
      <c r="J332" s="1571" t="inlineStr">
        <is>
          <t>Group Data</t>
        </is>
      </c>
      <c r="K332" s="1567" t="inlineStr">
        <is>
          <t>Data Platform</t>
        </is>
      </c>
      <c r="L332" s="1567" t="n"/>
      <c r="M332" s="1568" t="n"/>
      <c r="N332" s="865" t="inlineStr">
        <is>
          <t>Enterprise Data</t>
        </is>
      </c>
      <c r="O332" s="865" t="inlineStr">
        <is>
          <t>Group Data</t>
        </is>
      </c>
      <c r="P332" s="865" t="inlineStr">
        <is>
          <t>Data Platforms</t>
        </is>
      </c>
      <c r="Q332" s="865" t="inlineStr">
        <is>
          <t>Squad</t>
        </is>
      </c>
      <c r="R332" s="865" t="inlineStr">
        <is>
          <t>Vacant</t>
        </is>
      </c>
    </row>
    <row r="333" ht="18" customHeight="1" s="866">
      <c r="A333" s="1566" t="n"/>
      <c r="B333" s="1382" t="inlineStr">
        <is>
          <t>Vacant</t>
        </is>
      </c>
      <c r="C333" s="1382" t="inlineStr">
        <is>
          <t>Enterprise Process Lead</t>
        </is>
      </c>
      <c r="D333" s="1382" t="inlineStr">
        <is>
          <t>Vacant</t>
        </is>
      </c>
      <c r="E333" s="1382" t="inlineStr">
        <is>
          <t>Head of Technology  Strategy &amp; AI Capability</t>
        </is>
      </c>
      <c r="F333" s="1571" t="inlineStr">
        <is>
          <t>Strategy, Architecture &amp; Data</t>
        </is>
      </c>
      <c r="G333" s="1567" t="inlineStr">
        <is>
          <t>Technology Strategy &amp; AI Capability</t>
        </is>
      </c>
      <c r="H333" s="1567" t="inlineStr">
        <is>
          <t>Technology Strategy &amp; AI Capability</t>
        </is>
      </c>
      <c r="I333" s="1571" t="n"/>
      <c r="J333" s="1571" t="n"/>
      <c r="K333" s="1567" t="inlineStr">
        <is>
          <t>COE</t>
        </is>
      </c>
      <c r="L333" s="1567" t="n"/>
      <c r="M333" s="1568" t="n"/>
      <c r="N333" s="865" t="inlineStr">
        <is>
          <t>COE</t>
        </is>
      </c>
      <c r="O333" s="865" t="inlineStr">
        <is>
          <t>COE - Strategy Architecture</t>
        </is>
      </c>
      <c r="P333" s="865" t="inlineStr">
        <is>
          <t>COE - Strategy Architecture</t>
        </is>
      </c>
      <c r="Q333" s="865" t="inlineStr">
        <is>
          <t>COE</t>
        </is>
      </c>
      <c r="R333" s="865" t="inlineStr">
        <is>
          <t>Vacant</t>
        </is>
      </c>
    </row>
    <row r="334" ht="18" customHeight="1" s="866">
      <c r="A334" s="1566" t="n"/>
      <c r="B334" s="1382" t="inlineStr">
        <is>
          <t>Vacant</t>
        </is>
      </c>
      <c r="C334" s="1382" t="inlineStr">
        <is>
          <t>EnterpriseProcess Analyst</t>
        </is>
      </c>
      <c r="D334" s="1567" t="inlineStr">
        <is>
          <t>vacant</t>
        </is>
      </c>
      <c r="E334" s="1382" t="inlineStr">
        <is>
          <t>Enterprise Process Lead</t>
        </is>
      </c>
      <c r="F334" s="1571" t="inlineStr">
        <is>
          <t>Strategy, Architecture &amp; Data</t>
        </is>
      </c>
      <c r="G334" s="1567" t="inlineStr">
        <is>
          <t>Technology Strategy &amp; AI Capability</t>
        </is>
      </c>
      <c r="H334" s="1567" t="inlineStr">
        <is>
          <t>Technology Strategy &amp; AI Capability</t>
        </is>
      </c>
      <c r="I334" s="1571" t="n"/>
      <c r="J334" s="1571" t="n"/>
      <c r="K334" s="1567" t="inlineStr">
        <is>
          <t>COE</t>
        </is>
      </c>
      <c r="L334" s="1567" t="n"/>
      <c r="M334" s="1568" t="n"/>
      <c r="N334" s="865" t="inlineStr">
        <is>
          <t>COE</t>
        </is>
      </c>
      <c r="O334" s="865" t="inlineStr">
        <is>
          <t>COE - Strategy Architecture</t>
        </is>
      </c>
      <c r="P334" s="865" t="inlineStr">
        <is>
          <t>COE - Strategy Architecture</t>
        </is>
      </c>
      <c r="Q334" s="865" t="inlineStr">
        <is>
          <t>COE</t>
        </is>
      </c>
      <c r="R334" s="865" t="inlineStr">
        <is>
          <t>Vacant</t>
        </is>
      </c>
    </row>
    <row r="335" ht="18" customHeight="1" s="866">
      <c r="A335" s="1566" t="n">
        <v>102098</v>
      </c>
      <c r="B335" s="1382" t="inlineStr">
        <is>
          <t>Bobby Mason</t>
        </is>
      </c>
      <c r="C335" s="1382" t="inlineStr">
        <is>
          <t>Reporting Analyst</t>
        </is>
      </c>
      <c r="D335" s="865" t="inlineStr">
        <is>
          <t>Vacant</t>
        </is>
      </c>
      <c r="E335" s="1382" t="inlineStr">
        <is>
          <t>Lead, Reporting &amp; Insights</t>
        </is>
      </c>
      <c r="F335" s="1571" t="inlineStr">
        <is>
          <t>Strategy, Architecture &amp; Data</t>
        </is>
      </c>
      <c r="G335" s="1567" t="inlineStr">
        <is>
          <t>Group Data</t>
        </is>
      </c>
      <c r="H335" s="1567" t="inlineStr">
        <is>
          <t>Technology, CF Engineering</t>
        </is>
      </c>
      <c r="I335" s="1571" t="inlineStr">
        <is>
          <t>Enterprise Data</t>
        </is>
      </c>
      <c r="J335" s="1571" t="inlineStr">
        <is>
          <t>Group Data</t>
        </is>
      </c>
      <c r="K335" s="1571" t="inlineStr">
        <is>
          <t>Reporting &amp; Analytics</t>
        </is>
      </c>
      <c r="L335" s="1567" t="n"/>
      <c r="M335" s="1568" t="inlineStr">
        <is>
          <t>Australia</t>
        </is>
      </c>
      <c r="N335" s="865" t="inlineStr">
        <is>
          <t>Enterprise Data</t>
        </is>
      </c>
      <c r="O335" s="865" t="inlineStr">
        <is>
          <t>Group Data</t>
        </is>
      </c>
      <c r="P335" s="865" t="inlineStr">
        <is>
          <t>Reporting &amp; Analytics</t>
        </is>
      </c>
      <c r="Q335" s="865" t="inlineStr">
        <is>
          <t>Squad</t>
        </is>
      </c>
      <c r="R335" s="865" t="inlineStr">
        <is>
          <t>Filled</t>
        </is>
      </c>
    </row>
    <row r="336" ht="18" customHeight="1" s="866">
      <c r="A336" s="1566" t="n"/>
      <c r="B336" s="1382" t="inlineStr">
        <is>
          <t>Vacant</t>
        </is>
      </c>
      <c r="C336" s="1382" t="inlineStr">
        <is>
          <t>Data Analyst</t>
        </is>
      </c>
      <c r="D336" s="865" t="inlineStr">
        <is>
          <t>Vacant</t>
        </is>
      </c>
      <c r="E336" s="1382" t="inlineStr">
        <is>
          <t>Technology Manager, Data Science</t>
        </is>
      </c>
      <c r="F336" s="1571" t="inlineStr">
        <is>
          <t>Strategy, Architecture &amp; Data</t>
        </is>
      </c>
      <c r="G336" s="1567" t="inlineStr">
        <is>
          <t>Group Data</t>
        </is>
      </c>
      <c r="H336" s="1571" t="inlineStr">
        <is>
          <t>Data Science</t>
        </is>
      </c>
      <c r="I336" s="1571" t="inlineStr">
        <is>
          <t>Enterprise Data</t>
        </is>
      </c>
      <c r="J336" s="1571" t="inlineStr">
        <is>
          <t>Group Data</t>
        </is>
      </c>
      <c r="K336" s="1567" t="inlineStr">
        <is>
          <t>COE, Data Science</t>
        </is>
      </c>
      <c r="L336" s="1567" t="n"/>
      <c r="M336" s="1568" t="n"/>
      <c r="N336" s="865" t="inlineStr">
        <is>
          <t>Enterprise Data</t>
        </is>
      </c>
      <c r="O336" s="865" t="inlineStr">
        <is>
          <t>Group Data</t>
        </is>
      </c>
      <c r="P336" s="865" t="inlineStr">
        <is>
          <t>Data Science</t>
        </is>
      </c>
      <c r="Q336" s="865" t="inlineStr">
        <is>
          <t>Squad</t>
        </is>
      </c>
      <c r="R336" s="865" t="inlineStr">
        <is>
          <t>Vacant</t>
        </is>
      </c>
    </row>
    <row r="337" ht="18" customHeight="1" s="866">
      <c r="A337" s="1566" t="n">
        <v>0</v>
      </c>
      <c r="B337" s="1382" t="inlineStr">
        <is>
          <t>Dinesh Chandrasekaran</t>
        </is>
      </c>
      <c r="C337" s="1382" t="inlineStr">
        <is>
          <t>Lead Engineer (Snowflake)</t>
        </is>
      </c>
      <c r="D337" s="865" t="inlineStr">
        <is>
          <t>Vacant</t>
        </is>
      </c>
      <c r="E337" s="1382" t="inlineStr">
        <is>
          <t>Technology Manager, Data Engineering &amp; Platforms</t>
        </is>
      </c>
      <c r="F337" s="1382" t="inlineStr">
        <is>
          <t>Strategy, Architecture &amp; Data</t>
        </is>
      </c>
      <c r="G337" s="1382" t="inlineStr">
        <is>
          <t>Group Data</t>
        </is>
      </c>
      <c r="H337" s="1571" t="inlineStr">
        <is>
          <t>Data Engineering &amp; Platforms</t>
        </is>
      </c>
      <c r="I337" s="1567" t="inlineStr">
        <is>
          <t>Enterprise Data</t>
        </is>
      </c>
      <c r="J337" s="1571" t="inlineStr">
        <is>
          <t>Group Data</t>
        </is>
      </c>
      <c r="K337" s="1567" t="inlineStr">
        <is>
          <t>Data Platform</t>
        </is>
      </c>
      <c r="L337" s="1567" t="n"/>
      <c r="M337" s="1568" t="n">
        <v>0</v>
      </c>
      <c r="N337" s="865" t="inlineStr">
        <is>
          <t>Enterprise Data</t>
        </is>
      </c>
      <c r="O337" s="865" t="inlineStr">
        <is>
          <t>Group Data</t>
        </is>
      </c>
      <c r="P337" s="865" t="inlineStr">
        <is>
          <t>Data Platforms</t>
        </is>
      </c>
      <c r="Q337" s="865" t="inlineStr">
        <is>
          <t>Squad</t>
        </is>
      </c>
      <c r="R337" s="865" t="inlineStr">
        <is>
          <t>Filled</t>
        </is>
      </c>
    </row>
    <row r="338" ht="18" customHeight="1" s="866">
      <c r="A338" s="1566" t="n">
        <v>113451</v>
      </c>
      <c r="B338" s="1382" t="inlineStr">
        <is>
          <t>Prashanth Krishnankutty</t>
        </is>
      </c>
      <c r="C338" s="1382" t="inlineStr">
        <is>
          <t>Lead Reporting &amp; Insights</t>
        </is>
      </c>
      <c r="D338" s="865" t="inlineStr">
        <is>
          <t>Vacant</t>
        </is>
      </c>
      <c r="E338" s="1382" t="inlineStr">
        <is>
          <t>Technology Manager, Data Engineering &amp; Platforms</t>
        </is>
      </c>
      <c r="F338" s="1571" t="inlineStr">
        <is>
          <t>Strategy, Architecture &amp; Data</t>
        </is>
      </c>
      <c r="G338" s="1567" t="inlineStr">
        <is>
          <t>Group Data</t>
        </is>
      </c>
      <c r="H338" s="1571" t="inlineStr">
        <is>
          <t>Data Engineering &amp; Platforms</t>
        </is>
      </c>
      <c r="I338" s="1571" t="inlineStr">
        <is>
          <t>Enterprise Data</t>
        </is>
      </c>
      <c r="J338" s="1571" t="inlineStr">
        <is>
          <t>Group Data</t>
        </is>
      </c>
      <c r="K338" s="1571" t="inlineStr">
        <is>
          <t>Reporting &amp; Analytics</t>
        </is>
      </c>
      <c r="L338" s="1567" t="n"/>
      <c r="M338" s="1568" t="inlineStr">
        <is>
          <t>Australia</t>
        </is>
      </c>
      <c r="N338" s="865" t="inlineStr">
        <is>
          <t>Enterprise Data</t>
        </is>
      </c>
      <c r="O338" s="865" t="inlineStr">
        <is>
          <t>Group Data</t>
        </is>
      </c>
      <c r="P338" s="865" t="inlineStr">
        <is>
          <t>Reporting &amp; Analytics</t>
        </is>
      </c>
      <c r="Q338" s="865" t="inlineStr">
        <is>
          <t>Squad</t>
        </is>
      </c>
      <c r="R338" s="865" t="inlineStr">
        <is>
          <t>Filled</t>
        </is>
      </c>
    </row>
    <row r="339" ht="18" customHeight="1" s="866">
      <c r="A339" s="1566" t="n"/>
      <c r="B339" s="1382" t="inlineStr">
        <is>
          <t>ring fenced</t>
        </is>
      </c>
      <c r="C339" s="1382" t="inlineStr">
        <is>
          <t>Domain Architect - Retail &amp; Z</t>
        </is>
      </c>
      <c r="D339" s="865" t="inlineStr">
        <is>
          <t>Vacant</t>
        </is>
      </c>
      <c r="E339" s="1382" t="inlineStr">
        <is>
          <t>Head of Architecture</t>
        </is>
      </c>
      <c r="F339" s="1571" t="inlineStr">
        <is>
          <t>Strategy, Architecture &amp; Data</t>
        </is>
      </c>
      <c r="G339" s="1567" t="inlineStr">
        <is>
          <t>Architecture</t>
        </is>
      </c>
      <c r="H339" s="1588" t="inlineStr">
        <is>
          <t>Architecture</t>
        </is>
      </c>
      <c r="I339" s="1571" t="n"/>
      <c r="J339" s="1571" t="n"/>
      <c r="K339" s="1567" t="inlineStr">
        <is>
          <t>COE, Architecture</t>
        </is>
      </c>
      <c r="L339" s="1567" t="n"/>
      <c r="M339" s="1568" t="n"/>
      <c r="N339" s="865" t="inlineStr">
        <is>
          <t>COE</t>
        </is>
      </c>
      <c r="O339" s="865" t="inlineStr">
        <is>
          <t>COE - Strategy Architecture</t>
        </is>
      </c>
      <c r="P339" s="865" t="inlineStr">
        <is>
          <t>COE - Strategy Architecture</t>
        </is>
      </c>
      <c r="Q339" s="865" t="inlineStr">
        <is>
          <t>COE</t>
        </is>
      </c>
      <c r="R339" s="865" t="inlineStr">
        <is>
          <t>Filled</t>
        </is>
      </c>
    </row>
    <row r="340" ht="18" customHeight="1" s="866">
      <c r="A340" s="1566" t="n">
        <v>96283</v>
      </c>
      <c r="B340" s="1382" t="inlineStr">
        <is>
          <t>Ed Tacey</t>
        </is>
      </c>
      <c r="C340" s="1382" t="inlineStr">
        <is>
          <t>Head of Architecture</t>
        </is>
      </c>
      <c r="D340" s="865" t="inlineStr">
        <is>
          <t>Vacant</t>
        </is>
      </c>
      <c r="E340" s="865" t="inlineStr">
        <is>
          <t>GM TDD, Strategy, Architecture, Data</t>
        </is>
      </c>
      <c r="F340" s="1571" t="inlineStr">
        <is>
          <t>Strategy, Architecture &amp; Data</t>
        </is>
      </c>
      <c r="G340" s="1567" t="inlineStr">
        <is>
          <t>Architecture</t>
        </is>
      </c>
      <c r="H340" s="1567" t="n"/>
      <c r="I340" s="1567" t="n"/>
      <c r="J340" s="1571" t="n"/>
      <c r="K340" s="1571" t="inlineStr">
        <is>
          <t>Leadership</t>
        </is>
      </c>
      <c r="L340" s="1567" t="n"/>
      <c r="M340" s="1568" t="inlineStr">
        <is>
          <t>Australia</t>
        </is>
      </c>
      <c r="N340" s="865" t="inlineStr">
        <is>
          <t>Unmapped</t>
        </is>
      </c>
      <c r="O340" s="865" t="inlineStr">
        <is>
          <t>Leadership</t>
        </is>
      </c>
      <c r="P340" s="865" t="inlineStr">
        <is>
          <t>Leadership</t>
        </is>
      </c>
      <c r="Q340" s="865" t="inlineStr">
        <is>
          <t>Leadership</t>
        </is>
      </c>
      <c r="R340" s="865" t="inlineStr">
        <is>
          <t>Filled</t>
        </is>
      </c>
    </row>
    <row r="341" ht="18" customHeight="1" s="866">
      <c r="A341" s="1566" t="n"/>
      <c r="B341" s="1382" t="inlineStr">
        <is>
          <t>ring fenced</t>
        </is>
      </c>
      <c r="C341" s="1382" t="inlineStr">
        <is>
          <t>Enterprise Architect</t>
        </is>
      </c>
      <c r="D341" s="865" t="inlineStr">
        <is>
          <t>Vacant</t>
        </is>
      </c>
      <c r="E341" s="1382" t="inlineStr">
        <is>
          <t>Head of Architecture</t>
        </is>
      </c>
      <c r="F341" s="1571" t="inlineStr">
        <is>
          <t>Strategy, Architecture &amp; Data</t>
        </is>
      </c>
      <c r="G341" s="1567" t="inlineStr">
        <is>
          <t>Architecture</t>
        </is>
      </c>
      <c r="H341" s="1571" t="inlineStr">
        <is>
          <t>Architecture</t>
        </is>
      </c>
      <c r="I341" s="1571" t="n"/>
      <c r="J341" s="1571" t="n"/>
      <c r="K341" s="1567" t="inlineStr">
        <is>
          <t>COE, Architecture</t>
        </is>
      </c>
      <c r="L341" s="1567" t="n"/>
      <c r="M341" s="1568" t="n"/>
      <c r="N341" s="865" t="inlineStr">
        <is>
          <t>COE</t>
        </is>
      </c>
      <c r="O341" s="865" t="inlineStr">
        <is>
          <t>COE - Strategy Architecture</t>
        </is>
      </c>
      <c r="P341" s="865" t="inlineStr">
        <is>
          <t>COE - Strategy Architecture</t>
        </is>
      </c>
      <c r="Q341" s="865" t="inlineStr">
        <is>
          <t>COE</t>
        </is>
      </c>
      <c r="R341" s="865" t="inlineStr">
        <is>
          <t>Filled</t>
        </is>
      </c>
    </row>
    <row r="342" ht="18" customHeight="1" s="866">
      <c r="A342" s="1566" t="n"/>
      <c r="B342" s="1382" t="inlineStr">
        <is>
          <t>Vacant</t>
        </is>
      </c>
      <c r="C342" s="1382" t="inlineStr">
        <is>
          <t>Strategy Analyst</t>
        </is>
      </c>
      <c r="D342" s="865" t="inlineStr">
        <is>
          <t>Vacant</t>
        </is>
      </c>
      <c r="E342" s="1382" t="inlineStr">
        <is>
          <t>Head of Technology  Strategy &amp; AI Capability</t>
        </is>
      </c>
      <c r="F342" s="1571" t="inlineStr">
        <is>
          <t>Strategy, Architecture &amp; Data</t>
        </is>
      </c>
      <c r="G342" s="1567" t="inlineStr">
        <is>
          <t>Technology Strategy &amp; AI Capability</t>
        </is>
      </c>
      <c r="H342" s="1567" t="inlineStr">
        <is>
          <t>Technology Strategy &amp; AI Capability</t>
        </is>
      </c>
      <c r="I342" s="1571" t="n"/>
      <c r="J342" s="1571" t="n"/>
      <c r="K342" s="1567" t="inlineStr">
        <is>
          <t>COE</t>
        </is>
      </c>
      <c r="L342" s="1567" t="n"/>
      <c r="M342" s="1568" t="n"/>
      <c r="N342" s="865" t="inlineStr">
        <is>
          <t>COE</t>
        </is>
      </c>
      <c r="O342" s="865" t="inlineStr">
        <is>
          <t>COE - Strategy Architecture</t>
        </is>
      </c>
      <c r="P342" s="865" t="inlineStr">
        <is>
          <t>COE - Strategy Architecture</t>
        </is>
      </c>
      <c r="Q342" s="865" t="inlineStr">
        <is>
          <t>COE</t>
        </is>
      </c>
      <c r="R342" s="865" t="inlineStr">
        <is>
          <t>Vacant</t>
        </is>
      </c>
    </row>
    <row r="343" ht="18" customFormat="1" customHeight="1" s="1578">
      <c r="A343" s="1579" t="n"/>
      <c r="B343" s="1573" t="inlineStr">
        <is>
          <t>Vacant</t>
        </is>
      </c>
      <c r="C343" s="1573" t="inlineStr">
        <is>
          <t>Tech Support Technician</t>
        </is>
      </c>
      <c r="D343" s="1589" t="inlineStr">
        <is>
          <t>Allan Francia</t>
        </is>
      </c>
      <c r="E343" s="1573" t="inlineStr">
        <is>
          <t>Technology Manager, T&amp;S</t>
        </is>
      </c>
      <c r="F343" s="1573" t="inlineStr">
        <is>
          <t>TDD CFE&amp;I</t>
        </is>
      </c>
      <c r="G343" s="1575" t="inlineStr">
        <is>
          <t>Commercial Fuels</t>
        </is>
      </c>
      <c r="H343" s="1575" t="inlineStr">
        <is>
          <t>Technology, Trading &amp; Shipping</t>
        </is>
      </c>
      <c r="I343" s="1575" t="inlineStr">
        <is>
          <t>Commercial Fuels</t>
        </is>
      </c>
      <c r="J343" s="1575" t="inlineStr">
        <is>
          <t>Trading &amp; Shipping</t>
        </is>
      </c>
      <c r="K343" s="1573" t="inlineStr">
        <is>
          <t>Trading &amp; Shipping</t>
        </is>
      </c>
      <c r="L343" s="1575" t="n"/>
      <c r="M343" s="1580" t="n"/>
      <c r="N343" s="865" t="inlineStr">
        <is>
          <t>Commercial Fuels</t>
        </is>
      </c>
      <c r="O343" s="865" t="inlineStr">
        <is>
          <t>Trading &amp; Shipping</t>
        </is>
      </c>
      <c r="P343" s="865" t="inlineStr">
        <is>
          <t>Trading &amp; Shipping</t>
        </is>
      </c>
      <c r="Q343" s="865" t="inlineStr">
        <is>
          <t>Squad</t>
        </is>
      </c>
      <c r="R343" s="865" t="inlineStr">
        <is>
          <t>Vacant</t>
        </is>
      </c>
    </row>
    <row r="344" ht="18" customHeight="1" s="866">
      <c r="A344" s="1566" t="n">
        <v>116312</v>
      </c>
      <c r="B344" s="1382" t="inlineStr">
        <is>
          <t>Trung Truong</t>
        </is>
      </c>
      <c r="C344" s="1382" t="inlineStr">
        <is>
          <t>Engineer Applications</t>
        </is>
      </c>
      <c r="D344" s="865" t="inlineStr">
        <is>
          <t>Allan Francia</t>
        </is>
      </c>
      <c r="E344" s="865" t="inlineStr">
        <is>
          <t>Technology Manager, T&amp;S</t>
        </is>
      </c>
      <c r="F344" s="1382" t="inlineStr">
        <is>
          <t>TDD CFE&amp;I</t>
        </is>
      </c>
      <c r="G344" s="1567" t="inlineStr">
        <is>
          <t>Commercial Fuels</t>
        </is>
      </c>
      <c r="H344" s="1567" t="inlineStr">
        <is>
          <t>Trading &amp; Shipping</t>
        </is>
      </c>
      <c r="I344" s="1567" t="inlineStr">
        <is>
          <t>Commercial Fuels</t>
        </is>
      </c>
      <c r="J344" s="1382" t="inlineStr">
        <is>
          <t>CTRM</t>
        </is>
      </c>
      <c r="K344" s="1382" t="inlineStr">
        <is>
          <t>CTRM</t>
        </is>
      </c>
      <c r="L344" s="1567" t="n"/>
      <c r="M344" s="1568" t="inlineStr">
        <is>
          <t>Singapore</t>
        </is>
      </c>
      <c r="N344" s="865" t="inlineStr">
        <is>
          <t>Commercial Fuels</t>
        </is>
      </c>
      <c r="O344" s="865" t="inlineStr">
        <is>
          <t>CTRM</t>
        </is>
      </c>
      <c r="P344" s="865" t="inlineStr">
        <is>
          <t>CTRM</t>
        </is>
      </c>
      <c r="Q344" s="865" t="inlineStr">
        <is>
          <t>Strategic Program</t>
        </is>
      </c>
      <c r="R344" s="865" t="inlineStr">
        <is>
          <t>Filled</t>
        </is>
      </c>
    </row>
    <row r="345" ht="13.5" customHeight="1" s="866">
      <c r="A345" s="1566" t="n">
        <v>6511</v>
      </c>
      <c r="B345" s="1382" t="inlineStr">
        <is>
          <t>Leo Machin</t>
        </is>
      </c>
      <c r="C345" s="1382" t="inlineStr">
        <is>
          <t>Lead Engineer Applications</t>
        </is>
      </c>
      <c r="D345" s="865" t="inlineStr">
        <is>
          <t>Allan Francia</t>
        </is>
      </c>
      <c r="E345" s="865" t="inlineStr">
        <is>
          <t>Technology Manager, T&amp;S</t>
        </is>
      </c>
      <c r="F345" s="1382" t="inlineStr">
        <is>
          <t>TDD CFE&amp;I</t>
        </is>
      </c>
      <c r="G345" s="1567" t="inlineStr">
        <is>
          <t>Commercial Fuels</t>
        </is>
      </c>
      <c r="H345" s="1567" t="inlineStr">
        <is>
          <t>Technology, Trading &amp; Shipping</t>
        </is>
      </c>
      <c r="I345" s="1567" t="inlineStr">
        <is>
          <t>Commercial Fuels</t>
        </is>
      </c>
      <c r="J345" s="1567" t="inlineStr">
        <is>
          <t>Ampol Digital</t>
        </is>
      </c>
      <c r="K345" s="1382" t="inlineStr">
        <is>
          <t>Trading &amp; Shipping</t>
        </is>
      </c>
      <c r="L345" s="1567" t="n"/>
      <c r="M345" s="1568" t="inlineStr">
        <is>
          <t>Australia</t>
        </is>
      </c>
      <c r="N345" s="865" t="inlineStr">
        <is>
          <t>Commercial Fuels</t>
        </is>
      </c>
      <c r="O345" s="865" t="inlineStr">
        <is>
          <t>Trading &amp; Shipping</t>
        </is>
      </c>
      <c r="P345" s="865" t="inlineStr">
        <is>
          <t>Trading &amp; Shipping</t>
        </is>
      </c>
      <c r="Q345" s="865" t="inlineStr">
        <is>
          <t>Squad</t>
        </is>
      </c>
      <c r="R345" s="865" t="inlineStr">
        <is>
          <t>Filled</t>
        </is>
      </c>
    </row>
    <row r="346" ht="18" customHeight="1" s="866">
      <c r="A346" s="1566" t="n">
        <v>11661</v>
      </c>
      <c r="B346" s="1571" t="inlineStr">
        <is>
          <t>Kevin Li</t>
        </is>
      </c>
      <c r="C346" s="1571" t="inlineStr">
        <is>
          <t>System Specialist</t>
        </is>
      </c>
      <c r="D346" s="1557" t="inlineStr">
        <is>
          <t>Allan Francia</t>
        </is>
      </c>
      <c r="E346" s="865" t="inlineStr">
        <is>
          <t>Technology Manager, T&amp;S</t>
        </is>
      </c>
      <c r="F346" s="1382" t="inlineStr">
        <is>
          <t>TDD CFE&amp;I</t>
        </is>
      </c>
      <c r="G346" s="1567" t="inlineStr">
        <is>
          <t>Commercial Fuels</t>
        </is>
      </c>
      <c r="H346" s="1567" t="inlineStr">
        <is>
          <t>Technology, Trading &amp; Shipping</t>
        </is>
      </c>
      <c r="I346" s="1567" t="inlineStr">
        <is>
          <t>Commercial Fuels</t>
        </is>
      </c>
      <c r="J346" s="1567" t="inlineStr">
        <is>
          <t>Trading &amp; Shipping</t>
        </is>
      </c>
      <c r="K346" s="1567" t="inlineStr">
        <is>
          <t>Trading &amp; Shipping</t>
        </is>
      </c>
      <c r="L346" s="1567" t="n"/>
      <c r="M346" s="1568" t="inlineStr">
        <is>
          <t>Australia</t>
        </is>
      </c>
      <c r="N346" s="865" t="inlineStr">
        <is>
          <t>Commercial Fuels</t>
        </is>
      </c>
      <c r="O346" s="865" t="inlineStr">
        <is>
          <t>Trading &amp; Shipping</t>
        </is>
      </c>
      <c r="P346" s="865" t="inlineStr">
        <is>
          <t>Trading &amp; Shipping</t>
        </is>
      </c>
      <c r="Q346" s="865" t="inlineStr">
        <is>
          <t>Squad</t>
        </is>
      </c>
      <c r="R346" s="865" t="inlineStr">
        <is>
          <t>Filled</t>
        </is>
      </c>
    </row>
    <row r="347" ht="18" customHeight="1" s="866">
      <c r="A347" s="1566" t="n">
        <v>115836</v>
      </c>
      <c r="B347" s="1382" t="inlineStr">
        <is>
          <t>JR Panganiban</t>
        </is>
      </c>
      <c r="C347" s="1382" t="inlineStr">
        <is>
          <t>Technology Support Engineer</t>
        </is>
      </c>
      <c r="D347" s="865" t="inlineStr">
        <is>
          <t>Allan Francia</t>
        </is>
      </c>
      <c r="E347" s="865" t="inlineStr">
        <is>
          <t>Technology Manager, T&amp;S</t>
        </is>
      </c>
      <c r="F347" s="1382" t="inlineStr">
        <is>
          <t>TDD CFE&amp;I</t>
        </is>
      </c>
      <c r="G347" s="1567" t="inlineStr">
        <is>
          <t>Commercial Fuels</t>
        </is>
      </c>
      <c r="H347" s="1567" t="inlineStr">
        <is>
          <t>Technology, Trading &amp; Shipping</t>
        </is>
      </c>
      <c r="I347" s="1567" t="inlineStr">
        <is>
          <t>Commercial Fuels</t>
        </is>
      </c>
      <c r="J347" s="1567" t="inlineStr">
        <is>
          <t>Trading &amp; Shipping</t>
        </is>
      </c>
      <c r="K347" s="1382" t="inlineStr">
        <is>
          <t>Trading &amp; Shipping</t>
        </is>
      </c>
      <c r="L347" s="1567" t="n"/>
      <c r="M347" s="1568" t="inlineStr">
        <is>
          <t>USA</t>
        </is>
      </c>
      <c r="N347" s="865" t="inlineStr">
        <is>
          <t>Commercial Fuels</t>
        </is>
      </c>
      <c r="O347" s="865" t="inlineStr">
        <is>
          <t>Trading &amp; Shipping</t>
        </is>
      </c>
      <c r="P347" s="865" t="inlineStr">
        <is>
          <t>Trading &amp; Shipping</t>
        </is>
      </c>
      <c r="Q347" s="865" t="inlineStr">
        <is>
          <t>Squad</t>
        </is>
      </c>
      <c r="R347" s="865" t="inlineStr">
        <is>
          <t>Filled</t>
        </is>
      </c>
    </row>
    <row r="348" ht="18" customHeight="1" s="866">
      <c r="A348" s="1566" t="n">
        <v>14920</v>
      </c>
      <c r="B348" s="1382" t="inlineStr">
        <is>
          <t>Poch Fernandez</t>
        </is>
      </c>
      <c r="C348" s="1382" t="inlineStr">
        <is>
          <t xml:space="preserve">Lead Technology Support  </t>
        </is>
      </c>
      <c r="D348" s="865" t="inlineStr">
        <is>
          <t>Allan Francia</t>
        </is>
      </c>
      <c r="E348" s="865" t="inlineStr">
        <is>
          <t>Technology Manager, T&amp;S</t>
        </is>
      </c>
      <c r="F348" s="1382" t="inlineStr">
        <is>
          <t>TDD CFE&amp;I</t>
        </is>
      </c>
      <c r="G348" s="1567" t="inlineStr">
        <is>
          <t>Commercial Fuels</t>
        </is>
      </c>
      <c r="H348" s="1567" t="inlineStr">
        <is>
          <t>Technology, Trading &amp; Shipping</t>
        </is>
      </c>
      <c r="I348" s="1567" t="inlineStr">
        <is>
          <t>Commercial Fuels</t>
        </is>
      </c>
      <c r="J348" s="1567" t="inlineStr">
        <is>
          <t>Trading &amp; Shipping</t>
        </is>
      </c>
      <c r="K348" s="1382" t="inlineStr">
        <is>
          <t>Trading &amp; Shipping</t>
        </is>
      </c>
      <c r="L348" s="1567" t="n"/>
      <c r="M348" s="1568" t="inlineStr">
        <is>
          <t>Singapore</t>
        </is>
      </c>
      <c r="N348" s="865" t="inlineStr">
        <is>
          <t>Commercial Fuels</t>
        </is>
      </c>
      <c r="O348" s="865" t="inlineStr">
        <is>
          <t>Trading &amp; Shipping</t>
        </is>
      </c>
      <c r="P348" s="865" t="inlineStr">
        <is>
          <t>Trading &amp; Shipping</t>
        </is>
      </c>
      <c r="Q348" s="865" t="inlineStr">
        <is>
          <t>Squad</t>
        </is>
      </c>
      <c r="R348" s="865" t="inlineStr">
        <is>
          <t>Filled</t>
        </is>
      </c>
    </row>
    <row r="349" ht="18" customHeight="1" s="866">
      <c r="A349" s="1566" t="n">
        <v>14013</v>
      </c>
      <c r="B349" s="1382" t="inlineStr">
        <is>
          <t>Jem Cruz</t>
        </is>
      </c>
      <c r="C349" s="1382" t="inlineStr">
        <is>
          <t>System Specialist</t>
        </is>
      </c>
      <c r="D349" s="865" t="inlineStr">
        <is>
          <t>Allan Francia</t>
        </is>
      </c>
      <c r="E349" s="865" t="inlineStr">
        <is>
          <t>Technology Manager, T&amp;S</t>
        </is>
      </c>
      <c r="F349" s="1382" t="inlineStr">
        <is>
          <t>TDD CFE&amp;I</t>
        </is>
      </c>
      <c r="G349" s="1567" t="inlineStr">
        <is>
          <t>Commercial Fuels</t>
        </is>
      </c>
      <c r="H349" s="1567" t="inlineStr">
        <is>
          <t>Technology, Trading &amp; Shipping</t>
        </is>
      </c>
      <c r="I349" s="1567" t="inlineStr">
        <is>
          <t>Commercial Fuels</t>
        </is>
      </c>
      <c r="J349" s="1567" t="inlineStr">
        <is>
          <t>Trading &amp; Shipping</t>
        </is>
      </c>
      <c r="K349" s="1382" t="inlineStr">
        <is>
          <t>Trading &amp; Shipping</t>
        </is>
      </c>
      <c r="L349" s="1567" t="n"/>
      <c r="M349" s="1568" t="inlineStr">
        <is>
          <t>Australia</t>
        </is>
      </c>
      <c r="N349" s="865" t="inlineStr">
        <is>
          <t>Commercial Fuels</t>
        </is>
      </c>
      <c r="O349" s="865" t="inlineStr">
        <is>
          <t>Trading &amp; Shipping</t>
        </is>
      </c>
      <c r="P349" s="865" t="inlineStr">
        <is>
          <t>Trading &amp; Shipping</t>
        </is>
      </c>
      <c r="Q349" s="865" t="inlineStr">
        <is>
          <t>Squad</t>
        </is>
      </c>
      <c r="R349" s="865" t="inlineStr">
        <is>
          <t>Filled</t>
        </is>
      </c>
    </row>
    <row r="350" ht="18" customHeight="1" s="866">
      <c r="A350" s="1566" t="n">
        <v>106547</v>
      </c>
      <c r="B350" s="1382" t="inlineStr">
        <is>
          <t>Chin Fang Kwek</t>
        </is>
      </c>
      <c r="C350" s="1382" t="inlineStr">
        <is>
          <t>System Analyst</t>
        </is>
      </c>
      <c r="D350" s="865" t="inlineStr">
        <is>
          <t>Allan Francia</t>
        </is>
      </c>
      <c r="E350" s="865" t="inlineStr">
        <is>
          <t>Technology Manager, T&amp;S</t>
        </is>
      </c>
      <c r="F350" s="1382" t="inlineStr">
        <is>
          <t>TDD CFE&amp;I</t>
        </is>
      </c>
      <c r="G350" s="1567" t="inlineStr">
        <is>
          <t>Commercial Fuels</t>
        </is>
      </c>
      <c r="H350" s="1567" t="inlineStr">
        <is>
          <t>Technology, Trading &amp; Shipping</t>
        </is>
      </c>
      <c r="I350" s="1567" t="inlineStr">
        <is>
          <t>Commercial Fuels</t>
        </is>
      </c>
      <c r="J350" s="1567" t="inlineStr">
        <is>
          <t>Trading &amp; Shipping</t>
        </is>
      </c>
      <c r="K350" s="1382" t="inlineStr">
        <is>
          <t>Trading &amp; Shipping</t>
        </is>
      </c>
      <c r="L350" s="1567" t="n"/>
      <c r="M350" s="1568" t="inlineStr">
        <is>
          <t>Singapore</t>
        </is>
      </c>
      <c r="N350" s="865" t="inlineStr">
        <is>
          <t>Commercial Fuels</t>
        </is>
      </c>
      <c r="O350" s="865" t="inlineStr">
        <is>
          <t>Trading &amp; Shipping</t>
        </is>
      </c>
      <c r="P350" s="865" t="inlineStr">
        <is>
          <t>Trading &amp; Shipping</t>
        </is>
      </c>
      <c r="Q350" s="865" t="inlineStr">
        <is>
          <t>Squad</t>
        </is>
      </c>
      <c r="R350" s="865" t="inlineStr">
        <is>
          <t>Filled</t>
        </is>
      </c>
    </row>
    <row r="351" ht="18" customHeight="1" s="866">
      <c r="A351" s="1566" t="n"/>
      <c r="B351" s="1382" t="inlineStr">
        <is>
          <t>vacant</t>
        </is>
      </c>
      <c r="C351" s="1382" t="inlineStr">
        <is>
          <t>Technology Manager Data</t>
        </is>
      </c>
      <c r="D351" s="865" t="inlineStr">
        <is>
          <t>Amish Pandit</t>
        </is>
      </c>
      <c r="E351" s="865" t="inlineStr">
        <is>
          <t>Head of Technology, Fuel Infrastructure</t>
        </is>
      </c>
      <c r="F351" s="1382" t="inlineStr">
        <is>
          <t>TDD CFE&amp;I</t>
        </is>
      </c>
      <c r="G351" s="1567" t="inlineStr">
        <is>
          <t>Fuel Infrastructure</t>
        </is>
      </c>
      <c r="H351" s="1567" t="inlineStr">
        <is>
          <t>Fuel Infrastructure, Data</t>
        </is>
      </c>
      <c r="I351" s="1567" t="inlineStr">
        <is>
          <t>Infrastructure</t>
        </is>
      </c>
      <c r="J351" s="1382" t="inlineStr">
        <is>
          <t>Leadership</t>
        </is>
      </c>
      <c r="K351" s="1382" t="inlineStr">
        <is>
          <t>Leadership</t>
        </is>
      </c>
      <c r="L351" s="1567" t="n"/>
      <c r="M351" s="1568" t="n"/>
      <c r="N351" s="865" t="inlineStr">
        <is>
          <t>Infrastructure</t>
        </is>
      </c>
      <c r="O351" s="865" t="inlineStr">
        <is>
          <t>Leadership</t>
        </is>
      </c>
      <c r="P351" s="865" t="inlineStr">
        <is>
          <t>Leadership</t>
        </is>
      </c>
      <c r="Q351" s="865" t="inlineStr">
        <is>
          <t>Leadership</t>
        </is>
      </c>
      <c r="R351" s="865" t="inlineStr">
        <is>
          <t>Vacant</t>
        </is>
      </c>
    </row>
    <row r="352" ht="18" customHeight="1" s="866">
      <c r="A352" s="1566" t="n">
        <v>109475</v>
      </c>
      <c r="B352" s="1382" t="inlineStr">
        <is>
          <t>Jaya Ganasan</t>
        </is>
      </c>
      <c r="C352" s="1382" t="inlineStr">
        <is>
          <t>B2B &amp; Energy+B452:I452</t>
        </is>
      </c>
      <c r="D352" s="865" t="inlineStr">
        <is>
          <t>Amish Pandit</t>
        </is>
      </c>
      <c r="E352" s="865" t="inlineStr">
        <is>
          <t>Head of Technology, Fuel Infrastructure</t>
        </is>
      </c>
      <c r="F352" s="1382" t="inlineStr">
        <is>
          <t>TDD CFE&amp;I</t>
        </is>
      </c>
      <c r="G352" s="1567" t="inlineStr">
        <is>
          <t>Fuel Infrastructure</t>
        </is>
      </c>
      <c r="H352" s="1567" t="inlineStr">
        <is>
          <t>Refinery Applications</t>
        </is>
      </c>
      <c r="I352" s="1567" t="inlineStr">
        <is>
          <t>Infrastructure</t>
        </is>
      </c>
      <c r="J352" s="1567" t="inlineStr">
        <is>
          <t>Manufacturing</t>
        </is>
      </c>
      <c r="K352" s="1382" t="inlineStr">
        <is>
          <t>Manufacturing Group Projects</t>
        </is>
      </c>
      <c r="L352" s="1567" t="n"/>
      <c r="M352" s="1568" t="inlineStr">
        <is>
          <t>Australia</t>
        </is>
      </c>
      <c r="N352" s="865" t="inlineStr">
        <is>
          <t>Infrastructure</t>
        </is>
      </c>
      <c r="O352" s="865" t="inlineStr">
        <is>
          <t>Manufacturing</t>
        </is>
      </c>
      <c r="P352" s="865" t="inlineStr">
        <is>
          <t>Manufacturing &amp; Group Projects</t>
        </is>
      </c>
      <c r="Q352" s="865" t="inlineStr">
        <is>
          <t>Squad</t>
        </is>
      </c>
      <c r="R352" s="865" t="inlineStr">
        <is>
          <t>Filled</t>
        </is>
      </c>
    </row>
    <row r="353" ht="18" customHeight="1" s="866">
      <c r="A353" s="1566" t="n">
        <v>101861</v>
      </c>
      <c r="B353" s="1382" t="inlineStr">
        <is>
          <t>Prem Shetty</t>
        </is>
      </c>
      <c r="C353" s="1382" t="inlineStr">
        <is>
          <t>Delivery manager</t>
        </is>
      </c>
      <c r="D353" s="865" t="inlineStr">
        <is>
          <t>Amish Pandit</t>
        </is>
      </c>
      <c r="E353" s="865" t="inlineStr">
        <is>
          <t>Head of Technology, Fuel Infrastructure</t>
        </is>
      </c>
      <c r="F353" s="1382" t="inlineStr">
        <is>
          <t>TDD CFE&amp;I</t>
        </is>
      </c>
      <c r="G353" s="1567" t="inlineStr">
        <is>
          <t>Fuel Infrastructure</t>
        </is>
      </c>
      <c r="H353" s="1567" t="inlineStr">
        <is>
          <t>Fuel Infrastructure, Delivery</t>
        </is>
      </c>
      <c r="I353" s="1567" t="inlineStr">
        <is>
          <t>Infrastructure</t>
        </is>
      </c>
      <c r="J353" s="1567" t="inlineStr">
        <is>
          <t xml:space="preserve">Leadership </t>
        </is>
      </c>
      <c r="K353" s="1382" t="inlineStr">
        <is>
          <t>Leadership</t>
        </is>
      </c>
      <c r="L353" s="1567" t="n"/>
      <c r="M353" s="1568" t="n"/>
      <c r="N353" s="865" t="inlineStr">
        <is>
          <t>Infrastructure</t>
        </is>
      </c>
      <c r="O353" s="865" t="inlineStr">
        <is>
          <t>Leadership</t>
        </is>
      </c>
      <c r="P353" s="865" t="inlineStr">
        <is>
          <t>Leadership</t>
        </is>
      </c>
      <c r="Q353" s="865" t="inlineStr">
        <is>
          <t>Leadership</t>
        </is>
      </c>
      <c r="R353" s="865" t="inlineStr">
        <is>
          <t>Filled</t>
        </is>
      </c>
    </row>
    <row r="354" ht="18" customHeight="1" s="866">
      <c r="A354" s="1566" t="n">
        <v>106201</v>
      </c>
      <c r="B354" s="1571" t="inlineStr">
        <is>
          <t>George Moun</t>
        </is>
      </c>
      <c r="C354" s="1571" t="inlineStr">
        <is>
          <t>Solution Architect</t>
        </is>
      </c>
      <c r="D354" s="1557" t="inlineStr">
        <is>
          <t>Amish Pandit</t>
        </is>
      </c>
      <c r="E354" s="1557" t="inlineStr">
        <is>
          <t>Head of Technology, Infrastructure</t>
        </is>
      </c>
      <c r="F354" s="1382" t="inlineStr">
        <is>
          <t>TDD CFE&amp;I</t>
        </is>
      </c>
      <c r="G354" s="1567" t="inlineStr">
        <is>
          <t>Fuel Infrastructure</t>
        </is>
      </c>
      <c r="H354" s="1567" t="inlineStr">
        <is>
          <t>Fuel Infrastructure</t>
        </is>
      </c>
      <c r="I354" s="1567" t="inlineStr">
        <is>
          <t>Infrastructure</t>
        </is>
      </c>
      <c r="J354" s="1567" t="inlineStr">
        <is>
          <t xml:space="preserve">Leadership </t>
        </is>
      </c>
      <c r="K354" s="1567" t="inlineStr">
        <is>
          <t>Leadership</t>
        </is>
      </c>
      <c r="L354" s="1567" t="n"/>
      <c r="M354" s="1568" t="inlineStr">
        <is>
          <t>Australia</t>
        </is>
      </c>
      <c r="N354" s="865" t="inlineStr">
        <is>
          <t>Infrastructure</t>
        </is>
      </c>
      <c r="O354" s="865" t="inlineStr">
        <is>
          <t>Leadership</t>
        </is>
      </c>
      <c r="P354" s="865" t="inlineStr">
        <is>
          <t>Leadership</t>
        </is>
      </c>
      <c r="Q354" s="865" t="inlineStr">
        <is>
          <t>Leadership</t>
        </is>
      </c>
      <c r="R354" s="865" t="inlineStr">
        <is>
          <t>Filled</t>
        </is>
      </c>
    </row>
    <row r="355" ht="18" customHeight="1" s="866">
      <c r="A355" s="1566" t="n">
        <v>99999101636</v>
      </c>
      <c r="B355" s="1382" t="inlineStr">
        <is>
          <t>Rod Santillan</t>
        </is>
      </c>
      <c r="C355" s="1382" t="inlineStr">
        <is>
          <t>Snr Engineer Software</t>
        </is>
      </c>
      <c r="D355" s="865" t="inlineStr">
        <is>
          <t>Elle Spencer</t>
        </is>
      </c>
      <c r="E355" s="865" t="inlineStr">
        <is>
          <t>Technology Manager, Energy Solutions</t>
        </is>
      </c>
      <c r="F355" s="1382" t="inlineStr">
        <is>
          <t>TDD CFE&amp;I</t>
        </is>
      </c>
      <c r="G355" s="1567" t="inlineStr">
        <is>
          <t>B2B &amp; Energy Solutions</t>
        </is>
      </c>
      <c r="H355" s="1567" t="inlineStr">
        <is>
          <t>Technology B2B</t>
        </is>
      </c>
      <c r="I355" s="1567" t="inlineStr">
        <is>
          <t>B2B &amp; Energy Solutions</t>
        </is>
      </c>
      <c r="J355" s="1382" t="inlineStr">
        <is>
          <t>B2B</t>
        </is>
      </c>
      <c r="K355" s="1382" t="inlineStr">
        <is>
          <t>B2B</t>
        </is>
      </c>
      <c r="L355" s="1567" t="n"/>
      <c r="M355" s="1568" t="inlineStr">
        <is>
          <t>NZ</t>
        </is>
      </c>
      <c r="N355" s="865" t="inlineStr">
        <is>
          <t>Energy Solutions &amp; B2B</t>
        </is>
      </c>
      <c r="O355" s="865" t="inlineStr">
        <is>
          <t>B2B</t>
        </is>
      </c>
      <c r="P355" s="865" t="inlineStr">
        <is>
          <t>B2B</t>
        </is>
      </c>
      <c r="Q355" s="865" t="inlineStr">
        <is>
          <t>Squad</t>
        </is>
      </c>
      <c r="R355" s="865" t="inlineStr">
        <is>
          <t>Filled</t>
        </is>
      </c>
    </row>
    <row r="356" ht="18" customFormat="1" customHeight="1" s="1590">
      <c r="A356" s="1591" t="n">
        <v>90813</v>
      </c>
      <c r="B356" s="1572" t="inlineStr">
        <is>
          <t>Vacant  (Contract)</t>
        </is>
      </c>
      <c r="C356" s="1572" t="inlineStr">
        <is>
          <t>Senior Systems Analyst - Card</t>
        </is>
      </c>
      <c r="D356" s="1230" t="inlineStr">
        <is>
          <t>Elle Spencer</t>
        </is>
      </c>
      <c r="E356" s="1230" t="inlineStr">
        <is>
          <t>Technology Manager, Energy Solutions</t>
        </is>
      </c>
      <c r="F356" s="1572" t="inlineStr">
        <is>
          <t>TDD CFE&amp;I</t>
        </is>
      </c>
      <c r="G356" s="1592" t="inlineStr">
        <is>
          <t>B2B &amp; Energy Solutions</t>
        </is>
      </c>
      <c r="H356" s="1592" t="inlineStr">
        <is>
          <t>Technology B2B</t>
        </is>
      </c>
      <c r="I356" s="1592" t="inlineStr">
        <is>
          <t>B2B &amp; Energy Solutions</t>
        </is>
      </c>
      <c r="J356" s="1572" t="inlineStr">
        <is>
          <t>B2B</t>
        </is>
      </c>
      <c r="K356" s="1572" t="inlineStr">
        <is>
          <t>B2B</t>
        </is>
      </c>
      <c r="L356" s="1592" t="n"/>
      <c r="M356" s="1593" t="inlineStr">
        <is>
          <t>Australia</t>
        </is>
      </c>
      <c r="N356" s="865" t="inlineStr">
        <is>
          <t>Energy Solutions &amp; B2B</t>
        </is>
      </c>
      <c r="O356" s="865" t="inlineStr">
        <is>
          <t>B2B</t>
        </is>
      </c>
      <c r="P356" s="865" t="inlineStr">
        <is>
          <t>B2B</t>
        </is>
      </c>
      <c r="Q356" s="865" t="inlineStr">
        <is>
          <t>Squad</t>
        </is>
      </c>
      <c r="R356" s="865" t="inlineStr">
        <is>
          <t>Filled</t>
        </is>
      </c>
    </row>
    <row r="357" ht="18" customHeight="1" s="866">
      <c r="A357" s="1566" t="n">
        <v>99691</v>
      </c>
      <c r="B357" s="1382" t="inlineStr">
        <is>
          <t>Frank Liang</t>
        </is>
      </c>
      <c r="C357" s="1382" t="inlineStr">
        <is>
          <t>Senior Systems Analyst</t>
        </is>
      </c>
      <c r="D357" s="865" t="inlineStr">
        <is>
          <t>Elle Spencer</t>
        </is>
      </c>
      <c r="E357" s="865" t="inlineStr">
        <is>
          <t>Technology Manager, Energy Solutions</t>
        </is>
      </c>
      <c r="F357" s="1382" t="inlineStr">
        <is>
          <t>TDD CFE&amp;I</t>
        </is>
      </c>
      <c r="G357" s="1567" t="inlineStr">
        <is>
          <t>B2B &amp; Energy Solutions</t>
        </is>
      </c>
      <c r="H357" s="1567" t="inlineStr">
        <is>
          <t>Technology B2B</t>
        </is>
      </c>
      <c r="I357" s="1567" t="inlineStr">
        <is>
          <t>B2B &amp; Energy Solutions</t>
        </is>
      </c>
      <c r="J357" s="1382" t="inlineStr">
        <is>
          <t>B2B</t>
        </is>
      </c>
      <c r="K357" s="1382" t="inlineStr">
        <is>
          <t>B2B</t>
        </is>
      </c>
      <c r="L357" s="1567" t="n"/>
      <c r="M357" s="1568" t="inlineStr">
        <is>
          <t>Australia</t>
        </is>
      </c>
      <c r="N357" s="865" t="inlineStr">
        <is>
          <t>Energy Solutions &amp; B2B</t>
        </is>
      </c>
      <c r="O357" s="865" t="inlineStr">
        <is>
          <t>B2B</t>
        </is>
      </c>
      <c r="P357" s="865" t="inlineStr">
        <is>
          <t>B2B</t>
        </is>
      </c>
      <c r="Q357" s="865" t="inlineStr">
        <is>
          <t>Squad</t>
        </is>
      </c>
      <c r="R357" s="865" t="inlineStr">
        <is>
          <t>Filled</t>
        </is>
      </c>
    </row>
    <row r="358" ht="18" customHeight="1" s="866">
      <c r="A358" s="1566" t="n">
        <v>105799</v>
      </c>
      <c r="B358" s="1382" t="inlineStr">
        <is>
          <t>Lindsay Baipas</t>
        </is>
      </c>
      <c r="C358" s="1382" t="inlineStr">
        <is>
          <t>System Analyst Card</t>
        </is>
      </c>
      <c r="D358" s="865" t="inlineStr">
        <is>
          <t>Elle Spencer</t>
        </is>
      </c>
      <c r="E358" s="865" t="inlineStr">
        <is>
          <t>Technology Manager, Energy Solutions</t>
        </is>
      </c>
      <c r="F358" s="1382" t="inlineStr">
        <is>
          <t>TDD CFE&amp;I</t>
        </is>
      </c>
      <c r="G358" s="1567" t="inlineStr">
        <is>
          <t>B2B &amp; Energy Solutions</t>
        </is>
      </c>
      <c r="H358" s="1567" t="inlineStr">
        <is>
          <t>Technology B2B</t>
        </is>
      </c>
      <c r="I358" s="1567" t="inlineStr">
        <is>
          <t>B2B &amp; Energy Solutions</t>
        </is>
      </c>
      <c r="J358" s="1382" t="inlineStr">
        <is>
          <t>B2B</t>
        </is>
      </c>
      <c r="K358" s="1382" t="inlineStr">
        <is>
          <t>B2B</t>
        </is>
      </c>
      <c r="L358" s="1567" t="n"/>
      <c r="M358" s="1568" t="inlineStr">
        <is>
          <t>Australia</t>
        </is>
      </c>
      <c r="N358" s="865" t="inlineStr">
        <is>
          <t>Energy Solutions &amp; B2B</t>
        </is>
      </c>
      <c r="O358" s="865" t="inlineStr">
        <is>
          <t>B2B</t>
        </is>
      </c>
      <c r="P358" s="865" t="inlineStr">
        <is>
          <t>B2B</t>
        </is>
      </c>
      <c r="Q358" s="865" t="inlineStr">
        <is>
          <t>Squad</t>
        </is>
      </c>
      <c r="R358" s="865" t="inlineStr">
        <is>
          <t>Filled</t>
        </is>
      </c>
    </row>
    <row r="359" ht="18" customHeight="1" s="866">
      <c r="A359" s="1566" t="n">
        <v>99999101912</v>
      </c>
      <c r="B359" s="1382" t="inlineStr">
        <is>
          <t>Alex Abelita</t>
        </is>
      </c>
      <c r="C359" s="1382" t="inlineStr">
        <is>
          <t>Associate Engineer - Automation Testing</t>
        </is>
      </c>
      <c r="D359" s="865" t="inlineStr">
        <is>
          <t>Elle Spencer</t>
        </is>
      </c>
      <c r="E359" s="865" t="inlineStr">
        <is>
          <t>Technology Manager, Energy Solutions</t>
        </is>
      </c>
      <c r="F359" s="1382" t="inlineStr">
        <is>
          <t>TDD CFE&amp;I</t>
        </is>
      </c>
      <c r="G359" s="1567" t="inlineStr">
        <is>
          <t>B2B &amp; Energy Solutions</t>
        </is>
      </c>
      <c r="H359" s="1567" t="inlineStr">
        <is>
          <t>Technology B2B</t>
        </is>
      </c>
      <c r="I359" s="1567" t="inlineStr">
        <is>
          <t>B2B &amp; Energy Solutions</t>
        </is>
      </c>
      <c r="J359" s="1382" t="inlineStr">
        <is>
          <t>B2B</t>
        </is>
      </c>
      <c r="K359" s="1382" t="inlineStr">
        <is>
          <t>B2B</t>
        </is>
      </c>
      <c r="L359" s="1567" t="n"/>
      <c r="M359" s="1568" t="inlineStr">
        <is>
          <t>NZ</t>
        </is>
      </c>
      <c r="N359" s="865" t="inlineStr">
        <is>
          <t>Energy Solutions &amp; B2B</t>
        </is>
      </c>
      <c r="O359" s="865" t="inlineStr">
        <is>
          <t>B2B</t>
        </is>
      </c>
      <c r="P359" s="865" t="inlineStr">
        <is>
          <t>B2B</t>
        </is>
      </c>
      <c r="Q359" s="865" t="inlineStr">
        <is>
          <t>Squad</t>
        </is>
      </c>
      <c r="R359" s="865" t="inlineStr">
        <is>
          <t>Filled</t>
        </is>
      </c>
    </row>
    <row r="360" ht="18" customHeight="1" s="866">
      <c r="A360" s="1566" t="n">
        <v>114366</v>
      </c>
      <c r="B360" s="1382" t="inlineStr">
        <is>
          <t>Allyn Puente</t>
        </is>
      </c>
      <c r="C360" s="1382" t="inlineStr">
        <is>
          <t>Graduate</t>
        </is>
      </c>
      <c r="D360" s="865" t="inlineStr">
        <is>
          <t>Elle Spencer</t>
        </is>
      </c>
      <c r="E360" s="865" t="inlineStr">
        <is>
          <t>Technology Manager, Energy Solutions</t>
        </is>
      </c>
      <c r="F360" s="1382" t="inlineStr">
        <is>
          <t>TDD CFE&amp;I</t>
        </is>
      </c>
      <c r="G360" s="1567" t="inlineStr">
        <is>
          <t>B2B &amp; Energy Solutions</t>
        </is>
      </c>
      <c r="H360" s="1567" t="inlineStr">
        <is>
          <t>Technology B2B</t>
        </is>
      </c>
      <c r="I360" s="1567" t="inlineStr">
        <is>
          <t>B2B &amp; Energy Solutions</t>
        </is>
      </c>
      <c r="J360" s="1382" t="inlineStr">
        <is>
          <t>B2B</t>
        </is>
      </c>
      <c r="K360" s="1382" t="inlineStr">
        <is>
          <t>B2B</t>
        </is>
      </c>
      <c r="L360" s="1567" t="n"/>
      <c r="M360" s="1568" t="inlineStr">
        <is>
          <t>Australia</t>
        </is>
      </c>
      <c r="N360" s="865" t="inlineStr">
        <is>
          <t>Energy Solutions &amp; B2B</t>
        </is>
      </c>
      <c r="O360" s="865" t="inlineStr">
        <is>
          <t>B2B</t>
        </is>
      </c>
      <c r="P360" s="865" t="inlineStr">
        <is>
          <t>B2B</t>
        </is>
      </c>
      <c r="Q360" s="865" t="inlineStr">
        <is>
          <t>Squad</t>
        </is>
      </c>
      <c r="R360" s="865" t="inlineStr">
        <is>
          <t>Filled</t>
        </is>
      </c>
    </row>
    <row r="361" ht="18" customHeight="1" s="866">
      <c r="A361" s="1566" t="n">
        <v>109362</v>
      </c>
      <c r="B361" s="1382" t="inlineStr">
        <is>
          <t>Scott Hasson</t>
        </is>
      </c>
      <c r="C361" s="1382" t="inlineStr">
        <is>
          <t>Technology Support Engineer - Infrastructure</t>
        </is>
      </c>
      <c r="D361" s="865" t="inlineStr">
        <is>
          <t>Glenn Earl</t>
        </is>
      </c>
      <c r="E361" s="865" t="inlineStr">
        <is>
          <t>Lead Support, Infrastructure</t>
        </is>
      </c>
      <c r="F361" s="1382" t="inlineStr">
        <is>
          <t>TDD CFE&amp;I</t>
        </is>
      </c>
      <c r="G361" s="1567" t="inlineStr">
        <is>
          <t>Fuel Infrastructure</t>
        </is>
      </c>
      <c r="H361" s="1567" t="inlineStr">
        <is>
          <t>Refinery Applications</t>
        </is>
      </c>
      <c r="I361" s="1557" t="inlineStr">
        <is>
          <t>Infrastructure</t>
        </is>
      </c>
      <c r="J361" s="1567" t="inlineStr">
        <is>
          <t>Fuel Infrastructure</t>
        </is>
      </c>
      <c r="K361" s="865" t="inlineStr">
        <is>
          <t>Technology Suport</t>
        </is>
      </c>
      <c r="L361" s="1567" t="n"/>
      <c r="M361" s="1568" t="inlineStr">
        <is>
          <t>Australia</t>
        </is>
      </c>
      <c r="N361" s="865" t="inlineStr">
        <is>
          <t>Infrastructure</t>
        </is>
      </c>
      <c r="O361" s="865" t="inlineStr">
        <is>
          <t>Manufacturing</t>
        </is>
      </c>
      <c r="P361" s="865" t="inlineStr">
        <is>
          <t>Technology Support</t>
        </is>
      </c>
      <c r="Q361" s="865" t="inlineStr">
        <is>
          <t>Squad</t>
        </is>
      </c>
      <c r="R361" s="865" t="inlineStr">
        <is>
          <t>Filled</t>
        </is>
      </c>
    </row>
    <row r="362" ht="18" customFormat="1" customHeight="1" s="1590">
      <c r="A362" s="1591" t="n">
        <v>92699</v>
      </c>
      <c r="B362" s="1572" t="inlineStr">
        <is>
          <t>Vacant</t>
        </is>
      </c>
      <c r="C362" s="1572" t="inlineStr">
        <is>
          <t>Technology Support Engineer - Infrastructure</t>
        </is>
      </c>
      <c r="D362" s="1230" t="inlineStr">
        <is>
          <t>Glenn Earl</t>
        </is>
      </c>
      <c r="E362" s="1572" t="inlineStr">
        <is>
          <t>Lead Support, Infrastructure</t>
        </is>
      </c>
      <c r="F362" s="1572" t="inlineStr">
        <is>
          <t>TDD CFE&amp;I</t>
        </is>
      </c>
      <c r="G362" s="1592" t="inlineStr">
        <is>
          <t>Fuel Infrastructure</t>
        </is>
      </c>
      <c r="H362" s="1592" t="inlineStr">
        <is>
          <t>Refinery Applications</t>
        </is>
      </c>
      <c r="I362" s="1592" t="inlineStr">
        <is>
          <t>Infrastructure</t>
        </is>
      </c>
      <c r="J362" s="1592" t="inlineStr">
        <is>
          <t>Fuel Infrastructure</t>
        </is>
      </c>
      <c r="K362" s="1572" t="inlineStr">
        <is>
          <t>Technology Suport</t>
        </is>
      </c>
      <c r="L362" s="1592" t="n"/>
      <c r="M362" s="1593" t="inlineStr">
        <is>
          <t>Australia</t>
        </is>
      </c>
      <c r="N362" s="865" t="inlineStr">
        <is>
          <t>Infrastructure</t>
        </is>
      </c>
      <c r="O362" s="865" t="inlineStr">
        <is>
          <t>Manufacturing</t>
        </is>
      </c>
      <c r="P362" s="865" t="inlineStr">
        <is>
          <t>Technology Support</t>
        </is>
      </c>
      <c r="Q362" s="865" t="inlineStr">
        <is>
          <t>Squad</t>
        </is>
      </c>
      <c r="R362" s="865" t="inlineStr">
        <is>
          <t>Vacant</t>
        </is>
      </c>
    </row>
    <row r="363" ht="18" customHeight="1" s="866">
      <c r="A363" s="1566" t="n">
        <v>110040</v>
      </c>
      <c r="B363" s="1382" t="inlineStr">
        <is>
          <t>Tyler Meggs</t>
        </is>
      </c>
      <c r="C363" s="1382" t="inlineStr">
        <is>
          <t>System Analyst</t>
        </is>
      </c>
      <c r="D363" s="865" t="inlineStr">
        <is>
          <t>Jaya Ganasan</t>
        </is>
      </c>
      <c r="E363" s="1382" t="inlineStr">
        <is>
          <t>Technology Manager, TDD Refinery</t>
        </is>
      </c>
      <c r="F363" s="1382" t="inlineStr">
        <is>
          <t>TDD CFE&amp;I</t>
        </is>
      </c>
      <c r="G363" s="1567" t="inlineStr">
        <is>
          <t>Fuel Infrastructure</t>
        </is>
      </c>
      <c r="H363" s="1567" t="inlineStr">
        <is>
          <t>Refinery Applications</t>
        </is>
      </c>
      <c r="I363" s="1567" t="inlineStr">
        <is>
          <t>Infrastructure</t>
        </is>
      </c>
      <c r="J363" s="1567" t="inlineStr">
        <is>
          <t>Manufacturing</t>
        </is>
      </c>
      <c r="K363" s="1382" t="inlineStr">
        <is>
          <t>Manufacturing Group Projects</t>
        </is>
      </c>
      <c r="L363" s="1567" t="n"/>
      <c r="M363" s="1568" t="inlineStr">
        <is>
          <t>Australia</t>
        </is>
      </c>
      <c r="N363" s="865" t="inlineStr">
        <is>
          <t>Infrastructure</t>
        </is>
      </c>
      <c r="O363" s="865" t="inlineStr">
        <is>
          <t>Manufacturing</t>
        </is>
      </c>
      <c r="P363" s="865" t="inlineStr">
        <is>
          <t>Manufacturing &amp; Group Projects</t>
        </is>
      </c>
      <c r="Q363" s="865" t="inlineStr">
        <is>
          <t>Squad</t>
        </is>
      </c>
      <c r="R363" s="865" t="inlineStr">
        <is>
          <t>Filled</t>
        </is>
      </c>
    </row>
    <row r="364" ht="18" customHeight="1" s="866">
      <c r="A364" s="1566" t="n">
        <v>98087</v>
      </c>
      <c r="B364" s="1382" t="inlineStr">
        <is>
          <t>Victor Olasanoye</t>
        </is>
      </c>
      <c r="C364" s="1382" t="inlineStr">
        <is>
          <t>Senior Systems Analyst</t>
        </is>
      </c>
      <c r="D364" s="865" t="inlineStr">
        <is>
          <t>Jaya Ganasan</t>
        </is>
      </c>
      <c r="E364" s="1382" t="inlineStr">
        <is>
          <t>Technology Manager, TDD Refinery</t>
        </is>
      </c>
      <c r="F364" s="1382" t="inlineStr">
        <is>
          <t>TDD CFE&amp;I</t>
        </is>
      </c>
      <c r="G364" s="1567" t="inlineStr">
        <is>
          <t>Fuel Infrastructure</t>
        </is>
      </c>
      <c r="H364" s="1567" t="inlineStr">
        <is>
          <t>Refinery Applications</t>
        </is>
      </c>
      <c r="I364" s="1567" t="inlineStr">
        <is>
          <t>Infrastructure</t>
        </is>
      </c>
      <c r="J364" s="1567" t="inlineStr">
        <is>
          <t>Manufacturing</t>
        </is>
      </c>
      <c r="K364" s="1382" t="inlineStr">
        <is>
          <t>Manuacturing Group Projects</t>
        </is>
      </c>
      <c r="L364" s="1567" t="n"/>
      <c r="M364" s="1568" t="inlineStr">
        <is>
          <t>Australia</t>
        </is>
      </c>
      <c r="N364" s="865" t="inlineStr">
        <is>
          <t>Infrastructure</t>
        </is>
      </c>
      <c r="O364" s="865" t="inlineStr">
        <is>
          <t>Manufacturing</t>
        </is>
      </c>
      <c r="P364" s="865" t="inlineStr">
        <is>
          <t>Manufacturing &amp; Group Projects</t>
        </is>
      </c>
      <c r="Q364" s="865" t="inlineStr">
        <is>
          <t>Squad</t>
        </is>
      </c>
      <c r="R364" s="865" t="inlineStr">
        <is>
          <t>Filled</t>
        </is>
      </c>
    </row>
    <row r="365" ht="18" customHeight="1" s="866">
      <c r="A365" s="1566" t="n"/>
      <c r="B365" s="1382" t="inlineStr">
        <is>
          <t xml:space="preserve">Vacant </t>
        </is>
      </c>
      <c r="C365" s="1382" t="inlineStr">
        <is>
          <t>Solution Architect</t>
        </is>
      </c>
      <c r="D365" s="1382" t="inlineStr">
        <is>
          <t>Jaya Ganasan</t>
        </is>
      </c>
      <c r="E365" s="1382" t="inlineStr">
        <is>
          <t>Technology Manager, TDD Refinery</t>
        </is>
      </c>
      <c r="F365" s="1382" t="inlineStr">
        <is>
          <t>TDD CFE&amp;I</t>
        </is>
      </c>
      <c r="G365" s="1567" t="inlineStr">
        <is>
          <t>Fuel Infrastructure</t>
        </is>
      </c>
      <c r="H365" s="1567" t="inlineStr">
        <is>
          <t>Refinery Applications</t>
        </is>
      </c>
      <c r="I365" s="1567" t="inlineStr">
        <is>
          <t>Infrastructure</t>
        </is>
      </c>
      <c r="J365" s="1567" t="inlineStr">
        <is>
          <t>Manufacturing</t>
        </is>
      </c>
      <c r="K365" s="1382" t="inlineStr">
        <is>
          <t>Manufacturing Group Projects</t>
        </is>
      </c>
      <c r="L365" s="1567" t="n"/>
      <c r="M365" s="1568" t="n"/>
      <c r="N365" s="865" t="inlineStr">
        <is>
          <t>Infrastructure</t>
        </is>
      </c>
      <c r="O365" s="865" t="inlineStr">
        <is>
          <t>Manufacturing</t>
        </is>
      </c>
      <c r="P365" s="865" t="inlineStr">
        <is>
          <t>Manufacturing &amp; Group Projects</t>
        </is>
      </c>
      <c r="Q365" s="865" t="inlineStr">
        <is>
          <t>Squad</t>
        </is>
      </c>
      <c r="R365" s="865" t="inlineStr">
        <is>
          <t>Vacant</t>
        </is>
      </c>
    </row>
    <row r="366" ht="18" customHeight="1" s="866">
      <c r="A366" s="1566" t="n">
        <v>0</v>
      </c>
      <c r="B366" s="1382" t="inlineStr">
        <is>
          <t>Chris Camacho</t>
        </is>
      </c>
      <c r="C366" s="1382" t="inlineStr">
        <is>
          <t>Senior Systems Analyst</t>
        </is>
      </c>
      <c r="D366" s="1382" t="inlineStr">
        <is>
          <t>Jaya Ganasan</t>
        </is>
      </c>
      <c r="E366" s="1382" t="inlineStr">
        <is>
          <t>Technology Manager, TDD Refinery</t>
        </is>
      </c>
      <c r="F366" s="1382" t="inlineStr">
        <is>
          <t>TDD CFE&amp;I</t>
        </is>
      </c>
      <c r="G366" s="1567" t="inlineStr">
        <is>
          <t>Fuel Infrastructure</t>
        </is>
      </c>
      <c r="H366" s="1567" t="inlineStr">
        <is>
          <t>Refinery Applications</t>
        </is>
      </c>
      <c r="I366" s="1567" t="inlineStr">
        <is>
          <t>Infrastructure</t>
        </is>
      </c>
      <c r="J366" s="1567" t="inlineStr">
        <is>
          <t>Manufacturing</t>
        </is>
      </c>
      <c r="K366" s="1382" t="inlineStr">
        <is>
          <t>Manuacturing Group Projects</t>
        </is>
      </c>
      <c r="L366" s="1567" t="n"/>
      <c r="M366" s="1568" t="n">
        <v>0</v>
      </c>
      <c r="N366" s="865" t="inlineStr">
        <is>
          <t>Infrastructure</t>
        </is>
      </c>
      <c r="O366" s="865" t="inlineStr">
        <is>
          <t>Manufacturing</t>
        </is>
      </c>
      <c r="P366" s="865" t="inlineStr">
        <is>
          <t>Manufacturing &amp; Group Projects</t>
        </is>
      </c>
      <c r="Q366" s="865" t="inlineStr">
        <is>
          <t>Squad</t>
        </is>
      </c>
      <c r="R366" s="865" t="inlineStr">
        <is>
          <t>Filled</t>
        </is>
      </c>
    </row>
    <row r="367" ht="18" customHeight="1" s="866">
      <c r="A367" s="1566" t="n">
        <v>116090</v>
      </c>
      <c r="B367" s="1382" t="inlineStr">
        <is>
          <t>Fabian Moreno Cortes</t>
        </is>
      </c>
      <c r="C367" s="1382" t="inlineStr">
        <is>
          <t>Engineer - Software</t>
        </is>
      </c>
      <c r="D367" s="1382" t="inlineStr">
        <is>
          <t>Jaya Ganasan</t>
        </is>
      </c>
      <c r="E367" s="1382" t="inlineStr">
        <is>
          <t>Technology Manager, TDD Refinery</t>
        </is>
      </c>
      <c r="F367" s="1382" t="inlineStr">
        <is>
          <t>TDD CFE&amp;I</t>
        </is>
      </c>
      <c r="G367" s="1567" t="inlineStr">
        <is>
          <t>Fuel Infrastructure</t>
        </is>
      </c>
      <c r="H367" s="1567" t="inlineStr">
        <is>
          <t>Refinery Applications</t>
        </is>
      </c>
      <c r="I367" s="1567" t="inlineStr">
        <is>
          <t>Infrastructure</t>
        </is>
      </c>
      <c r="J367" s="1567" t="inlineStr">
        <is>
          <t>Manufacturing</t>
        </is>
      </c>
      <c r="K367" s="1382" t="inlineStr">
        <is>
          <t>Manuacturing Group Projects</t>
        </is>
      </c>
      <c r="L367" s="1567" t="n"/>
      <c r="M367" s="1568" t="inlineStr">
        <is>
          <t>Australia</t>
        </is>
      </c>
      <c r="N367" s="865" t="inlineStr">
        <is>
          <t>Infrastructure</t>
        </is>
      </c>
      <c r="O367" s="865" t="inlineStr">
        <is>
          <t>Manufacturing</t>
        </is>
      </c>
      <c r="P367" s="865" t="inlineStr">
        <is>
          <t>Manufacturing &amp; Group Projects</t>
        </is>
      </c>
      <c r="Q367" s="865" t="inlineStr">
        <is>
          <t>Squad</t>
        </is>
      </c>
      <c r="R367" s="865" t="inlineStr">
        <is>
          <t>Filled</t>
        </is>
      </c>
    </row>
    <row r="368" ht="18" customHeight="1" s="866">
      <c r="A368" s="1566" t="n">
        <v>97776</v>
      </c>
      <c r="B368" s="1382" t="inlineStr">
        <is>
          <t>Anvitha Kurra</t>
        </is>
      </c>
      <c r="C368" s="1382" t="inlineStr">
        <is>
          <t>Senior Systems Analyst</t>
        </is>
      </c>
      <c r="D368" s="1382" t="inlineStr">
        <is>
          <t>Karla Orozco Loza</t>
        </is>
      </c>
      <c r="E368" s="1382" t="inlineStr">
        <is>
          <t>Technology Manager, Future Infrastructure</t>
        </is>
      </c>
      <c r="F368" s="1382" t="inlineStr">
        <is>
          <t>TDD CFE&amp;I</t>
        </is>
      </c>
      <c r="G368" s="1567" t="inlineStr">
        <is>
          <t>Fuel Infrastructure</t>
        </is>
      </c>
      <c r="H368" s="1567" t="inlineStr">
        <is>
          <t>Technology - Distribution</t>
        </is>
      </c>
      <c r="I368" s="1567" t="inlineStr">
        <is>
          <t>Infrastructure</t>
        </is>
      </c>
      <c r="J368" s="1382" t="inlineStr">
        <is>
          <t>Distribution</t>
        </is>
      </c>
      <c r="K368" s="1382" t="inlineStr">
        <is>
          <t>Distribution, Sales &amp; Services</t>
        </is>
      </c>
      <c r="L368" s="1567" t="n"/>
      <c r="M368" s="1568" t="inlineStr">
        <is>
          <t>Australia</t>
        </is>
      </c>
      <c r="N368" s="865" t="inlineStr">
        <is>
          <t>Infrastructure</t>
        </is>
      </c>
      <c r="O368" s="865" t="inlineStr">
        <is>
          <t>Distribution</t>
        </is>
      </c>
      <c r="P368" s="865" t="inlineStr">
        <is>
          <t>Distribution, Sales &amp; Services</t>
        </is>
      </c>
      <c r="Q368" s="865" t="inlineStr">
        <is>
          <t>Squad</t>
        </is>
      </c>
      <c r="R368" s="865" t="inlineStr">
        <is>
          <t>Filled</t>
        </is>
      </c>
    </row>
    <row r="369" ht="18" customHeight="1" s="866">
      <c r="A369" s="1566" t="n">
        <v>81395</v>
      </c>
      <c r="B369" s="1382" t="inlineStr">
        <is>
          <t>Angus Gibson</t>
        </is>
      </c>
      <c r="C369" s="1382" t="inlineStr">
        <is>
          <t>Senior Systems Analyst</t>
        </is>
      </c>
      <c r="D369" s="1382" t="inlineStr">
        <is>
          <t>Karla Orozco Loza</t>
        </is>
      </c>
      <c r="E369" s="1382" t="inlineStr">
        <is>
          <t>Technology Manager, Future Infrastructure</t>
        </is>
      </c>
      <c r="F369" s="1382" t="inlineStr">
        <is>
          <t>TDD CFE&amp;I</t>
        </is>
      </c>
      <c r="G369" s="1567" t="inlineStr">
        <is>
          <t>Fuel Infrastructure</t>
        </is>
      </c>
      <c r="H369" s="1567" t="inlineStr">
        <is>
          <t>Technology - Distribution</t>
        </is>
      </c>
      <c r="I369" s="1567" t="inlineStr">
        <is>
          <t>Infrastructure</t>
        </is>
      </c>
      <c r="J369" s="1382" t="inlineStr">
        <is>
          <t>Distribution</t>
        </is>
      </c>
      <c r="K369" s="1382" t="inlineStr">
        <is>
          <t>Distribution, Sales &amp; Services</t>
        </is>
      </c>
      <c r="L369" s="1567" t="n"/>
      <c r="M369" s="1568" t="inlineStr">
        <is>
          <t>Australia</t>
        </is>
      </c>
      <c r="N369" s="865" t="inlineStr">
        <is>
          <t>Infrastructure</t>
        </is>
      </c>
      <c r="O369" s="865" t="inlineStr">
        <is>
          <t>Distribution</t>
        </is>
      </c>
      <c r="P369" s="865" t="inlineStr">
        <is>
          <t>Distribution, Sales &amp; Services</t>
        </is>
      </c>
      <c r="Q369" s="865" t="inlineStr">
        <is>
          <t>Squad</t>
        </is>
      </c>
      <c r="R369" s="865" t="inlineStr">
        <is>
          <t>Filled</t>
        </is>
      </c>
    </row>
    <row r="370" ht="18" customHeight="1" s="866">
      <c r="A370" s="1566" t="n">
        <v>113202</v>
      </c>
      <c r="B370" s="1382" t="inlineStr">
        <is>
          <t>Rohan Patel</t>
        </is>
      </c>
      <c r="C370" s="1382" t="inlineStr">
        <is>
          <t>Senior Systems Analyst</t>
        </is>
      </c>
      <c r="D370" s="865" t="inlineStr">
        <is>
          <t>Karla Orozco Loza</t>
        </is>
      </c>
      <c r="E370" s="865" t="inlineStr">
        <is>
          <t>Technology Manager, Future Infrastructure</t>
        </is>
      </c>
      <c r="F370" s="1382" t="inlineStr">
        <is>
          <t>TDD CFE&amp;I</t>
        </is>
      </c>
      <c r="G370" s="1567" t="inlineStr">
        <is>
          <t>Fuel Infrastructure</t>
        </is>
      </c>
      <c r="H370" s="1567" t="inlineStr">
        <is>
          <t>Technology - Distribution</t>
        </is>
      </c>
      <c r="I370" s="1567" t="inlineStr">
        <is>
          <t>Infrastructure</t>
        </is>
      </c>
      <c r="J370" s="1557" t="inlineStr">
        <is>
          <t>Distribution</t>
        </is>
      </c>
      <c r="K370" s="1382" t="inlineStr">
        <is>
          <t>Distribution, Sales &amp; Services</t>
        </is>
      </c>
      <c r="L370" s="1567" t="n"/>
      <c r="M370" s="1568" t="inlineStr">
        <is>
          <t>Australia</t>
        </is>
      </c>
      <c r="N370" s="865" t="inlineStr">
        <is>
          <t>Infrastructure</t>
        </is>
      </c>
      <c r="O370" s="865" t="inlineStr">
        <is>
          <t>Distribution</t>
        </is>
      </c>
      <c r="P370" s="865" t="inlineStr">
        <is>
          <t>Distribution, Sales &amp; Services</t>
        </is>
      </c>
      <c r="Q370" s="865" t="inlineStr">
        <is>
          <t>Squad</t>
        </is>
      </c>
      <c r="R370" s="865" t="inlineStr">
        <is>
          <t>Filled</t>
        </is>
      </c>
    </row>
    <row r="371" ht="18" customHeight="1" s="866">
      <c r="A371" s="1566" t="n">
        <v>101059</v>
      </c>
      <c r="B371" s="1382" t="inlineStr">
        <is>
          <t>Sriramani Deyyala</t>
        </is>
      </c>
      <c r="C371" s="1382" t="inlineStr">
        <is>
          <t>Systems Analyst</t>
        </is>
      </c>
      <c r="D371" s="865" t="inlineStr">
        <is>
          <t>Karla Orozco Loza</t>
        </is>
      </c>
      <c r="E371" s="865" t="inlineStr">
        <is>
          <t>Technology Manager, Future Infrastructure</t>
        </is>
      </c>
      <c r="F371" s="1382" t="inlineStr">
        <is>
          <t>TDD CFE&amp;I</t>
        </is>
      </c>
      <c r="G371" s="1567" t="inlineStr">
        <is>
          <t>Fuel Infrastructure</t>
        </is>
      </c>
      <c r="H371" s="1567" t="inlineStr">
        <is>
          <t>Technology - Distribution</t>
        </is>
      </c>
      <c r="I371" s="1567" t="inlineStr">
        <is>
          <t>Infrastructure</t>
        </is>
      </c>
      <c r="J371" s="1567" t="inlineStr">
        <is>
          <t>Distribution</t>
        </is>
      </c>
      <c r="K371" s="1382" t="inlineStr">
        <is>
          <t>Distribution, Sales &amp; Services</t>
        </is>
      </c>
      <c r="L371" s="1567" t="n"/>
      <c r="M371" s="1568" t="inlineStr">
        <is>
          <t>Australia</t>
        </is>
      </c>
      <c r="N371" s="865" t="inlineStr">
        <is>
          <t>Infrastructure</t>
        </is>
      </c>
      <c r="O371" s="865" t="inlineStr">
        <is>
          <t>Distribution</t>
        </is>
      </c>
      <c r="P371" s="865" t="inlineStr">
        <is>
          <t>Distribution, Sales &amp; Services</t>
        </is>
      </c>
      <c r="Q371" s="865" t="inlineStr">
        <is>
          <t>Squad</t>
        </is>
      </c>
      <c r="R371" s="865" t="inlineStr">
        <is>
          <t>Filled</t>
        </is>
      </c>
    </row>
    <row r="372" ht="18" customHeight="1" s="866">
      <c r="A372" s="1566" t="n">
        <v>101539</v>
      </c>
      <c r="B372" s="1382" t="inlineStr">
        <is>
          <t>Vacant</t>
        </is>
      </c>
      <c r="C372" s="1382" t="inlineStr">
        <is>
          <t>Systems Analyst</t>
        </is>
      </c>
      <c r="D372" s="865" t="inlineStr">
        <is>
          <t>Karla Orozco Loza</t>
        </is>
      </c>
      <c r="E372" s="1382" t="inlineStr">
        <is>
          <t>Technology Manager, Future Infrastructure</t>
        </is>
      </c>
      <c r="F372" s="1382" t="inlineStr">
        <is>
          <t>TDD CFE&amp;I</t>
        </is>
      </c>
      <c r="G372" s="1567" t="inlineStr">
        <is>
          <t>Fuel Infrastructure</t>
        </is>
      </c>
      <c r="H372" s="1567" t="inlineStr">
        <is>
          <t>Fuel Infrastructure</t>
        </is>
      </c>
      <c r="I372" s="1567" t="inlineStr">
        <is>
          <t>Infrastructure</t>
        </is>
      </c>
      <c r="J372" s="1567" t="inlineStr">
        <is>
          <t>Distribution</t>
        </is>
      </c>
      <c r="K372" s="1382" t="inlineStr">
        <is>
          <t>Distribution, Sales &amp; Services</t>
        </is>
      </c>
      <c r="L372" s="1567" t="n"/>
      <c r="M372" s="1568" t="inlineStr">
        <is>
          <t>Australia</t>
        </is>
      </c>
      <c r="N372" s="865" t="inlineStr">
        <is>
          <t>Infrastructure</t>
        </is>
      </c>
      <c r="O372" s="865" t="inlineStr">
        <is>
          <t>Distribution</t>
        </is>
      </c>
      <c r="P372" s="865" t="inlineStr">
        <is>
          <t>Distribution, Sales &amp; Services</t>
        </is>
      </c>
      <c r="Q372" s="865" t="inlineStr">
        <is>
          <t>Squad</t>
        </is>
      </c>
      <c r="R372" s="865" t="inlineStr">
        <is>
          <t>Vacant</t>
        </is>
      </c>
    </row>
    <row r="373" ht="18" customHeight="1" s="866">
      <c r="A373" s="1566" t="n">
        <v>6748</v>
      </c>
      <c r="B373" s="1382" t="inlineStr">
        <is>
          <t>Elle Spencer</t>
        </is>
      </c>
      <c r="C373" s="1382" t="inlineStr">
        <is>
          <t>Technology Manager - B2B</t>
        </is>
      </c>
      <c r="D373" s="1557" t="inlineStr">
        <is>
          <t>Liesl Tye</t>
        </is>
      </c>
      <c r="E373" s="1382" t="inlineStr">
        <is>
          <t>Head of Technology, B2B &amp; Energy Solutions</t>
        </is>
      </c>
      <c r="F373" s="1382" t="inlineStr">
        <is>
          <t>TDD CFE&amp;I</t>
        </is>
      </c>
      <c r="G373" s="1567" t="inlineStr">
        <is>
          <t>B2B &amp; Energy Solutions</t>
        </is>
      </c>
      <c r="H373" s="1567" t="inlineStr">
        <is>
          <t>Technology, B2B</t>
        </is>
      </c>
      <c r="I373" s="1567" t="inlineStr">
        <is>
          <t>B2B &amp; Energy Solutions</t>
        </is>
      </c>
      <c r="J373" s="1567" t="inlineStr">
        <is>
          <t>Leadership</t>
        </is>
      </c>
      <c r="K373" s="1382" t="inlineStr">
        <is>
          <t>Leadership</t>
        </is>
      </c>
      <c r="L373" s="1567" t="n"/>
      <c r="M373" s="1568" t="inlineStr">
        <is>
          <t>Australia</t>
        </is>
      </c>
      <c r="N373" s="865" t="inlineStr">
        <is>
          <t>Energy Solutions &amp; B2B</t>
        </is>
      </c>
      <c r="O373" s="865" t="inlineStr">
        <is>
          <t>Leadership</t>
        </is>
      </c>
      <c r="P373" s="865" t="inlineStr">
        <is>
          <t>Leadership</t>
        </is>
      </c>
      <c r="Q373" s="865" t="inlineStr">
        <is>
          <t>Leadership</t>
        </is>
      </c>
      <c r="R373" s="865" t="inlineStr">
        <is>
          <t>Filled</t>
        </is>
      </c>
    </row>
    <row r="374" ht="18" customHeight="1" s="866">
      <c r="A374" s="1566" t="n">
        <v>115518</v>
      </c>
      <c r="B374" s="1382" t="inlineStr">
        <is>
          <t>Hitesh Patel</t>
        </is>
      </c>
      <c r="C374" s="1382" t="inlineStr">
        <is>
          <t>Technology Manager, Energy Solutions</t>
        </is>
      </c>
      <c r="D374" s="1567" t="inlineStr">
        <is>
          <t>Liesl Tye</t>
        </is>
      </c>
      <c r="E374" s="1382" t="inlineStr">
        <is>
          <t>Head of Technology, B2B &amp; Energy Solutions</t>
        </is>
      </c>
      <c r="F374" s="1382" t="inlineStr">
        <is>
          <t>TDD CFE&amp;I</t>
        </is>
      </c>
      <c r="G374" s="1567" t="inlineStr">
        <is>
          <t>Loyalty &amp; Martech</t>
        </is>
      </c>
      <c r="H374" s="1567" t="inlineStr">
        <is>
          <t>Technology Energy Solutions</t>
        </is>
      </c>
      <c r="I374" s="1567" t="n"/>
      <c r="J374" s="1594" t="n"/>
      <c r="K374" s="1382" t="n"/>
      <c r="L374" s="1567" t="n"/>
      <c r="M374" s="1568" t="n"/>
      <c r="N374" s="865" t="inlineStr">
        <is>
          <t>Customer</t>
        </is>
      </c>
      <c r="O374" s="865" t="inlineStr">
        <is>
          <t>Group Customer Platforms</t>
        </is>
      </c>
      <c r="P374" s="865" t="inlineStr">
        <is>
          <t>AU CRM &amp; Martech</t>
        </is>
      </c>
      <c r="Q374" s="865" t="inlineStr">
        <is>
          <t>Squad</t>
        </is>
      </c>
      <c r="R374" s="865" t="inlineStr">
        <is>
          <t>Filled</t>
        </is>
      </c>
    </row>
    <row r="375" ht="18" customHeight="1" s="866">
      <c r="A375" s="1566" t="n"/>
      <c r="B375" s="1382" t="inlineStr">
        <is>
          <t>Vacant</t>
        </is>
      </c>
      <c r="C375" s="1382" t="inlineStr">
        <is>
          <t>Delivery manager</t>
        </is>
      </c>
      <c r="D375" s="1567" t="inlineStr">
        <is>
          <t>Liesl Tye</t>
        </is>
      </c>
      <c r="E375" s="1382" t="inlineStr">
        <is>
          <t>Head of Technology, B2B &amp; Energy Solutions</t>
        </is>
      </c>
      <c r="F375" s="1382" t="inlineStr">
        <is>
          <t>TDD CFE&amp;I</t>
        </is>
      </c>
      <c r="G375" s="1567" t="inlineStr">
        <is>
          <t>B2B &amp; Energy Solutions</t>
        </is>
      </c>
      <c r="H375" s="1567" t="inlineStr">
        <is>
          <t>Leadership</t>
        </is>
      </c>
      <c r="I375" s="1567" t="inlineStr">
        <is>
          <t>B2B &amp; Energy Solutions</t>
        </is>
      </c>
      <c r="J375" s="1567" t="inlineStr">
        <is>
          <t>Leadership</t>
        </is>
      </c>
      <c r="K375" s="1382" t="inlineStr">
        <is>
          <t>Leadership</t>
        </is>
      </c>
      <c r="L375" s="1567" t="n"/>
      <c r="M375" s="1568" t="n"/>
      <c r="N375" s="865" t="inlineStr">
        <is>
          <t>Energy Solutions &amp; B2B</t>
        </is>
      </c>
      <c r="O375" s="865" t="inlineStr">
        <is>
          <t>Leadership</t>
        </is>
      </c>
      <c r="P375" s="865" t="inlineStr">
        <is>
          <t>Leadership</t>
        </is>
      </c>
      <c r="Q375" s="865" t="inlineStr">
        <is>
          <t>Leadership</t>
        </is>
      </c>
      <c r="R375" s="865" t="inlineStr">
        <is>
          <t>Vacant</t>
        </is>
      </c>
    </row>
    <row r="376" ht="18" customHeight="1" s="866">
      <c r="A376" s="1566" t="n"/>
      <c r="B376" s="1382" t="inlineStr">
        <is>
          <t>Vacant</t>
        </is>
      </c>
      <c r="C376" s="1382" t="inlineStr">
        <is>
          <t>Technology Manager, Engineering</t>
        </is>
      </c>
      <c r="D376" s="1567" t="inlineStr">
        <is>
          <t>Nakul Bharade</t>
        </is>
      </c>
      <c r="E376" s="1382" t="inlineStr">
        <is>
          <t>Head of Technology, Commercial Fuels</t>
        </is>
      </c>
      <c r="F376" s="1382" t="inlineStr">
        <is>
          <t>TDD CFE&amp;I</t>
        </is>
      </c>
      <c r="G376" s="1567" t="inlineStr">
        <is>
          <t>Loyalty &amp; Martech</t>
        </is>
      </c>
      <c r="H376" s="1595" t="inlineStr">
        <is>
          <t>Trading &amp; Shipping</t>
        </is>
      </c>
      <c r="I376" s="1567" t="inlineStr">
        <is>
          <t>Commercial Fuels</t>
        </is>
      </c>
      <c r="J376" s="1567" t="n"/>
      <c r="K376" s="1382" t="n"/>
      <c r="L376" s="1567" t="n"/>
      <c r="M376" s="1568" t="n"/>
      <c r="N376" s="865" t="inlineStr">
        <is>
          <t>Customer</t>
        </is>
      </c>
      <c r="O376" s="865" t="inlineStr">
        <is>
          <t>Group Customer Platforms</t>
        </is>
      </c>
      <c r="P376" s="865" t="inlineStr">
        <is>
          <t>AU CRM &amp; Martech</t>
        </is>
      </c>
      <c r="Q376" s="865" t="inlineStr">
        <is>
          <t>Squad</t>
        </is>
      </c>
      <c r="R376" s="865" t="inlineStr">
        <is>
          <t>Vacant</t>
        </is>
      </c>
    </row>
    <row r="377" ht="18" customHeight="1" s="866">
      <c r="A377" s="1566" t="n"/>
      <c r="B377" s="1382" t="inlineStr">
        <is>
          <t>Vacant</t>
        </is>
      </c>
      <c r="C377" s="1382" t="inlineStr">
        <is>
          <t>Delivery Manager</t>
        </is>
      </c>
      <c r="D377" s="1567" t="inlineStr">
        <is>
          <t>Nakul Bharade</t>
        </is>
      </c>
      <c r="E377" s="1382" t="inlineStr">
        <is>
          <t>Head of Technology, Commercial Fuels</t>
        </is>
      </c>
      <c r="F377" s="1382" t="inlineStr">
        <is>
          <t>TDD CFE&amp;I</t>
        </is>
      </c>
      <c r="G377" s="1567" t="inlineStr">
        <is>
          <t>Commercial Fuels</t>
        </is>
      </c>
      <c r="H377" s="1595" t="inlineStr">
        <is>
          <t>Trading &amp; Shipping</t>
        </is>
      </c>
      <c r="I377" s="1567" t="inlineStr">
        <is>
          <t>Commercial Fuels</t>
        </is>
      </c>
      <c r="J377" s="1567" t="n"/>
      <c r="K377" s="1382" t="n"/>
      <c r="L377" s="1567" t="n"/>
      <c r="M377" s="1568" t="n"/>
      <c r="N377" s="865" t="inlineStr">
        <is>
          <t>Commercial Fuels</t>
        </is>
      </c>
      <c r="O377" s="865" t="inlineStr">
        <is>
          <t>-</t>
        </is>
      </c>
      <c r="P377" s="865" t="inlineStr">
        <is>
          <t>Commercial Fuels</t>
        </is>
      </c>
      <c r="Q377" s="865" t="inlineStr">
        <is>
          <t>Unmapped</t>
        </is>
      </c>
      <c r="R377" s="865" t="inlineStr">
        <is>
          <t>Vacant</t>
        </is>
      </c>
    </row>
    <row r="378" ht="18" customHeight="1" s="866">
      <c r="A378" s="1566" t="n"/>
      <c r="B378" s="1382" t="inlineStr">
        <is>
          <t>Vacant</t>
        </is>
      </c>
      <c r="C378" s="1382" t="inlineStr">
        <is>
          <t>Technology Manager, Data</t>
        </is>
      </c>
      <c r="D378" s="1567" t="inlineStr">
        <is>
          <t>Nakul Bharade</t>
        </is>
      </c>
      <c r="E378" s="1382" t="inlineStr">
        <is>
          <t>Head of Technology, Commercial Fuels</t>
        </is>
      </c>
      <c r="F378" s="1382" t="inlineStr">
        <is>
          <t>TDD CFE&amp;I</t>
        </is>
      </c>
      <c r="G378" s="1567" t="inlineStr">
        <is>
          <t>Commercial Fuels</t>
        </is>
      </c>
      <c r="H378" s="1595" t="inlineStr">
        <is>
          <t>Trading &amp; Shipping</t>
        </is>
      </c>
      <c r="I378" s="1567" t="inlineStr">
        <is>
          <t>Commercial Fuels</t>
        </is>
      </c>
      <c r="J378" s="1567" t="n"/>
      <c r="K378" s="1567" t="n"/>
      <c r="L378" s="1567" t="n"/>
      <c r="M378" s="1568" t="n"/>
      <c r="N378" s="865" t="inlineStr">
        <is>
          <t>Commercial Fuels</t>
        </is>
      </c>
      <c r="O378" s="865" t="inlineStr">
        <is>
          <t>-</t>
        </is>
      </c>
      <c r="P378" s="865" t="inlineStr">
        <is>
          <t>Commercial Fuels</t>
        </is>
      </c>
      <c r="Q378" s="865" t="inlineStr">
        <is>
          <t>Unmapped</t>
        </is>
      </c>
      <c r="R378" s="865" t="inlineStr">
        <is>
          <t>Vacant</t>
        </is>
      </c>
    </row>
    <row r="379" ht="18" customHeight="1" s="866">
      <c r="A379" s="1566" t="n">
        <v>106404</v>
      </c>
      <c r="B379" s="1382" t="inlineStr">
        <is>
          <t>Carl Russo</t>
        </is>
      </c>
      <c r="C379" s="1382" t="inlineStr">
        <is>
          <t>Program Manager - CTRM</t>
        </is>
      </c>
      <c r="D379" s="1382" t="inlineStr">
        <is>
          <t>Roanne Steele</t>
        </is>
      </c>
      <c r="E379" s="1382" t="inlineStr">
        <is>
          <t>GM TDD, CFE&amp;I</t>
        </is>
      </c>
      <c r="F379" s="1382" t="inlineStr">
        <is>
          <t>TDD CFE&amp;I</t>
        </is>
      </c>
      <c r="G379" s="1567" t="inlineStr">
        <is>
          <t>Leadership</t>
        </is>
      </c>
      <c r="H379" s="1567" t="inlineStr">
        <is>
          <t>Leadership</t>
        </is>
      </c>
      <c r="I379" s="1567" t="n"/>
      <c r="J379" s="1567" t="n"/>
      <c r="K379" s="1382" t="n"/>
      <c r="L379" s="1567" t="n"/>
      <c r="M379" s="1568" t="inlineStr">
        <is>
          <t>Australia</t>
        </is>
      </c>
      <c r="N379" s="865" t="inlineStr">
        <is>
          <t>Unmapped</t>
        </is>
      </c>
      <c r="O379" s="865" t="inlineStr">
        <is>
          <t>-</t>
        </is>
      </c>
      <c r="P379" s="865" t="inlineStr">
        <is>
          <t>Leadership</t>
        </is>
      </c>
      <c r="Q379" s="865" t="inlineStr">
        <is>
          <t>Unmapped</t>
        </is>
      </c>
      <c r="R379" s="865" t="inlineStr">
        <is>
          <t>Filled</t>
        </is>
      </c>
    </row>
    <row r="380" ht="18" customHeight="1" s="866">
      <c r="A380" s="1566" t="n">
        <v>97098</v>
      </c>
      <c r="B380" s="1382" t="inlineStr">
        <is>
          <t>Amish Pandit</t>
        </is>
      </c>
      <c r="C380" s="1382" t="inlineStr">
        <is>
          <t>Head of Technology, Fuel Infrastructure</t>
        </is>
      </c>
      <c r="D380" s="865" t="inlineStr">
        <is>
          <t>Roanne Steele</t>
        </is>
      </c>
      <c r="E380" s="1382" t="inlineStr">
        <is>
          <t>GM TDD, CFE&amp;I</t>
        </is>
      </c>
      <c r="F380" s="1382" t="inlineStr">
        <is>
          <t>TDD CFE&amp;I</t>
        </is>
      </c>
      <c r="G380" s="1567" t="inlineStr">
        <is>
          <t>Fuel Infrastructure</t>
        </is>
      </c>
      <c r="H380" s="1567" t="inlineStr">
        <is>
          <t>Leadership</t>
        </is>
      </c>
      <c r="I380" s="1567" t="inlineStr">
        <is>
          <t>Infrastructure</t>
        </is>
      </c>
      <c r="J380" s="1382" t="inlineStr">
        <is>
          <t xml:space="preserve">Leadership </t>
        </is>
      </c>
      <c r="K380" s="1567" t="inlineStr">
        <is>
          <t>Leadership</t>
        </is>
      </c>
      <c r="L380" s="1567" t="n"/>
      <c r="M380" s="1568" t="inlineStr">
        <is>
          <t>Australia</t>
        </is>
      </c>
      <c r="N380" s="865" t="inlineStr">
        <is>
          <t>Infrastructure</t>
        </is>
      </c>
      <c r="O380" s="865" t="inlineStr">
        <is>
          <t>Leadership</t>
        </is>
      </c>
      <c r="P380" s="865" t="inlineStr">
        <is>
          <t>Leadership</t>
        </is>
      </c>
      <c r="Q380" s="865" t="inlineStr">
        <is>
          <t>Leadership</t>
        </is>
      </c>
      <c r="R380" s="865" t="inlineStr">
        <is>
          <t>Filled</t>
        </is>
      </c>
    </row>
    <row r="381" ht="18" customHeight="1" s="866">
      <c r="A381" s="1566" t="n">
        <v>99999101304</v>
      </c>
      <c r="B381" s="1382" t="inlineStr">
        <is>
          <t>Liesl Tye</t>
        </is>
      </c>
      <c r="C381" s="1382" t="inlineStr">
        <is>
          <t>Head of Technology, B2B &amp; Energy Solutions</t>
        </is>
      </c>
      <c r="D381" s="1382" t="inlineStr">
        <is>
          <t xml:space="preserve">Roanne Steele </t>
        </is>
      </c>
      <c r="E381" s="1382" t="inlineStr">
        <is>
          <t>GM TDD, CFE&amp;I</t>
        </is>
      </c>
      <c r="F381" s="1382" t="inlineStr">
        <is>
          <t>TDD CFE&amp;I</t>
        </is>
      </c>
      <c r="G381" s="1567" t="inlineStr">
        <is>
          <t>B2B &amp; Energy Solutions</t>
        </is>
      </c>
      <c r="H381" s="1567" t="inlineStr">
        <is>
          <t>Leadership</t>
        </is>
      </c>
      <c r="I381" s="1567" t="inlineStr">
        <is>
          <t>B2B &amp; Energy Solutions</t>
        </is>
      </c>
      <c r="J381" s="1567" t="inlineStr">
        <is>
          <t>Leadership</t>
        </is>
      </c>
      <c r="K381" s="1382" t="inlineStr">
        <is>
          <t>Leadership</t>
        </is>
      </c>
      <c r="L381" s="1567" t="n"/>
      <c r="M381" s="1568" t="inlineStr">
        <is>
          <t>NZ</t>
        </is>
      </c>
      <c r="N381" s="865" t="inlineStr">
        <is>
          <t>Energy Solutions &amp; B2B</t>
        </is>
      </c>
      <c r="O381" s="865" t="inlineStr">
        <is>
          <t>Leadership</t>
        </is>
      </c>
      <c r="P381" s="865" t="inlineStr">
        <is>
          <t>Leadership</t>
        </is>
      </c>
      <c r="Q381" s="865" t="inlineStr">
        <is>
          <t>Leadership</t>
        </is>
      </c>
      <c r="R381" s="865" t="inlineStr">
        <is>
          <t>Filled</t>
        </is>
      </c>
    </row>
    <row r="382" ht="18" customHeight="1" s="866">
      <c r="A382" s="1566" t="n">
        <v>99999101224</v>
      </c>
      <c r="B382" s="1382" t="inlineStr">
        <is>
          <t>Nakul Bharade</t>
        </is>
      </c>
      <c r="C382" s="1382" t="inlineStr">
        <is>
          <t>Head of Technology, Commercial Fuels</t>
        </is>
      </c>
      <c r="D382" s="865" t="inlineStr">
        <is>
          <t xml:space="preserve">Roanne Steele </t>
        </is>
      </c>
      <c r="E382" s="865" t="inlineStr">
        <is>
          <t>GM TDD, CFE&amp;I</t>
        </is>
      </c>
      <c r="F382" s="1382" t="inlineStr">
        <is>
          <t>TDD CFE&amp;I</t>
        </is>
      </c>
      <c r="G382" s="1567" t="inlineStr">
        <is>
          <t>Commercial Fuels</t>
        </is>
      </c>
      <c r="H382" s="1595" t="n"/>
      <c r="I382" s="1567" t="inlineStr">
        <is>
          <t>Commercial Fuels</t>
        </is>
      </c>
      <c r="J382" s="1567" t="inlineStr">
        <is>
          <t>Ampol Digital</t>
        </is>
      </c>
      <c r="K382" s="1567" t="inlineStr">
        <is>
          <t>Trading &amp; Shipping</t>
        </is>
      </c>
      <c r="L382" s="1567" t="n"/>
      <c r="M382" s="1568" t="inlineStr">
        <is>
          <t>NZ</t>
        </is>
      </c>
      <c r="N382" s="865" t="inlineStr">
        <is>
          <t>Commercial Fuels</t>
        </is>
      </c>
      <c r="O382" s="865" t="inlineStr">
        <is>
          <t>Trading &amp; Shipping</t>
        </is>
      </c>
      <c r="P382" s="865" t="inlineStr">
        <is>
          <t>Trading &amp; Shipping</t>
        </is>
      </c>
      <c r="Q382" s="865" t="inlineStr">
        <is>
          <t>Squad</t>
        </is>
      </c>
      <c r="R382" s="865" t="inlineStr">
        <is>
          <t>Filled</t>
        </is>
      </c>
    </row>
    <row r="383" ht="18" customHeight="1" s="866">
      <c r="A383" s="1566" t="n">
        <v>14100</v>
      </c>
      <c r="B383" s="1382" t="inlineStr">
        <is>
          <t>Belinda Ford</t>
        </is>
      </c>
      <c r="C383" s="1382" t="inlineStr">
        <is>
          <t>Quality Assurance</t>
        </is>
      </c>
      <c r="D383" s="865" t="inlineStr">
        <is>
          <t>Vacant</t>
        </is>
      </c>
      <c r="E383" s="865" t="inlineStr">
        <is>
          <t>Technology Manager, Energy Solutions</t>
        </is>
      </c>
      <c r="F383" s="1382" t="inlineStr">
        <is>
          <t>TDD CFE&amp;I</t>
        </is>
      </c>
      <c r="G383" s="1567" t="inlineStr">
        <is>
          <t>B2B &amp; Energy Solutions</t>
        </is>
      </c>
      <c r="H383" s="1567" t="inlineStr">
        <is>
          <t>Technology, CF Engineering</t>
        </is>
      </c>
      <c r="I383" s="1567" t="inlineStr">
        <is>
          <t>B2B &amp; Energy Solutions</t>
        </is>
      </c>
      <c r="J383" s="1382" t="inlineStr">
        <is>
          <t>B2B</t>
        </is>
      </c>
      <c r="K383" s="1382" t="inlineStr">
        <is>
          <t>B2B</t>
        </is>
      </c>
      <c r="L383" s="1567" t="n"/>
      <c r="M383" s="1568" t="inlineStr">
        <is>
          <t>Australia</t>
        </is>
      </c>
      <c r="N383" s="865" t="inlineStr">
        <is>
          <t>Energy Solutions &amp; B2B</t>
        </is>
      </c>
      <c r="O383" s="865" t="inlineStr">
        <is>
          <t>B2B</t>
        </is>
      </c>
      <c r="P383" s="865" t="inlineStr">
        <is>
          <t>B2B</t>
        </is>
      </c>
      <c r="Q383" s="865" t="inlineStr">
        <is>
          <t>Squad</t>
        </is>
      </c>
      <c r="R383" s="865" t="inlineStr">
        <is>
          <t>Filled</t>
        </is>
      </c>
    </row>
    <row r="384" ht="18" customHeight="1" s="866">
      <c r="A384" s="1566" t="n"/>
      <c r="B384" s="1382" t="inlineStr">
        <is>
          <t>Vacant</t>
        </is>
      </c>
      <c r="C384" s="1382" t="inlineStr">
        <is>
          <t>Quality Assurance</t>
        </is>
      </c>
      <c r="D384" s="1557" t="inlineStr">
        <is>
          <t>Vacant</t>
        </is>
      </c>
      <c r="E384" s="865" t="inlineStr">
        <is>
          <t>Technology Manager, Engineering</t>
        </is>
      </c>
      <c r="F384" s="1382" t="inlineStr">
        <is>
          <t>TDD CFE&amp;I</t>
        </is>
      </c>
      <c r="G384" s="1567" t="inlineStr">
        <is>
          <t>Commercial Fuels</t>
        </is>
      </c>
      <c r="H384" s="1567" t="inlineStr">
        <is>
          <t>Technology, Engineering</t>
        </is>
      </c>
      <c r="I384" s="1567" t="inlineStr">
        <is>
          <t>Commercial Fuels</t>
        </is>
      </c>
      <c r="J384" s="1567" t="inlineStr">
        <is>
          <t>Trading &amp; Shipping</t>
        </is>
      </c>
      <c r="K384" s="1382" t="inlineStr">
        <is>
          <t>Trading &amp; Shipping</t>
        </is>
      </c>
      <c r="L384" s="1567" t="n"/>
      <c r="M384" s="1568" t="n"/>
      <c r="N384" s="865" t="inlineStr">
        <is>
          <t>Commercial Fuels</t>
        </is>
      </c>
      <c r="O384" s="865" t="inlineStr">
        <is>
          <t>Trading &amp; Shipping</t>
        </is>
      </c>
      <c r="P384" s="865" t="inlineStr">
        <is>
          <t>Trading &amp; Shipping</t>
        </is>
      </c>
      <c r="Q384" s="865" t="inlineStr">
        <is>
          <t>Squad</t>
        </is>
      </c>
      <c r="R384" s="865" t="inlineStr">
        <is>
          <t>Vacant</t>
        </is>
      </c>
    </row>
    <row r="385" ht="18" customHeight="1" s="866">
      <c r="A385" s="1566" t="n">
        <v>116253</v>
      </c>
      <c r="B385" s="1382" t="inlineStr">
        <is>
          <t>Siva Chimmani</t>
        </is>
      </c>
      <c r="C385" s="1382" t="inlineStr">
        <is>
          <t>Senior Engineer</t>
        </is>
      </c>
      <c r="D385" s="865" t="inlineStr">
        <is>
          <t>Vacant</t>
        </is>
      </c>
      <c r="E385" s="865" t="inlineStr">
        <is>
          <t>Technology Manager, Future Infrastructure</t>
        </is>
      </c>
      <c r="F385" s="1382" t="inlineStr">
        <is>
          <t>TDD CFE&amp;I</t>
        </is>
      </c>
      <c r="G385" s="1567" t="inlineStr">
        <is>
          <t>Fuel Infrastructure</t>
        </is>
      </c>
      <c r="H385" s="1567" t="inlineStr">
        <is>
          <t>Technology - Distribution</t>
        </is>
      </c>
      <c r="I385" s="1567" t="inlineStr">
        <is>
          <t>Infrastructure</t>
        </is>
      </c>
      <c r="J385" s="1567" t="inlineStr">
        <is>
          <t>Distribution</t>
        </is>
      </c>
      <c r="K385" s="1382" t="inlineStr">
        <is>
          <t>Distribution, Sales &amp; Services</t>
        </is>
      </c>
      <c r="L385" s="1567" t="n"/>
      <c r="M385" s="1568" t="inlineStr">
        <is>
          <t>Australia</t>
        </is>
      </c>
      <c r="N385" s="865" t="inlineStr">
        <is>
          <t>Infrastructure</t>
        </is>
      </c>
      <c r="O385" s="865" t="inlineStr">
        <is>
          <t>Distribution</t>
        </is>
      </c>
      <c r="P385" s="865" t="inlineStr">
        <is>
          <t>Distribution, Sales &amp; Services</t>
        </is>
      </c>
      <c r="Q385" s="865" t="inlineStr">
        <is>
          <t>Squad</t>
        </is>
      </c>
      <c r="R385" s="865" t="inlineStr">
        <is>
          <t>Filled</t>
        </is>
      </c>
    </row>
    <row r="386" ht="18" customHeight="1" s="866">
      <c r="A386" s="1566" t="n"/>
      <c r="B386" s="1382" t="inlineStr">
        <is>
          <t>Vacant</t>
        </is>
      </c>
      <c r="C386" s="1382" t="inlineStr">
        <is>
          <t>System Specialist</t>
        </is>
      </c>
      <c r="D386" s="865" t="inlineStr">
        <is>
          <t>Vacant</t>
        </is>
      </c>
      <c r="E386" s="865" t="inlineStr">
        <is>
          <t>Technology Manager, T&amp;S</t>
        </is>
      </c>
      <c r="F386" s="1382" t="inlineStr">
        <is>
          <t>TDD CFE&amp;I</t>
        </is>
      </c>
      <c r="G386" s="1567" t="inlineStr">
        <is>
          <t>Commercial Fuels</t>
        </is>
      </c>
      <c r="H386" s="1567" t="inlineStr">
        <is>
          <t>Technology, Trading &amp; Shipping</t>
        </is>
      </c>
      <c r="I386" s="1567" t="inlineStr">
        <is>
          <t>Commercial Fuels</t>
        </is>
      </c>
      <c r="J386" s="1567" t="inlineStr">
        <is>
          <t>Supply</t>
        </is>
      </c>
      <c r="K386" s="1382" t="inlineStr">
        <is>
          <t>Supply</t>
        </is>
      </c>
      <c r="L386" s="1567" t="n"/>
      <c r="M386" s="1568" t="n"/>
      <c r="N386" s="865" t="inlineStr">
        <is>
          <t>Commercial Fuels</t>
        </is>
      </c>
      <c r="O386" s="865" t="inlineStr">
        <is>
          <t>Supply</t>
        </is>
      </c>
      <c r="P386" s="865" t="inlineStr">
        <is>
          <t>Supply</t>
        </is>
      </c>
      <c r="Q386" s="865" t="inlineStr">
        <is>
          <t>Squad</t>
        </is>
      </c>
      <c r="R386" s="865" t="inlineStr">
        <is>
          <t>Vacant</t>
        </is>
      </c>
    </row>
    <row r="387" ht="18" customHeight="1" s="866">
      <c r="A387" s="1566" t="n">
        <v>106791</v>
      </c>
      <c r="B387" s="1382" t="inlineStr">
        <is>
          <t>Victor Beuk</t>
        </is>
      </c>
      <c r="C387" s="1382" t="inlineStr">
        <is>
          <t>Delivery Lead</t>
        </is>
      </c>
      <c r="D387" s="1567" t="inlineStr">
        <is>
          <t>vacant</t>
        </is>
      </c>
      <c r="E387" s="1382" t="inlineStr">
        <is>
          <t>Delivery Manager</t>
        </is>
      </c>
      <c r="F387" s="1382" t="inlineStr">
        <is>
          <t>TDD CFE&amp;I</t>
        </is>
      </c>
      <c r="G387" s="1567" t="inlineStr">
        <is>
          <t>B2B &amp; Energy Solutions</t>
        </is>
      </c>
      <c r="H387" s="1567" t="inlineStr">
        <is>
          <t>Delivery</t>
        </is>
      </c>
      <c r="I387" s="1567" t="inlineStr">
        <is>
          <t>RETAIL</t>
        </is>
      </c>
      <c r="J387" s="1567" t="inlineStr">
        <is>
          <t>AMPOS</t>
        </is>
      </c>
      <c r="K387" s="1382" t="inlineStr">
        <is>
          <t>AmPos</t>
        </is>
      </c>
      <c r="L387" s="1567" t="n"/>
      <c r="M387" s="1568" t="inlineStr">
        <is>
          <t>Australia</t>
        </is>
      </c>
      <c r="N387" s="865" t="inlineStr">
        <is>
          <t>Ampol Retail</t>
        </is>
      </c>
      <c r="O387" s="865" t="inlineStr">
        <is>
          <t>AmPOS</t>
        </is>
      </c>
      <c r="P387" s="865" t="inlineStr">
        <is>
          <t>AmPOS</t>
        </is>
      </c>
      <c r="Q387" s="865" t="inlineStr">
        <is>
          <t>Strategic Program</t>
        </is>
      </c>
      <c r="R387" s="865" t="inlineStr">
        <is>
          <t>Filled</t>
        </is>
      </c>
    </row>
    <row r="388" ht="18" customHeight="1" s="866">
      <c r="A388" s="1566" t="n">
        <v>105532</v>
      </c>
      <c r="B388" s="1382" t="inlineStr">
        <is>
          <t>Debbie Gor</t>
        </is>
      </c>
      <c r="C388" s="1382" t="inlineStr">
        <is>
          <t>Delivery Lead</t>
        </is>
      </c>
      <c r="D388" s="1567" t="inlineStr">
        <is>
          <t>Vacant</t>
        </is>
      </c>
      <c r="E388" s="1382" t="inlineStr">
        <is>
          <t>Delivery Manager</t>
        </is>
      </c>
      <c r="F388" s="1382" t="inlineStr">
        <is>
          <t>TDD CFE&amp;I</t>
        </is>
      </c>
      <c r="G388" s="1567" t="inlineStr">
        <is>
          <t>B2B &amp; Energy Solutions</t>
        </is>
      </c>
      <c r="H388" s="1567" t="inlineStr">
        <is>
          <t>Delivery</t>
        </is>
      </c>
      <c r="I388" s="1567" t="inlineStr">
        <is>
          <t>B2B &amp; Energy Solutions</t>
        </is>
      </c>
      <c r="J388" s="1382" t="inlineStr">
        <is>
          <t>B2B</t>
        </is>
      </c>
      <c r="K388" s="1382" t="inlineStr">
        <is>
          <t>B2B</t>
        </is>
      </c>
      <c r="L388" s="1567" t="n"/>
      <c r="M388" s="1568" t="inlineStr">
        <is>
          <t>Australia</t>
        </is>
      </c>
      <c r="N388" s="865" t="inlineStr">
        <is>
          <t>Energy Solutions &amp; B2B</t>
        </is>
      </c>
      <c r="O388" s="865" t="inlineStr">
        <is>
          <t>B2B</t>
        </is>
      </c>
      <c r="P388" s="865" t="inlineStr">
        <is>
          <t>B2B</t>
        </is>
      </c>
      <c r="Q388" s="865" t="inlineStr">
        <is>
          <t>Squad</t>
        </is>
      </c>
      <c r="R388" s="865" t="inlineStr">
        <is>
          <t>Filled</t>
        </is>
      </c>
    </row>
    <row r="389" ht="18" customHeight="1" s="866">
      <c r="A389" s="1566" t="n"/>
      <c r="B389" s="1382" t="inlineStr">
        <is>
          <t>Vacant</t>
        </is>
      </c>
      <c r="C389" s="1382" t="inlineStr">
        <is>
          <t>Delivery Lead</t>
        </is>
      </c>
      <c r="D389" s="1567" t="inlineStr">
        <is>
          <t>vacant</t>
        </is>
      </c>
      <c r="E389" s="1382" t="inlineStr">
        <is>
          <t>Delivery Manager</t>
        </is>
      </c>
      <c r="F389" s="1382" t="inlineStr">
        <is>
          <t>TDD CFE&amp;I</t>
        </is>
      </c>
      <c r="G389" s="1567" t="inlineStr">
        <is>
          <t>Commercial Fuels</t>
        </is>
      </c>
      <c r="H389" s="1567" t="inlineStr">
        <is>
          <t>Trading &amp; Shipping</t>
        </is>
      </c>
      <c r="I389" s="1567" t="inlineStr">
        <is>
          <t>Commercial Fuels</t>
        </is>
      </c>
      <c r="J389" s="1567" t="inlineStr">
        <is>
          <t>Supply</t>
        </is>
      </c>
      <c r="K389" s="1567" t="inlineStr">
        <is>
          <t>Supply</t>
        </is>
      </c>
      <c r="L389" s="1382" t="n"/>
      <c r="M389" s="1568" t="n"/>
      <c r="N389" s="865" t="inlineStr">
        <is>
          <t>Commercial Fuels</t>
        </is>
      </c>
      <c r="O389" s="865" t="inlineStr">
        <is>
          <t>Supply</t>
        </is>
      </c>
      <c r="P389" s="865" t="inlineStr">
        <is>
          <t>Supply</t>
        </is>
      </c>
      <c r="Q389" s="865" t="inlineStr">
        <is>
          <t>Squad</t>
        </is>
      </c>
      <c r="R389" s="865" t="inlineStr">
        <is>
          <t>Vacant</t>
        </is>
      </c>
    </row>
    <row r="390" ht="18" customHeight="1" s="866">
      <c r="A390" s="1566" t="n">
        <v>107550</v>
      </c>
      <c r="B390" s="1382" t="inlineStr">
        <is>
          <t>Gunjan Vasudeva</t>
        </is>
      </c>
      <c r="C390" s="1382" t="inlineStr">
        <is>
          <t>Lead Quality Assurance</t>
        </is>
      </c>
      <c r="D390" s="1567" t="inlineStr">
        <is>
          <t>vacant</t>
        </is>
      </c>
      <c r="E390" s="1382" t="inlineStr">
        <is>
          <t>Technology Manager, Energy Solutions</t>
        </is>
      </c>
      <c r="F390" s="1382" t="inlineStr">
        <is>
          <t>TDD CFE&amp;I</t>
        </is>
      </c>
      <c r="G390" s="1567" t="inlineStr">
        <is>
          <t>B2B &amp; Energy Solutions</t>
        </is>
      </c>
      <c r="H390" s="1567" t="inlineStr">
        <is>
          <t>Technology Energy Solutions</t>
        </is>
      </c>
      <c r="I390" s="1567" t="inlineStr">
        <is>
          <t>B2B &amp; Energy Solutions</t>
        </is>
      </c>
      <c r="J390" s="1567" t="inlineStr">
        <is>
          <t>Energy Solutions</t>
        </is>
      </c>
      <c r="K390" s="1382" t="inlineStr">
        <is>
          <t>Energy</t>
        </is>
      </c>
      <c r="L390" s="1567" t="n"/>
      <c r="M390" s="1568" t="inlineStr">
        <is>
          <t>Australia</t>
        </is>
      </c>
      <c r="N390" s="865" t="inlineStr">
        <is>
          <t>Energy Solutions &amp; B2B</t>
        </is>
      </c>
      <c r="O390" s="865" t="inlineStr">
        <is>
          <t>Energy Solutions</t>
        </is>
      </c>
      <c r="P390" s="865" t="inlineStr">
        <is>
          <t>Energy</t>
        </is>
      </c>
      <c r="Q390" s="865" t="inlineStr">
        <is>
          <t>Squad</t>
        </is>
      </c>
      <c r="R390" s="865" t="inlineStr">
        <is>
          <t>Filled</t>
        </is>
      </c>
    </row>
    <row r="391" ht="18" customHeight="1" s="866">
      <c r="A391" s="1566" t="n"/>
      <c r="B391" s="1382" t="inlineStr">
        <is>
          <t>Vacant</t>
        </is>
      </c>
      <c r="C391" s="1382" t="inlineStr">
        <is>
          <t>Engineer Software</t>
        </is>
      </c>
      <c r="D391" s="1382" t="inlineStr">
        <is>
          <t>Vacant</t>
        </is>
      </c>
      <c r="E391" s="1382" t="inlineStr">
        <is>
          <t>Technology Manager, Energy Solutions</t>
        </is>
      </c>
      <c r="F391" s="1382" t="inlineStr">
        <is>
          <t>TDD CFE&amp;I</t>
        </is>
      </c>
      <c r="G391" s="1567" t="inlineStr">
        <is>
          <t>Loyalty &amp; Martech</t>
        </is>
      </c>
      <c r="H391" s="1567" t="inlineStr">
        <is>
          <t>Technology B2B</t>
        </is>
      </c>
      <c r="I391" s="1567" t="inlineStr">
        <is>
          <t>B2B &amp; Energy Solutions</t>
        </is>
      </c>
      <c r="J391" s="1382" t="inlineStr">
        <is>
          <t>B2B</t>
        </is>
      </c>
      <c r="K391" s="1382" t="inlineStr">
        <is>
          <t>B2B</t>
        </is>
      </c>
      <c r="L391" s="1567" t="n"/>
      <c r="M391" s="1568" t="n"/>
      <c r="N391" s="865" t="inlineStr">
        <is>
          <t>Energy Solutions &amp; B2B</t>
        </is>
      </c>
      <c r="O391" s="865" t="inlineStr">
        <is>
          <t>B2B</t>
        </is>
      </c>
      <c r="P391" s="865" t="inlineStr">
        <is>
          <t>B2B</t>
        </is>
      </c>
      <c r="Q391" s="865" t="inlineStr">
        <is>
          <t>Squad</t>
        </is>
      </c>
      <c r="R391" s="865" t="inlineStr">
        <is>
          <t>Vacant</t>
        </is>
      </c>
    </row>
    <row r="392" ht="18" customHeight="1" s="866">
      <c r="A392" s="1566" t="n"/>
      <c r="B392" s="1382" t="inlineStr">
        <is>
          <t>Vacant</t>
        </is>
      </c>
      <c r="C392" s="1382" t="inlineStr">
        <is>
          <t>Engineer Automation - Testing</t>
        </is>
      </c>
      <c r="D392" s="1567" t="inlineStr">
        <is>
          <t>Vacant</t>
        </is>
      </c>
      <c r="E392" s="1382" t="inlineStr">
        <is>
          <t>Technology Manager, Energy Solutions</t>
        </is>
      </c>
      <c r="F392" s="1382" t="inlineStr">
        <is>
          <t>TDD CFE&amp;I</t>
        </is>
      </c>
      <c r="G392" s="1567" t="inlineStr">
        <is>
          <t>B2B &amp; Energy Solutions</t>
        </is>
      </c>
      <c r="H392" s="1567" t="inlineStr">
        <is>
          <t>Technology Energy Solutions</t>
        </is>
      </c>
      <c r="I392" s="1567" t="inlineStr">
        <is>
          <t>B2B &amp; Energy Solutions</t>
        </is>
      </c>
      <c r="J392" s="1567" t="inlineStr">
        <is>
          <t>Ampol Digital</t>
        </is>
      </c>
      <c r="K392" s="1382" t="inlineStr">
        <is>
          <t>Energy</t>
        </is>
      </c>
      <c r="L392" s="1567" t="n"/>
      <c r="M392" s="1568" t="n"/>
      <c r="N392" s="865" t="inlineStr">
        <is>
          <t>Energy Solutions &amp; B2B</t>
        </is>
      </c>
      <c r="O392" s="865" t="inlineStr">
        <is>
          <t>Energy Solutions</t>
        </is>
      </c>
      <c r="P392" s="865" t="inlineStr">
        <is>
          <t>Energy</t>
        </is>
      </c>
      <c r="Q392" s="865" t="inlineStr">
        <is>
          <t>Squad</t>
        </is>
      </c>
      <c r="R392" s="865" t="inlineStr">
        <is>
          <t>Vacant</t>
        </is>
      </c>
    </row>
    <row r="393" ht="18" customHeight="1" s="866">
      <c r="A393" s="1566" t="n">
        <v>99999101545</v>
      </c>
      <c r="B393" s="1382" t="inlineStr">
        <is>
          <t>Josh Campbell</t>
        </is>
      </c>
      <c r="C393" s="1382" t="inlineStr">
        <is>
          <t>Engineer Software</t>
        </is>
      </c>
      <c r="D393" s="1567" t="inlineStr">
        <is>
          <t>vacant</t>
        </is>
      </c>
      <c r="E393" s="1382" t="inlineStr">
        <is>
          <t>Technology Manager, Energy Solutions</t>
        </is>
      </c>
      <c r="F393" s="1382" t="inlineStr">
        <is>
          <t>TDD CFE&amp;I</t>
        </is>
      </c>
      <c r="G393" s="1567" t="inlineStr">
        <is>
          <t>B2B &amp; Energy Solutions</t>
        </is>
      </c>
      <c r="H393" s="1567" t="inlineStr">
        <is>
          <t>Technology Energy Solutions</t>
        </is>
      </c>
      <c r="I393" s="1567" t="inlineStr">
        <is>
          <t>B2B &amp; Energy Solutions</t>
        </is>
      </c>
      <c r="J393" s="1567" t="inlineStr">
        <is>
          <t>Energy Solutions</t>
        </is>
      </c>
      <c r="K393" s="1382" t="inlineStr">
        <is>
          <t>EVCI</t>
        </is>
      </c>
      <c r="L393" s="1567" t="n"/>
      <c r="M393" s="1568" t="inlineStr">
        <is>
          <t>NZ</t>
        </is>
      </c>
      <c r="N393" s="865" t="inlineStr">
        <is>
          <t>Energy Solutions &amp; B2B</t>
        </is>
      </c>
      <c r="O393" s="865" t="inlineStr">
        <is>
          <t>Energy Solutions</t>
        </is>
      </c>
      <c r="P393" s="865" t="inlineStr">
        <is>
          <t>EVCI</t>
        </is>
      </c>
      <c r="Q393" s="865" t="inlineStr">
        <is>
          <t>Squad</t>
        </is>
      </c>
      <c r="R393" s="865" t="inlineStr">
        <is>
          <t>Filled</t>
        </is>
      </c>
    </row>
    <row r="394" ht="18" customHeight="1" s="866">
      <c r="A394" s="1566" t="n"/>
      <c r="B394" s="1382" t="inlineStr">
        <is>
          <t>Vacant</t>
        </is>
      </c>
      <c r="C394" s="1382" t="inlineStr">
        <is>
          <t>Snr Engineer Software</t>
        </is>
      </c>
      <c r="D394" s="1567" t="inlineStr">
        <is>
          <t>vacant</t>
        </is>
      </c>
      <c r="E394" s="1382" t="inlineStr">
        <is>
          <t>Technology Manager, Energy Solutions</t>
        </is>
      </c>
      <c r="F394" s="1382" t="inlineStr">
        <is>
          <t>TDD CFE&amp;I</t>
        </is>
      </c>
      <c r="G394" s="1567" t="inlineStr">
        <is>
          <t>B2B &amp; Energy Solutions</t>
        </is>
      </c>
      <c r="H394" s="1567" t="inlineStr">
        <is>
          <t>Technology Energy Solutions</t>
        </is>
      </c>
      <c r="I394" s="1567" t="inlineStr">
        <is>
          <t>B2B &amp; Energy Solutions</t>
        </is>
      </c>
      <c r="J394" s="1567" t="inlineStr">
        <is>
          <t>Energy Solutions</t>
        </is>
      </c>
      <c r="K394" s="1382" t="inlineStr">
        <is>
          <t>Energy</t>
        </is>
      </c>
      <c r="L394" s="1567" t="n"/>
      <c r="M394" s="1568" t="n"/>
      <c r="N394" s="865" t="inlineStr">
        <is>
          <t>Energy Solutions &amp; B2B</t>
        </is>
      </c>
      <c r="O394" s="865" t="inlineStr">
        <is>
          <t>Energy Solutions</t>
        </is>
      </c>
      <c r="P394" s="865" t="inlineStr">
        <is>
          <t>Energy</t>
        </is>
      </c>
      <c r="Q394" s="865" t="inlineStr">
        <is>
          <t>Squad</t>
        </is>
      </c>
      <c r="R394" s="865" t="inlineStr">
        <is>
          <t>Vacant</t>
        </is>
      </c>
    </row>
    <row r="395" ht="18" customHeight="1" s="866">
      <c r="A395" s="1566" t="n"/>
      <c r="B395" s="1382" t="inlineStr">
        <is>
          <t>vacant</t>
        </is>
      </c>
      <c r="C395" s="1382" t="inlineStr">
        <is>
          <t>Solution Architect</t>
        </is>
      </c>
      <c r="D395" s="1382" t="inlineStr">
        <is>
          <t>Vacant</t>
        </is>
      </c>
      <c r="E395" s="1382" t="inlineStr">
        <is>
          <t>Technology Manager, Energy Solutions</t>
        </is>
      </c>
      <c r="F395" s="1382" t="inlineStr">
        <is>
          <t>TDD CFE&amp;I</t>
        </is>
      </c>
      <c r="G395" s="1567" t="inlineStr">
        <is>
          <t>B2B &amp; Energy Solutions</t>
        </is>
      </c>
      <c r="H395" s="1567" t="inlineStr">
        <is>
          <t>Technology B2B</t>
        </is>
      </c>
      <c r="I395" s="1567" t="inlineStr">
        <is>
          <t>B2B &amp; Energy Solutions</t>
        </is>
      </c>
      <c r="J395" s="1382" t="inlineStr">
        <is>
          <t>B2B</t>
        </is>
      </c>
      <c r="K395" s="1382" t="inlineStr">
        <is>
          <t>B2B</t>
        </is>
      </c>
      <c r="L395" s="1567" t="n"/>
      <c r="M395" s="1568" t="n"/>
      <c r="N395" s="865" t="inlineStr">
        <is>
          <t>Energy Solutions &amp; B2B</t>
        </is>
      </c>
      <c r="O395" s="865" t="inlineStr">
        <is>
          <t>B2B</t>
        </is>
      </c>
      <c r="P395" s="865" t="inlineStr">
        <is>
          <t>B2B</t>
        </is>
      </c>
      <c r="Q395" s="865" t="inlineStr">
        <is>
          <t>Squad</t>
        </is>
      </c>
      <c r="R395" s="865" t="inlineStr">
        <is>
          <t>Vacant</t>
        </is>
      </c>
    </row>
    <row r="396" ht="18" customHeight="1" s="866">
      <c r="A396" s="1566" t="n">
        <v>96270</v>
      </c>
      <c r="B396" s="1382" t="inlineStr">
        <is>
          <t>Zhan Liu</t>
        </is>
      </c>
      <c r="C396" s="1382" t="inlineStr">
        <is>
          <t>Engineer Applications</t>
        </is>
      </c>
      <c r="D396" s="1382" t="inlineStr">
        <is>
          <t>Vacant</t>
        </is>
      </c>
      <c r="E396" s="1382" t="inlineStr">
        <is>
          <t>Technology Manager, T&amp;S</t>
        </is>
      </c>
      <c r="F396" s="1382" t="inlineStr">
        <is>
          <t>TDD CFE&amp;I</t>
        </is>
      </c>
      <c r="G396" s="1567" t="inlineStr">
        <is>
          <t>Commercial Fuels</t>
        </is>
      </c>
      <c r="H396" s="1567" t="inlineStr">
        <is>
          <t>Trading &amp; Shipping</t>
        </is>
      </c>
      <c r="I396" s="1567" t="inlineStr">
        <is>
          <t>Commercial Fuels</t>
        </is>
      </c>
      <c r="J396" s="1382" t="inlineStr">
        <is>
          <t>CTRM</t>
        </is>
      </c>
      <c r="K396" s="1382" t="inlineStr">
        <is>
          <t>CTRM</t>
        </is>
      </c>
      <c r="L396" s="1567" t="n"/>
      <c r="M396" s="1568" t="inlineStr">
        <is>
          <t>Australia</t>
        </is>
      </c>
      <c r="N396" s="865" t="inlineStr">
        <is>
          <t>Commercial Fuels</t>
        </is>
      </c>
      <c r="O396" s="865" t="inlineStr">
        <is>
          <t>CTRM</t>
        </is>
      </c>
      <c r="P396" s="865" t="inlineStr">
        <is>
          <t>CTRM</t>
        </is>
      </c>
      <c r="Q396" s="865" t="inlineStr">
        <is>
          <t>Strategic Program</t>
        </is>
      </c>
      <c r="R396" s="865" t="inlineStr">
        <is>
          <t>Filled</t>
        </is>
      </c>
    </row>
    <row r="397" ht="18" customHeight="1" s="866">
      <c r="A397" s="1566" t="n">
        <v>107463</v>
      </c>
      <c r="B397" s="1382" t="inlineStr">
        <is>
          <t>Deepa Kaur</t>
        </is>
      </c>
      <c r="C397" s="1382" t="inlineStr">
        <is>
          <t>Senior Engineer Automation Testing</t>
        </is>
      </c>
      <c r="D397" s="1567" t="inlineStr">
        <is>
          <t>Vacant</t>
        </is>
      </c>
      <c r="E397" s="1382" t="inlineStr">
        <is>
          <t>Technology Manager, Engineering</t>
        </is>
      </c>
      <c r="F397" s="1382" t="inlineStr">
        <is>
          <t>TDD CFE&amp;I</t>
        </is>
      </c>
      <c r="G397" s="1567" t="inlineStr">
        <is>
          <t>Commercial Fuels</t>
        </is>
      </c>
      <c r="H397" s="1567" t="inlineStr">
        <is>
          <t>Trading &amp; Shipping</t>
        </is>
      </c>
      <c r="I397" s="1567" t="inlineStr">
        <is>
          <t>Commercial Fuels</t>
        </is>
      </c>
      <c r="J397" s="1382" t="inlineStr">
        <is>
          <t>CTRM</t>
        </is>
      </c>
      <c r="K397" s="1382" t="inlineStr">
        <is>
          <t>CTRM</t>
        </is>
      </c>
      <c r="L397" s="1567" t="n"/>
      <c r="M397" s="1568" t="inlineStr">
        <is>
          <t>Australia</t>
        </is>
      </c>
      <c r="N397" s="865" t="inlineStr">
        <is>
          <t>Commercial Fuels</t>
        </is>
      </c>
      <c r="O397" s="865" t="inlineStr">
        <is>
          <t>CTRM</t>
        </is>
      </c>
      <c r="P397" s="865" t="inlineStr">
        <is>
          <t>CTRM</t>
        </is>
      </c>
      <c r="Q397" s="865" t="inlineStr">
        <is>
          <t>Strategic Program</t>
        </is>
      </c>
      <c r="R397" s="865" t="inlineStr">
        <is>
          <t>Filled</t>
        </is>
      </c>
    </row>
    <row r="398" ht="18" customHeight="1" s="866">
      <c r="A398" s="1566" t="n">
        <v>99999101325</v>
      </c>
      <c r="B398" s="1382" t="inlineStr">
        <is>
          <t>Laura Roberts</t>
        </is>
      </c>
      <c r="C398" s="1382" t="inlineStr">
        <is>
          <t>Senior Engineer Software</t>
        </is>
      </c>
      <c r="D398" s="1567" t="inlineStr">
        <is>
          <t>Vacant</t>
        </is>
      </c>
      <c r="E398" s="1382" t="inlineStr">
        <is>
          <t>Technology Manager, Engineering</t>
        </is>
      </c>
      <c r="F398" s="1382" t="inlineStr">
        <is>
          <t>TDD CFE&amp;I</t>
        </is>
      </c>
      <c r="G398" s="1567" t="inlineStr">
        <is>
          <t>Commercial Fuels</t>
        </is>
      </c>
      <c r="H398" s="1567" t="inlineStr">
        <is>
          <t>Delivery, Commercial Fuels</t>
        </is>
      </c>
      <c r="I398" s="1567" t="inlineStr">
        <is>
          <t>Commercial Fuels</t>
        </is>
      </c>
      <c r="J398" s="1382" t="inlineStr">
        <is>
          <t>CTRM</t>
        </is>
      </c>
      <c r="K398" s="1382" t="inlineStr">
        <is>
          <t>CTRM</t>
        </is>
      </c>
      <c r="L398" s="1567" t="n"/>
      <c r="M398" s="1568" t="inlineStr">
        <is>
          <t>NZ</t>
        </is>
      </c>
      <c r="N398" s="865" t="inlineStr">
        <is>
          <t>Commercial Fuels</t>
        </is>
      </c>
      <c r="O398" s="865" t="inlineStr">
        <is>
          <t>CTRM</t>
        </is>
      </c>
      <c r="P398" s="865" t="inlineStr">
        <is>
          <t>CTRM</t>
        </is>
      </c>
      <c r="Q398" s="865" t="inlineStr">
        <is>
          <t>Strategic Program</t>
        </is>
      </c>
      <c r="R398" s="865" t="inlineStr">
        <is>
          <t>Filled</t>
        </is>
      </c>
    </row>
    <row r="399" ht="18" customHeight="1" s="866">
      <c r="A399" s="1566" t="n"/>
      <c r="B399" s="1382" t="inlineStr">
        <is>
          <t>Vacant (anaplan)</t>
        </is>
      </c>
      <c r="C399" s="1382" t="inlineStr">
        <is>
          <t>System Specialist</t>
        </is>
      </c>
      <c r="D399" s="1382" t="inlineStr">
        <is>
          <t>Vacant</t>
        </is>
      </c>
      <c r="E399" s="1382" t="inlineStr">
        <is>
          <t>Technology Manager, T&amp;S</t>
        </is>
      </c>
      <c r="F399" s="1382" t="inlineStr">
        <is>
          <t>TDD CFE&amp;I</t>
        </is>
      </c>
      <c r="G399" s="1567" t="inlineStr">
        <is>
          <t>Commercial Fuels</t>
        </is>
      </c>
      <c r="H399" s="1567" t="inlineStr">
        <is>
          <t>Technology, Trading &amp; Shipping</t>
        </is>
      </c>
      <c r="I399" s="1567" t="inlineStr">
        <is>
          <t>Commercial Fuels</t>
        </is>
      </c>
      <c r="J399" s="1567" t="inlineStr">
        <is>
          <t>Supply</t>
        </is>
      </c>
      <c r="K399" s="1382" t="inlineStr">
        <is>
          <t>Supply</t>
        </is>
      </c>
      <c r="L399" s="1567" t="n"/>
      <c r="M399" s="1568" t="n"/>
      <c r="N399" s="865" t="inlineStr">
        <is>
          <t>Commercial Fuels</t>
        </is>
      </c>
      <c r="O399" s="865" t="inlineStr">
        <is>
          <t>Supply</t>
        </is>
      </c>
      <c r="P399" s="865" t="inlineStr">
        <is>
          <t>Supply</t>
        </is>
      </c>
      <c r="Q399" s="865" t="inlineStr">
        <is>
          <t>Squad</t>
        </is>
      </c>
      <c r="R399" s="865" t="inlineStr">
        <is>
          <t>Filled</t>
        </is>
      </c>
    </row>
    <row r="400" ht="18" customHeight="1" s="866">
      <c r="A400" s="1566" t="n">
        <v>99999101752</v>
      </c>
      <c r="B400" s="1382" t="inlineStr">
        <is>
          <t>Amanda Turnbull</t>
        </is>
      </c>
      <c r="C400" s="1382" t="inlineStr">
        <is>
          <t>Engineer Software</t>
        </is>
      </c>
      <c r="D400" s="1567" t="inlineStr">
        <is>
          <t>Vacant</t>
        </is>
      </c>
      <c r="E400" s="1382" t="inlineStr">
        <is>
          <t>Technology Manager, Engineering</t>
        </is>
      </c>
      <c r="F400" s="1382" t="inlineStr">
        <is>
          <t>TDD CFE&amp;I</t>
        </is>
      </c>
      <c r="G400" s="1567" t="inlineStr">
        <is>
          <t>Commercial Fuels</t>
        </is>
      </c>
      <c r="H400" s="1567" t="inlineStr">
        <is>
          <t>Trading &amp; Shipping</t>
        </is>
      </c>
      <c r="I400" s="1567" t="inlineStr">
        <is>
          <t>Commercial Fuels</t>
        </is>
      </c>
      <c r="J400" s="1382" t="inlineStr">
        <is>
          <t>CTRM</t>
        </is>
      </c>
      <c r="K400" s="1382" t="inlineStr">
        <is>
          <t>CTRM</t>
        </is>
      </c>
      <c r="L400" s="1567" t="n"/>
      <c r="M400" s="1568" t="inlineStr">
        <is>
          <t>NZ</t>
        </is>
      </c>
      <c r="N400" s="865" t="inlineStr">
        <is>
          <t>Commercial Fuels</t>
        </is>
      </c>
      <c r="O400" s="865" t="inlineStr">
        <is>
          <t>CTRM</t>
        </is>
      </c>
      <c r="P400" s="865" t="inlineStr">
        <is>
          <t>CTRM</t>
        </is>
      </c>
      <c r="Q400" s="865" t="inlineStr">
        <is>
          <t>Strategic Program</t>
        </is>
      </c>
      <c r="R400" s="865" t="inlineStr">
        <is>
          <t>Filled</t>
        </is>
      </c>
    </row>
    <row r="401" ht="18" customHeight="1" s="866">
      <c r="A401" s="1566" t="n">
        <v>97284</v>
      </c>
      <c r="B401" s="1382" t="inlineStr">
        <is>
          <t>Byron Leung</t>
        </is>
      </c>
      <c r="C401" s="1382" t="inlineStr">
        <is>
          <t>Solution Architect</t>
        </is>
      </c>
      <c r="D401" s="1567" t="inlineStr">
        <is>
          <t>Vacant</t>
        </is>
      </c>
      <c r="E401" s="1382" t="inlineStr">
        <is>
          <t>Technology Manager, Engineering</t>
        </is>
      </c>
      <c r="F401" s="1382" t="inlineStr">
        <is>
          <t>TDD CFE&amp;I</t>
        </is>
      </c>
      <c r="G401" s="1567" t="inlineStr">
        <is>
          <t>Commercial Fuels</t>
        </is>
      </c>
      <c r="H401" s="1567" t="inlineStr">
        <is>
          <t>Trading &amp; Shipping</t>
        </is>
      </c>
      <c r="I401" s="1567" t="inlineStr">
        <is>
          <t>Commercial Fuels</t>
        </is>
      </c>
      <c r="J401" s="1382" t="inlineStr">
        <is>
          <t>CTRM</t>
        </is>
      </c>
      <c r="K401" s="1382" t="inlineStr">
        <is>
          <t>CTRM</t>
        </is>
      </c>
      <c r="L401" s="1567" t="n"/>
      <c r="M401" s="1568" t="inlineStr">
        <is>
          <t>Australia</t>
        </is>
      </c>
      <c r="N401" s="865" t="inlineStr">
        <is>
          <t>Commercial Fuels</t>
        </is>
      </c>
      <c r="O401" s="865" t="inlineStr">
        <is>
          <t>CTRM</t>
        </is>
      </c>
      <c r="P401" s="865" t="inlineStr">
        <is>
          <t>CTRM</t>
        </is>
      </c>
      <c r="Q401" s="865" t="inlineStr">
        <is>
          <t>Strategic Program</t>
        </is>
      </c>
      <c r="R401" s="865" t="inlineStr">
        <is>
          <t>Filled</t>
        </is>
      </c>
    </row>
    <row r="402" ht="18" customHeight="1" s="866">
      <c r="A402" s="1566" t="n">
        <v>99999101568</v>
      </c>
      <c r="B402" s="1382" t="inlineStr">
        <is>
          <t>Anie Camerino</t>
        </is>
      </c>
      <c r="C402" s="1382" t="inlineStr">
        <is>
          <t>Snr Quality Assurance</t>
        </is>
      </c>
      <c r="D402" s="1567" t="inlineStr">
        <is>
          <t>Vacant</t>
        </is>
      </c>
      <c r="E402" s="1382" t="inlineStr">
        <is>
          <t>Technology Manager, Energy Solutions</t>
        </is>
      </c>
      <c r="F402" s="1382" t="inlineStr">
        <is>
          <t>TDD CFE&amp;I</t>
        </is>
      </c>
      <c r="G402" s="1567" t="inlineStr">
        <is>
          <t>B2B &amp; Energy Solutions</t>
        </is>
      </c>
      <c r="H402" s="1567" t="inlineStr">
        <is>
          <t>Technology Energy Solutions</t>
        </is>
      </c>
      <c r="I402" s="1567" t="inlineStr">
        <is>
          <t>B2B &amp; Energy Solutions</t>
        </is>
      </c>
      <c r="J402" s="1567" t="inlineStr">
        <is>
          <t>Energy Solutions</t>
        </is>
      </c>
      <c r="K402" s="1382" t="inlineStr">
        <is>
          <t>EVCI</t>
        </is>
      </c>
      <c r="L402" s="1567" t="n"/>
      <c r="M402" s="1568" t="inlineStr">
        <is>
          <t>NZ</t>
        </is>
      </c>
      <c r="N402" s="865" t="inlineStr">
        <is>
          <t>Energy Solutions &amp; B2B</t>
        </is>
      </c>
      <c r="O402" s="865" t="inlineStr">
        <is>
          <t>Energy Solutions</t>
        </is>
      </c>
      <c r="P402" s="865" t="inlineStr">
        <is>
          <t>EVCI</t>
        </is>
      </c>
      <c r="Q402" s="865" t="inlineStr">
        <is>
          <t>Squad</t>
        </is>
      </c>
      <c r="R402" s="865" t="inlineStr">
        <is>
          <t>Filled</t>
        </is>
      </c>
    </row>
    <row r="403" ht="18" customHeight="1" s="866">
      <c r="A403" s="1566" t="n">
        <v>113333</v>
      </c>
      <c r="B403" s="1382" t="inlineStr">
        <is>
          <t>Tom Moore</t>
        </is>
      </c>
      <c r="C403" s="1382" t="inlineStr">
        <is>
          <t>Technology Support Engineer - Infrastructure</t>
        </is>
      </c>
      <c r="D403" s="1382" t="inlineStr">
        <is>
          <t>Vacant</t>
        </is>
      </c>
      <c r="E403" s="1382" t="inlineStr">
        <is>
          <t>Lead Support, Infrastructure</t>
        </is>
      </c>
      <c r="F403" s="1382" t="inlineStr">
        <is>
          <t>TDD CFE&amp;I</t>
        </is>
      </c>
      <c r="G403" s="1567" t="inlineStr">
        <is>
          <t>Fuel Infrastructure</t>
        </is>
      </c>
      <c r="H403" s="1567" t="inlineStr">
        <is>
          <t>Refinery Applications</t>
        </is>
      </c>
      <c r="I403" s="1567" t="inlineStr">
        <is>
          <t>Infrastructure</t>
        </is>
      </c>
      <c r="J403" s="1567" t="inlineStr">
        <is>
          <t>Fuel Infrastructure</t>
        </is>
      </c>
      <c r="K403" s="1382" t="inlineStr">
        <is>
          <t>Technology Suport</t>
        </is>
      </c>
      <c r="L403" s="1567" t="n"/>
      <c r="M403" s="1568" t="inlineStr">
        <is>
          <t>Australia</t>
        </is>
      </c>
      <c r="N403" s="865" t="inlineStr">
        <is>
          <t>Infrastructure</t>
        </is>
      </c>
      <c r="O403" s="865" t="inlineStr">
        <is>
          <t>Manufacturing</t>
        </is>
      </c>
      <c r="P403" s="865" t="inlineStr">
        <is>
          <t>Technology Support</t>
        </is>
      </c>
      <c r="Q403" s="865" t="inlineStr">
        <is>
          <t>Squad</t>
        </is>
      </c>
      <c r="R403" s="865" t="inlineStr">
        <is>
          <t>Filled</t>
        </is>
      </c>
    </row>
    <row r="404" ht="18" customHeight="1" s="866">
      <c r="A404" s="1566" t="n">
        <v>85491</v>
      </c>
      <c r="B404" s="1382" t="inlineStr">
        <is>
          <t>Mick DaSilva</t>
        </is>
      </c>
      <c r="C404" s="1382" t="inlineStr">
        <is>
          <t>Senior Business Analyst</t>
        </is>
      </c>
      <c r="D404" s="1567" t="inlineStr">
        <is>
          <t>Vacant</t>
        </is>
      </c>
      <c r="E404" s="1382" t="inlineStr">
        <is>
          <t>Delivery Manager</t>
        </is>
      </c>
      <c r="F404" s="1382" t="inlineStr">
        <is>
          <t>TDD CFE&amp;I</t>
        </is>
      </c>
      <c r="G404" s="1567" t="inlineStr">
        <is>
          <t>B2B &amp; Energy Solutions</t>
        </is>
      </c>
      <c r="H404" s="1567" t="inlineStr">
        <is>
          <t>Delivery</t>
        </is>
      </c>
      <c r="I404" s="1567" t="inlineStr">
        <is>
          <t>B2B &amp; Energy Solutions</t>
        </is>
      </c>
      <c r="J404" s="1382" t="inlineStr">
        <is>
          <t>B2B</t>
        </is>
      </c>
      <c r="K404" s="1382" t="inlineStr">
        <is>
          <t>B2B</t>
        </is>
      </c>
      <c r="L404" s="1567" t="n"/>
      <c r="M404" s="1568" t="inlineStr">
        <is>
          <t>Australia</t>
        </is>
      </c>
      <c r="N404" s="865" t="inlineStr">
        <is>
          <t>Energy Solutions &amp; B2B</t>
        </is>
      </c>
      <c r="O404" s="865" t="inlineStr">
        <is>
          <t>B2B</t>
        </is>
      </c>
      <c r="P404" s="865" t="inlineStr">
        <is>
          <t>B2B</t>
        </is>
      </c>
      <c r="Q404" s="865" t="inlineStr">
        <is>
          <t>Squad</t>
        </is>
      </c>
      <c r="R404" s="865" t="inlineStr">
        <is>
          <t>Filled</t>
        </is>
      </c>
    </row>
    <row r="405" ht="18" customHeight="1" s="866">
      <c r="A405" s="1566" t="n">
        <v>106555</v>
      </c>
      <c r="B405" s="1382" t="inlineStr">
        <is>
          <t>Karla Orozco Loza</t>
        </is>
      </c>
      <c r="C405" s="1382" t="inlineStr">
        <is>
          <t xml:space="preserve">Technology Manager, Future Infrastructure </t>
        </is>
      </c>
      <c r="D405" s="1382" t="inlineStr">
        <is>
          <t>Vacant</t>
        </is>
      </c>
      <c r="E405" s="1382" t="inlineStr">
        <is>
          <t>Head of Technology, Fuel Infrastructure</t>
        </is>
      </c>
      <c r="F405" s="1382" t="inlineStr">
        <is>
          <t>TDD CFE&amp;I</t>
        </is>
      </c>
      <c r="G405" s="1567" t="inlineStr">
        <is>
          <t>Fuel Infrastructure</t>
        </is>
      </c>
      <c r="H405" s="1567" t="inlineStr">
        <is>
          <t>Technology - Distribution</t>
        </is>
      </c>
      <c r="I405" s="1567" t="inlineStr">
        <is>
          <t>Infrastructure</t>
        </is>
      </c>
      <c r="J405" s="1567" t="inlineStr">
        <is>
          <t>Distribution</t>
        </is>
      </c>
      <c r="K405" s="1382" t="inlineStr">
        <is>
          <t>Leadership</t>
        </is>
      </c>
      <c r="L405" s="1567" t="n"/>
      <c r="M405" s="1568" t="inlineStr">
        <is>
          <t>Australia</t>
        </is>
      </c>
      <c r="N405" s="865" t="inlineStr">
        <is>
          <t>Infrastructure</t>
        </is>
      </c>
      <c r="O405" s="865" t="inlineStr">
        <is>
          <t>Leadership</t>
        </is>
      </c>
      <c r="P405" s="865" t="inlineStr">
        <is>
          <t>Leadership</t>
        </is>
      </c>
      <c r="Q405" s="865" t="inlineStr">
        <is>
          <t>Leadership</t>
        </is>
      </c>
      <c r="R405" s="865" t="inlineStr">
        <is>
          <t>Filled</t>
        </is>
      </c>
    </row>
    <row r="406" ht="18" customHeight="1" s="866">
      <c r="A406" s="1566" t="n">
        <v>103651</v>
      </c>
      <c r="B406" s="1382" t="inlineStr">
        <is>
          <t>Hari Maneti</t>
        </is>
      </c>
      <c r="C406" s="1382" t="inlineStr">
        <is>
          <t>Systems Analyst</t>
        </is>
      </c>
      <c r="D406" s="1382" t="inlineStr">
        <is>
          <t>Vacant</t>
        </is>
      </c>
      <c r="E406" s="1382" t="inlineStr">
        <is>
          <t>Technology Manager, T&amp;S</t>
        </is>
      </c>
      <c r="F406" s="1382" t="inlineStr">
        <is>
          <t>TDD CFE&amp;I</t>
        </is>
      </c>
      <c r="G406" s="1567" t="inlineStr">
        <is>
          <t>Commercial Fuels</t>
        </is>
      </c>
      <c r="H406" s="1595" t="inlineStr">
        <is>
          <t>Technology, Trading &amp; Shipping</t>
        </is>
      </c>
      <c r="I406" s="1567" t="inlineStr">
        <is>
          <t>Commercial Fuels</t>
        </is>
      </c>
      <c r="J406" s="1567" t="inlineStr">
        <is>
          <t>Trading &amp; Shipping</t>
        </is>
      </c>
      <c r="K406" s="1382" t="inlineStr">
        <is>
          <t>Trading &amp; Shipping</t>
        </is>
      </c>
      <c r="L406" s="1567" t="n"/>
      <c r="M406" s="1568" t="inlineStr">
        <is>
          <t>Singapore</t>
        </is>
      </c>
      <c r="N406" s="865" t="inlineStr">
        <is>
          <t>Commercial Fuels</t>
        </is>
      </c>
      <c r="O406" s="865" t="inlineStr">
        <is>
          <t>Trading &amp; Shipping</t>
        </is>
      </c>
      <c r="P406" s="865" t="inlineStr">
        <is>
          <t>Trading &amp; Shipping</t>
        </is>
      </c>
      <c r="Q406" s="865" t="inlineStr">
        <is>
          <t>Squad</t>
        </is>
      </c>
      <c r="R406" s="865" t="inlineStr">
        <is>
          <t>Filled</t>
        </is>
      </c>
    </row>
    <row r="407" ht="18" customHeight="1" s="866">
      <c r="A407" s="1566" t="n">
        <v>13925</v>
      </c>
      <c r="B407" s="1382" t="inlineStr">
        <is>
          <t>Allan Francia</t>
        </is>
      </c>
      <c r="C407" s="1382" t="inlineStr">
        <is>
          <t>Technology Manager - T&amp;S</t>
        </is>
      </c>
      <c r="D407" s="1567" t="inlineStr">
        <is>
          <t>Vacant</t>
        </is>
      </c>
      <c r="E407" s="1382" t="inlineStr">
        <is>
          <t>Head of Technology, Commercial Fuels</t>
        </is>
      </c>
      <c r="F407" s="1382" t="inlineStr">
        <is>
          <t>TDD CFE&amp;I</t>
        </is>
      </c>
      <c r="G407" s="1567" t="inlineStr">
        <is>
          <t>Commercial Fuels</t>
        </is>
      </c>
      <c r="H407" s="1595" t="inlineStr">
        <is>
          <t>Trading &amp; Shipping</t>
        </is>
      </c>
      <c r="I407" s="1567" t="inlineStr">
        <is>
          <t>Commercial Fuels</t>
        </is>
      </c>
      <c r="J407" s="1567" t="inlineStr">
        <is>
          <t>Trading &amp; Shipping</t>
        </is>
      </c>
      <c r="K407" s="1567" t="inlineStr">
        <is>
          <t>Trading &amp; Shipping</t>
        </is>
      </c>
      <c r="L407" s="1567" t="n"/>
      <c r="M407" s="1568" t="inlineStr">
        <is>
          <t>Australia</t>
        </is>
      </c>
      <c r="N407" s="865" t="inlineStr">
        <is>
          <t>Commercial Fuels</t>
        </is>
      </c>
      <c r="O407" s="865" t="inlineStr">
        <is>
          <t>Trading &amp; Shipping</t>
        </is>
      </c>
      <c r="P407" s="865" t="inlineStr">
        <is>
          <t>Trading &amp; Shipping</t>
        </is>
      </c>
      <c r="Q407" s="865" t="inlineStr">
        <is>
          <t>Squad</t>
        </is>
      </c>
      <c r="R407" s="865" t="inlineStr">
        <is>
          <t>Filled</t>
        </is>
      </c>
    </row>
    <row r="408" ht="18" customHeight="1" s="866">
      <c r="A408" s="1566" t="n">
        <v>99999101908</v>
      </c>
      <c r="B408" s="1382" t="inlineStr">
        <is>
          <t>Oliver Shanks</t>
        </is>
      </c>
      <c r="C408" s="1382" t="inlineStr">
        <is>
          <t>Associate Engineer Software</t>
        </is>
      </c>
      <c r="D408" s="1567" t="inlineStr">
        <is>
          <t>Vacant</t>
        </is>
      </c>
      <c r="E408" s="1382" t="inlineStr">
        <is>
          <t>Technology Manager, Engineering</t>
        </is>
      </c>
      <c r="F408" s="1382" t="inlineStr">
        <is>
          <t>TDD CFE&amp;I</t>
        </is>
      </c>
      <c r="G408" s="1567" t="inlineStr">
        <is>
          <t>Commercial Fuels</t>
        </is>
      </c>
      <c r="H408" s="1567" t="inlineStr">
        <is>
          <t>Trading &amp; Shipping</t>
        </is>
      </c>
      <c r="I408" s="1567" t="inlineStr">
        <is>
          <t>Commercial Fuels</t>
        </is>
      </c>
      <c r="J408" s="1382" t="inlineStr">
        <is>
          <t>CTRM</t>
        </is>
      </c>
      <c r="K408" s="1382" t="inlineStr">
        <is>
          <t>CTRM</t>
        </is>
      </c>
      <c r="L408" s="1567" t="n"/>
      <c r="M408" s="1568" t="inlineStr">
        <is>
          <t>NZ</t>
        </is>
      </c>
      <c r="N408" s="865" t="inlineStr">
        <is>
          <t>Commercial Fuels</t>
        </is>
      </c>
      <c r="O408" s="865" t="inlineStr">
        <is>
          <t>CTRM</t>
        </is>
      </c>
      <c r="P408" s="865" t="inlineStr">
        <is>
          <t>CTRM</t>
        </is>
      </c>
      <c r="Q408" s="865" t="inlineStr">
        <is>
          <t>Strategic Program</t>
        </is>
      </c>
      <c r="R408" s="865" t="inlineStr">
        <is>
          <t>Filled</t>
        </is>
      </c>
    </row>
    <row r="409" ht="18" customHeight="1" s="866">
      <c r="A409" s="1566" t="n">
        <v>99999100769</v>
      </c>
      <c r="B409" s="1382" t="inlineStr">
        <is>
          <t>Gokila Mylsamy</t>
        </is>
      </c>
      <c r="C409" s="1382" t="inlineStr">
        <is>
          <t>Lead Engineer Software</t>
        </is>
      </c>
      <c r="D409" s="1567" t="inlineStr">
        <is>
          <t>Vacant</t>
        </is>
      </c>
      <c r="E409" s="1382" t="inlineStr">
        <is>
          <t>Technology Manager, Energy Solutions</t>
        </is>
      </c>
      <c r="F409" s="1382" t="inlineStr">
        <is>
          <t>TDD CFE&amp;I</t>
        </is>
      </c>
      <c r="G409" s="1567" t="inlineStr">
        <is>
          <t>B2B &amp; Energy Solutions</t>
        </is>
      </c>
      <c r="H409" s="1567" t="inlineStr">
        <is>
          <t>Technology Energy Solutions</t>
        </is>
      </c>
      <c r="I409" s="1567" t="inlineStr">
        <is>
          <t>B2B &amp; Energy Solutions</t>
        </is>
      </c>
      <c r="J409" s="1567" t="inlineStr">
        <is>
          <t>Energy Solutions</t>
        </is>
      </c>
      <c r="K409" s="1382" t="inlineStr">
        <is>
          <t>EVCI</t>
        </is>
      </c>
      <c r="L409" s="1567" t="n"/>
      <c r="M409" s="1568" t="inlineStr">
        <is>
          <t>NZ</t>
        </is>
      </c>
      <c r="N409" s="865" t="inlineStr">
        <is>
          <t>Energy Solutions &amp; B2B</t>
        </is>
      </c>
      <c r="O409" s="865" t="inlineStr">
        <is>
          <t>Energy Solutions</t>
        </is>
      </c>
      <c r="P409" s="865" t="inlineStr">
        <is>
          <t>EVCI</t>
        </is>
      </c>
      <c r="Q409" s="865" t="inlineStr">
        <is>
          <t>Squad</t>
        </is>
      </c>
      <c r="R409" s="865" t="inlineStr">
        <is>
          <t>Filled</t>
        </is>
      </c>
    </row>
    <row r="410" ht="18" customHeight="1" s="866">
      <c r="A410" s="1566" t="n">
        <v>114717</v>
      </c>
      <c r="B410" s="1382" t="inlineStr">
        <is>
          <t>Fransiscus Setiawan</t>
        </is>
      </c>
      <c r="C410" s="1382" t="inlineStr">
        <is>
          <t xml:space="preserve">Integration Architect   </t>
        </is>
      </c>
      <c r="D410" s="1567" t="inlineStr">
        <is>
          <t>Vacant</t>
        </is>
      </c>
      <c r="E410" s="1382" t="inlineStr">
        <is>
          <t>Technology Manager, Engineering</t>
        </is>
      </c>
      <c r="F410" s="1382" t="inlineStr">
        <is>
          <t>TDD CFE&amp;I</t>
        </is>
      </c>
      <c r="G410" s="1567" t="inlineStr">
        <is>
          <t>Commercial Fuels</t>
        </is>
      </c>
      <c r="H410" s="1567" t="inlineStr">
        <is>
          <t>Trading &amp; Shipping</t>
        </is>
      </c>
      <c r="I410" s="1567" t="inlineStr">
        <is>
          <t>Commercial Fuels</t>
        </is>
      </c>
      <c r="J410" s="1382" t="inlineStr">
        <is>
          <t>CTRM</t>
        </is>
      </c>
      <c r="K410" s="1382" t="inlineStr">
        <is>
          <t>CTRM</t>
        </is>
      </c>
      <c r="L410" s="1567" t="n"/>
      <c r="M410" s="1568" t="inlineStr">
        <is>
          <t>Australia</t>
        </is>
      </c>
      <c r="N410" s="865" t="inlineStr">
        <is>
          <t>Commercial Fuels</t>
        </is>
      </c>
      <c r="O410" s="865" t="inlineStr">
        <is>
          <t>CTRM</t>
        </is>
      </c>
      <c r="P410" s="865" t="inlineStr">
        <is>
          <t>CTRM</t>
        </is>
      </c>
      <c r="Q410" s="865" t="inlineStr">
        <is>
          <t>Strategic Program</t>
        </is>
      </c>
      <c r="R410" s="865" t="inlineStr">
        <is>
          <t>Filled</t>
        </is>
      </c>
    </row>
    <row r="411" ht="18" customHeight="1" s="866">
      <c r="A411" s="1566" t="n">
        <v>10572</v>
      </c>
      <c r="B411" s="1382" t="inlineStr">
        <is>
          <t>Stevani Kho</t>
        </is>
      </c>
      <c r="C411" s="1382" t="inlineStr">
        <is>
          <t>Delivery Lead</t>
        </is>
      </c>
      <c r="D411" s="1382" t="inlineStr">
        <is>
          <t>vacant</t>
        </is>
      </c>
      <c r="E411" s="1382" t="inlineStr">
        <is>
          <t>Technology Manger, Data</t>
        </is>
      </c>
      <c r="F411" s="1382" t="inlineStr">
        <is>
          <t>TDD CFE&amp;I</t>
        </is>
      </c>
      <c r="G411" s="1567" t="inlineStr">
        <is>
          <t>Fuel Infrastructure</t>
        </is>
      </c>
      <c r="H411" s="1567" t="inlineStr">
        <is>
          <t>Technology, Trading &amp; Shipping</t>
        </is>
      </c>
      <c r="I411" s="1567" t="inlineStr">
        <is>
          <t>Infrastructure</t>
        </is>
      </c>
      <c r="J411" s="1382" t="inlineStr">
        <is>
          <t xml:space="preserve">Data &amp; Insights </t>
        </is>
      </c>
      <c r="K411" s="1382" t="inlineStr">
        <is>
          <t xml:space="preserve">Data &amp; Insights </t>
        </is>
      </c>
      <c r="L411" s="1567" t="n"/>
      <c r="M411" s="1568" t="inlineStr">
        <is>
          <t>Australia</t>
        </is>
      </c>
      <c r="N411" s="865" t="inlineStr">
        <is>
          <t>Infrastructure</t>
        </is>
      </c>
      <c r="O411" s="865" t="inlineStr">
        <is>
          <t>Data &amp; Insights</t>
        </is>
      </c>
      <c r="P411" s="865" t="inlineStr">
        <is>
          <t>Data &amp; Insights</t>
        </is>
      </c>
      <c r="Q411" s="865" t="inlineStr">
        <is>
          <t>Squad</t>
        </is>
      </c>
      <c r="R411" s="865" t="inlineStr">
        <is>
          <t>Filled</t>
        </is>
      </c>
    </row>
    <row r="412" ht="18" customHeight="1" s="866">
      <c r="A412" s="1566" t="n"/>
      <c r="B412" s="1382" t="inlineStr">
        <is>
          <t>vacant</t>
        </is>
      </c>
      <c r="C412" s="1382" t="inlineStr">
        <is>
          <t>Senior Engineer Data</t>
        </is>
      </c>
      <c r="D412" s="1382" t="inlineStr">
        <is>
          <t>Vacant</t>
        </is>
      </c>
      <c r="E412" s="1382" t="inlineStr">
        <is>
          <t>Technology Manger, Data</t>
        </is>
      </c>
      <c r="F412" s="1382" t="inlineStr">
        <is>
          <t>TDD CFE&amp;I</t>
        </is>
      </c>
      <c r="G412" s="1567" t="inlineStr">
        <is>
          <t>Fuel Infrastructure</t>
        </is>
      </c>
      <c r="H412" s="1567" t="inlineStr">
        <is>
          <t>Technology, CF Engineering</t>
        </is>
      </c>
      <c r="I412" s="1567" t="inlineStr">
        <is>
          <t>Infrastructure</t>
        </is>
      </c>
      <c r="J412" s="1382" t="inlineStr">
        <is>
          <t xml:space="preserve">Data &amp; Insights </t>
        </is>
      </c>
      <c r="K412" s="1382" t="inlineStr">
        <is>
          <t xml:space="preserve">Data &amp; Insights </t>
        </is>
      </c>
      <c r="L412" s="1567" t="n"/>
      <c r="M412" s="1568" t="n"/>
      <c r="N412" s="865" t="inlineStr">
        <is>
          <t>Infrastructure</t>
        </is>
      </c>
      <c r="O412" s="865" t="inlineStr">
        <is>
          <t>Data &amp; Insights</t>
        </is>
      </c>
      <c r="P412" s="865" t="inlineStr">
        <is>
          <t>Data &amp; Insights</t>
        </is>
      </c>
      <c r="Q412" s="865" t="inlineStr">
        <is>
          <t>Squad</t>
        </is>
      </c>
      <c r="R412" s="865" t="inlineStr">
        <is>
          <t>Vacant</t>
        </is>
      </c>
    </row>
    <row r="413" ht="18" customHeight="1" s="866">
      <c r="A413" s="1566" t="n">
        <v>6851</v>
      </c>
      <c r="B413" s="1382" t="inlineStr">
        <is>
          <t>Ann Aquino</t>
        </is>
      </c>
      <c r="C413" s="1382" t="inlineStr">
        <is>
          <t>Senior Business Analyst</t>
        </is>
      </c>
      <c r="D413" s="1567" t="inlineStr">
        <is>
          <t>vacant</t>
        </is>
      </c>
      <c r="E413" s="1382" t="inlineStr">
        <is>
          <t>Delivery Manager</t>
        </is>
      </c>
      <c r="F413" s="1382" t="inlineStr">
        <is>
          <t>TDD CFE&amp;I</t>
        </is>
      </c>
      <c r="G413" s="1567" t="inlineStr">
        <is>
          <t>Commercial Fuels</t>
        </is>
      </c>
      <c r="H413" s="1595" t="inlineStr">
        <is>
          <t>Trading &amp; Shipping</t>
        </is>
      </c>
      <c r="I413" s="1567" t="inlineStr">
        <is>
          <t>Commercial Fuels</t>
        </is>
      </c>
      <c r="J413" s="1567" t="inlineStr">
        <is>
          <t>Supply</t>
        </is>
      </c>
      <c r="K413" s="1567" t="inlineStr">
        <is>
          <t>Supply</t>
        </is>
      </c>
      <c r="L413" s="1382" t="n"/>
      <c r="M413" s="1568" t="inlineStr">
        <is>
          <t>Australia</t>
        </is>
      </c>
      <c r="N413" s="865" t="inlineStr">
        <is>
          <t>Commercial Fuels</t>
        </is>
      </c>
      <c r="O413" s="865" t="inlineStr">
        <is>
          <t>Supply</t>
        </is>
      </c>
      <c r="P413" s="865" t="inlineStr">
        <is>
          <t>Supply</t>
        </is>
      </c>
      <c r="Q413" s="865" t="inlineStr">
        <is>
          <t>Squad</t>
        </is>
      </c>
      <c r="R413" s="865" t="inlineStr">
        <is>
          <t>Filled</t>
        </is>
      </c>
    </row>
    <row r="414" ht="18" customHeight="1" s="866">
      <c r="A414" s="1566" t="n">
        <v>0</v>
      </c>
      <c r="B414" s="1382" t="inlineStr">
        <is>
          <t>Simrat Singh</t>
        </is>
      </c>
      <c r="C414" s="1382" t="inlineStr">
        <is>
          <t>Reporting Analyst (Contractor)</t>
        </is>
      </c>
      <c r="D414" s="1382" t="inlineStr">
        <is>
          <t>Vacant</t>
        </is>
      </c>
      <c r="E414" s="1382" t="inlineStr">
        <is>
          <t>Technology Manager, TDD Refinery</t>
        </is>
      </c>
      <c r="F414" s="1382" t="inlineStr">
        <is>
          <t>TDD CFE&amp;I</t>
        </is>
      </c>
      <c r="G414" s="1567" t="inlineStr">
        <is>
          <t>Fuel Infrastructure</t>
        </is>
      </c>
      <c r="H414" s="1567" t="inlineStr">
        <is>
          <t>Refinery Applications</t>
        </is>
      </c>
      <c r="I414" s="1567" t="inlineStr">
        <is>
          <t>Infrastructure</t>
        </is>
      </c>
      <c r="J414" s="1382" t="inlineStr">
        <is>
          <t xml:space="preserve">Data &amp; Insights </t>
        </is>
      </c>
      <c r="K414" s="865" t="inlineStr">
        <is>
          <t xml:space="preserve">Data &amp; Insights </t>
        </is>
      </c>
      <c r="L414" s="1567" t="n"/>
      <c r="M414" s="1568" t="n">
        <v>0</v>
      </c>
      <c r="N414" s="865" t="inlineStr">
        <is>
          <t>Infrastructure</t>
        </is>
      </c>
      <c r="O414" s="865" t="inlineStr">
        <is>
          <t>Data &amp; Insights</t>
        </is>
      </c>
      <c r="P414" s="865" t="inlineStr">
        <is>
          <t>Data &amp; Insights</t>
        </is>
      </c>
      <c r="Q414" s="865" t="inlineStr">
        <is>
          <t>Squad</t>
        </is>
      </c>
      <c r="R414" s="865" t="inlineStr">
        <is>
          <t>Filled</t>
        </is>
      </c>
    </row>
    <row r="415" ht="18" customHeight="1" s="866">
      <c r="A415" s="1566" t="n">
        <v>102576</v>
      </c>
      <c r="B415" s="1382" t="inlineStr">
        <is>
          <t>Glenn Earl</t>
        </is>
      </c>
      <c r="C415" s="1382" t="inlineStr">
        <is>
          <t>Lead Technology Support - Infrastructure</t>
        </is>
      </c>
      <c r="D415" s="1382" t="inlineStr">
        <is>
          <t>Vacant</t>
        </is>
      </c>
      <c r="E415" s="1382" t="inlineStr">
        <is>
          <t>Technology Manager, TDD Refinery</t>
        </is>
      </c>
      <c r="F415" s="1382" t="inlineStr">
        <is>
          <t>TDD CFE&amp;I</t>
        </is>
      </c>
      <c r="G415" s="1567" t="inlineStr">
        <is>
          <t>Fuel Infrastructure</t>
        </is>
      </c>
      <c r="H415" s="1567" t="inlineStr">
        <is>
          <t>Refinery Applications</t>
        </is>
      </c>
      <c r="I415" s="1567" t="inlineStr">
        <is>
          <t>Infrastructure</t>
        </is>
      </c>
      <c r="J415" s="1567" t="inlineStr">
        <is>
          <t>Fuel Infrastructure</t>
        </is>
      </c>
      <c r="K415" s="865" t="inlineStr">
        <is>
          <t>Technology Suport</t>
        </is>
      </c>
      <c r="L415" s="1567" t="n"/>
      <c r="M415" s="1568" t="inlineStr">
        <is>
          <t>Australia</t>
        </is>
      </c>
      <c r="N415" s="865" t="inlineStr">
        <is>
          <t>Infrastructure</t>
        </is>
      </c>
      <c r="O415" s="865" t="inlineStr">
        <is>
          <t>Manufacturing</t>
        </is>
      </c>
      <c r="P415" s="865" t="inlineStr">
        <is>
          <t>Technology Support</t>
        </is>
      </c>
      <c r="Q415" s="865" t="inlineStr">
        <is>
          <t>Squad</t>
        </is>
      </c>
      <c r="R415" s="865" t="inlineStr">
        <is>
          <t>Filled</t>
        </is>
      </c>
    </row>
    <row r="416" ht="18" customHeight="1" s="866">
      <c r="A416" s="1566" t="n"/>
      <c r="B416" s="1382" t="inlineStr">
        <is>
          <t>Vacant</t>
        </is>
      </c>
      <c r="C416" s="1382" t="inlineStr">
        <is>
          <t>Lead Data Analyst</t>
        </is>
      </c>
      <c r="D416" s="1382" t="inlineStr">
        <is>
          <t>Vacant</t>
        </is>
      </c>
      <c r="E416" s="1382" t="inlineStr">
        <is>
          <t>Technology Manger, Data</t>
        </is>
      </c>
      <c r="F416" s="1382" t="inlineStr">
        <is>
          <t>TDD CFE&amp;I</t>
        </is>
      </c>
      <c r="G416" s="1567" t="inlineStr">
        <is>
          <t>Fuel Infrastructure</t>
        </is>
      </c>
      <c r="H416" s="1567" t="inlineStr">
        <is>
          <t>Fuel Infrastructure, Data</t>
        </is>
      </c>
      <c r="I416" s="1567" t="inlineStr">
        <is>
          <t>Infrastructure</t>
        </is>
      </c>
      <c r="J416" s="1382" t="inlineStr">
        <is>
          <t xml:space="preserve">Data &amp; Insights </t>
        </is>
      </c>
      <c r="K416" s="1382" t="inlineStr">
        <is>
          <t xml:space="preserve">Data &amp; Insights </t>
        </is>
      </c>
      <c r="L416" s="1567" t="n"/>
      <c r="M416" s="1568" t="n"/>
      <c r="N416" s="865" t="inlineStr">
        <is>
          <t>Infrastructure</t>
        </is>
      </c>
      <c r="O416" s="865" t="inlineStr">
        <is>
          <t>Data &amp; Insights</t>
        </is>
      </c>
      <c r="P416" s="865" t="inlineStr">
        <is>
          <t>Data &amp; Insights</t>
        </is>
      </c>
      <c r="Q416" s="865" t="inlineStr">
        <is>
          <t>Squad</t>
        </is>
      </c>
      <c r="R416" s="865" t="inlineStr">
        <is>
          <t>Vacant</t>
        </is>
      </c>
    </row>
    <row r="417" ht="18" customHeight="1" s="866">
      <c r="A417" s="1566" t="n">
        <v>115935</v>
      </c>
      <c r="B417" s="1382" t="inlineStr">
        <is>
          <t>Rick Abainza</t>
        </is>
      </c>
      <c r="C417" s="1382" t="inlineStr">
        <is>
          <t>Lead Business Analyst</t>
        </is>
      </c>
      <c r="D417" s="1567" t="inlineStr">
        <is>
          <t>vacant</t>
        </is>
      </c>
      <c r="E417" s="1382" t="inlineStr">
        <is>
          <t>Delivery Manager</t>
        </is>
      </c>
      <c r="F417" s="1382" t="inlineStr">
        <is>
          <t>TDD CFE&amp;I</t>
        </is>
      </c>
      <c r="G417" s="1567" t="inlineStr">
        <is>
          <t>Commercial Fuels</t>
        </is>
      </c>
      <c r="H417" s="1567" t="inlineStr">
        <is>
          <t>Delivery</t>
        </is>
      </c>
      <c r="I417" s="1567" t="inlineStr">
        <is>
          <t>Commercial Fuels</t>
        </is>
      </c>
      <c r="J417" s="1567" t="inlineStr">
        <is>
          <t>CTRM</t>
        </is>
      </c>
      <c r="K417" s="1567" t="inlineStr">
        <is>
          <t>CTRM</t>
        </is>
      </c>
      <c r="L417" s="1382" t="n"/>
      <c r="M417" s="1568" t="inlineStr">
        <is>
          <t>Singapore</t>
        </is>
      </c>
      <c r="N417" s="865" t="inlineStr">
        <is>
          <t>Commercial Fuels</t>
        </is>
      </c>
      <c r="O417" s="865" t="inlineStr">
        <is>
          <t>CTRM</t>
        </is>
      </c>
      <c r="P417" s="865" t="inlineStr">
        <is>
          <t>CTRM</t>
        </is>
      </c>
      <c r="Q417" s="865" t="inlineStr">
        <is>
          <t>Strategic Program</t>
        </is>
      </c>
      <c r="R417" s="865" t="inlineStr">
        <is>
          <t>Filled</t>
        </is>
      </c>
    </row>
    <row r="418" ht="18" customHeight="1" s="866">
      <c r="A418" s="1566" t="n"/>
      <c r="B418" s="1382" t="inlineStr">
        <is>
          <t>vacant</t>
        </is>
      </c>
      <c r="C418" s="1382" t="inlineStr">
        <is>
          <t>Delivery manager</t>
        </is>
      </c>
      <c r="D418" s="1567" t="inlineStr">
        <is>
          <t>Vacant</t>
        </is>
      </c>
      <c r="E418" s="1382" t="inlineStr">
        <is>
          <t>Head of Technology, B2B &amp; Energy Solutions</t>
        </is>
      </c>
      <c r="F418" s="1382" t="inlineStr">
        <is>
          <t>TDD CFE&amp;I</t>
        </is>
      </c>
      <c r="G418" s="1567" t="inlineStr">
        <is>
          <t>B2B &amp; Energy Solutions</t>
        </is>
      </c>
      <c r="H418" s="1567" t="inlineStr">
        <is>
          <t>Leadership</t>
        </is>
      </c>
      <c r="I418" s="1567" t="n"/>
      <c r="J418" s="1567" t="n"/>
      <c r="K418" s="1382" t="n"/>
      <c r="L418" s="1567" t="n"/>
      <c r="M418" s="1568" t="n"/>
      <c r="N418" s="865" t="inlineStr">
        <is>
          <t>Unmapped</t>
        </is>
      </c>
      <c r="O418" s="865" t="inlineStr">
        <is>
          <t>-</t>
        </is>
      </c>
      <c r="P418" s="865" t="inlineStr">
        <is>
          <t>B2B &amp; Energy Solutions</t>
        </is>
      </c>
      <c r="Q418" s="865" t="inlineStr">
        <is>
          <t>Unmapped</t>
        </is>
      </c>
      <c r="R418" s="865" t="inlineStr">
        <is>
          <t>Vacant</t>
        </is>
      </c>
    </row>
    <row r="419" ht="18" customHeight="1" s="866">
      <c r="A419" s="1566" t="n">
        <v>110185</v>
      </c>
      <c r="B419" s="1382" t="inlineStr">
        <is>
          <t>Soumya Choudhury</t>
        </is>
      </c>
      <c r="C419" s="1382" t="inlineStr">
        <is>
          <t xml:space="preserve">Data Application Specialist </t>
        </is>
      </c>
      <c r="D419" s="1567" t="inlineStr">
        <is>
          <t>Vacant</t>
        </is>
      </c>
      <c r="E419" s="1382" t="inlineStr">
        <is>
          <t>Technology Manager, Data</t>
        </is>
      </c>
      <c r="F419" s="1382" t="inlineStr">
        <is>
          <t>TDD CFE&amp;I</t>
        </is>
      </c>
      <c r="G419" s="1567" t="inlineStr">
        <is>
          <t>Commercial Fuels</t>
        </is>
      </c>
      <c r="H419" s="1567" t="inlineStr">
        <is>
          <t>Technology, T&amp;S Data</t>
        </is>
      </c>
      <c r="I419" s="1567" t="inlineStr">
        <is>
          <t>Commercial Fuels</t>
        </is>
      </c>
      <c r="J419" s="1567" t="inlineStr">
        <is>
          <t>Trading &amp; Shipping</t>
        </is>
      </c>
      <c r="K419" s="1567" t="inlineStr">
        <is>
          <t>Trading &amp; Shipping Data</t>
        </is>
      </c>
      <c r="L419" s="1567" t="n"/>
      <c r="M419" s="1568" t="inlineStr">
        <is>
          <t>Singapore</t>
        </is>
      </c>
      <c r="N419" s="865" t="inlineStr">
        <is>
          <t>Commercial Fuels</t>
        </is>
      </c>
      <c r="O419" s="865" t="inlineStr">
        <is>
          <t>Trading &amp; Shipping</t>
        </is>
      </c>
      <c r="P419" s="865" t="inlineStr">
        <is>
          <t>Trading &amp; Shipping Data</t>
        </is>
      </c>
      <c r="Q419" s="865" t="inlineStr">
        <is>
          <t>Squad</t>
        </is>
      </c>
      <c r="R419" s="865" t="inlineStr">
        <is>
          <t>Filled</t>
        </is>
      </c>
    </row>
    <row r="420" ht="18" customHeight="1" s="866">
      <c r="A420" s="1566" t="n">
        <v>113039</v>
      </c>
      <c r="B420" s="1382" t="inlineStr">
        <is>
          <t>Anusha Viswanatha</t>
        </is>
      </c>
      <c r="C420" s="1382" t="inlineStr">
        <is>
          <t>Delivery Lead</t>
        </is>
      </c>
      <c r="D420" s="1567" t="inlineStr">
        <is>
          <t>Vacant</t>
        </is>
      </c>
      <c r="E420" s="1382" t="inlineStr">
        <is>
          <t>Technology Manager, Data</t>
        </is>
      </c>
      <c r="F420" s="1382" t="inlineStr">
        <is>
          <t>TDD CFE&amp;I</t>
        </is>
      </c>
      <c r="G420" s="1567" t="inlineStr">
        <is>
          <t>Commercial Fuels</t>
        </is>
      </c>
      <c r="H420" s="1567" t="inlineStr">
        <is>
          <t>Technology, T&amp;S Data</t>
        </is>
      </c>
      <c r="I420" s="1567" t="inlineStr">
        <is>
          <t>Commercial Fuels</t>
        </is>
      </c>
      <c r="J420" s="1567" t="inlineStr">
        <is>
          <t>Trading &amp; Shipping</t>
        </is>
      </c>
      <c r="K420" s="1567" t="inlineStr">
        <is>
          <t>Trading &amp; Shipping Data</t>
        </is>
      </c>
      <c r="L420" s="1567" t="n"/>
      <c r="M420" s="1568" t="inlineStr">
        <is>
          <t>Singapore</t>
        </is>
      </c>
      <c r="N420" s="865" t="inlineStr">
        <is>
          <t>Commercial Fuels</t>
        </is>
      </c>
      <c r="O420" s="865" t="inlineStr">
        <is>
          <t>Trading &amp; Shipping</t>
        </is>
      </c>
      <c r="P420" s="865" t="inlineStr">
        <is>
          <t>Trading &amp; Shipping Data</t>
        </is>
      </c>
      <c r="Q420" s="865" t="inlineStr">
        <is>
          <t>Squad</t>
        </is>
      </c>
      <c r="R420" s="865" t="inlineStr">
        <is>
          <t>Filled</t>
        </is>
      </c>
    </row>
    <row r="421" ht="18" customHeight="1" s="866">
      <c r="A421" s="1566" t="n">
        <v>106907</v>
      </c>
      <c r="B421" s="1382" t="inlineStr">
        <is>
          <t>Oz Shaaban</t>
        </is>
      </c>
      <c r="C421" s="1382" t="inlineStr">
        <is>
          <t>Delivery Lead</t>
        </is>
      </c>
      <c r="D421" s="1567" t="inlineStr">
        <is>
          <t>Vacant</t>
        </is>
      </c>
      <c r="E421" s="1382" t="inlineStr">
        <is>
          <t>Delivery Manager</t>
        </is>
      </c>
      <c r="F421" s="1382" t="inlineStr">
        <is>
          <t>TDD CFE&amp;I</t>
        </is>
      </c>
      <c r="G421" s="1567" t="inlineStr">
        <is>
          <t>Commercial Fuels</t>
        </is>
      </c>
      <c r="H421" s="1567" t="inlineStr">
        <is>
          <t>Delivery</t>
        </is>
      </c>
      <c r="I421" s="1567" t="inlineStr">
        <is>
          <t>Commercial Fuels</t>
        </is>
      </c>
      <c r="J421" s="1567" t="inlineStr">
        <is>
          <t>CTRM</t>
        </is>
      </c>
      <c r="K421" s="1567" t="inlineStr">
        <is>
          <t>CTRM</t>
        </is>
      </c>
      <c r="L421" s="1382" t="n"/>
      <c r="M421" s="1568" t="inlineStr">
        <is>
          <t>Australia</t>
        </is>
      </c>
      <c r="N421" s="865" t="inlineStr">
        <is>
          <t>Commercial Fuels</t>
        </is>
      </c>
      <c r="O421" s="865" t="inlineStr">
        <is>
          <t>CTRM</t>
        </is>
      </c>
      <c r="P421" s="865" t="inlineStr">
        <is>
          <t>CTRM</t>
        </is>
      </c>
      <c r="Q421" s="865" t="inlineStr">
        <is>
          <t>Strategic Program</t>
        </is>
      </c>
      <c r="R421" s="865" t="inlineStr">
        <is>
          <t>Filled</t>
        </is>
      </c>
    </row>
    <row r="422" ht="18" customHeight="1" s="866">
      <c r="A422" s="1566" t="n">
        <v>113599</v>
      </c>
      <c r="B422" s="1382" t="inlineStr">
        <is>
          <t>Nico Lender</t>
        </is>
      </c>
      <c r="C422" s="1382" t="inlineStr">
        <is>
          <t>Solution Architect</t>
        </is>
      </c>
      <c r="D422" s="1557" t="inlineStr">
        <is>
          <t>vacant</t>
        </is>
      </c>
      <c r="E422" s="1382" t="inlineStr">
        <is>
          <t>Technology Manager, Energy Solutions</t>
        </is>
      </c>
      <c r="F422" s="1382" t="inlineStr">
        <is>
          <t>TDD CFE&amp;I</t>
        </is>
      </c>
      <c r="G422" s="1567" t="inlineStr">
        <is>
          <t>B2B &amp; Energy Solutions</t>
        </is>
      </c>
      <c r="H422" s="1567" t="inlineStr">
        <is>
          <t>Technology Energy Solutions</t>
        </is>
      </c>
      <c r="I422" s="1567" t="inlineStr">
        <is>
          <t>B2B &amp; Energy Solutions</t>
        </is>
      </c>
      <c r="J422" s="1567" t="inlineStr">
        <is>
          <t>Energy Solutions</t>
        </is>
      </c>
      <c r="K422" s="1382" t="inlineStr">
        <is>
          <t>Energy</t>
        </is>
      </c>
      <c r="L422" s="1567" t="n"/>
      <c r="M422" s="1568" t="n"/>
      <c r="N422" s="865" t="inlineStr">
        <is>
          <t>Energy Solutions &amp; B2B</t>
        </is>
      </c>
      <c r="O422" s="865" t="inlineStr">
        <is>
          <t>Energy Solutions</t>
        </is>
      </c>
      <c r="P422" s="865" t="inlineStr">
        <is>
          <t>Energy</t>
        </is>
      </c>
      <c r="Q422" s="865" t="inlineStr">
        <is>
          <t>Squad</t>
        </is>
      </c>
      <c r="R422" s="865" t="inlineStr">
        <is>
          <t>Filled</t>
        </is>
      </c>
    </row>
    <row r="423" ht="18" customHeight="1" s="866">
      <c r="A423" s="1566" t="n">
        <v>115847</v>
      </c>
      <c r="B423" s="1382" t="inlineStr">
        <is>
          <t>Jonathan Wong</t>
        </is>
      </c>
      <c r="C423" s="1382" t="inlineStr">
        <is>
          <t>Senior Business Analyst</t>
        </is>
      </c>
      <c r="D423" s="1557" t="inlineStr">
        <is>
          <t>Vacant</t>
        </is>
      </c>
      <c r="E423" s="1382" t="inlineStr">
        <is>
          <t>Technology Manager, Data</t>
        </is>
      </c>
      <c r="F423" s="1382" t="inlineStr">
        <is>
          <t>TDD CFE&amp;I</t>
        </is>
      </c>
      <c r="G423" s="1567" t="inlineStr">
        <is>
          <t>Commercial Fuels</t>
        </is>
      </c>
      <c r="H423" s="1567" t="inlineStr">
        <is>
          <t>Technology, T&amp;S Data</t>
        </is>
      </c>
      <c r="I423" s="1567" t="inlineStr">
        <is>
          <t>Commercial Fuels</t>
        </is>
      </c>
      <c r="J423" s="1567" t="inlineStr">
        <is>
          <t>Trading &amp; Shipping</t>
        </is>
      </c>
      <c r="K423" s="1567" t="inlineStr">
        <is>
          <t>Trading &amp; Shipping Data</t>
        </is>
      </c>
      <c r="L423" s="1567" t="n"/>
      <c r="M423" s="1568" t="inlineStr">
        <is>
          <t>Singapore</t>
        </is>
      </c>
      <c r="N423" s="865" t="inlineStr">
        <is>
          <t>Commercial Fuels</t>
        </is>
      </c>
      <c r="O423" s="865" t="inlineStr">
        <is>
          <t>Trading &amp; Shipping</t>
        </is>
      </c>
      <c r="P423" s="865" t="inlineStr">
        <is>
          <t>Trading &amp; Shipping Data</t>
        </is>
      </c>
      <c r="Q423" s="865" t="inlineStr">
        <is>
          <t>Squad</t>
        </is>
      </c>
      <c r="R423" s="865" t="inlineStr">
        <is>
          <t>Filled</t>
        </is>
      </c>
    </row>
    <row r="424" ht="18" customHeight="1" s="866">
      <c r="A424" s="1566" t="n"/>
      <c r="B424" s="1382" t="inlineStr">
        <is>
          <t xml:space="preserve">Vacant </t>
        </is>
      </c>
      <c r="C424" s="1382" t="inlineStr">
        <is>
          <t>Engineer Software</t>
        </is>
      </c>
      <c r="D424" s="1557" t="inlineStr">
        <is>
          <t>Vacant</t>
        </is>
      </c>
      <c r="E424" s="1382" t="inlineStr">
        <is>
          <t>Technology Manager, Engineering</t>
        </is>
      </c>
      <c r="F424" s="1382" t="inlineStr">
        <is>
          <t>TDD CFE&amp;I</t>
        </is>
      </c>
      <c r="G424" s="1567" t="inlineStr">
        <is>
          <t>Commercial Fuels</t>
        </is>
      </c>
      <c r="H424" s="1567" t="inlineStr">
        <is>
          <t>Technology, Engineering</t>
        </is>
      </c>
      <c r="I424" s="1567" t="inlineStr">
        <is>
          <t>Commercial Fuels</t>
        </is>
      </c>
      <c r="J424" s="1567" t="inlineStr">
        <is>
          <t>Supply</t>
        </is>
      </c>
      <c r="K424" s="1382" t="inlineStr">
        <is>
          <t>Supply</t>
        </is>
      </c>
      <c r="L424" s="1567" t="n"/>
      <c r="M424" s="1568" t="n"/>
      <c r="N424" s="865" t="inlineStr">
        <is>
          <t>Commercial Fuels</t>
        </is>
      </c>
      <c r="O424" s="865" t="inlineStr">
        <is>
          <t>Supply</t>
        </is>
      </c>
      <c r="P424" s="865" t="inlineStr">
        <is>
          <t>Supply</t>
        </is>
      </c>
      <c r="Q424" s="865" t="inlineStr">
        <is>
          <t>Squad</t>
        </is>
      </c>
      <c r="R424" s="865" t="inlineStr">
        <is>
          <t>Vacant</t>
        </is>
      </c>
    </row>
    <row r="425" ht="18" customHeight="1" s="866">
      <c r="A425" s="1566" t="n">
        <v>102187</v>
      </c>
      <c r="B425" s="1382" t="inlineStr">
        <is>
          <t>Sijin Zhu</t>
        </is>
      </c>
      <c r="C425" s="1382" t="inlineStr">
        <is>
          <t>Business Analyst</t>
        </is>
      </c>
      <c r="D425" s="1557" t="inlineStr">
        <is>
          <t>vacant</t>
        </is>
      </c>
      <c r="E425" s="1382" t="inlineStr">
        <is>
          <t>Delivery Manager</t>
        </is>
      </c>
      <c r="F425" s="1382" t="inlineStr">
        <is>
          <t>TDD CFE&amp;I</t>
        </is>
      </c>
      <c r="G425" s="1567" t="inlineStr">
        <is>
          <t>Commercial Fuels</t>
        </is>
      </c>
      <c r="H425" s="1567" t="inlineStr">
        <is>
          <t>Delivery</t>
        </is>
      </c>
      <c r="I425" s="1567" t="inlineStr">
        <is>
          <t>Commercial Fuels</t>
        </is>
      </c>
      <c r="J425" s="1567" t="inlineStr">
        <is>
          <t>CTRM</t>
        </is>
      </c>
      <c r="K425" s="1567" t="inlineStr">
        <is>
          <t>CTRM</t>
        </is>
      </c>
      <c r="L425" s="1382" t="n"/>
      <c r="M425" s="1568" t="inlineStr">
        <is>
          <t>Singapore</t>
        </is>
      </c>
      <c r="N425" s="865" t="inlineStr">
        <is>
          <t>Commercial Fuels</t>
        </is>
      </c>
      <c r="O425" s="865" t="inlineStr">
        <is>
          <t>CTRM</t>
        </is>
      </c>
      <c r="P425" s="865" t="inlineStr">
        <is>
          <t>CTRM</t>
        </is>
      </c>
      <c r="Q425" s="865" t="inlineStr">
        <is>
          <t>Strategic Program</t>
        </is>
      </c>
      <c r="R425" s="865" t="inlineStr">
        <is>
          <t>Filled</t>
        </is>
      </c>
    </row>
    <row r="426" ht="18" customHeight="1" s="866">
      <c r="A426" s="1566" t="n">
        <v>8367</v>
      </c>
      <c r="B426" s="1382" t="inlineStr">
        <is>
          <t>Marcela Gonzalez</t>
        </is>
      </c>
      <c r="C426" s="1382" t="inlineStr">
        <is>
          <t>Energy Platforms Lead</t>
        </is>
      </c>
      <c r="D426" s="1557" t="inlineStr">
        <is>
          <t>vacant</t>
        </is>
      </c>
      <c r="E426" s="1382" t="inlineStr">
        <is>
          <t>Technology Manager, Energy Solutions</t>
        </is>
      </c>
      <c r="F426" s="1382" t="inlineStr">
        <is>
          <t>TDD CFE&amp;I</t>
        </is>
      </c>
      <c r="G426" s="1567" t="inlineStr">
        <is>
          <t>B2B &amp; Energy Solutions</t>
        </is>
      </c>
      <c r="H426" s="1567" t="inlineStr">
        <is>
          <t>Technology Energy Solutions</t>
        </is>
      </c>
      <c r="I426" s="1567" t="inlineStr">
        <is>
          <t>B2B &amp; Energy Solutions</t>
        </is>
      </c>
      <c r="J426" s="1567" t="inlineStr">
        <is>
          <t>Ampol Digital</t>
        </is>
      </c>
      <c r="K426" s="1382" t="inlineStr">
        <is>
          <t>Ampol App</t>
        </is>
      </c>
      <c r="L426" s="1567" t="n"/>
      <c r="M426" s="1568" t="inlineStr">
        <is>
          <t>Australia</t>
        </is>
      </c>
      <c r="N426" s="865" t="inlineStr">
        <is>
          <t>Customer</t>
        </is>
      </c>
      <c r="O426" s="865" t="inlineStr">
        <is>
          <t>Ampol Digital</t>
        </is>
      </c>
      <c r="P426" s="865" t="inlineStr">
        <is>
          <t>Ampol App</t>
        </is>
      </c>
      <c r="Q426" s="865" t="inlineStr">
        <is>
          <t>Squad</t>
        </is>
      </c>
      <c r="R426" s="865" t="inlineStr">
        <is>
          <t>Filled</t>
        </is>
      </c>
    </row>
    <row r="427" ht="18" customHeight="1" s="866">
      <c r="A427" s="1566" t="n"/>
      <c r="B427" s="1382" t="inlineStr">
        <is>
          <t>Vacant</t>
        </is>
      </c>
      <c r="C427" s="1382" t="inlineStr">
        <is>
          <t>Reporting Analyst</t>
        </is>
      </c>
      <c r="D427" s="865" t="inlineStr">
        <is>
          <t>vacant</t>
        </is>
      </c>
      <c r="E427" s="1382" t="inlineStr">
        <is>
          <t>Technology Manger, Data</t>
        </is>
      </c>
      <c r="F427" s="1382" t="inlineStr">
        <is>
          <t>TDD CFE&amp;I</t>
        </is>
      </c>
      <c r="G427" s="1567" t="inlineStr">
        <is>
          <t>Fuel Infrastructure</t>
        </is>
      </c>
      <c r="H427" s="1567" t="inlineStr">
        <is>
          <t>Fuel Infrastructure, Data</t>
        </is>
      </c>
      <c r="I427" s="1567" t="inlineStr">
        <is>
          <t>Infrastructure</t>
        </is>
      </c>
      <c r="J427" s="1382" t="inlineStr">
        <is>
          <t xml:space="preserve">Data &amp; Insights </t>
        </is>
      </c>
      <c r="K427" s="1382" t="inlineStr">
        <is>
          <t xml:space="preserve">Data &amp; Insights </t>
        </is>
      </c>
      <c r="L427" s="1567" t="n"/>
      <c r="M427" s="1568" t="n"/>
      <c r="N427" s="865" t="inlineStr">
        <is>
          <t>Infrastructure</t>
        </is>
      </c>
      <c r="O427" s="865" t="inlineStr">
        <is>
          <t>Data &amp; Insights</t>
        </is>
      </c>
      <c r="P427" s="865" t="inlineStr">
        <is>
          <t>Data &amp; Insights</t>
        </is>
      </c>
      <c r="Q427" s="865" t="inlineStr">
        <is>
          <t>Squad</t>
        </is>
      </c>
      <c r="R427" s="865" t="inlineStr">
        <is>
          <t>Vacant</t>
        </is>
      </c>
    </row>
    <row r="428" ht="18" customHeight="1" s="866">
      <c r="A428" s="1566" t="n">
        <v>99999101013</v>
      </c>
      <c r="B428" s="1382" t="inlineStr">
        <is>
          <t>Chantal Lynch</t>
        </is>
      </c>
      <c r="C428" s="1382" t="inlineStr">
        <is>
          <t>Lead Quality Assurance</t>
        </is>
      </c>
      <c r="D428" s="1557" t="inlineStr">
        <is>
          <t>Vacant</t>
        </is>
      </c>
      <c r="E428" s="1382" t="inlineStr">
        <is>
          <t>Technology Manager, Engineering</t>
        </is>
      </c>
      <c r="F428" s="1382" t="inlineStr">
        <is>
          <t>TDD CFE&amp;I</t>
        </is>
      </c>
      <c r="G428" s="1567" t="inlineStr">
        <is>
          <t>Commercial Fuels</t>
        </is>
      </c>
      <c r="H428" s="1567" t="inlineStr">
        <is>
          <t>Trading &amp; Shipping</t>
        </is>
      </c>
      <c r="I428" s="1567" t="inlineStr">
        <is>
          <t>Commercial Fuels</t>
        </is>
      </c>
      <c r="J428" s="1382" t="inlineStr">
        <is>
          <t>CTRM</t>
        </is>
      </c>
      <c r="K428" s="1382" t="inlineStr">
        <is>
          <t>CTRM</t>
        </is>
      </c>
      <c r="L428" s="1567" t="n"/>
      <c r="M428" s="1568" t="inlineStr">
        <is>
          <t>NZ</t>
        </is>
      </c>
      <c r="N428" s="865" t="inlineStr">
        <is>
          <t>Commercial Fuels</t>
        </is>
      </c>
      <c r="O428" s="865" t="inlineStr">
        <is>
          <t>CTRM</t>
        </is>
      </c>
      <c r="P428" s="865" t="inlineStr">
        <is>
          <t>CTRM</t>
        </is>
      </c>
      <c r="Q428" s="865" t="inlineStr">
        <is>
          <t>Strategic Program</t>
        </is>
      </c>
      <c r="R428" s="865" t="inlineStr">
        <is>
          <t>Filled</t>
        </is>
      </c>
    </row>
    <row r="429" ht="18" customHeight="1" s="866">
      <c r="A429" s="1566" t="n"/>
      <c r="B429" s="1382" t="inlineStr">
        <is>
          <t xml:space="preserve">Vacant </t>
        </is>
      </c>
      <c r="C429" s="1382" t="inlineStr">
        <is>
          <t>Business Analyst</t>
        </is>
      </c>
      <c r="D429" s="1557" t="inlineStr">
        <is>
          <t>Vacant</t>
        </is>
      </c>
      <c r="E429" s="1382" t="inlineStr">
        <is>
          <t>Delivery Manager</t>
        </is>
      </c>
      <c r="F429" s="1382" t="inlineStr">
        <is>
          <t>TDD CFE&amp;I</t>
        </is>
      </c>
      <c r="G429" s="1567" t="inlineStr">
        <is>
          <t>B2B &amp; Energy Solutions</t>
        </is>
      </c>
      <c r="H429" s="1567" t="inlineStr">
        <is>
          <t>Delivery</t>
        </is>
      </c>
      <c r="I429" s="1567" t="inlineStr">
        <is>
          <t>B2B &amp; Energy Solutions</t>
        </is>
      </c>
      <c r="J429" s="1567" t="inlineStr">
        <is>
          <t>Energy Solutions</t>
        </is>
      </c>
      <c r="K429" s="1382" t="inlineStr">
        <is>
          <t>Energy</t>
        </is>
      </c>
      <c r="L429" s="1567" t="n"/>
      <c r="M429" s="1568" t="n"/>
      <c r="N429" s="865" t="inlineStr">
        <is>
          <t>Energy Solutions &amp; B2B</t>
        </is>
      </c>
      <c r="O429" s="865" t="inlineStr">
        <is>
          <t>Energy Solutions</t>
        </is>
      </c>
      <c r="P429" s="865" t="inlineStr">
        <is>
          <t>Energy</t>
        </is>
      </c>
      <c r="Q429" s="865" t="inlineStr">
        <is>
          <t>Squad</t>
        </is>
      </c>
      <c r="R429" s="865" t="inlineStr">
        <is>
          <t>Vacant</t>
        </is>
      </c>
    </row>
    <row r="430" ht="18" customHeight="1" s="866">
      <c r="A430" s="1566" t="n">
        <v>101157</v>
      </c>
      <c r="B430" s="1382" t="inlineStr">
        <is>
          <t>Jessica Calla</t>
        </is>
      </c>
      <c r="C430" s="1382" t="inlineStr">
        <is>
          <t>System Analyst Card</t>
        </is>
      </c>
      <c r="D430" s="865" t="inlineStr">
        <is>
          <t>Vacant</t>
        </is>
      </c>
      <c r="E430" s="1382" t="inlineStr">
        <is>
          <t>Technology Manager, Energy Solutions</t>
        </is>
      </c>
      <c r="F430" s="1382" t="inlineStr">
        <is>
          <t>TDD CFE&amp;I</t>
        </is>
      </c>
      <c r="G430" s="1567" t="inlineStr">
        <is>
          <t>B2B &amp; Energy Solutions</t>
        </is>
      </c>
      <c r="H430" s="1567" t="inlineStr">
        <is>
          <t>Technology B2B</t>
        </is>
      </c>
      <c r="I430" s="1567" t="inlineStr">
        <is>
          <t>B2B &amp; Energy Solutions</t>
        </is>
      </c>
      <c r="J430" s="1382" t="inlineStr">
        <is>
          <t>B2B</t>
        </is>
      </c>
      <c r="K430" s="1382" t="inlineStr">
        <is>
          <t>B2B</t>
        </is>
      </c>
      <c r="L430" s="1567" t="n"/>
      <c r="M430" s="1568" t="inlineStr">
        <is>
          <t>Australia</t>
        </is>
      </c>
      <c r="N430" s="865" t="inlineStr">
        <is>
          <t>Energy Solutions &amp; B2B</t>
        </is>
      </c>
      <c r="O430" s="865" t="inlineStr">
        <is>
          <t>B2B</t>
        </is>
      </c>
      <c r="P430" s="865" t="inlineStr">
        <is>
          <t>B2B</t>
        </is>
      </c>
      <c r="Q430" s="865" t="inlineStr">
        <is>
          <t>Squad</t>
        </is>
      </c>
      <c r="R430" s="865" t="inlineStr">
        <is>
          <t>Filled</t>
        </is>
      </c>
    </row>
    <row r="431" ht="18" customHeight="1" s="866">
      <c r="A431" s="1566" t="n"/>
      <c r="B431" s="1382" t="inlineStr">
        <is>
          <t>Vacant</t>
        </is>
      </c>
      <c r="C431" s="1382" t="inlineStr">
        <is>
          <t>Quality Assurance</t>
        </is>
      </c>
      <c r="D431" s="1382" t="inlineStr">
        <is>
          <t>Vacant</t>
        </is>
      </c>
      <c r="E431" s="1382" t="inlineStr">
        <is>
          <t>Technology Manager, Future Infrastructure</t>
        </is>
      </c>
      <c r="F431" s="1382" t="inlineStr">
        <is>
          <t>TDD CFE&amp;I</t>
        </is>
      </c>
      <c r="G431" s="1567" t="inlineStr">
        <is>
          <t>Fuel Infrastructure</t>
        </is>
      </c>
      <c r="H431" s="1567" t="inlineStr">
        <is>
          <t>Technology - Distribution</t>
        </is>
      </c>
      <c r="I431" s="1567" t="inlineStr">
        <is>
          <t>Infrastructure</t>
        </is>
      </c>
      <c r="J431" s="1567" t="inlineStr">
        <is>
          <t>Distribution</t>
        </is>
      </c>
      <c r="K431" s="1382" t="inlineStr">
        <is>
          <t>Distribution, Sales &amp; Services</t>
        </is>
      </c>
      <c r="L431" s="1567" t="n"/>
      <c r="M431" s="1568" t="n"/>
      <c r="N431" s="865" t="inlineStr">
        <is>
          <t>Infrastructure</t>
        </is>
      </c>
      <c r="O431" s="865" t="inlineStr">
        <is>
          <t>Distribution</t>
        </is>
      </c>
      <c r="P431" s="865" t="inlineStr">
        <is>
          <t>Distribution, Sales &amp; Services</t>
        </is>
      </c>
      <c r="Q431" s="865" t="inlineStr">
        <is>
          <t>Squad</t>
        </is>
      </c>
      <c r="R431" s="865" t="inlineStr">
        <is>
          <t>Vacant</t>
        </is>
      </c>
    </row>
    <row r="432" ht="18" customHeight="1" s="866">
      <c r="A432" s="1566" t="n"/>
      <c r="B432" s="1382" t="inlineStr">
        <is>
          <t>Zijie Zhang</t>
        </is>
      </c>
      <c r="C432" s="1382" t="inlineStr">
        <is>
          <t>Senior Data Analyst</t>
        </is>
      </c>
      <c r="D432" s="1567" t="inlineStr">
        <is>
          <t>Vacant</t>
        </is>
      </c>
      <c r="E432" s="1382" t="inlineStr">
        <is>
          <t>Technology Manager, Data</t>
        </is>
      </c>
      <c r="F432" s="1382" t="inlineStr">
        <is>
          <t>TDD CFE&amp;I</t>
        </is>
      </c>
      <c r="G432" s="1567" t="inlineStr">
        <is>
          <t>Commercial Fuels</t>
        </is>
      </c>
      <c r="H432" s="1595" t="inlineStr">
        <is>
          <t>Trading &amp; Shipping</t>
        </is>
      </c>
      <c r="I432" s="1567" t="inlineStr">
        <is>
          <t>Commercial Fuels</t>
        </is>
      </c>
      <c r="J432" s="1567" t="inlineStr">
        <is>
          <t>Trading &amp; Shipping</t>
        </is>
      </c>
      <c r="K432" s="1567" t="inlineStr">
        <is>
          <t>Trading &amp; Shipping Data</t>
        </is>
      </c>
      <c r="L432" s="1567" t="n"/>
      <c r="M432" s="1568" t="n"/>
      <c r="N432" s="865" t="inlineStr">
        <is>
          <t>Commercial Fuels</t>
        </is>
      </c>
      <c r="O432" s="865" t="inlineStr">
        <is>
          <t>Trading &amp; Shipping</t>
        </is>
      </c>
      <c r="P432" s="865" t="inlineStr">
        <is>
          <t>Trading &amp; Shipping Data</t>
        </is>
      </c>
      <c r="Q432" s="865" t="inlineStr">
        <is>
          <t>Squad</t>
        </is>
      </c>
      <c r="R432" s="865" t="inlineStr">
        <is>
          <t>Filled</t>
        </is>
      </c>
    </row>
    <row r="433" ht="18" customHeight="1" s="866">
      <c r="A433" s="1566" t="n">
        <v>115723</v>
      </c>
      <c r="B433" s="1382" t="inlineStr">
        <is>
          <t>Kumar Siva</t>
        </is>
      </c>
      <c r="C433" s="1382" t="inlineStr">
        <is>
          <t>Lead engineer Data</t>
        </is>
      </c>
      <c r="D433" s="1567" t="inlineStr">
        <is>
          <t>Vacant</t>
        </is>
      </c>
      <c r="E433" s="865" t="inlineStr">
        <is>
          <t>Technology Manager, Data</t>
        </is>
      </c>
      <c r="F433" s="1382" t="inlineStr">
        <is>
          <t>TDD CFE&amp;I</t>
        </is>
      </c>
      <c r="G433" s="1567" t="inlineStr">
        <is>
          <t>Commercial Fuels</t>
        </is>
      </c>
      <c r="H433" s="1567" t="inlineStr">
        <is>
          <t>Technology, T&amp;S Data</t>
        </is>
      </c>
      <c r="I433" s="1567" t="inlineStr">
        <is>
          <t>Commercial Fuels</t>
        </is>
      </c>
      <c r="J433" s="1567" t="inlineStr">
        <is>
          <t>Trading &amp; Shipping</t>
        </is>
      </c>
      <c r="K433" s="1567" t="inlineStr">
        <is>
          <t>Trading &amp; Shipping Data</t>
        </is>
      </c>
      <c r="L433" s="1567" t="n"/>
      <c r="M433" s="1568" t="inlineStr">
        <is>
          <t>Singapore</t>
        </is>
      </c>
      <c r="N433" s="865" t="inlineStr">
        <is>
          <t>Commercial Fuels</t>
        </is>
      </c>
      <c r="O433" s="865" t="inlineStr">
        <is>
          <t>Trading &amp; Shipping</t>
        </is>
      </c>
      <c r="P433" s="865" t="inlineStr">
        <is>
          <t>Trading &amp; Shipping Data</t>
        </is>
      </c>
      <c r="Q433" s="865" t="inlineStr">
        <is>
          <t>Squad</t>
        </is>
      </c>
      <c r="R433" s="865" t="inlineStr">
        <is>
          <t>Filled</t>
        </is>
      </c>
    </row>
    <row r="434" ht="18" customHeight="1" s="866">
      <c r="A434" s="1566" t="n"/>
      <c r="B434" s="1382" t="inlineStr">
        <is>
          <t xml:space="preserve">Vacant </t>
        </is>
      </c>
      <c r="C434" s="1382" t="inlineStr">
        <is>
          <t>Business Analyst</t>
        </is>
      </c>
      <c r="D434" s="1567" t="inlineStr">
        <is>
          <t>Vacant</t>
        </is>
      </c>
      <c r="E434" s="1382" t="inlineStr">
        <is>
          <t>Delivery Manager</t>
        </is>
      </c>
      <c r="F434" s="1382" t="inlineStr">
        <is>
          <t>TDD CFE&amp;I</t>
        </is>
      </c>
      <c r="G434" s="1567" t="inlineStr">
        <is>
          <t>B2B &amp; Energy Solutions</t>
        </is>
      </c>
      <c r="H434" s="1567" t="inlineStr">
        <is>
          <t>Delivery</t>
        </is>
      </c>
      <c r="I434" s="1567" t="inlineStr">
        <is>
          <t>B2B &amp; Energy Solutions</t>
        </is>
      </c>
      <c r="J434" s="1382" t="inlineStr">
        <is>
          <t>B2B</t>
        </is>
      </c>
      <c r="K434" s="1382" t="inlineStr">
        <is>
          <t>B2B</t>
        </is>
      </c>
      <c r="L434" s="1567" t="n"/>
      <c r="M434" s="1568" t="n"/>
      <c r="N434" s="865" t="inlineStr">
        <is>
          <t>Energy Solutions &amp; B2B</t>
        </is>
      </c>
      <c r="O434" s="865" t="inlineStr">
        <is>
          <t>B2B</t>
        </is>
      </c>
      <c r="P434" s="865" t="inlineStr">
        <is>
          <t>B2B</t>
        </is>
      </c>
      <c r="Q434" s="865" t="inlineStr">
        <is>
          <t>Squad</t>
        </is>
      </c>
      <c r="R434" s="865" t="inlineStr">
        <is>
          <t>Vacant</t>
        </is>
      </c>
    </row>
    <row r="435" ht="18" customHeight="1" s="866">
      <c r="A435" s="1566" t="n">
        <v>110044</v>
      </c>
      <c r="B435" s="1382" t="inlineStr">
        <is>
          <t>Kevin Nelson</t>
        </is>
      </c>
      <c r="C435" s="1382" t="inlineStr">
        <is>
          <t>Delivery Lead</t>
        </is>
      </c>
      <c r="D435" s="1567" t="inlineStr">
        <is>
          <t>Vacant</t>
        </is>
      </c>
      <c r="E435" s="1382" t="inlineStr">
        <is>
          <t>Delivery Manager</t>
        </is>
      </c>
      <c r="F435" s="1382" t="inlineStr">
        <is>
          <t>TDD CFE&amp;I</t>
        </is>
      </c>
      <c r="G435" s="1567" t="inlineStr">
        <is>
          <t>Fuel Infrastructure</t>
        </is>
      </c>
      <c r="H435" s="1567" t="inlineStr">
        <is>
          <t>Fuel Infrastructure, Delivery</t>
        </is>
      </c>
      <c r="I435" s="1567" t="inlineStr">
        <is>
          <t>RETAIL</t>
        </is>
      </c>
      <c r="J435" s="1567" t="inlineStr">
        <is>
          <t>AMPOS</t>
        </is>
      </c>
      <c r="K435" s="1382" t="inlineStr">
        <is>
          <t>AmPos</t>
        </is>
      </c>
      <c r="L435" s="1567" t="n"/>
      <c r="M435" s="1568" t="inlineStr">
        <is>
          <t>Australia</t>
        </is>
      </c>
      <c r="N435" s="865" t="inlineStr">
        <is>
          <t>Ampol Retail</t>
        </is>
      </c>
      <c r="O435" s="865" t="inlineStr">
        <is>
          <t>AmPOS</t>
        </is>
      </c>
      <c r="P435" s="865" t="inlineStr">
        <is>
          <t>AmPOS</t>
        </is>
      </c>
      <c r="Q435" s="865" t="inlineStr">
        <is>
          <t>Strategic Program</t>
        </is>
      </c>
      <c r="R435" s="865" t="inlineStr">
        <is>
          <t>Filled</t>
        </is>
      </c>
    </row>
    <row r="436" ht="18" customHeight="1" s="866">
      <c r="A436" s="1566" t="n"/>
      <c r="B436" s="1382" t="inlineStr">
        <is>
          <t>Vacant</t>
        </is>
      </c>
      <c r="C436" s="1382" t="inlineStr">
        <is>
          <t>Quality Assurance</t>
        </is>
      </c>
      <c r="D436" s="1382" t="inlineStr">
        <is>
          <t>Vacant</t>
        </is>
      </c>
      <c r="E436" s="1382" t="inlineStr">
        <is>
          <t>Technology Manager, TDD Refinery</t>
        </is>
      </c>
      <c r="F436" s="1382" t="inlineStr">
        <is>
          <t>TDD CFE&amp;I</t>
        </is>
      </c>
      <c r="G436" s="1567" t="inlineStr">
        <is>
          <t>Fuel Infrastructure</t>
        </is>
      </c>
      <c r="H436" s="1567" t="inlineStr">
        <is>
          <t>Refinery Applications</t>
        </is>
      </c>
      <c r="I436" s="1567" t="inlineStr">
        <is>
          <t>Infrastructure</t>
        </is>
      </c>
      <c r="J436" s="1567" t="inlineStr">
        <is>
          <t>Manufacturing</t>
        </is>
      </c>
      <c r="K436" s="1382" t="inlineStr">
        <is>
          <t>Manufacturing Group Projects</t>
        </is>
      </c>
      <c r="L436" s="1567" t="n"/>
      <c r="M436" s="1568" t="n"/>
      <c r="N436" s="865" t="inlineStr">
        <is>
          <t>Infrastructure</t>
        </is>
      </c>
      <c r="O436" s="865" t="inlineStr">
        <is>
          <t>Manufacturing</t>
        </is>
      </c>
      <c r="P436" s="865" t="inlineStr">
        <is>
          <t>Manufacturing &amp; Group Projects</t>
        </is>
      </c>
      <c r="Q436" s="865" t="inlineStr">
        <is>
          <t>Squad</t>
        </is>
      </c>
      <c r="R436" s="865" t="inlineStr">
        <is>
          <t>Vacant</t>
        </is>
      </c>
    </row>
    <row r="437" ht="18" customHeight="1" s="866">
      <c r="A437" s="1566" t="n">
        <v>105531</v>
      </c>
      <c r="B437" s="1382" t="inlineStr">
        <is>
          <t>Jodi Higgins</t>
        </is>
      </c>
      <c r="C437" s="1382" t="inlineStr">
        <is>
          <t>Delivery Lead</t>
        </is>
      </c>
      <c r="D437" s="1567" t="inlineStr">
        <is>
          <t>Vacant</t>
        </is>
      </c>
      <c r="E437" s="1382" t="inlineStr">
        <is>
          <t>Delivery Manager</t>
        </is>
      </c>
      <c r="F437" s="1382" t="inlineStr">
        <is>
          <t>TDD CFE&amp;I</t>
        </is>
      </c>
      <c r="G437" s="1567" t="inlineStr">
        <is>
          <t>Fuel Infrastructure</t>
        </is>
      </c>
      <c r="H437" s="1567" t="inlineStr">
        <is>
          <t>Fuel Infrastructure, Delivery</t>
        </is>
      </c>
      <c r="I437" s="1567" t="inlineStr">
        <is>
          <t>Infrastructure</t>
        </is>
      </c>
      <c r="J437" s="1567" t="inlineStr">
        <is>
          <t>Distribution</t>
        </is>
      </c>
      <c r="K437" s="1382" t="inlineStr">
        <is>
          <t>Distribution, Sales &amp; Services</t>
        </is>
      </c>
      <c r="L437" s="1567" t="n"/>
      <c r="M437" s="1568" t="inlineStr">
        <is>
          <t>Australia</t>
        </is>
      </c>
      <c r="N437" s="865" t="inlineStr">
        <is>
          <t>Infrastructure</t>
        </is>
      </c>
      <c r="O437" s="865" t="inlineStr">
        <is>
          <t>Distribution</t>
        </is>
      </c>
      <c r="P437" s="865" t="inlineStr">
        <is>
          <t>Distribution, Sales &amp; Services</t>
        </is>
      </c>
      <c r="Q437" s="865" t="inlineStr">
        <is>
          <t>Squad</t>
        </is>
      </c>
      <c r="R437" s="865" t="inlineStr">
        <is>
          <t>Filled</t>
        </is>
      </c>
    </row>
    <row r="438" ht="18" customHeight="1" s="866">
      <c r="A438" s="1566" t="n">
        <v>99999100072</v>
      </c>
      <c r="B438" s="1382" t="inlineStr">
        <is>
          <t>Angela Ross</t>
        </is>
      </c>
      <c r="C438" s="1382" t="inlineStr">
        <is>
          <t>Delivery Lead</t>
        </is>
      </c>
      <c r="D438" s="1567" t="inlineStr">
        <is>
          <t>Vacant</t>
        </is>
      </c>
      <c r="E438" s="1382" t="inlineStr">
        <is>
          <t>Delivery Manager</t>
        </is>
      </c>
      <c r="F438" s="1382" t="inlineStr">
        <is>
          <t>TDD CFE&amp;I</t>
        </is>
      </c>
      <c r="G438" s="1567" t="inlineStr">
        <is>
          <t>B2B &amp; Energy Solutions</t>
        </is>
      </c>
      <c r="H438" s="1567" t="inlineStr">
        <is>
          <t>Delivery</t>
        </is>
      </c>
      <c r="I438" s="1567" t="inlineStr">
        <is>
          <t>B2B &amp; Energy Solutions</t>
        </is>
      </c>
      <c r="J438" s="1567" t="inlineStr">
        <is>
          <t>Energy Solutions</t>
        </is>
      </c>
      <c r="K438" s="1382" t="inlineStr">
        <is>
          <t>EVCI</t>
        </is>
      </c>
      <c r="L438" s="1567" t="n"/>
      <c r="M438" s="1568" t="inlineStr">
        <is>
          <t>NZ</t>
        </is>
      </c>
      <c r="N438" s="865" t="inlineStr">
        <is>
          <t>Energy Solutions &amp; B2B</t>
        </is>
      </c>
      <c r="O438" s="865" t="inlineStr">
        <is>
          <t>Energy Solutions</t>
        </is>
      </c>
      <c r="P438" s="865" t="inlineStr">
        <is>
          <t>EVCI</t>
        </is>
      </c>
      <c r="Q438" s="865" t="inlineStr">
        <is>
          <t>Squad</t>
        </is>
      </c>
      <c r="R438" s="865" t="inlineStr">
        <is>
          <t>Filled</t>
        </is>
      </c>
    </row>
    <row r="439" ht="18" customHeight="1" s="866">
      <c r="A439" s="1566" t="n">
        <v>114723</v>
      </c>
      <c r="B439" s="1382" t="inlineStr">
        <is>
          <t>Ming Shao</t>
        </is>
      </c>
      <c r="C439" s="1382" t="inlineStr">
        <is>
          <t>Senior Systems Analyst Card</t>
        </is>
      </c>
      <c r="D439" s="1382" t="inlineStr">
        <is>
          <t>Vacant</t>
        </is>
      </c>
      <c r="E439" s="1382" t="inlineStr">
        <is>
          <t>Technology Manager, Energy Solutions</t>
        </is>
      </c>
      <c r="F439" s="1382" t="inlineStr">
        <is>
          <t>TDD CFE&amp;I</t>
        </is>
      </c>
      <c r="G439" s="1567" t="inlineStr">
        <is>
          <t>B2B &amp; Energy Solutions</t>
        </is>
      </c>
      <c r="H439" s="1567" t="inlineStr">
        <is>
          <t>Technology B2B</t>
        </is>
      </c>
      <c r="I439" s="1567" t="inlineStr">
        <is>
          <t>B2B &amp; Energy Solutions</t>
        </is>
      </c>
      <c r="J439" s="1382" t="inlineStr">
        <is>
          <t>B2B</t>
        </is>
      </c>
      <c r="K439" s="1382" t="inlineStr">
        <is>
          <t>B2B</t>
        </is>
      </c>
      <c r="L439" s="1567" t="n"/>
      <c r="M439" s="1568" t="inlineStr">
        <is>
          <t>Australia</t>
        </is>
      </c>
      <c r="N439" s="865" t="inlineStr">
        <is>
          <t>Energy Solutions &amp; B2B</t>
        </is>
      </c>
      <c r="O439" s="865" t="inlineStr">
        <is>
          <t>B2B</t>
        </is>
      </c>
      <c r="P439" s="865" t="inlineStr">
        <is>
          <t>B2B</t>
        </is>
      </c>
      <c r="Q439" s="865" t="inlineStr">
        <is>
          <t>Squad</t>
        </is>
      </c>
      <c r="R439" s="865" t="inlineStr">
        <is>
          <t>Filled</t>
        </is>
      </c>
    </row>
    <row r="440" ht="18" customHeight="1" s="866">
      <c r="A440" s="1566" t="n">
        <v>99999101505</v>
      </c>
      <c r="B440" s="1382" t="inlineStr">
        <is>
          <t>Vacant</t>
        </is>
      </c>
      <c r="C440" s="1382" t="inlineStr">
        <is>
          <t>Snr Engineer Software</t>
        </is>
      </c>
      <c r="D440" s="1567" t="inlineStr">
        <is>
          <t>Vacant</t>
        </is>
      </c>
      <c r="E440" s="1382" t="inlineStr">
        <is>
          <t>Technology Manager, Energy Solutions</t>
        </is>
      </c>
      <c r="F440" s="1382" t="inlineStr">
        <is>
          <t>TDD CFE&amp;I</t>
        </is>
      </c>
      <c r="G440" s="1567" t="inlineStr">
        <is>
          <t>B2B &amp; Energy Solutions</t>
        </is>
      </c>
      <c r="H440" s="1567" t="inlineStr">
        <is>
          <t>Technology Energy Solutions</t>
        </is>
      </c>
      <c r="I440" s="1567" t="inlineStr">
        <is>
          <t>B2B &amp; Energy Solutions</t>
        </is>
      </c>
      <c r="J440" s="1567" t="inlineStr">
        <is>
          <t>Energy Solutions</t>
        </is>
      </c>
      <c r="K440" s="1382" t="inlineStr">
        <is>
          <t>EVCI</t>
        </is>
      </c>
      <c r="L440" s="1567" t="n"/>
      <c r="M440" s="1568" t="inlineStr">
        <is>
          <t>NZ</t>
        </is>
      </c>
      <c r="N440" s="865" t="inlineStr">
        <is>
          <t>Energy Solutions &amp; B2B</t>
        </is>
      </c>
      <c r="O440" s="865" t="inlineStr">
        <is>
          <t>Energy Solutions</t>
        </is>
      </c>
      <c r="P440" s="865" t="inlineStr">
        <is>
          <t>EVCI</t>
        </is>
      </c>
      <c r="Q440" s="865" t="inlineStr">
        <is>
          <t>Squad</t>
        </is>
      </c>
      <c r="R440" s="865" t="inlineStr">
        <is>
          <t>Vacant</t>
        </is>
      </c>
    </row>
    <row r="441" ht="18" customHeight="1" s="866">
      <c r="A441" s="1566" t="n">
        <v>97973</v>
      </c>
      <c r="B441" s="1382" t="inlineStr">
        <is>
          <t>Vacant</t>
        </is>
      </c>
      <c r="C441" s="1382" t="inlineStr">
        <is>
          <t>System Specialist</t>
        </is>
      </c>
      <c r="D441" s="1567" t="inlineStr">
        <is>
          <t>Vacant</t>
        </is>
      </c>
      <c r="E441" s="1382" t="inlineStr">
        <is>
          <t>Technology Manager, Energy Solutions</t>
        </is>
      </c>
      <c r="F441" s="1382" t="inlineStr">
        <is>
          <t>TDD CFE&amp;I</t>
        </is>
      </c>
      <c r="G441" s="1567" t="inlineStr">
        <is>
          <t>Loyalty &amp; Martech</t>
        </is>
      </c>
      <c r="H441" s="1567" t="inlineStr">
        <is>
          <t>Technology Energy Solutions</t>
        </is>
      </c>
      <c r="I441" s="1567" t="inlineStr">
        <is>
          <t>B2B &amp; Energy Solutions</t>
        </is>
      </c>
      <c r="J441" s="1567" t="inlineStr">
        <is>
          <t>Energy Solutions</t>
        </is>
      </c>
      <c r="K441" s="1382" t="inlineStr">
        <is>
          <t>Energy</t>
        </is>
      </c>
      <c r="L441" s="1567" t="n"/>
      <c r="M441" s="1568" t="inlineStr">
        <is>
          <t>Australia</t>
        </is>
      </c>
      <c r="N441" s="865" t="inlineStr">
        <is>
          <t>Energy Solutions &amp; B2B</t>
        </is>
      </c>
      <c r="O441" s="865" t="inlineStr">
        <is>
          <t>Energy Solutions</t>
        </is>
      </c>
      <c r="P441" s="865" t="inlineStr">
        <is>
          <t>Energy</t>
        </is>
      </c>
      <c r="Q441" s="865" t="inlineStr">
        <is>
          <t>Squad</t>
        </is>
      </c>
      <c r="R441" s="865" t="inlineStr">
        <is>
          <t>Vacant</t>
        </is>
      </c>
    </row>
    <row r="442" ht="18" customHeight="1" s="866">
      <c r="A442" s="1566" t="n">
        <v>111319</v>
      </c>
      <c r="B442" s="1382" t="inlineStr">
        <is>
          <t>Arun Prakash Jayaprakasam</t>
        </is>
      </c>
      <c r="C442" s="1382" t="inlineStr">
        <is>
          <t>Data Engineer Analyst</t>
        </is>
      </c>
      <c r="D442" s="1567" t="inlineStr">
        <is>
          <t>Vacant</t>
        </is>
      </c>
      <c r="E442" s="1382" t="inlineStr">
        <is>
          <t>Technology Manager, Data</t>
        </is>
      </c>
      <c r="F442" s="1382" t="inlineStr">
        <is>
          <t>TDD CFE&amp;I</t>
        </is>
      </c>
      <c r="G442" s="1567" t="inlineStr">
        <is>
          <t>Commercial Fuels</t>
        </is>
      </c>
      <c r="H442" s="1567" t="inlineStr">
        <is>
          <t>Technology, T&amp;S Data</t>
        </is>
      </c>
      <c r="I442" s="1567" t="inlineStr">
        <is>
          <t>Commercial Fuels</t>
        </is>
      </c>
      <c r="J442" s="1567" t="inlineStr">
        <is>
          <t>Trading &amp; Shipping</t>
        </is>
      </c>
      <c r="K442" s="1567" t="inlineStr">
        <is>
          <t>Trading &amp; Shipping Data</t>
        </is>
      </c>
      <c r="L442" s="1567" t="n"/>
      <c r="M442" s="1568" t="inlineStr">
        <is>
          <t>Singapore</t>
        </is>
      </c>
      <c r="N442" s="865" t="inlineStr">
        <is>
          <t>Commercial Fuels</t>
        </is>
      </c>
      <c r="O442" s="865" t="inlineStr">
        <is>
          <t>Trading &amp; Shipping</t>
        </is>
      </c>
      <c r="P442" s="865" t="inlineStr">
        <is>
          <t>Trading &amp; Shipping Data</t>
        </is>
      </c>
      <c r="Q442" s="865" t="inlineStr">
        <is>
          <t>Squad</t>
        </is>
      </c>
      <c r="R442" s="865" t="inlineStr">
        <is>
          <t>Filled</t>
        </is>
      </c>
    </row>
    <row r="443" ht="18" customHeight="1" s="866">
      <c r="A443" s="1566" t="n">
        <v>105488</v>
      </c>
      <c r="B443" s="1382" t="inlineStr">
        <is>
          <t>Louis Ballington</t>
        </is>
      </c>
      <c r="C443" s="1382" t="inlineStr">
        <is>
          <t>Delivery Lead</t>
        </is>
      </c>
      <c r="D443" s="1567" t="inlineStr">
        <is>
          <t>Vacant</t>
        </is>
      </c>
      <c r="E443" s="1382" t="inlineStr">
        <is>
          <t>Delivery Manager</t>
        </is>
      </c>
      <c r="F443" s="1382" t="inlineStr">
        <is>
          <t>TDD CFE&amp;I</t>
        </is>
      </c>
      <c r="G443" s="1567" t="inlineStr">
        <is>
          <t>Fuel Infrastructure</t>
        </is>
      </c>
      <c r="H443" s="1567" t="inlineStr">
        <is>
          <t>Technology, CF Engineering</t>
        </is>
      </c>
      <c r="I443" s="1567" t="inlineStr">
        <is>
          <t>Infrastructure</t>
        </is>
      </c>
      <c r="J443" s="1567" t="inlineStr">
        <is>
          <t>Manufacturing</t>
        </is>
      </c>
      <c r="K443" s="1382" t="inlineStr">
        <is>
          <t>Manuacturing Group Projects</t>
        </is>
      </c>
      <c r="L443" s="1567" t="n"/>
      <c r="M443" s="1568" t="inlineStr">
        <is>
          <t>Australia</t>
        </is>
      </c>
      <c r="N443" s="865" t="inlineStr">
        <is>
          <t>Infrastructure</t>
        </is>
      </c>
      <c r="O443" s="865" t="inlineStr">
        <is>
          <t>Manufacturing</t>
        </is>
      </c>
      <c r="P443" s="865" t="inlineStr">
        <is>
          <t>Manufacturing &amp; Group Projects</t>
        </is>
      </c>
      <c r="Q443" s="865" t="inlineStr">
        <is>
          <t>Squad</t>
        </is>
      </c>
      <c r="R443" s="865" t="inlineStr">
        <is>
          <t>Filled</t>
        </is>
      </c>
    </row>
    <row r="444" ht="18" customHeight="1" s="866">
      <c r="A444" s="1566" t="n">
        <v>99999101143</v>
      </c>
      <c r="B444" s="1382" t="inlineStr">
        <is>
          <t>Hayden Corney</t>
        </is>
      </c>
      <c r="C444" s="1382" t="inlineStr">
        <is>
          <t>Lead Engineer Software</t>
        </is>
      </c>
      <c r="D444" s="1567" t="inlineStr">
        <is>
          <t>Vacant</t>
        </is>
      </c>
      <c r="E444" s="1382" t="inlineStr">
        <is>
          <t>Technology Manager, Engineering</t>
        </is>
      </c>
      <c r="F444" s="1382" t="inlineStr">
        <is>
          <t>TDD CFE&amp;I</t>
        </is>
      </c>
      <c r="G444" s="1567" t="inlineStr">
        <is>
          <t>Commercial Fuels</t>
        </is>
      </c>
      <c r="H444" s="1567" t="inlineStr">
        <is>
          <t>Trading &amp; Shipping</t>
        </is>
      </c>
      <c r="I444" s="1567" t="inlineStr">
        <is>
          <t>Commercial Fuels</t>
        </is>
      </c>
      <c r="J444" s="1382" t="inlineStr">
        <is>
          <t>CTRM</t>
        </is>
      </c>
      <c r="K444" s="1382" t="inlineStr">
        <is>
          <t>CTRM</t>
        </is>
      </c>
      <c r="L444" s="1567" t="n"/>
      <c r="M444" s="1568" t="inlineStr">
        <is>
          <t>NZ</t>
        </is>
      </c>
      <c r="N444" s="865" t="inlineStr">
        <is>
          <t>Commercial Fuels</t>
        </is>
      </c>
      <c r="O444" s="865" t="inlineStr">
        <is>
          <t>CTRM</t>
        </is>
      </c>
      <c r="P444" s="865" t="inlineStr">
        <is>
          <t>CTRM</t>
        </is>
      </c>
      <c r="Q444" s="865" t="inlineStr">
        <is>
          <t>Strategic Program</t>
        </is>
      </c>
      <c r="R444" s="865" t="inlineStr">
        <is>
          <t>Filled</t>
        </is>
      </c>
    </row>
    <row r="445" ht="18" customHeight="1" s="866">
      <c r="A445" s="1566" t="n">
        <v>104159</v>
      </c>
      <c r="B445" s="1382" t="inlineStr">
        <is>
          <t>Vacant</t>
        </is>
      </c>
      <c r="C445" s="1382" t="inlineStr">
        <is>
          <t>System Specialist</t>
        </is>
      </c>
      <c r="D445" s="1567" t="inlineStr">
        <is>
          <t>vacant</t>
        </is>
      </c>
      <c r="E445" s="1382" t="inlineStr">
        <is>
          <t>Technology Manager, Energy Solutions</t>
        </is>
      </c>
      <c r="F445" s="1382" t="inlineStr">
        <is>
          <t>TDD CFE&amp;I</t>
        </is>
      </c>
      <c r="G445" s="1567" t="inlineStr">
        <is>
          <t>Loyalty &amp; Martech</t>
        </is>
      </c>
      <c r="H445" s="1567" t="inlineStr">
        <is>
          <t>Technology Energy Solutions</t>
        </is>
      </c>
      <c r="I445" s="1567" t="inlineStr">
        <is>
          <t>B2B &amp; Energy Solutions</t>
        </is>
      </c>
      <c r="J445" s="1567" t="inlineStr">
        <is>
          <t>Energy Solutions</t>
        </is>
      </c>
      <c r="K445" s="1382" t="inlineStr">
        <is>
          <t>Energy</t>
        </is>
      </c>
      <c r="L445" s="1567" t="n"/>
      <c r="M445" s="1568" t="inlineStr">
        <is>
          <t>Australia</t>
        </is>
      </c>
      <c r="N445" s="865" t="inlineStr">
        <is>
          <t>Energy Solutions &amp; B2B</t>
        </is>
      </c>
      <c r="O445" s="865" t="inlineStr">
        <is>
          <t>Energy Solutions</t>
        </is>
      </c>
      <c r="P445" s="865" t="inlineStr">
        <is>
          <t>Energy</t>
        </is>
      </c>
      <c r="Q445" s="865" t="inlineStr">
        <is>
          <t>Squad</t>
        </is>
      </c>
      <c r="R445" s="865" t="inlineStr">
        <is>
          <t>Vacant</t>
        </is>
      </c>
    </row>
    <row r="446" ht="18" customHeight="1" s="866">
      <c r="A446" s="1566" t="n"/>
      <c r="B446" s="1382" t="inlineStr">
        <is>
          <t>Vacant</t>
        </is>
      </c>
      <c r="C446" s="1382" t="inlineStr">
        <is>
          <t>Data Analyst</t>
        </is>
      </c>
      <c r="D446" s="1382" t="inlineStr">
        <is>
          <t>vacant</t>
        </is>
      </c>
      <c r="E446" s="1382" t="inlineStr">
        <is>
          <t>Technology Manger, Data</t>
        </is>
      </c>
      <c r="F446" s="1382" t="inlineStr">
        <is>
          <t>TDD CFE&amp;I</t>
        </is>
      </c>
      <c r="G446" s="1567" t="inlineStr">
        <is>
          <t>Fuel Infrastructure</t>
        </is>
      </c>
      <c r="H446" s="1567" t="inlineStr">
        <is>
          <t>Fuel Infrastructure, Data</t>
        </is>
      </c>
      <c r="I446" s="1567" t="inlineStr">
        <is>
          <t>Infrastructure</t>
        </is>
      </c>
      <c r="J446" s="1382" t="inlineStr">
        <is>
          <t xml:space="preserve">Data &amp; Insights </t>
        </is>
      </c>
      <c r="K446" s="1382" t="inlineStr">
        <is>
          <t xml:space="preserve">Data &amp; Insights </t>
        </is>
      </c>
      <c r="L446" s="1567" t="n"/>
      <c r="M446" s="1568" t="n"/>
      <c r="N446" s="865" t="inlineStr">
        <is>
          <t>Infrastructure</t>
        </is>
      </c>
      <c r="O446" s="865" t="inlineStr">
        <is>
          <t>Data &amp; Insights</t>
        </is>
      </c>
      <c r="P446" s="865" t="inlineStr">
        <is>
          <t>Data &amp; Insights</t>
        </is>
      </c>
      <c r="Q446" s="865" t="inlineStr">
        <is>
          <t>Squad</t>
        </is>
      </c>
      <c r="R446" s="865" t="inlineStr">
        <is>
          <t>Vacant</t>
        </is>
      </c>
    </row>
    <row r="447" ht="18" customHeight="1" s="866">
      <c r="A447" s="1566" t="n">
        <v>97884</v>
      </c>
      <c r="B447" s="1382" t="inlineStr">
        <is>
          <t>Vacant</t>
        </is>
      </c>
      <c r="C447" s="1382" t="inlineStr">
        <is>
          <t>Snr Business Analyst</t>
        </is>
      </c>
      <c r="D447" s="1567" t="inlineStr">
        <is>
          <t>Vacant</t>
        </is>
      </c>
      <c r="E447" s="1382" t="inlineStr">
        <is>
          <t>Delivery Manager</t>
        </is>
      </c>
      <c r="F447" s="1382" t="inlineStr">
        <is>
          <t>TDD CFE&amp;I</t>
        </is>
      </c>
      <c r="G447" s="1595" t="inlineStr">
        <is>
          <t>Fuel Infrastructure</t>
        </is>
      </c>
      <c r="H447" s="1567" t="inlineStr">
        <is>
          <t>Ampol Retail, Store Platforms</t>
        </is>
      </c>
      <c r="I447" s="1567" t="inlineStr">
        <is>
          <t>Infrastructure</t>
        </is>
      </c>
      <c r="J447" s="1382" t="inlineStr">
        <is>
          <t>Distribution</t>
        </is>
      </c>
      <c r="K447" s="1382" t="inlineStr">
        <is>
          <t>Distribution, Sales &amp; Services</t>
        </is>
      </c>
      <c r="L447" s="1567" t="n"/>
      <c r="M447" s="1568" t="inlineStr">
        <is>
          <t>Australia</t>
        </is>
      </c>
      <c r="N447" s="865" t="inlineStr">
        <is>
          <t>Infrastructure</t>
        </is>
      </c>
      <c r="O447" s="865" t="inlineStr">
        <is>
          <t>Distribution</t>
        </is>
      </c>
      <c r="P447" s="865" t="inlineStr">
        <is>
          <t>Distribution, Sales &amp; Services</t>
        </is>
      </c>
      <c r="Q447" s="865" t="inlineStr">
        <is>
          <t>Squad</t>
        </is>
      </c>
      <c r="R447" s="865" t="inlineStr">
        <is>
          <t>Vacant</t>
        </is>
      </c>
    </row>
    <row r="448" ht="18" customHeight="1" s="866">
      <c r="A448" s="1566" t="n">
        <v>107588</v>
      </c>
      <c r="B448" s="1382" t="inlineStr">
        <is>
          <t>Vacant</t>
        </is>
      </c>
      <c r="C448" s="1382" t="inlineStr">
        <is>
          <t>Snr Business Analyst</t>
        </is>
      </c>
      <c r="D448" s="1567" t="inlineStr">
        <is>
          <t>Vacant</t>
        </is>
      </c>
      <c r="E448" s="1382" t="inlineStr">
        <is>
          <t>Delivery Manager</t>
        </is>
      </c>
      <c r="F448" s="1382" t="inlineStr">
        <is>
          <t>TDD CFE&amp;I</t>
        </is>
      </c>
      <c r="G448" s="1595" t="inlineStr">
        <is>
          <t>Fuel Infrastructure</t>
        </is>
      </c>
      <c r="H448" s="1567" t="inlineStr">
        <is>
          <t>Ampol Retail, Store Platforms</t>
        </is>
      </c>
      <c r="I448" s="1567" t="inlineStr">
        <is>
          <t>Infrastructure</t>
        </is>
      </c>
      <c r="J448" s="1567" t="inlineStr">
        <is>
          <t>Manufacturing</t>
        </is>
      </c>
      <c r="K448" s="1382" t="inlineStr">
        <is>
          <t>Manufacturing Group Projects</t>
        </is>
      </c>
      <c r="L448" s="1567" t="n"/>
      <c r="M448" s="1568" t="inlineStr">
        <is>
          <t>Australia</t>
        </is>
      </c>
      <c r="N448" s="865" t="inlineStr">
        <is>
          <t>Infrastructure</t>
        </is>
      </c>
      <c r="O448" s="865" t="inlineStr">
        <is>
          <t>Manufacturing</t>
        </is>
      </c>
      <c r="P448" s="865" t="inlineStr">
        <is>
          <t>Manufacturing &amp; Group Projects</t>
        </is>
      </c>
      <c r="Q448" s="865" t="inlineStr">
        <is>
          <t>Squad</t>
        </is>
      </c>
      <c r="R448" s="865" t="inlineStr">
        <is>
          <t>Vacant</t>
        </is>
      </c>
    </row>
    <row r="449" ht="18" customHeight="1" s="866">
      <c r="A449" s="1566" t="n">
        <v>99999101895</v>
      </c>
      <c r="B449" s="1382" t="inlineStr">
        <is>
          <t>Caitlin Naylor</t>
        </is>
      </c>
      <c r="C449" s="1382" t="inlineStr">
        <is>
          <t>Associate Engineer- Software</t>
        </is>
      </c>
      <c r="D449" s="1567" t="inlineStr">
        <is>
          <t>vacant</t>
        </is>
      </c>
      <c r="E449" s="1382" t="inlineStr">
        <is>
          <t>Technology Manager, Energy Solutions</t>
        </is>
      </c>
      <c r="F449" s="1382" t="inlineStr">
        <is>
          <t>TDD CFE&amp;I</t>
        </is>
      </c>
      <c r="G449" s="1567" t="inlineStr">
        <is>
          <t>B2B &amp; Energy Solutions</t>
        </is>
      </c>
      <c r="H449" s="1567" t="inlineStr">
        <is>
          <t>Technology Energy Solutions</t>
        </is>
      </c>
      <c r="I449" s="1567" t="inlineStr">
        <is>
          <t>B2B &amp; Energy Solutions</t>
        </is>
      </c>
      <c r="J449" s="1567" t="inlineStr">
        <is>
          <t>Energy Solutions</t>
        </is>
      </c>
      <c r="K449" s="1382" t="inlineStr">
        <is>
          <t>Energy</t>
        </is>
      </c>
      <c r="L449" s="1567" t="n"/>
      <c r="M449" s="1568" t="inlineStr">
        <is>
          <t>NZ</t>
        </is>
      </c>
      <c r="N449" s="865" t="inlineStr">
        <is>
          <t>Energy Solutions &amp; B2B</t>
        </is>
      </c>
      <c r="O449" s="865" t="inlineStr">
        <is>
          <t>Energy Solutions</t>
        </is>
      </c>
      <c r="P449" s="865" t="inlineStr">
        <is>
          <t>Energy</t>
        </is>
      </c>
      <c r="Q449" s="865" t="inlineStr">
        <is>
          <t>Squad</t>
        </is>
      </c>
      <c r="R449" s="865" t="inlineStr">
        <is>
          <t>Filled</t>
        </is>
      </c>
    </row>
    <row r="450" ht="18" customHeight="1" s="866">
      <c r="A450" s="1566" t="n"/>
      <c r="B450" s="1382" t="inlineStr">
        <is>
          <t>Vacant</t>
        </is>
      </c>
      <c r="C450" s="1382" t="inlineStr">
        <is>
          <t>Engineer Data</t>
        </is>
      </c>
      <c r="D450" s="1382" t="inlineStr">
        <is>
          <t>vacant</t>
        </is>
      </c>
      <c r="E450" s="1382" t="inlineStr">
        <is>
          <t>Technology Manger, Data</t>
        </is>
      </c>
      <c r="F450" s="1382" t="inlineStr">
        <is>
          <t>TDD CFE&amp;I</t>
        </is>
      </c>
      <c r="G450" s="1567" t="inlineStr">
        <is>
          <t>Fuel Infrastructure</t>
        </is>
      </c>
      <c r="H450" s="1567" t="inlineStr">
        <is>
          <t>Fuel Infrastructure, Data</t>
        </is>
      </c>
      <c r="I450" s="1567" t="inlineStr">
        <is>
          <t>Infrastructure</t>
        </is>
      </c>
      <c r="J450" s="1382" t="inlineStr">
        <is>
          <t xml:space="preserve">Data &amp; Insights </t>
        </is>
      </c>
      <c r="K450" s="1382" t="inlineStr">
        <is>
          <t xml:space="preserve">Data &amp; Insights </t>
        </is>
      </c>
      <c r="L450" s="1567" t="n"/>
      <c r="M450" s="1568" t="n"/>
      <c r="N450" s="865" t="inlineStr">
        <is>
          <t>Infrastructure</t>
        </is>
      </c>
      <c r="O450" s="865" t="inlineStr">
        <is>
          <t>Data &amp; Insights</t>
        </is>
      </c>
      <c r="P450" s="865" t="inlineStr">
        <is>
          <t>Data &amp; Insights</t>
        </is>
      </c>
      <c r="Q450" s="865" t="inlineStr">
        <is>
          <t>Squad</t>
        </is>
      </c>
      <c r="R450" s="865" t="inlineStr">
        <is>
          <t>Vacant</t>
        </is>
      </c>
    </row>
    <row r="451" ht="18" customHeight="1" s="866">
      <c r="A451" s="1566" t="n">
        <v>108033</v>
      </c>
      <c r="B451" s="1382" t="inlineStr">
        <is>
          <t>Ayushi Agarwal</t>
        </is>
      </c>
      <c r="C451" s="1382" t="inlineStr">
        <is>
          <t>Engineer Data</t>
        </is>
      </c>
      <c r="D451" s="1567" t="inlineStr">
        <is>
          <t>Vacant</t>
        </is>
      </c>
      <c r="E451" s="1382" t="inlineStr">
        <is>
          <t>Technology Manager, Data</t>
        </is>
      </c>
      <c r="F451" s="1382" t="inlineStr">
        <is>
          <t>TDD CFE&amp;I</t>
        </is>
      </c>
      <c r="G451" s="1567" t="inlineStr">
        <is>
          <t>Commercial Fuels</t>
        </is>
      </c>
      <c r="H451" s="1567" t="inlineStr">
        <is>
          <t>Technology, T&amp;S Data</t>
        </is>
      </c>
      <c r="I451" s="1567" t="inlineStr">
        <is>
          <t>Commercial Fuels</t>
        </is>
      </c>
      <c r="J451" s="1567" t="inlineStr">
        <is>
          <t>Trading &amp; Shipping</t>
        </is>
      </c>
      <c r="K451" s="1567" t="inlineStr">
        <is>
          <t>Trading &amp; Shipping Data</t>
        </is>
      </c>
      <c r="L451" s="1567" t="n"/>
      <c r="M451" s="1568" t="inlineStr">
        <is>
          <t>Singapore</t>
        </is>
      </c>
      <c r="N451" s="865" t="inlineStr">
        <is>
          <t>Commercial Fuels</t>
        </is>
      </c>
      <c r="O451" s="865" t="inlineStr">
        <is>
          <t>Trading &amp; Shipping</t>
        </is>
      </c>
      <c r="P451" s="865" t="inlineStr">
        <is>
          <t>Trading &amp; Shipping Data</t>
        </is>
      </c>
      <c r="Q451" s="865" t="inlineStr">
        <is>
          <t>Squad</t>
        </is>
      </c>
      <c r="R451" s="865" t="inlineStr">
        <is>
          <t>Filled</t>
        </is>
      </c>
    </row>
    <row r="452" ht="18" customHeight="1" s="866">
      <c r="A452" s="1566" t="n"/>
      <c r="B452" s="1382" t="inlineStr">
        <is>
          <t>Vacant</t>
        </is>
      </c>
      <c r="C452" s="1382" t="inlineStr">
        <is>
          <t>Business Analyst</t>
        </is>
      </c>
      <c r="D452" s="1567" t="inlineStr">
        <is>
          <t>Vacant</t>
        </is>
      </c>
      <c r="E452" s="1382" t="inlineStr">
        <is>
          <t>Delivery Manager</t>
        </is>
      </c>
      <c r="F452" s="1382" t="inlineStr">
        <is>
          <t>TDD CFE&amp;I</t>
        </is>
      </c>
      <c r="G452" s="1567" t="inlineStr">
        <is>
          <t>Fuel Infrastructure</t>
        </is>
      </c>
      <c r="H452" s="1567" t="inlineStr">
        <is>
          <t>Fuel Infrastructure, Delivery</t>
        </is>
      </c>
      <c r="I452" s="1567" t="inlineStr">
        <is>
          <t>Infrastructure</t>
        </is>
      </c>
      <c r="J452" s="1567" t="inlineStr">
        <is>
          <t>Distribution</t>
        </is>
      </c>
      <c r="K452" s="1382" t="inlineStr">
        <is>
          <t>Distribution, Sales &amp; Services</t>
        </is>
      </c>
      <c r="L452" s="1567" t="n"/>
      <c r="M452" s="1568" t="inlineStr">
        <is>
          <t>Australia</t>
        </is>
      </c>
      <c r="N452" s="865" t="inlineStr">
        <is>
          <t>Infrastructure</t>
        </is>
      </c>
      <c r="O452" s="865" t="inlineStr">
        <is>
          <t>Distribution</t>
        </is>
      </c>
      <c r="P452" s="865" t="inlineStr">
        <is>
          <t>Distribution, Sales &amp; Services</t>
        </is>
      </c>
      <c r="Q452" s="865" t="inlineStr">
        <is>
          <t>Squad</t>
        </is>
      </c>
      <c r="R452" s="865" t="inlineStr">
        <is>
          <t>Vacant</t>
        </is>
      </c>
    </row>
    <row r="453" ht="18" customHeight="1" s="866">
      <c r="A453" s="1566" t="n">
        <v>106221</v>
      </c>
      <c r="B453" s="1382" t="inlineStr">
        <is>
          <t>Vacant</t>
        </is>
      </c>
      <c r="C453" s="1382" t="inlineStr">
        <is>
          <t>Senior Business Analyst</t>
        </is>
      </c>
      <c r="D453" s="1567" t="inlineStr">
        <is>
          <t>Vacant</t>
        </is>
      </c>
      <c r="E453" s="1382" t="inlineStr">
        <is>
          <t>Delivery Manager</t>
        </is>
      </c>
      <c r="F453" s="1382" t="inlineStr">
        <is>
          <t>TDD CFE&amp;I</t>
        </is>
      </c>
      <c r="G453" s="1567" t="inlineStr">
        <is>
          <t>Commercial Fuels</t>
        </is>
      </c>
      <c r="H453" s="1595" t="inlineStr">
        <is>
          <t>Delivery</t>
        </is>
      </c>
      <c r="I453" s="1567" t="inlineStr">
        <is>
          <t>Commercial Fuels</t>
        </is>
      </c>
      <c r="J453" s="1567" t="inlineStr">
        <is>
          <t>Trading &amp; Shipping</t>
        </is>
      </c>
      <c r="K453" s="1567" t="inlineStr">
        <is>
          <t>Trading &amp; Shipping</t>
        </is>
      </c>
      <c r="L453" s="1382" t="n"/>
      <c r="M453" s="1568" t="inlineStr">
        <is>
          <t>Singapore</t>
        </is>
      </c>
      <c r="N453" s="865" t="inlineStr">
        <is>
          <t>Commercial Fuels</t>
        </is>
      </c>
      <c r="O453" s="865" t="inlineStr">
        <is>
          <t>Trading &amp; Shipping</t>
        </is>
      </c>
      <c r="P453" s="865" t="inlineStr">
        <is>
          <t>Trading &amp; Shipping</t>
        </is>
      </c>
      <c r="Q453" s="865" t="inlineStr">
        <is>
          <t>Squad</t>
        </is>
      </c>
      <c r="R453" s="865" t="inlineStr">
        <is>
          <t>Vacant</t>
        </is>
      </c>
    </row>
    <row r="454" ht="18" customHeight="1" s="866">
      <c r="A454" s="1566" t="n">
        <v>99999101421</v>
      </c>
      <c r="B454" s="1382" t="inlineStr">
        <is>
          <t>Lana Wagner</t>
        </is>
      </c>
      <c r="C454" s="1382" t="inlineStr">
        <is>
          <t>Senior Business Analyst</t>
        </is>
      </c>
      <c r="D454" s="1567" t="inlineStr">
        <is>
          <t>Vacant</t>
        </is>
      </c>
      <c r="E454" s="1382" t="inlineStr">
        <is>
          <t>Delivery Manager</t>
        </is>
      </c>
      <c r="F454" s="1382" t="inlineStr">
        <is>
          <t>TDD CFE&amp;I</t>
        </is>
      </c>
      <c r="G454" s="1567" t="inlineStr">
        <is>
          <t>B2B &amp; Energy Solutions</t>
        </is>
      </c>
      <c r="H454" s="1567" t="inlineStr">
        <is>
          <t>Delivery</t>
        </is>
      </c>
      <c r="I454" s="1567" t="inlineStr">
        <is>
          <t>B2B &amp; Energy Solutions</t>
        </is>
      </c>
      <c r="J454" s="1567" t="inlineStr">
        <is>
          <t>Energy Solutions</t>
        </is>
      </c>
      <c r="K454" s="1382" t="inlineStr">
        <is>
          <t>EVCI</t>
        </is>
      </c>
      <c r="L454" s="1567" t="n"/>
      <c r="M454" s="1568" t="inlineStr">
        <is>
          <t>NZ</t>
        </is>
      </c>
      <c r="N454" s="865" t="inlineStr">
        <is>
          <t>Energy Solutions &amp; B2B</t>
        </is>
      </c>
      <c r="O454" s="865" t="inlineStr">
        <is>
          <t>Energy Solutions</t>
        </is>
      </c>
      <c r="P454" s="865" t="inlineStr">
        <is>
          <t>EVCI</t>
        </is>
      </c>
      <c r="Q454" s="865" t="inlineStr">
        <is>
          <t>Squad</t>
        </is>
      </c>
      <c r="R454" s="865" t="inlineStr">
        <is>
          <t>Filled</t>
        </is>
      </c>
    </row>
    <row r="455" ht="18" customHeight="1" s="866">
      <c r="A455" s="1566" t="n">
        <v>108075</v>
      </c>
      <c r="B455" s="1382" t="inlineStr">
        <is>
          <t>Vacant</t>
        </is>
      </c>
      <c r="C455" s="1382" t="inlineStr">
        <is>
          <t>Senior Business Analyst</t>
        </is>
      </c>
      <c r="D455" s="1567" t="inlineStr">
        <is>
          <t>vacant</t>
        </is>
      </c>
      <c r="E455" s="1382" t="inlineStr">
        <is>
          <t>Delivery Manager</t>
        </is>
      </c>
      <c r="F455" s="1382" t="inlineStr">
        <is>
          <t>TDD CFE&amp;I</t>
        </is>
      </c>
      <c r="G455" s="1567" t="inlineStr">
        <is>
          <t>Commercial Fuels</t>
        </is>
      </c>
      <c r="H455" s="1567" t="inlineStr">
        <is>
          <t>Trading &amp; Shipping</t>
        </is>
      </c>
      <c r="I455" s="1567" t="inlineStr">
        <is>
          <t>Commercial Fuels</t>
        </is>
      </c>
      <c r="J455" s="1567" t="inlineStr">
        <is>
          <t>Trading &amp; Shipping</t>
        </is>
      </c>
      <c r="K455" s="1567" t="inlineStr">
        <is>
          <t>Trading &amp; Shipping</t>
        </is>
      </c>
      <c r="L455" s="1382" t="n"/>
      <c r="M455" s="1568" t="inlineStr">
        <is>
          <t>Australia</t>
        </is>
      </c>
      <c r="N455" s="865" t="inlineStr">
        <is>
          <t>Commercial Fuels</t>
        </is>
      </c>
      <c r="O455" s="865" t="inlineStr">
        <is>
          <t>Trading &amp; Shipping</t>
        </is>
      </c>
      <c r="P455" s="865" t="inlineStr">
        <is>
          <t>Trading &amp; Shipping</t>
        </is>
      </c>
      <c r="Q455" s="865" t="inlineStr">
        <is>
          <t>Squad</t>
        </is>
      </c>
      <c r="R455" s="865" t="inlineStr">
        <is>
          <t>Vacant</t>
        </is>
      </c>
    </row>
    <row r="456" ht="18" customHeight="1" s="866">
      <c r="A456" s="1566" t="n"/>
      <c r="B456" s="1382" t="inlineStr">
        <is>
          <t>Vacant</t>
        </is>
      </c>
      <c r="C456" s="1382" t="inlineStr">
        <is>
          <t>Delivery Lead</t>
        </is>
      </c>
      <c r="D456" s="1567" t="inlineStr">
        <is>
          <t>vacant</t>
        </is>
      </c>
      <c r="E456" s="1382" t="inlineStr">
        <is>
          <t>Delivery Manager</t>
        </is>
      </c>
      <c r="F456" s="1382" t="inlineStr">
        <is>
          <t>TDD CFE&amp;I</t>
        </is>
      </c>
      <c r="G456" s="1567" t="inlineStr">
        <is>
          <t>Commercial Fuels</t>
        </is>
      </c>
      <c r="H456" s="1595" t="inlineStr">
        <is>
          <t>Trading &amp; Shipping</t>
        </is>
      </c>
      <c r="I456" s="1567" t="inlineStr">
        <is>
          <t>Commercial Fuels</t>
        </is>
      </c>
      <c r="J456" s="1567" t="inlineStr">
        <is>
          <t>Trading &amp; Shipping</t>
        </is>
      </c>
      <c r="K456" s="1567" t="inlineStr">
        <is>
          <t>Trading &amp; Shipping</t>
        </is>
      </c>
      <c r="L456" s="1382" t="n"/>
      <c r="M456" s="1568" t="n"/>
      <c r="N456" s="865" t="inlineStr">
        <is>
          <t>Commercial Fuels</t>
        </is>
      </c>
      <c r="O456" s="865" t="inlineStr">
        <is>
          <t>Trading &amp; Shipping</t>
        </is>
      </c>
      <c r="P456" s="865" t="inlineStr">
        <is>
          <t>Trading &amp; Shipping</t>
        </is>
      </c>
      <c r="Q456" s="865" t="inlineStr">
        <is>
          <t>Squad</t>
        </is>
      </c>
      <c r="R456" s="865" t="inlineStr">
        <is>
          <t>Vacant</t>
        </is>
      </c>
    </row>
    <row r="457" ht="18" customHeight="1" s="866">
      <c r="A457" s="1566" t="n">
        <v>105823</v>
      </c>
      <c r="B457" s="1571" t="inlineStr">
        <is>
          <t>Hardik Trivedi</t>
        </is>
      </c>
      <c r="C457" s="1571" t="inlineStr">
        <is>
          <t>Snr Business Analyst</t>
        </is>
      </c>
      <c r="D457" s="1567" t="inlineStr">
        <is>
          <t>vacant</t>
        </is>
      </c>
      <c r="E457" s="1571" t="inlineStr">
        <is>
          <t xml:space="preserve">Delivery Manager </t>
        </is>
      </c>
      <c r="F457" s="1382" t="inlineStr">
        <is>
          <t>TDD Group Functions</t>
        </is>
      </c>
      <c r="G457" s="1567" t="inlineStr">
        <is>
          <t>TDD &amp; Engineering</t>
        </is>
      </c>
      <c r="H457" s="1382" t="inlineStr">
        <is>
          <t>Delivery, TDD &amp; Engineering</t>
        </is>
      </c>
      <c r="I457" s="1382" t="inlineStr">
        <is>
          <t>Retail</t>
        </is>
      </c>
      <c r="J457" s="1567" t="inlineStr">
        <is>
          <t>AmPOS</t>
        </is>
      </c>
      <c r="K457" s="1567" t="inlineStr">
        <is>
          <t>AmPOS</t>
        </is>
      </c>
      <c r="L457" s="1567" t="n"/>
      <c r="M457" s="1568" t="inlineStr">
        <is>
          <t>Australia</t>
        </is>
      </c>
      <c r="N457" s="865" t="inlineStr">
        <is>
          <t>Ampol Retail</t>
        </is>
      </c>
      <c r="O457" s="865" t="inlineStr">
        <is>
          <t>AmPOS</t>
        </is>
      </c>
      <c r="P457" s="865" t="inlineStr">
        <is>
          <t>AmPOS</t>
        </is>
      </c>
      <c r="Q457" s="865" t="inlineStr">
        <is>
          <t>Strategic Program</t>
        </is>
      </c>
      <c r="R457" s="865" t="inlineStr">
        <is>
          <t>Filled</t>
        </is>
      </c>
    </row>
    <row r="458" ht="18" customHeight="1" s="866">
      <c r="A458" s="1566" t="n">
        <v>106829</v>
      </c>
      <c r="B458" s="1382" t="inlineStr">
        <is>
          <t>C K Lau</t>
        </is>
      </c>
      <c r="C458" s="1382" t="inlineStr">
        <is>
          <t>Delivery Lead (Cloud &amp; Network)</t>
        </is>
      </c>
      <c r="D458" s="1382" t="inlineStr">
        <is>
          <t>Vacant</t>
        </is>
      </c>
      <c r="E458" s="1382" t="inlineStr">
        <is>
          <t>Delivery Manager</t>
        </is>
      </c>
      <c r="F458" s="1382" t="inlineStr">
        <is>
          <t>TDD Group Functions</t>
        </is>
      </c>
      <c r="G458" s="1567" t="inlineStr">
        <is>
          <t xml:space="preserve">TDD &amp; Engineering </t>
        </is>
      </c>
      <c r="H458" s="1382" t="inlineStr">
        <is>
          <t>Delivery, TDD &amp; Engineering</t>
        </is>
      </c>
      <c r="I458" s="1382" t="inlineStr">
        <is>
          <t>TDD</t>
        </is>
      </c>
      <c r="J458" s="1567" t="inlineStr">
        <is>
          <t>TDD</t>
        </is>
      </c>
      <c r="K458" s="1567" t="inlineStr">
        <is>
          <t>Cloud Network &amp; Infra Ops</t>
        </is>
      </c>
      <c r="L458" s="1567" t="n"/>
      <c r="M458" s="1568" t="inlineStr">
        <is>
          <t>Australia</t>
        </is>
      </c>
      <c r="N458" s="865" t="inlineStr">
        <is>
          <t>TDD Group Functions</t>
        </is>
      </c>
      <c r="O458" s="865" t="inlineStr">
        <is>
          <t>TDD Group Functions</t>
        </is>
      </c>
      <c r="P458" s="865" t="inlineStr">
        <is>
          <t>Network &amp; Infrastructure</t>
        </is>
      </c>
      <c r="Q458" s="865" t="inlineStr">
        <is>
          <t>Squad</t>
        </is>
      </c>
      <c r="R458" s="865" t="inlineStr">
        <is>
          <t>Filled</t>
        </is>
      </c>
      <c r="BV458" s="1569" t="inlineStr">
        <is>
          <t>(empty)</t>
        </is>
      </c>
      <c r="BW458" s="865" t="n"/>
      <c r="BX458" s="865" t="n"/>
    </row>
    <row r="459" ht="18" customHeight="1" s="866">
      <c r="A459" s="1566" t="n">
        <v>99999101516</v>
      </c>
      <c r="B459" s="1382" t="inlineStr">
        <is>
          <t>Fan Zhang</t>
        </is>
      </c>
      <c r="C459" s="1382" t="inlineStr">
        <is>
          <t>Infrastructure Engineer</t>
        </is>
      </c>
      <c r="D459" s="1567" t="inlineStr">
        <is>
          <t>John McCormack</t>
        </is>
      </c>
      <c r="E459" s="1571" t="inlineStr">
        <is>
          <t>Manager - Infrastructure Operations</t>
        </is>
      </c>
      <c r="F459" s="1382" t="inlineStr">
        <is>
          <t>TDD Group Functions</t>
        </is>
      </c>
      <c r="G459" s="1567" t="inlineStr">
        <is>
          <t>TDD &amp; Engineering</t>
        </is>
      </c>
      <c r="H459" s="1567" t="inlineStr">
        <is>
          <t>Cloud, Network &amp; Infra</t>
        </is>
      </c>
      <c r="I459" s="1382" t="inlineStr">
        <is>
          <t>TDD</t>
        </is>
      </c>
      <c r="J459" s="1567" t="inlineStr">
        <is>
          <t>TDD</t>
        </is>
      </c>
      <c r="K459" s="1567" t="inlineStr">
        <is>
          <t>Cloud, Network &amp; Infra Ops</t>
        </is>
      </c>
      <c r="L459" s="1567" t="n"/>
      <c r="M459" s="1568" t="inlineStr">
        <is>
          <t>NZ</t>
        </is>
      </c>
      <c r="N459" s="865" t="inlineStr">
        <is>
          <t>TDD Group Functions</t>
        </is>
      </c>
      <c r="O459" s="865" t="inlineStr">
        <is>
          <t>TDD Group Functions</t>
        </is>
      </c>
      <c r="P459" s="865" t="inlineStr">
        <is>
          <t>Network &amp; Infrastructure</t>
        </is>
      </c>
      <c r="Q459" s="865" t="inlineStr">
        <is>
          <t>Squad</t>
        </is>
      </c>
      <c r="R459" s="865" t="inlineStr">
        <is>
          <t>Filled</t>
        </is>
      </c>
      <c r="BV459" s="1570" t="n"/>
      <c r="BW459" s="865" t="n"/>
      <c r="BX459" s="865" t="n"/>
    </row>
    <row r="460" ht="18" customHeight="1" s="866">
      <c r="A460" s="1566" t="n"/>
      <c r="B460" s="1581" t="inlineStr">
        <is>
          <t>Vacant</t>
        </is>
      </c>
      <c r="C460" s="1571" t="inlineStr">
        <is>
          <t>Infrastructure Operations Lead</t>
        </is>
      </c>
      <c r="D460" s="1567" t="inlineStr">
        <is>
          <t>John McCormack</t>
        </is>
      </c>
      <c r="E460" s="1571" t="inlineStr">
        <is>
          <t>Manager - Infrastructure Operations</t>
        </is>
      </c>
      <c r="F460" s="1382" t="inlineStr">
        <is>
          <t>TDD Group Functions</t>
        </is>
      </c>
      <c r="G460" s="1567" t="inlineStr">
        <is>
          <t>TDD &amp; Engineering</t>
        </is>
      </c>
      <c r="H460" s="1567" t="inlineStr">
        <is>
          <t>Cloud, Network &amp; Infra</t>
        </is>
      </c>
      <c r="I460" s="1382" t="inlineStr">
        <is>
          <t>TDD</t>
        </is>
      </c>
      <c r="J460" s="1567" t="inlineStr">
        <is>
          <t>TDD</t>
        </is>
      </c>
      <c r="K460" s="1567" t="inlineStr">
        <is>
          <t>Cloud, Network &amp; Infra Ops</t>
        </is>
      </c>
      <c r="L460" s="1567" t="n"/>
      <c r="M460" s="1568" t="n"/>
      <c r="N460" s="865" t="inlineStr">
        <is>
          <t>TDD Group Functions</t>
        </is>
      </c>
      <c r="O460" s="865" t="inlineStr">
        <is>
          <t>TDD Group Functions</t>
        </is>
      </c>
      <c r="P460" s="865" t="inlineStr">
        <is>
          <t>Network &amp; Infrastructure</t>
        </is>
      </c>
      <c r="Q460" s="865" t="inlineStr">
        <is>
          <t>Squad</t>
        </is>
      </c>
      <c r="R460" s="865" t="inlineStr">
        <is>
          <t>Vacant</t>
        </is>
      </c>
      <c r="BV460" s="865" t="n"/>
      <c r="BW460" s="865" t="n"/>
      <c r="BX460" s="865" t="n"/>
    </row>
    <row r="461" ht="18" customHeight="1" s="866">
      <c r="A461" s="1566" t="n">
        <v>96568</v>
      </c>
      <c r="B461" s="1581" t="inlineStr">
        <is>
          <t>Johnny Li</t>
        </is>
      </c>
      <c r="C461" s="1571" t="inlineStr">
        <is>
          <t>Cloud Solutions Architect</t>
        </is>
      </c>
      <c r="D461" s="1567" t="inlineStr">
        <is>
          <t>Vacant</t>
        </is>
      </c>
      <c r="E461" s="1571" t="inlineStr">
        <is>
          <t>Technology Manager - Cloud, Network &amp; Infrastructure Operations</t>
        </is>
      </c>
      <c r="F461" s="1382" t="inlineStr">
        <is>
          <t>TDD Group Functions</t>
        </is>
      </c>
      <c r="G461" s="1567" t="inlineStr">
        <is>
          <t>TDD &amp; Engineering</t>
        </is>
      </c>
      <c r="H461" s="1567" t="inlineStr">
        <is>
          <t>Cloud, Network &amp; Infra</t>
        </is>
      </c>
      <c r="I461" s="1382" t="inlineStr">
        <is>
          <t>TDD</t>
        </is>
      </c>
      <c r="J461" s="1567" t="inlineStr">
        <is>
          <t>TDD</t>
        </is>
      </c>
      <c r="K461" s="1567" t="inlineStr">
        <is>
          <t>Cloud, Network &amp; Infra Ops</t>
        </is>
      </c>
      <c r="L461" s="1567" t="n"/>
      <c r="M461" s="1568" t="n"/>
      <c r="N461" s="865" t="inlineStr">
        <is>
          <t>TDD Group Functions</t>
        </is>
      </c>
      <c r="O461" s="865" t="inlineStr">
        <is>
          <t>TDD Group Functions</t>
        </is>
      </c>
      <c r="P461" s="865" t="inlineStr">
        <is>
          <t>Network &amp; Infrastructure</t>
        </is>
      </c>
      <c r="Q461" s="865" t="inlineStr">
        <is>
          <t>Squad</t>
        </is>
      </c>
      <c r="R461" s="865" t="inlineStr">
        <is>
          <t>Filled</t>
        </is>
      </c>
      <c r="BV461" s="865" t="n"/>
      <c r="BW461" s="865" t="n"/>
      <c r="BX461" s="865" t="n"/>
    </row>
    <row r="462" ht="18" customHeight="1" s="866">
      <c r="A462" s="1566" t="n">
        <v>6591</v>
      </c>
      <c r="B462" s="1382" t="inlineStr">
        <is>
          <t>Steven Yong</t>
        </is>
      </c>
      <c r="C462" s="1382" t="inlineStr">
        <is>
          <t>Nework Architect</t>
        </is>
      </c>
      <c r="D462" s="1567" t="inlineStr">
        <is>
          <t>Vacant</t>
        </is>
      </c>
      <c r="E462" s="1571" t="inlineStr">
        <is>
          <t>Technology Manager - Cloud, Network &amp; Infrastructure Operations</t>
        </is>
      </c>
      <c r="F462" s="1382" t="inlineStr">
        <is>
          <t>TDD Group Functions</t>
        </is>
      </c>
      <c r="G462" s="1567" t="inlineStr">
        <is>
          <t>TDD &amp; Engineering</t>
        </is>
      </c>
      <c r="H462" s="1567" t="inlineStr">
        <is>
          <t>Cloud, Network &amp; Infra</t>
        </is>
      </c>
      <c r="I462" s="1382" t="inlineStr">
        <is>
          <t>TDD</t>
        </is>
      </c>
      <c r="J462" s="1567" t="inlineStr">
        <is>
          <t>TDD</t>
        </is>
      </c>
      <c r="K462" s="1567" t="inlineStr">
        <is>
          <t>Cloud, Network &amp; Infra Ops</t>
        </is>
      </c>
      <c r="L462" s="1567" t="n"/>
      <c r="M462" s="1568" t="inlineStr">
        <is>
          <t>Australia</t>
        </is>
      </c>
      <c r="N462" s="865" t="inlineStr">
        <is>
          <t>TDD Group Functions</t>
        </is>
      </c>
      <c r="O462" s="865" t="inlineStr">
        <is>
          <t>TDD Group Functions</t>
        </is>
      </c>
      <c r="P462" s="865" t="inlineStr">
        <is>
          <t>Network &amp; Infrastructure</t>
        </is>
      </c>
      <c r="Q462" s="865" t="inlineStr">
        <is>
          <t>Squad</t>
        </is>
      </c>
      <c r="R462" s="865" t="inlineStr">
        <is>
          <t>Filled</t>
        </is>
      </c>
      <c r="BV462" s="865" t="n"/>
      <c r="BW462" s="865" t="n"/>
      <c r="BX462" s="865" t="n"/>
    </row>
    <row r="463" ht="18" customHeight="1" s="866">
      <c r="A463" s="1566" t="n">
        <v>97625</v>
      </c>
      <c r="B463" s="1382" t="inlineStr">
        <is>
          <t>Satish Chowdhary</t>
        </is>
      </c>
      <c r="C463" s="1382" t="inlineStr">
        <is>
          <t>Nework Architect</t>
        </is>
      </c>
      <c r="D463" s="1567" t="inlineStr">
        <is>
          <t>Vacant</t>
        </is>
      </c>
      <c r="E463" s="1571" t="inlineStr">
        <is>
          <t>Technology Manager - Cloud, Network &amp; Infrastructure Operations</t>
        </is>
      </c>
      <c r="F463" s="1382" t="inlineStr">
        <is>
          <t>TDD Group Functions</t>
        </is>
      </c>
      <c r="G463" s="1567" t="inlineStr">
        <is>
          <t>TDD &amp; Engineering</t>
        </is>
      </c>
      <c r="H463" s="1567" t="inlineStr">
        <is>
          <t>Cloud, Network &amp; Infra</t>
        </is>
      </c>
      <c r="I463" s="1382" t="inlineStr">
        <is>
          <t>TDD</t>
        </is>
      </c>
      <c r="J463" s="1567" t="inlineStr">
        <is>
          <t>TDD</t>
        </is>
      </c>
      <c r="K463" s="1567" t="inlineStr">
        <is>
          <t>Cloud, Network &amp; Infra Ops</t>
        </is>
      </c>
      <c r="L463" s="1567" t="n"/>
      <c r="M463" s="1568" t="inlineStr">
        <is>
          <t>Australia</t>
        </is>
      </c>
      <c r="N463" s="865" t="inlineStr">
        <is>
          <t>TDD Group Functions</t>
        </is>
      </c>
      <c r="O463" s="865" t="inlineStr">
        <is>
          <t>TDD Group Functions</t>
        </is>
      </c>
      <c r="P463" s="865" t="inlineStr">
        <is>
          <t>Network &amp; Infrastructure</t>
        </is>
      </c>
      <c r="Q463" s="865" t="inlineStr">
        <is>
          <t>Squad</t>
        </is>
      </c>
      <c r="R463" s="865" t="inlineStr">
        <is>
          <t>Filled</t>
        </is>
      </c>
      <c r="BV463" s="865" t="n"/>
      <c r="BW463" s="865" t="n"/>
      <c r="BX463" s="865" t="n"/>
    </row>
    <row r="464" ht="18" customHeight="1" s="866">
      <c r="A464" s="1566" t="n">
        <v>106117</v>
      </c>
      <c r="B464" s="1382" t="inlineStr">
        <is>
          <t>Muhammad Abubaker</t>
        </is>
      </c>
      <c r="C464" s="1382" t="inlineStr">
        <is>
          <t>Network Operations Engineer</t>
        </is>
      </c>
      <c r="D464" s="1567" t="inlineStr">
        <is>
          <t>Vacant</t>
        </is>
      </c>
      <c r="E464" s="1571" t="inlineStr">
        <is>
          <t>Manager - Infrastructure Operations</t>
        </is>
      </c>
      <c r="F464" s="1382" t="inlineStr">
        <is>
          <t>TDD Group Functions</t>
        </is>
      </c>
      <c r="G464" s="1567" t="inlineStr">
        <is>
          <t>Loyalty &amp; Martech</t>
        </is>
      </c>
      <c r="H464" s="1567" t="inlineStr">
        <is>
          <t>Cloud, Network &amp; Infra</t>
        </is>
      </c>
      <c r="I464" s="1382" t="inlineStr">
        <is>
          <t>TDD</t>
        </is>
      </c>
      <c r="J464" s="1567" t="inlineStr">
        <is>
          <t>TDD</t>
        </is>
      </c>
      <c r="K464" s="1567" t="inlineStr">
        <is>
          <t>Cloud, Network &amp; Infra Ops</t>
        </is>
      </c>
      <c r="L464" s="1567" t="n"/>
      <c r="M464" s="1568" t="inlineStr">
        <is>
          <t>Australia</t>
        </is>
      </c>
      <c r="N464" s="865" t="inlineStr">
        <is>
          <t>TDD Group Functions</t>
        </is>
      </c>
      <c r="O464" s="865" t="inlineStr">
        <is>
          <t>TDD Group Functions</t>
        </is>
      </c>
      <c r="P464" s="865" t="inlineStr">
        <is>
          <t>Network &amp; Infrastructure</t>
        </is>
      </c>
      <c r="Q464" s="865" t="inlineStr">
        <is>
          <t>Squad</t>
        </is>
      </c>
      <c r="R464" s="865" t="inlineStr">
        <is>
          <t>Filled</t>
        </is>
      </c>
      <c r="BV464" s="865" t="n"/>
      <c r="BW464" s="865" t="n"/>
      <c r="BX464" s="865" t="n"/>
    </row>
    <row r="465" ht="18" customHeight="1" s="866">
      <c r="A465" s="1566" t="n">
        <v>113517</v>
      </c>
      <c r="B465" s="1581" t="inlineStr">
        <is>
          <t>Axel Soh</t>
        </is>
      </c>
      <c r="C465" s="1571" t="inlineStr">
        <is>
          <t>Cloud Solutions Architect</t>
        </is>
      </c>
      <c r="D465" s="1567" t="inlineStr">
        <is>
          <t>Vacant</t>
        </is>
      </c>
      <c r="E465" s="1571" t="inlineStr">
        <is>
          <t>Technology Manager - Cloud, Network &amp; Infrastructure Operations</t>
        </is>
      </c>
      <c r="F465" s="1382" t="inlineStr">
        <is>
          <t>TDD Group Functions</t>
        </is>
      </c>
      <c r="G465" s="1567" t="inlineStr">
        <is>
          <t>TDD &amp; Engineering</t>
        </is>
      </c>
      <c r="H465" s="1567" t="inlineStr">
        <is>
          <t>Cloud, Network &amp; Infra</t>
        </is>
      </c>
      <c r="I465" s="1382" t="inlineStr">
        <is>
          <t>TDD</t>
        </is>
      </c>
      <c r="J465" s="1567" t="inlineStr">
        <is>
          <t>TDD</t>
        </is>
      </c>
      <c r="K465" s="1567" t="inlineStr">
        <is>
          <t>Cloud, Network &amp; Infra Ops</t>
        </is>
      </c>
      <c r="L465" s="1567" t="n"/>
      <c r="M465" s="1568" t="n"/>
      <c r="N465" s="865" t="inlineStr">
        <is>
          <t>TDD Group Functions</t>
        </is>
      </c>
      <c r="O465" s="865" t="inlineStr">
        <is>
          <t>TDD Group Functions</t>
        </is>
      </c>
      <c r="P465" s="865" t="inlineStr">
        <is>
          <t>Network &amp; Infrastructure</t>
        </is>
      </c>
      <c r="Q465" s="865" t="inlineStr">
        <is>
          <t>Squad</t>
        </is>
      </c>
      <c r="R465" s="865" t="inlineStr">
        <is>
          <t>Filled</t>
        </is>
      </c>
      <c r="BV465" s="865" t="n"/>
      <c r="BW465" s="865" t="n"/>
      <c r="BX465" s="865" t="n"/>
    </row>
    <row r="466" ht="18" customHeight="1" s="866">
      <c r="A466" s="1566" t="n">
        <v>97800</v>
      </c>
      <c r="B466" s="1382" t="inlineStr">
        <is>
          <t>John McCormack</t>
        </is>
      </c>
      <c r="C466" s="1382" t="inlineStr">
        <is>
          <t>Manager - Infrastructure Operations</t>
        </is>
      </c>
      <c r="D466" s="1567" t="inlineStr">
        <is>
          <t>Vacant</t>
        </is>
      </c>
      <c r="E466" s="1571" t="inlineStr">
        <is>
          <t>Technology Manager - Cloud, Network &amp; Infrastructure Operations</t>
        </is>
      </c>
      <c r="F466" s="1382" t="inlineStr">
        <is>
          <t>TDD Group Functions</t>
        </is>
      </c>
      <c r="G466" s="1567" t="inlineStr">
        <is>
          <t>TDD &amp; Engineering</t>
        </is>
      </c>
      <c r="H466" s="1567" t="inlineStr">
        <is>
          <t>Cloud, Network &amp; Infra</t>
        </is>
      </c>
      <c r="I466" s="1382" t="inlineStr">
        <is>
          <t>TDD</t>
        </is>
      </c>
      <c r="J466" s="1567" t="inlineStr">
        <is>
          <t>TDD</t>
        </is>
      </c>
      <c r="K466" s="1567" t="inlineStr">
        <is>
          <t>Cloud, Network &amp; Infra Ops</t>
        </is>
      </c>
      <c r="L466" s="1567" t="n"/>
      <c r="M466" s="1568" t="inlineStr">
        <is>
          <t>Australia</t>
        </is>
      </c>
      <c r="N466" s="865" t="inlineStr">
        <is>
          <t>TDD Group Functions</t>
        </is>
      </c>
      <c r="O466" s="865" t="inlineStr">
        <is>
          <t>TDD Group Functions</t>
        </is>
      </c>
      <c r="P466" s="865" t="inlineStr">
        <is>
          <t>Network &amp; Infrastructure</t>
        </is>
      </c>
      <c r="Q466" s="865" t="inlineStr">
        <is>
          <t>Squad</t>
        </is>
      </c>
      <c r="R466" s="865" t="inlineStr">
        <is>
          <t>Filled</t>
        </is>
      </c>
      <c r="BV466" s="865" t="n"/>
      <c r="BW466" s="865" t="n"/>
      <c r="BX466" s="865" t="n"/>
    </row>
    <row r="467" ht="18" customHeight="1" s="866">
      <c r="A467" s="1566" t="n">
        <v>92821</v>
      </c>
      <c r="B467" s="1581" t="inlineStr">
        <is>
          <t>Pierre Spee</t>
        </is>
      </c>
      <c r="C467" s="1571" t="inlineStr">
        <is>
          <t>Cloud Solutions Architect</t>
        </is>
      </c>
      <c r="D467" s="1567" t="inlineStr">
        <is>
          <t>Vacant</t>
        </is>
      </c>
      <c r="E467" s="1571" t="inlineStr">
        <is>
          <t>Technology Manager - Cloud, Network &amp; Infrastructure Operations</t>
        </is>
      </c>
      <c r="F467" s="1382" t="inlineStr">
        <is>
          <t>TDD Group Functions</t>
        </is>
      </c>
      <c r="G467" s="1567" t="inlineStr">
        <is>
          <t>TDD &amp; Engineering</t>
        </is>
      </c>
      <c r="H467" s="1567" t="inlineStr">
        <is>
          <t>Cloud, Network &amp; Infra</t>
        </is>
      </c>
      <c r="I467" s="1382" t="inlineStr">
        <is>
          <t>TDD</t>
        </is>
      </c>
      <c r="J467" s="1567" t="inlineStr">
        <is>
          <t>TDD</t>
        </is>
      </c>
      <c r="K467" s="1567" t="inlineStr">
        <is>
          <t>Cloud, Network &amp; Infra Ops</t>
        </is>
      </c>
      <c r="L467" s="1567" t="n"/>
      <c r="M467" s="1568" t="n"/>
      <c r="N467" s="865" t="inlineStr">
        <is>
          <t>TDD Group Functions</t>
        </is>
      </c>
      <c r="O467" s="865" t="inlineStr">
        <is>
          <t>TDD Group Functions</t>
        </is>
      </c>
      <c r="P467" s="865" t="inlineStr">
        <is>
          <t>Network &amp; Infrastructure</t>
        </is>
      </c>
      <c r="Q467" s="865" t="inlineStr">
        <is>
          <t>Squad</t>
        </is>
      </c>
      <c r="R467" s="865" t="inlineStr">
        <is>
          <t>Filled</t>
        </is>
      </c>
      <c r="BV467" s="865" t="n"/>
      <c r="BW467" s="865" t="n"/>
      <c r="BX467" s="865" t="n"/>
    </row>
    <row r="468" ht="18" customHeight="1" s="866">
      <c r="A468" s="1566" t="n">
        <v>8005</v>
      </c>
      <c r="B468" s="1581" t="inlineStr">
        <is>
          <t>John Badia</t>
        </is>
      </c>
      <c r="C468" s="1571" t="inlineStr">
        <is>
          <t>Cloud Solutions Architect</t>
        </is>
      </c>
      <c r="D468" s="1567" t="inlineStr">
        <is>
          <t>Vacant</t>
        </is>
      </c>
      <c r="E468" s="1571" t="inlineStr">
        <is>
          <t>Technology Manager - Cloud, Network &amp; Infrastructure Operations</t>
        </is>
      </c>
      <c r="F468" s="1382" t="inlineStr">
        <is>
          <t>TDD Group Functions</t>
        </is>
      </c>
      <c r="G468" s="1567" t="inlineStr">
        <is>
          <t>TDD &amp; Engineering</t>
        </is>
      </c>
      <c r="H468" s="1567" t="inlineStr">
        <is>
          <t>Cloud, Network &amp; Infra</t>
        </is>
      </c>
      <c r="I468" s="1382" t="inlineStr">
        <is>
          <t>TDD</t>
        </is>
      </c>
      <c r="J468" s="1567" t="inlineStr">
        <is>
          <t>TDD</t>
        </is>
      </c>
      <c r="K468" s="1567" t="inlineStr">
        <is>
          <t>Cloud, Network &amp; Infra Ops</t>
        </is>
      </c>
      <c r="L468" s="1567" t="n"/>
      <c r="M468" s="1568" t="n"/>
      <c r="N468" s="865" t="inlineStr">
        <is>
          <t>TDD Group Functions</t>
        </is>
      </c>
      <c r="O468" s="865" t="inlineStr">
        <is>
          <t>TDD Group Functions</t>
        </is>
      </c>
      <c r="P468" s="865" t="inlineStr">
        <is>
          <t>Network &amp; Infrastructure</t>
        </is>
      </c>
      <c r="Q468" s="865" t="inlineStr">
        <is>
          <t>Squad</t>
        </is>
      </c>
      <c r="R468" s="865" t="inlineStr">
        <is>
          <t>Filled</t>
        </is>
      </c>
      <c r="BV468" s="865" t="n"/>
      <c r="BW468" s="865" t="n"/>
      <c r="BX468" s="865" t="n"/>
    </row>
    <row r="469" ht="18" customHeight="1" s="866">
      <c r="A469" s="1566" t="n"/>
      <c r="B469" s="1581" t="inlineStr">
        <is>
          <t>vacant</t>
        </is>
      </c>
      <c r="C469" s="1571" t="inlineStr">
        <is>
          <t>Lead Engineer Software</t>
        </is>
      </c>
      <c r="D469" s="1581" t="inlineStr">
        <is>
          <t>Vacant</t>
        </is>
      </c>
      <c r="E469" s="1571" t="inlineStr">
        <is>
          <t>Technology Manager - DevOps and Quality Engineering</t>
        </is>
      </c>
      <c r="F469" s="1567" t="inlineStr">
        <is>
          <t>TDD Group Functions</t>
        </is>
      </c>
      <c r="G469" s="1567" t="inlineStr">
        <is>
          <t>TDD &amp; Engineering</t>
        </is>
      </c>
      <c r="H469" s="1567" t="inlineStr">
        <is>
          <t>DevOps &amp; QE</t>
        </is>
      </c>
      <c r="I469" s="1382" t="inlineStr">
        <is>
          <t>TDD</t>
        </is>
      </c>
      <c r="J469" s="1567" t="inlineStr">
        <is>
          <t>TDD</t>
        </is>
      </c>
      <c r="K469" s="1567" t="inlineStr">
        <is>
          <t>DevOps &amp; QE</t>
        </is>
      </c>
      <c r="L469" s="1567" t="n"/>
      <c r="M469" s="1568" t="n"/>
      <c r="N469" s="865" t="inlineStr">
        <is>
          <t>TDD Group Functions</t>
        </is>
      </c>
      <c r="O469" s="865" t="inlineStr">
        <is>
          <t>TDD Group Functions</t>
        </is>
      </c>
      <c r="P469" s="865" t="inlineStr">
        <is>
          <t>DevOps &amp; Engineering</t>
        </is>
      </c>
      <c r="Q469" s="865" t="inlineStr">
        <is>
          <t>Squad</t>
        </is>
      </c>
      <c r="R469" s="865" t="inlineStr">
        <is>
          <t>Vacant</t>
        </is>
      </c>
      <c r="BV469" s="865" t="n"/>
      <c r="BW469" s="865" t="n"/>
      <c r="BX469" s="865" t="n"/>
    </row>
    <row r="470" ht="18" customHeight="1" s="866">
      <c r="A470" s="1566" t="n"/>
      <c r="B470" s="1581" t="inlineStr">
        <is>
          <t>Vacant</t>
        </is>
      </c>
      <c r="C470" s="1571" t="inlineStr">
        <is>
          <t>Senior Engineer (Automation Test)</t>
        </is>
      </c>
      <c r="D470" s="1581" t="inlineStr">
        <is>
          <t>Vacant</t>
        </is>
      </c>
      <c r="E470" s="1571" t="inlineStr">
        <is>
          <t>Lead Engineer (Automation Test)</t>
        </is>
      </c>
      <c r="F470" s="1567" t="inlineStr">
        <is>
          <t>TDD Group Functions</t>
        </is>
      </c>
      <c r="G470" s="1567" t="inlineStr">
        <is>
          <t>TDD &amp; Engineering</t>
        </is>
      </c>
      <c r="H470" s="1567" t="inlineStr">
        <is>
          <t>DevOps &amp; QE</t>
        </is>
      </c>
      <c r="I470" s="1382" t="inlineStr">
        <is>
          <t>TDD</t>
        </is>
      </c>
      <c r="J470" s="1567" t="inlineStr">
        <is>
          <t>TDD</t>
        </is>
      </c>
      <c r="K470" s="1567" t="inlineStr">
        <is>
          <t>DevOps &amp; QE</t>
        </is>
      </c>
      <c r="L470" s="1567" t="n"/>
      <c r="M470" s="1568" t="n"/>
      <c r="N470" s="865" t="inlineStr">
        <is>
          <t>TDD Group Functions</t>
        </is>
      </c>
      <c r="O470" s="865" t="inlineStr">
        <is>
          <t>TDD Group Functions</t>
        </is>
      </c>
      <c r="P470" s="865" t="inlineStr">
        <is>
          <t>DevOps &amp; Engineering</t>
        </is>
      </c>
      <c r="Q470" s="865" t="inlineStr">
        <is>
          <t>Squad</t>
        </is>
      </c>
      <c r="R470" s="865" t="inlineStr">
        <is>
          <t>Vacant</t>
        </is>
      </c>
      <c r="BV470" s="865" t="n"/>
      <c r="BW470" s="865" t="n"/>
      <c r="BX470" s="865" t="n"/>
    </row>
    <row r="471" ht="18" customHeight="1" s="866">
      <c r="A471" s="1566" t="n"/>
      <c r="B471" s="1581" t="inlineStr">
        <is>
          <t>Vacant</t>
        </is>
      </c>
      <c r="C471" s="1571" t="inlineStr">
        <is>
          <t>Lead Engineer (Automation Test)</t>
        </is>
      </c>
      <c r="D471" s="1581" t="inlineStr">
        <is>
          <t>Vacant</t>
        </is>
      </c>
      <c r="E471" s="1571" t="inlineStr">
        <is>
          <t>Technology Manager - DevOps and Quality Engineering</t>
        </is>
      </c>
      <c r="F471" s="1567" t="inlineStr">
        <is>
          <t>TDD Group Functions</t>
        </is>
      </c>
      <c r="G471" s="1567" t="inlineStr">
        <is>
          <t>TDD &amp; Engineering</t>
        </is>
      </c>
      <c r="H471" s="1567" t="inlineStr">
        <is>
          <t>Technology, CF Engineering</t>
        </is>
      </c>
      <c r="I471" s="1382" t="inlineStr">
        <is>
          <t>TDD</t>
        </is>
      </c>
      <c r="J471" s="1567" t="inlineStr">
        <is>
          <t>TDD</t>
        </is>
      </c>
      <c r="K471" s="1567" t="inlineStr">
        <is>
          <t>DevOps &amp; QE</t>
        </is>
      </c>
      <c r="L471" s="1567" t="n"/>
      <c r="M471" s="1568" t="n"/>
      <c r="N471" s="865" t="inlineStr">
        <is>
          <t>TDD Group Functions</t>
        </is>
      </c>
      <c r="O471" s="865" t="inlineStr">
        <is>
          <t>TDD Group Functions</t>
        </is>
      </c>
      <c r="P471" s="865" t="inlineStr">
        <is>
          <t>DevOps &amp; Engineering</t>
        </is>
      </c>
      <c r="Q471" s="865" t="inlineStr">
        <is>
          <t>Squad</t>
        </is>
      </c>
      <c r="R471" s="865" t="inlineStr">
        <is>
          <t>Vacant</t>
        </is>
      </c>
      <c r="BV471" s="865" t="n"/>
      <c r="BW471" s="865" t="n"/>
      <c r="BX471" s="865" t="n"/>
    </row>
    <row r="472" ht="18" customHeight="1" s="866">
      <c r="A472" s="1566" t="n">
        <v>99999101441</v>
      </c>
      <c r="B472" s="1382" t="inlineStr">
        <is>
          <t>Luke Hamer</t>
        </is>
      </c>
      <c r="C472" s="1382" t="inlineStr">
        <is>
          <t>Lead Engineer - Devops</t>
        </is>
      </c>
      <c r="D472" s="1581" t="inlineStr">
        <is>
          <t>Vacant</t>
        </is>
      </c>
      <c r="E472" s="1571" t="inlineStr">
        <is>
          <t>Technology Manager - DevOps and Quality Engineering</t>
        </is>
      </c>
      <c r="F472" s="1567" t="inlineStr">
        <is>
          <t>TDD Group Functions</t>
        </is>
      </c>
      <c r="G472" s="1567" t="inlineStr">
        <is>
          <t>TDD &amp; Engineering</t>
        </is>
      </c>
      <c r="H472" s="1567" t="inlineStr">
        <is>
          <t>Technology, CF Engineering</t>
        </is>
      </c>
      <c r="I472" s="1382" t="inlineStr">
        <is>
          <t>TDD</t>
        </is>
      </c>
      <c r="J472" s="1567" t="inlineStr">
        <is>
          <t>TDD</t>
        </is>
      </c>
      <c r="K472" s="1567" t="inlineStr">
        <is>
          <t>DevOps &amp; QE</t>
        </is>
      </c>
      <c r="L472" s="1567" t="n"/>
      <c r="M472" s="1568" t="inlineStr">
        <is>
          <t>NZ</t>
        </is>
      </c>
      <c r="N472" s="865" t="inlineStr">
        <is>
          <t>TDD Group Functions</t>
        </is>
      </c>
      <c r="O472" s="865" t="inlineStr">
        <is>
          <t>TDD Group Functions</t>
        </is>
      </c>
      <c r="P472" s="865" t="inlineStr">
        <is>
          <t>DevOps &amp; Engineering</t>
        </is>
      </c>
      <c r="Q472" s="865" t="inlineStr">
        <is>
          <t>Squad</t>
        </is>
      </c>
      <c r="R472" s="865" t="inlineStr">
        <is>
          <t>Filled</t>
        </is>
      </c>
      <c r="BV472" s="865" t="n"/>
      <c r="BW472" s="865" t="n"/>
      <c r="BX472" s="865" t="n"/>
    </row>
    <row r="473" ht="18" customHeight="1" s="866">
      <c r="A473" s="1566" t="n">
        <v>116057</v>
      </c>
      <c r="B473" s="1571" t="inlineStr">
        <is>
          <t>Lucas Wang</t>
        </is>
      </c>
      <c r="C473" s="1571" t="inlineStr">
        <is>
          <t>Senior Engineer (Automation Test)</t>
        </is>
      </c>
      <c r="D473" s="1581" t="inlineStr">
        <is>
          <t>Vacant</t>
        </is>
      </c>
      <c r="E473" s="1571" t="inlineStr">
        <is>
          <t>Lead Engineer (Automation Test)</t>
        </is>
      </c>
      <c r="F473" s="1567" t="inlineStr">
        <is>
          <t>TDD Group Functions</t>
        </is>
      </c>
      <c r="G473" s="1567" t="inlineStr">
        <is>
          <t>TDD &amp; Engineering</t>
        </is>
      </c>
      <c r="H473" s="1567" t="inlineStr">
        <is>
          <t>DevOps &amp; QE</t>
        </is>
      </c>
      <c r="I473" s="1382" t="inlineStr">
        <is>
          <t>TDD</t>
        </is>
      </c>
      <c r="J473" s="1567" t="inlineStr">
        <is>
          <t>TDD</t>
        </is>
      </c>
      <c r="K473" s="1567" t="inlineStr">
        <is>
          <t>DevOps &amp; QE</t>
        </is>
      </c>
      <c r="L473" s="1567" t="n"/>
      <c r="M473" s="1568" t="inlineStr">
        <is>
          <t>Australia</t>
        </is>
      </c>
      <c r="N473" s="865" t="inlineStr">
        <is>
          <t>TDD Group Functions</t>
        </is>
      </c>
      <c r="O473" s="865" t="inlineStr">
        <is>
          <t>TDD Group Functions</t>
        </is>
      </c>
      <c r="P473" s="865" t="inlineStr">
        <is>
          <t>DevOps &amp; Engineering</t>
        </is>
      </c>
      <c r="Q473" s="865" t="inlineStr">
        <is>
          <t>Squad</t>
        </is>
      </c>
      <c r="R473" s="865" t="inlineStr">
        <is>
          <t>Filled</t>
        </is>
      </c>
      <c r="BV473" s="865" t="n"/>
      <c r="BW473" s="865" t="n"/>
      <c r="BX473" s="865" t="n"/>
    </row>
    <row r="474" ht="18" customHeight="1" s="866">
      <c r="A474" s="1566" t="n"/>
      <c r="B474" s="1581" t="inlineStr">
        <is>
          <t>vacant</t>
        </is>
      </c>
      <c r="C474" s="1571" t="inlineStr">
        <is>
          <t>Environments and Test Data Manager</t>
        </is>
      </c>
      <c r="D474" s="1581" t="inlineStr">
        <is>
          <t>Vacant</t>
        </is>
      </c>
      <c r="E474" s="1571" t="inlineStr">
        <is>
          <t>Technology Manager - DevOps and Quality Engineering</t>
        </is>
      </c>
      <c r="F474" s="1567" t="inlineStr">
        <is>
          <t>TDD Group Functions</t>
        </is>
      </c>
      <c r="G474" s="1567" t="inlineStr">
        <is>
          <t>TDD &amp; Engineering</t>
        </is>
      </c>
      <c r="H474" s="1567" t="inlineStr">
        <is>
          <t>DevOps &amp; QE</t>
        </is>
      </c>
      <c r="I474" s="1382" t="inlineStr">
        <is>
          <t>TDD</t>
        </is>
      </c>
      <c r="J474" s="1567" t="inlineStr">
        <is>
          <t>TDD</t>
        </is>
      </c>
      <c r="K474" s="1567" t="inlineStr">
        <is>
          <t>DevOps &amp; QE</t>
        </is>
      </c>
      <c r="L474" s="1567" t="n"/>
      <c r="M474" s="1568" t="n"/>
      <c r="N474" s="865" t="inlineStr">
        <is>
          <t>TDD Group Functions</t>
        </is>
      </c>
      <c r="O474" s="865" t="inlineStr">
        <is>
          <t>TDD Group Functions</t>
        </is>
      </c>
      <c r="P474" s="865" t="inlineStr">
        <is>
          <t>DevOps &amp; Engineering</t>
        </is>
      </c>
      <c r="Q474" s="865" t="inlineStr">
        <is>
          <t>Squad</t>
        </is>
      </c>
      <c r="R474" s="865" t="inlineStr">
        <is>
          <t>Vacant</t>
        </is>
      </c>
      <c r="BV474" s="865" t="n"/>
      <c r="BW474" s="865" t="n"/>
      <c r="BX474" s="865" t="n"/>
    </row>
    <row r="475" ht="18" customHeight="1" s="866">
      <c r="A475" s="1566" t="n">
        <v>99999101958</v>
      </c>
      <c r="B475" s="1382" t="inlineStr">
        <is>
          <t>Mike Lealamanu</t>
        </is>
      </c>
      <c r="C475" s="1382" t="inlineStr">
        <is>
          <t>Quality Assurance</t>
        </is>
      </c>
      <c r="D475" s="1581" t="inlineStr">
        <is>
          <t>Vacant</t>
        </is>
      </c>
      <c r="E475" s="1571" t="inlineStr">
        <is>
          <t>Technology Manager - DevOps and Quality Engineering</t>
        </is>
      </c>
      <c r="F475" s="1567" t="inlineStr">
        <is>
          <t>TDD Group Functions</t>
        </is>
      </c>
      <c r="G475" s="1567" t="inlineStr">
        <is>
          <t>TDD &amp; Engineering</t>
        </is>
      </c>
      <c r="H475" s="1567" t="inlineStr">
        <is>
          <t>DevOps &amp; QE</t>
        </is>
      </c>
      <c r="I475" s="1382" t="inlineStr">
        <is>
          <t>TDD</t>
        </is>
      </c>
      <c r="J475" s="1567" t="inlineStr">
        <is>
          <t>TDD</t>
        </is>
      </c>
      <c r="K475" s="1567" t="inlineStr">
        <is>
          <t>DevOps &amp; QE</t>
        </is>
      </c>
      <c r="L475" s="1567" t="n"/>
      <c r="M475" s="1568" t="inlineStr">
        <is>
          <t>NZ</t>
        </is>
      </c>
      <c r="N475" s="865" t="inlineStr">
        <is>
          <t>TDD Group Functions</t>
        </is>
      </c>
      <c r="O475" s="865" t="inlineStr">
        <is>
          <t>TDD Group Functions</t>
        </is>
      </c>
      <c r="P475" s="865" t="inlineStr">
        <is>
          <t>DevOps &amp; Engineering</t>
        </is>
      </c>
      <c r="Q475" s="865" t="inlineStr">
        <is>
          <t>Squad</t>
        </is>
      </c>
      <c r="R475" s="865" t="inlineStr">
        <is>
          <t>Filled</t>
        </is>
      </c>
      <c r="BV475" s="865" t="n"/>
      <c r="BW475" s="865" t="n"/>
      <c r="BX475" s="865" t="n"/>
    </row>
    <row r="476" ht="18" customHeight="1" s="866">
      <c r="A476" s="1566" t="n">
        <v>99999102120</v>
      </c>
      <c r="B476" s="1382" t="inlineStr">
        <is>
          <t>Sunny Arya</t>
        </is>
      </c>
      <c r="C476" s="1382" t="inlineStr">
        <is>
          <t>Lead Engineer, Devops</t>
        </is>
      </c>
      <c r="D476" s="1581" t="inlineStr">
        <is>
          <t>Vacant</t>
        </is>
      </c>
      <c r="E476" s="1571" t="inlineStr">
        <is>
          <t>Technology Manager - DevOps and Quality Engineering</t>
        </is>
      </c>
      <c r="F476" s="1567" t="inlineStr">
        <is>
          <t>TDD Group Functions</t>
        </is>
      </c>
      <c r="G476" s="1567" t="inlineStr">
        <is>
          <t>TDD &amp; Engineering</t>
        </is>
      </c>
      <c r="H476" s="1567" t="inlineStr">
        <is>
          <t>DevOps &amp; QE</t>
        </is>
      </c>
      <c r="I476" s="1382" t="inlineStr">
        <is>
          <t>TDD</t>
        </is>
      </c>
      <c r="J476" s="1567" t="inlineStr">
        <is>
          <t>TDD</t>
        </is>
      </c>
      <c r="K476" s="1567" t="inlineStr">
        <is>
          <t>DevOps &amp; QE</t>
        </is>
      </c>
      <c r="L476" s="1567" t="n"/>
      <c r="M476" s="1568" t="inlineStr">
        <is>
          <t>NZ</t>
        </is>
      </c>
      <c r="N476" s="865" t="inlineStr">
        <is>
          <t>TDD Group Functions</t>
        </is>
      </c>
      <c r="O476" s="865" t="inlineStr">
        <is>
          <t>TDD Group Functions</t>
        </is>
      </c>
      <c r="P476" s="865" t="inlineStr">
        <is>
          <t>DevOps &amp; Engineering</t>
        </is>
      </c>
      <c r="Q476" s="865" t="inlineStr">
        <is>
          <t>Squad</t>
        </is>
      </c>
      <c r="R476" s="865" t="inlineStr">
        <is>
          <t>Filled</t>
        </is>
      </c>
    </row>
    <row r="477" ht="18" customHeight="1" s="866">
      <c r="A477" s="1566" t="n">
        <v>14148</v>
      </c>
      <c r="B477" s="1571" t="inlineStr">
        <is>
          <t>Ee Lynn Yap</t>
        </is>
      </c>
      <c r="C477" s="1571" t="inlineStr">
        <is>
          <t>SAP ERP Application Lead</t>
        </is>
      </c>
      <c r="D477" s="1567" t="inlineStr">
        <is>
          <t>Shane Ker</t>
        </is>
      </c>
      <c r="E477" s="1571" t="inlineStr">
        <is>
          <t>Technology Manager Finance Platforms</t>
        </is>
      </c>
      <c r="F477" s="1382" t="inlineStr">
        <is>
          <t>TDD Group Functions</t>
        </is>
      </c>
      <c r="G477" s="1571" t="inlineStr">
        <is>
          <t>P&amp;C, Finance &amp; Legal</t>
        </is>
      </c>
      <c r="H477" s="1567" t="inlineStr">
        <is>
          <t>Tech, Finance Platforms</t>
        </is>
      </c>
      <c r="I477" s="1567" t="inlineStr">
        <is>
          <t>EGI</t>
        </is>
      </c>
      <c r="J477" s="1567" t="inlineStr">
        <is>
          <t>EGI</t>
        </is>
      </c>
      <c r="K477" s="1567" t="inlineStr">
        <is>
          <t>EGI Finance</t>
        </is>
      </c>
      <c r="L477" s="1567" t="n"/>
      <c r="M477" s="1568" t="inlineStr">
        <is>
          <t>Australia</t>
        </is>
      </c>
      <c r="N477" s="865" t="inlineStr">
        <is>
          <t>Finance</t>
        </is>
      </c>
      <c r="O477" s="865" t="inlineStr">
        <is>
          <t>EGI Finance</t>
        </is>
      </c>
      <c r="P477" s="865" t="inlineStr">
        <is>
          <t>EGI Finance</t>
        </is>
      </c>
      <c r="Q477" s="865" t="inlineStr">
        <is>
          <t>Strategic Program</t>
        </is>
      </c>
      <c r="R477" s="865" t="inlineStr">
        <is>
          <t>Filled</t>
        </is>
      </c>
    </row>
    <row r="478" ht="18" customHeight="1" s="866">
      <c r="A478" s="1566" t="n">
        <v>113067</v>
      </c>
      <c r="B478" s="1596" t="inlineStr">
        <is>
          <t>Vikram Chhahira</t>
        </is>
      </c>
      <c r="C478" s="1571" t="inlineStr">
        <is>
          <t>Delivery Lead, EGI</t>
        </is>
      </c>
      <c r="D478" s="1567" t="inlineStr">
        <is>
          <t>Vacant</t>
        </is>
      </c>
      <c r="E478" s="1571" t="inlineStr">
        <is>
          <t>Delivery Manager, P&amp;C, Finance &amp; Legal</t>
        </is>
      </c>
      <c r="F478" s="1382" t="inlineStr">
        <is>
          <t>TDD Group Functions</t>
        </is>
      </c>
      <c r="G478" s="1567" t="inlineStr">
        <is>
          <t>EGI</t>
        </is>
      </c>
      <c r="H478" s="1567" t="n"/>
      <c r="I478" s="1567" t="inlineStr">
        <is>
          <t>EGI</t>
        </is>
      </c>
      <c r="J478" s="1567" t="inlineStr">
        <is>
          <t>EGI</t>
        </is>
      </c>
      <c r="K478" s="1567" t="inlineStr">
        <is>
          <t>EGI P&amp;C</t>
        </is>
      </c>
      <c r="L478" s="1567" t="n"/>
      <c r="M478" s="1568" t="inlineStr">
        <is>
          <t>Australia</t>
        </is>
      </c>
      <c r="N478" s="865" t="inlineStr">
        <is>
          <t>P&amp;C</t>
        </is>
      </c>
      <c r="O478" s="865" t="inlineStr">
        <is>
          <t>EGI P&amp;C</t>
        </is>
      </c>
      <c r="P478" s="865" t="inlineStr">
        <is>
          <t>EGI P&amp;C</t>
        </is>
      </c>
      <c r="Q478" s="865" t="inlineStr">
        <is>
          <t>Strategic Program</t>
        </is>
      </c>
      <c r="R478" s="865" t="inlineStr">
        <is>
          <t>Filled</t>
        </is>
      </c>
    </row>
    <row r="479" ht="18" customHeight="1" s="866">
      <c r="A479" s="1566" t="n">
        <v>0</v>
      </c>
      <c r="B479" s="1581" t="inlineStr">
        <is>
          <t>Arun Tahlan</t>
        </is>
      </c>
      <c r="C479" s="1571" t="inlineStr">
        <is>
          <t>Integration Architect (C) - Boomi</t>
        </is>
      </c>
      <c r="D479" s="1382" t="inlineStr">
        <is>
          <t>Mike Seales</t>
        </is>
      </c>
      <c r="E479" s="1382" t="inlineStr">
        <is>
          <t>Technology Manager Integration &amp; Process Managemetn</t>
        </is>
      </c>
      <c r="F479" s="1382" t="inlineStr">
        <is>
          <t>TDD Group Functions</t>
        </is>
      </c>
      <c r="G479" s="1567" t="inlineStr">
        <is>
          <t xml:space="preserve">TDD &amp; Engineering </t>
        </is>
      </c>
      <c r="H479" s="1382" t="inlineStr">
        <is>
          <t>Technology, Trading &amp; Shipping</t>
        </is>
      </c>
      <c r="I479" s="1382" t="inlineStr">
        <is>
          <t>EGI</t>
        </is>
      </c>
      <c r="J479" s="1567" t="inlineStr">
        <is>
          <t>EGI</t>
        </is>
      </c>
      <c r="K479" s="1567" t="inlineStr">
        <is>
          <t>EGI TDD</t>
        </is>
      </c>
      <c r="L479" s="1567" t="n"/>
      <c r="M479" s="1568" t="n">
        <v>0</v>
      </c>
      <c r="N479" s="865" t="inlineStr">
        <is>
          <t>TDD Group Functions</t>
        </is>
      </c>
      <c r="O479" s="865" t="inlineStr">
        <is>
          <t>EGI TDD</t>
        </is>
      </c>
      <c r="P479" s="865" t="inlineStr">
        <is>
          <t>EGI TDD</t>
        </is>
      </c>
      <c r="Q479" s="865" t="inlineStr">
        <is>
          <t>Strategic Program</t>
        </is>
      </c>
      <c r="R479" s="865" t="inlineStr">
        <is>
          <t>Filled</t>
        </is>
      </c>
    </row>
    <row r="480" ht="18" customHeight="1" s="866">
      <c r="A480" s="1566" t="n">
        <v>99999102153</v>
      </c>
      <c r="B480" s="1581" t="inlineStr">
        <is>
          <t>Kris Thornley</t>
        </is>
      </c>
      <c r="C480" s="1571" t="inlineStr">
        <is>
          <t>Integration Architect (C)</t>
        </is>
      </c>
      <c r="D480" s="1382" t="inlineStr">
        <is>
          <t>Mike Seales</t>
        </is>
      </c>
      <c r="E480" s="1382" t="inlineStr">
        <is>
          <t>Technology Manager Integration &amp; Process Managemetn</t>
        </is>
      </c>
      <c r="F480" s="1382" t="inlineStr">
        <is>
          <t>TDD Group Functions</t>
        </is>
      </c>
      <c r="G480" s="1567" t="inlineStr">
        <is>
          <t xml:space="preserve">TDD &amp; Engineering </t>
        </is>
      </c>
      <c r="H480" s="1382" t="inlineStr">
        <is>
          <t>Integration &amp; Process Management</t>
        </is>
      </c>
      <c r="I480" s="1382" t="inlineStr">
        <is>
          <t>EGI</t>
        </is>
      </c>
      <c r="J480" s="1567" t="inlineStr">
        <is>
          <t xml:space="preserve">EGI </t>
        </is>
      </c>
      <c r="K480" s="1567" t="inlineStr">
        <is>
          <t>EGI TDD</t>
        </is>
      </c>
      <c r="L480" s="1567" t="n"/>
      <c r="M480" s="1568" t="inlineStr">
        <is>
          <t>NZ</t>
        </is>
      </c>
      <c r="N480" s="865" t="inlineStr">
        <is>
          <t>TDD Group Functions</t>
        </is>
      </c>
      <c r="O480" s="865" t="inlineStr">
        <is>
          <t>EGI TDD</t>
        </is>
      </c>
      <c r="P480" s="865" t="inlineStr">
        <is>
          <t>EGI TDD</t>
        </is>
      </c>
      <c r="Q480" s="865" t="inlineStr">
        <is>
          <t>Strategic Program</t>
        </is>
      </c>
      <c r="R480" s="865" t="inlineStr">
        <is>
          <t>Filled</t>
        </is>
      </c>
    </row>
    <row r="481" ht="18" customHeight="1" s="866">
      <c r="A481" s="1566" t="n">
        <v>99999101466</v>
      </c>
      <c r="B481" s="1382" t="inlineStr">
        <is>
          <t>Shobhit Mittal</t>
        </is>
      </c>
      <c r="C481" s="1382" t="inlineStr">
        <is>
          <t>Lead Engineer - Automation Test</t>
        </is>
      </c>
      <c r="D481" s="1581" t="inlineStr">
        <is>
          <t>Vacant</t>
        </is>
      </c>
      <c r="E481" s="1571" t="inlineStr">
        <is>
          <t>Technology Manager - DevOps and Quality Engineering</t>
        </is>
      </c>
      <c r="F481" s="1567" t="inlineStr">
        <is>
          <t>TDD Group Functions</t>
        </is>
      </c>
      <c r="G481" s="1567" t="inlineStr">
        <is>
          <t>Loyalty &amp; Martech</t>
        </is>
      </c>
      <c r="H481" s="1567" t="inlineStr">
        <is>
          <t>Dev Ops  &amp; QE</t>
        </is>
      </c>
      <c r="I481" s="1567" t="inlineStr">
        <is>
          <t>EGI</t>
        </is>
      </c>
      <c r="J481" s="1567" t="inlineStr">
        <is>
          <t>EGI</t>
        </is>
      </c>
      <c r="K481" s="1567" t="inlineStr">
        <is>
          <t>EGI TDD</t>
        </is>
      </c>
      <c r="L481" s="1567" t="n"/>
      <c r="M481" s="1568" t="inlineStr">
        <is>
          <t>NZ</t>
        </is>
      </c>
      <c r="N481" s="865" t="inlineStr">
        <is>
          <t>TDD Group Functions</t>
        </is>
      </c>
      <c r="O481" s="865" t="inlineStr">
        <is>
          <t>EGI TDD</t>
        </is>
      </c>
      <c r="P481" s="865" t="inlineStr">
        <is>
          <t>EGI TDD</t>
        </is>
      </c>
      <c r="Q481" s="865" t="inlineStr">
        <is>
          <t>Strategic Program</t>
        </is>
      </c>
      <c r="R481" s="865" t="inlineStr">
        <is>
          <t>Filled</t>
        </is>
      </c>
    </row>
    <row r="482" ht="18" customHeight="1" s="866">
      <c r="A482" s="1566" t="n">
        <v>109092</v>
      </c>
      <c r="B482" s="1382" t="inlineStr">
        <is>
          <t>Anjali Patra</t>
        </is>
      </c>
      <c r="C482" s="1382" t="inlineStr">
        <is>
          <t>Delivery Lead - EGI</t>
        </is>
      </c>
      <c r="D482" s="1567" t="inlineStr">
        <is>
          <t>vacant</t>
        </is>
      </c>
      <c r="E482" s="1571" t="inlineStr">
        <is>
          <t xml:space="preserve">Delivery Manager </t>
        </is>
      </c>
      <c r="F482" s="1382" t="inlineStr">
        <is>
          <t>TDD Group Functions</t>
        </is>
      </c>
      <c r="G482" s="1567" t="inlineStr">
        <is>
          <t>TDD &amp; Engineering</t>
        </is>
      </c>
      <c r="H482" s="1382" t="inlineStr">
        <is>
          <t>Delivery, TDD &amp; Engineering</t>
        </is>
      </c>
      <c r="I482" s="1382" t="inlineStr">
        <is>
          <t>EGI</t>
        </is>
      </c>
      <c r="J482" s="1567" t="inlineStr">
        <is>
          <t>EGI</t>
        </is>
      </c>
      <c r="K482" s="1567" t="inlineStr">
        <is>
          <t>EGI TDD</t>
        </is>
      </c>
      <c r="L482" s="1567" t="n"/>
      <c r="M482" s="1568" t="inlineStr">
        <is>
          <t>Australia</t>
        </is>
      </c>
      <c r="N482" s="865" t="inlineStr">
        <is>
          <t>TDD Group Functions</t>
        </is>
      </c>
      <c r="O482" s="865" t="inlineStr">
        <is>
          <t>EGI TDD</t>
        </is>
      </c>
      <c r="P482" s="865" t="inlineStr">
        <is>
          <t>EGI TDD</t>
        </is>
      </c>
      <c r="Q482" s="865" t="inlineStr">
        <is>
          <t>Strategic Program</t>
        </is>
      </c>
      <c r="R482" s="865" t="inlineStr">
        <is>
          <t>Filled</t>
        </is>
      </c>
    </row>
    <row r="483" ht="18" customHeight="1" s="866">
      <c r="A483" s="1566" t="n">
        <v>110830</v>
      </c>
      <c r="B483" s="1382" t="inlineStr">
        <is>
          <t>Jason Satoso</t>
        </is>
      </c>
      <c r="C483" s="1382" t="inlineStr">
        <is>
          <t>Cloud Operations Engineer</t>
        </is>
      </c>
      <c r="D483" s="1567" t="inlineStr">
        <is>
          <t>Vacant</t>
        </is>
      </c>
      <c r="E483" s="1571" t="inlineStr">
        <is>
          <t>Manager - Infrastructure Operations</t>
        </is>
      </c>
      <c r="F483" s="1382" t="inlineStr">
        <is>
          <t>TDD Group Functions</t>
        </is>
      </c>
      <c r="G483" s="1567" t="inlineStr">
        <is>
          <t>TDD &amp; Engineering</t>
        </is>
      </c>
      <c r="H483" s="1567" t="inlineStr">
        <is>
          <t>Cloud, Network &amp; Infra</t>
        </is>
      </c>
      <c r="I483" s="1382" t="inlineStr">
        <is>
          <t>TDD</t>
        </is>
      </c>
      <c r="J483" s="1567" t="inlineStr">
        <is>
          <t>Energy Solutions</t>
        </is>
      </c>
      <c r="K483" s="1567" t="inlineStr">
        <is>
          <t>Energy</t>
        </is>
      </c>
      <c r="L483" s="1567" t="n"/>
      <c r="M483" s="1568" t="inlineStr">
        <is>
          <t>Australia</t>
        </is>
      </c>
      <c r="N483" s="865" t="inlineStr">
        <is>
          <t>Energy Solutions &amp; B2B</t>
        </is>
      </c>
      <c r="O483" s="865" t="inlineStr">
        <is>
          <t>Energy Solutions</t>
        </is>
      </c>
      <c r="P483" s="865" t="inlineStr">
        <is>
          <t>Energy</t>
        </is>
      </c>
      <c r="Q483" s="865" t="inlineStr">
        <is>
          <t>Squad</t>
        </is>
      </c>
      <c r="R483" s="865" t="inlineStr">
        <is>
          <t>Filled</t>
        </is>
      </c>
    </row>
    <row r="484" ht="18" customHeight="1" s="866">
      <c r="A484" s="1566" t="n">
        <v>91635</v>
      </c>
      <c r="B484" s="1382" t="inlineStr">
        <is>
          <t>Bala Thiruvadi</t>
        </is>
      </c>
      <c r="C484" s="1382" t="inlineStr">
        <is>
          <t>Integration Architect - Boomi</t>
        </is>
      </c>
      <c r="D484" s="1382" t="inlineStr">
        <is>
          <t>Mike Seales</t>
        </is>
      </c>
      <c r="E484" s="1382" t="inlineStr">
        <is>
          <t>Technology Manager Integration &amp; Process Managemetn</t>
        </is>
      </c>
      <c r="F484" s="1382" t="inlineStr">
        <is>
          <t>TDD Group Functions</t>
        </is>
      </c>
      <c r="G484" s="1567" t="inlineStr">
        <is>
          <t xml:space="preserve">TDD &amp; Engineering </t>
        </is>
      </c>
      <c r="H484" s="1382" t="inlineStr">
        <is>
          <t>Integration &amp; Process Management</t>
        </is>
      </c>
      <c r="I484" s="1382" t="inlineStr">
        <is>
          <t>TDD</t>
        </is>
      </c>
      <c r="J484" s="1567" t="inlineStr">
        <is>
          <t>TDD</t>
        </is>
      </c>
      <c r="K484" s="1567" t="inlineStr">
        <is>
          <t>Integration &amp; Process automation</t>
        </is>
      </c>
      <c r="L484" s="1567" t="n"/>
      <c r="M484" s="1568" t="inlineStr">
        <is>
          <t>Australia</t>
        </is>
      </c>
      <c r="N484" s="865" t="inlineStr">
        <is>
          <t>TDD Group Functions</t>
        </is>
      </c>
      <c r="O484" s="865" t="inlineStr">
        <is>
          <t>TDD Group Functions</t>
        </is>
      </c>
      <c r="P484" s="865" t="inlineStr">
        <is>
          <t>Integration</t>
        </is>
      </c>
      <c r="Q484" s="865" t="inlineStr">
        <is>
          <t>Squad</t>
        </is>
      </c>
      <c r="R484" s="865" t="inlineStr">
        <is>
          <t>Filled</t>
        </is>
      </c>
    </row>
    <row r="485" ht="18" customHeight="1" s="866">
      <c r="A485" s="1566" t="n"/>
      <c r="B485" s="1581" t="inlineStr">
        <is>
          <t>Vacant</t>
        </is>
      </c>
      <c r="C485" s="1571" t="inlineStr">
        <is>
          <t>RPA Lead</t>
        </is>
      </c>
      <c r="D485" s="1382" t="inlineStr">
        <is>
          <t>Mike Seales</t>
        </is>
      </c>
      <c r="E485" s="1382" t="inlineStr">
        <is>
          <t>Technology Manager Integration &amp; Process Managemetn</t>
        </is>
      </c>
      <c r="F485" s="1382" t="inlineStr">
        <is>
          <t>TDD Group Functions</t>
        </is>
      </c>
      <c r="G485" s="1567" t="inlineStr">
        <is>
          <t xml:space="preserve">TDD &amp; Engineering </t>
        </is>
      </c>
      <c r="H485" s="1382" t="inlineStr">
        <is>
          <t>Integration &amp; Process Management</t>
        </is>
      </c>
      <c r="I485" s="1382" t="inlineStr">
        <is>
          <t>TDD</t>
        </is>
      </c>
      <c r="J485" s="1567" t="inlineStr">
        <is>
          <t>TDD</t>
        </is>
      </c>
      <c r="K485" s="1567" t="inlineStr">
        <is>
          <t>Integration &amp; Process automation</t>
        </is>
      </c>
      <c r="L485" s="1567" t="n"/>
      <c r="M485" s="1568" t="n"/>
      <c r="N485" s="865" t="inlineStr">
        <is>
          <t>TDD Group Functions</t>
        </is>
      </c>
      <c r="O485" s="865" t="inlineStr">
        <is>
          <t>TDD Group Functions</t>
        </is>
      </c>
      <c r="P485" s="865" t="inlineStr">
        <is>
          <t>Integration</t>
        </is>
      </c>
      <c r="Q485" s="865" t="inlineStr">
        <is>
          <t>Squad</t>
        </is>
      </c>
      <c r="R485" s="865" t="inlineStr">
        <is>
          <t>Vacant</t>
        </is>
      </c>
    </row>
    <row r="486" ht="18" customHeight="1" s="866">
      <c r="A486" s="1566" t="n">
        <v>99999101879</v>
      </c>
      <c r="B486" s="1571" t="inlineStr">
        <is>
          <t>Lisa Rademakers</t>
        </is>
      </c>
      <c r="C486" s="1571" t="inlineStr">
        <is>
          <t>Delivery Lead (Integrations)</t>
        </is>
      </c>
      <c r="D486" s="1382" t="inlineStr">
        <is>
          <t>Vacant</t>
        </is>
      </c>
      <c r="E486" s="1382" t="inlineStr">
        <is>
          <t>Delivery Manager</t>
        </is>
      </c>
      <c r="F486" s="1382" t="inlineStr">
        <is>
          <t>TDD Group Functions</t>
        </is>
      </c>
      <c r="G486" s="1567" t="inlineStr">
        <is>
          <t xml:space="preserve">TDD &amp; Engineering </t>
        </is>
      </c>
      <c r="H486" s="1382" t="inlineStr">
        <is>
          <t>Delivery, TDD &amp; Engineering</t>
        </is>
      </c>
      <c r="I486" s="1382" t="inlineStr">
        <is>
          <t>TDD</t>
        </is>
      </c>
      <c r="J486" s="1567" t="inlineStr">
        <is>
          <t>TDD</t>
        </is>
      </c>
      <c r="K486" s="1567" t="inlineStr">
        <is>
          <t>Integration &amp; Process Automation</t>
        </is>
      </c>
      <c r="L486" s="1567" t="n"/>
      <c r="M486" s="1568" t="inlineStr">
        <is>
          <t>NZ</t>
        </is>
      </c>
      <c r="N486" s="865" t="inlineStr">
        <is>
          <t>TDD Group Functions</t>
        </is>
      </c>
      <c r="O486" s="865" t="inlineStr">
        <is>
          <t>TDD Group Functions</t>
        </is>
      </c>
      <c r="P486" s="865" t="inlineStr">
        <is>
          <t>Integration</t>
        </is>
      </c>
      <c r="Q486" s="865" t="inlineStr">
        <is>
          <t>Squad</t>
        </is>
      </c>
      <c r="R486" s="865" t="inlineStr">
        <is>
          <t>Filled</t>
        </is>
      </c>
    </row>
    <row r="487" ht="18" customHeight="1" s="866">
      <c r="A487" s="1566" t="n">
        <v>99999101273</v>
      </c>
      <c r="B487" s="1382" t="inlineStr">
        <is>
          <t>Michael Weng</t>
        </is>
      </c>
      <c r="C487" s="1382" t="inlineStr">
        <is>
          <t>Solution Architect</t>
        </is>
      </c>
      <c r="D487" s="1382" t="inlineStr">
        <is>
          <t>Vacant</t>
        </is>
      </c>
      <c r="E487" s="1382" t="inlineStr">
        <is>
          <t>Technology Manager Integration &amp; Process Managemetn</t>
        </is>
      </c>
      <c r="F487" s="1382" t="inlineStr">
        <is>
          <t>TDD Group Functions</t>
        </is>
      </c>
      <c r="G487" s="1567" t="inlineStr">
        <is>
          <t xml:space="preserve">TDD &amp; Engineering </t>
        </is>
      </c>
      <c r="H487" s="1382" t="inlineStr">
        <is>
          <t>Integration &amp; Process Management</t>
        </is>
      </c>
      <c r="I487" s="1382" t="inlineStr">
        <is>
          <t>TDD</t>
        </is>
      </c>
      <c r="J487" s="1567" t="inlineStr">
        <is>
          <t>TDD</t>
        </is>
      </c>
      <c r="K487" s="1567" t="inlineStr">
        <is>
          <t>Integration &amp; Process automation</t>
        </is>
      </c>
      <c r="L487" s="1567" t="n"/>
      <c r="M487" s="1568" t="inlineStr">
        <is>
          <t>NZ</t>
        </is>
      </c>
      <c r="N487" s="865" t="inlineStr">
        <is>
          <t>TDD Group Functions</t>
        </is>
      </c>
      <c r="O487" s="865" t="inlineStr">
        <is>
          <t>TDD Group Functions</t>
        </is>
      </c>
      <c r="P487" s="865" t="inlineStr">
        <is>
          <t>Integration</t>
        </is>
      </c>
      <c r="Q487" s="865" t="inlineStr">
        <is>
          <t>Squad</t>
        </is>
      </c>
      <c r="R487" s="865" t="inlineStr">
        <is>
          <t>Filled</t>
        </is>
      </c>
    </row>
    <row r="488" ht="18" customHeight="1" s="866">
      <c r="A488" s="1566" t="n">
        <v>114367</v>
      </c>
      <c r="B488" s="1571" t="inlineStr">
        <is>
          <t>Thandava Krishna Kakarala</t>
        </is>
      </c>
      <c r="C488" s="1571" t="inlineStr">
        <is>
          <t>Snr Engineer - Boomi</t>
        </is>
      </c>
      <c r="D488" s="1382" t="inlineStr">
        <is>
          <t>Vacant</t>
        </is>
      </c>
      <c r="E488" s="865" t="inlineStr">
        <is>
          <t>Technology Manager Integration &amp; Process Managemetn</t>
        </is>
      </c>
      <c r="F488" s="1382" t="inlineStr">
        <is>
          <t>TDD Group Functions</t>
        </is>
      </c>
      <c r="G488" s="1567" t="inlineStr">
        <is>
          <t xml:space="preserve">TDD &amp; Engineering </t>
        </is>
      </c>
      <c r="H488" s="1382" t="inlineStr">
        <is>
          <t>Integration &amp; Process Management</t>
        </is>
      </c>
      <c r="I488" s="1382" t="inlineStr">
        <is>
          <t>TDD</t>
        </is>
      </c>
      <c r="J488" s="1567" t="inlineStr">
        <is>
          <t>TDD</t>
        </is>
      </c>
      <c r="K488" s="1567" t="inlineStr">
        <is>
          <t>Integration &amp; Process automation</t>
        </is>
      </c>
      <c r="L488" s="1567" t="n"/>
      <c r="M488" s="1568" t="inlineStr">
        <is>
          <t>Australia</t>
        </is>
      </c>
      <c r="N488" s="865" t="inlineStr">
        <is>
          <t>TDD Group Functions</t>
        </is>
      </c>
      <c r="O488" s="865" t="inlineStr">
        <is>
          <t>TDD Group Functions</t>
        </is>
      </c>
      <c r="P488" s="865" t="inlineStr">
        <is>
          <t>Integration</t>
        </is>
      </c>
      <c r="Q488" s="865" t="inlineStr">
        <is>
          <t>Squad</t>
        </is>
      </c>
      <c r="R488" s="865" t="inlineStr">
        <is>
          <t>Filled</t>
        </is>
      </c>
    </row>
    <row r="489" ht="18" customHeight="1" s="866">
      <c r="A489" s="1566" t="n"/>
      <c r="B489" s="1581" t="inlineStr">
        <is>
          <t>Vacant</t>
        </is>
      </c>
      <c r="C489" s="1571" t="inlineStr">
        <is>
          <t>Business Analyst (Integrations)</t>
        </is>
      </c>
      <c r="D489" s="1382" t="inlineStr">
        <is>
          <t>Vacant</t>
        </is>
      </c>
      <c r="E489" s="1382" t="inlineStr">
        <is>
          <t>Delivery Manager</t>
        </is>
      </c>
      <c r="F489" s="1382" t="inlineStr">
        <is>
          <t>TDD Group Functions</t>
        </is>
      </c>
      <c r="G489" s="1567" t="inlineStr">
        <is>
          <t xml:space="preserve">TDD &amp; Engineering </t>
        </is>
      </c>
      <c r="H489" s="1382" t="inlineStr">
        <is>
          <t>Delivery, TDD &amp; Engineering</t>
        </is>
      </c>
      <c r="I489" s="1382" t="inlineStr">
        <is>
          <t>TDD</t>
        </is>
      </c>
      <c r="J489" s="1567" t="inlineStr">
        <is>
          <t>TDD</t>
        </is>
      </c>
      <c r="K489" s="1567" t="inlineStr">
        <is>
          <t>Integration &amp; Process Automation</t>
        </is>
      </c>
      <c r="L489" s="1567" t="n"/>
      <c r="M489" s="1568" t="n"/>
      <c r="N489" s="865" t="inlineStr">
        <is>
          <t>TDD Group Functions</t>
        </is>
      </c>
      <c r="O489" s="865" t="inlineStr">
        <is>
          <t>TDD Group Functions</t>
        </is>
      </c>
      <c r="P489" s="865" t="inlineStr">
        <is>
          <t>Integration</t>
        </is>
      </c>
      <c r="Q489" s="865" t="inlineStr">
        <is>
          <t>Squad</t>
        </is>
      </c>
      <c r="R489" s="865" t="inlineStr">
        <is>
          <t>Vacant</t>
        </is>
      </c>
    </row>
    <row r="490" ht="18" customHeight="1" s="866">
      <c r="A490" s="1566" t="n">
        <v>99999101058</v>
      </c>
      <c r="B490" s="1382" t="inlineStr">
        <is>
          <t>Mike Seales</t>
        </is>
      </c>
      <c r="C490" s="1382" t="inlineStr">
        <is>
          <t>Technology Manager, Integration &amp; Process Automation</t>
        </is>
      </c>
      <c r="D490" s="1567" t="inlineStr">
        <is>
          <t>Vacant</t>
        </is>
      </c>
      <c r="E490" s="1382" t="inlineStr">
        <is>
          <t>Head of Technology - TDD &amp; Engineering Capability Lead</t>
        </is>
      </c>
      <c r="F490" s="1382" t="inlineStr">
        <is>
          <t>TDD Group Functions</t>
        </is>
      </c>
      <c r="G490" s="1567" t="inlineStr">
        <is>
          <t xml:space="preserve">TDD &amp; Engineering </t>
        </is>
      </c>
      <c r="H490" s="1382" t="inlineStr">
        <is>
          <t>Integration &amp; Process Management</t>
        </is>
      </c>
      <c r="I490" s="1382" t="inlineStr">
        <is>
          <t>TDD</t>
        </is>
      </c>
      <c r="J490" s="1567" t="inlineStr">
        <is>
          <t>TDD</t>
        </is>
      </c>
      <c r="K490" s="1567" t="inlineStr">
        <is>
          <t>Integration &amp; Process automation</t>
        </is>
      </c>
      <c r="L490" s="1567" t="n"/>
      <c r="M490" s="1568" t="inlineStr">
        <is>
          <t>NZ</t>
        </is>
      </c>
      <c r="N490" s="865" t="inlineStr">
        <is>
          <t>TDD Group Functions</t>
        </is>
      </c>
      <c r="O490" s="865" t="inlineStr">
        <is>
          <t>TDD Group Functions</t>
        </is>
      </c>
      <c r="P490" s="865" t="inlineStr">
        <is>
          <t>Integration</t>
        </is>
      </c>
      <c r="Q490" s="865" t="inlineStr">
        <is>
          <t>Squad</t>
        </is>
      </c>
      <c r="R490" s="865" t="inlineStr">
        <is>
          <t>Filled</t>
        </is>
      </c>
    </row>
    <row r="491" ht="18" customHeight="1" s="866">
      <c r="A491" s="1566" t="n">
        <v>99999101879</v>
      </c>
      <c r="B491" s="1382" t="inlineStr">
        <is>
          <t>Lisa Rademakers</t>
        </is>
      </c>
      <c r="C491" s="1382" t="inlineStr">
        <is>
          <t>Delivery Lead- Integrations</t>
        </is>
      </c>
      <c r="D491" s="1567" t="n"/>
      <c r="E491" s="865" t="inlineStr">
        <is>
          <t>Delivery Manager</t>
        </is>
      </c>
      <c r="F491" s="1382" t="inlineStr">
        <is>
          <t>TDD Group Functions</t>
        </is>
      </c>
      <c r="G491" s="1571" t="inlineStr">
        <is>
          <t>TDD &amp; Engineering</t>
        </is>
      </c>
      <c r="H491" s="1382" t="inlineStr">
        <is>
          <t>Delivery, TDD &amp; Engineering</t>
        </is>
      </c>
      <c r="I491" s="1382" t="inlineStr">
        <is>
          <t>TDD</t>
        </is>
      </c>
      <c r="J491" s="1567" t="inlineStr">
        <is>
          <t>TDD</t>
        </is>
      </c>
      <c r="K491" s="1567" t="inlineStr">
        <is>
          <t>Integration &amp; Process automation</t>
        </is>
      </c>
      <c r="L491" s="1567" t="n"/>
      <c r="M491" s="1568" t="inlineStr">
        <is>
          <t>NZ</t>
        </is>
      </c>
      <c r="N491" s="865" t="inlineStr">
        <is>
          <t>TDD Group Functions</t>
        </is>
      </c>
      <c r="O491" s="865" t="inlineStr">
        <is>
          <t>TDD Group Functions</t>
        </is>
      </c>
      <c r="P491" s="865" t="inlineStr">
        <is>
          <t>Integration</t>
        </is>
      </c>
      <c r="Q491" s="865" t="inlineStr">
        <is>
          <t>Squad</t>
        </is>
      </c>
      <c r="R491" s="865" t="inlineStr">
        <is>
          <t>Filled</t>
        </is>
      </c>
    </row>
    <row r="492" ht="18" customHeight="1" s="866">
      <c r="A492" s="1566" t="n">
        <v>99999101069</v>
      </c>
      <c r="B492" s="1571" t="inlineStr">
        <is>
          <t>Vacant</t>
        </is>
      </c>
      <c r="C492" s="1571" t="inlineStr">
        <is>
          <t>Snr Engineer</t>
        </is>
      </c>
      <c r="D492" s="1567" t="inlineStr">
        <is>
          <t>vacant</t>
        </is>
      </c>
      <c r="E492" s="1571" t="inlineStr">
        <is>
          <t>RPA Lead</t>
        </is>
      </c>
      <c r="F492" s="1382" t="inlineStr">
        <is>
          <t>TDD Group Functions</t>
        </is>
      </c>
      <c r="G492" s="1567" t="inlineStr">
        <is>
          <t xml:space="preserve">TDD &amp; Engineering </t>
        </is>
      </c>
      <c r="H492" s="1567" t="inlineStr">
        <is>
          <t>Integration &amp; Process automation</t>
        </is>
      </c>
      <c r="I492" s="1567" t="inlineStr">
        <is>
          <t>B2B &amp; Energy Solutions</t>
        </is>
      </c>
      <c r="J492" s="1567" t="inlineStr">
        <is>
          <t>Leadership</t>
        </is>
      </c>
      <c r="K492" s="1567" t="inlineStr">
        <is>
          <t>Leadership</t>
        </is>
      </c>
      <c r="L492" s="1567" t="n"/>
      <c r="M492" s="1568" t="inlineStr">
        <is>
          <t>NZ</t>
        </is>
      </c>
      <c r="N492" s="865" t="inlineStr">
        <is>
          <t>Energy Solutions &amp; B2B</t>
        </is>
      </c>
      <c r="O492" s="865" t="inlineStr">
        <is>
          <t>Leadership</t>
        </is>
      </c>
      <c r="P492" s="865" t="inlineStr">
        <is>
          <t>Leadership</t>
        </is>
      </c>
      <c r="Q492" s="865" t="inlineStr">
        <is>
          <t>Leadership</t>
        </is>
      </c>
      <c r="R492" s="865" t="inlineStr">
        <is>
          <t>Vacant</t>
        </is>
      </c>
    </row>
    <row r="493" ht="18" customHeight="1" s="866">
      <c r="A493" s="1566" t="n">
        <v>109863</v>
      </c>
      <c r="B493" s="1382" t="inlineStr">
        <is>
          <t>Shane Ker</t>
        </is>
      </c>
      <c r="C493" s="1382" t="inlineStr">
        <is>
          <t>Technology Manger - Finance Platfoms</t>
        </is>
      </c>
      <c r="D493" s="1382" t="inlineStr">
        <is>
          <t>Vaso Vukovic</t>
        </is>
      </c>
      <c r="E493" s="1382" t="inlineStr">
        <is>
          <t>Head of Technology - P&amp;C, Finance &amp; Legal</t>
        </is>
      </c>
      <c r="F493" s="1382" t="inlineStr">
        <is>
          <t>TDD Group Functions</t>
        </is>
      </c>
      <c r="G493" s="1571" t="inlineStr">
        <is>
          <t>P&amp;C, Finance &amp; Legal</t>
        </is>
      </c>
      <c r="H493" s="1567" t="inlineStr">
        <is>
          <t>Tech, Finance Platforms</t>
        </is>
      </c>
      <c r="I493" s="1567" t="inlineStr">
        <is>
          <t>Finance</t>
        </is>
      </c>
      <c r="J493" s="1567" t="inlineStr">
        <is>
          <t>Finance</t>
        </is>
      </c>
      <c r="K493" s="1567" t="inlineStr">
        <is>
          <t>Leadership</t>
        </is>
      </c>
      <c r="L493" s="1567" t="n"/>
      <c r="M493" s="1568" t="inlineStr">
        <is>
          <t>Australia</t>
        </is>
      </c>
      <c r="N493" s="865" t="inlineStr">
        <is>
          <t>Finance</t>
        </is>
      </c>
      <c r="O493" s="865" t="inlineStr">
        <is>
          <t>Leadership</t>
        </is>
      </c>
      <c r="P493" s="865" t="inlineStr">
        <is>
          <t>Leadership</t>
        </is>
      </c>
      <c r="Q493" s="865" t="inlineStr">
        <is>
          <t>Leadership</t>
        </is>
      </c>
      <c r="R493" s="865" t="inlineStr">
        <is>
          <t>Filled</t>
        </is>
      </c>
    </row>
    <row r="494" ht="18" customHeight="1" s="866">
      <c r="A494" s="1566" t="n">
        <v>106350</v>
      </c>
      <c r="B494" s="1581" t="inlineStr">
        <is>
          <t>Dave O'Keefe</t>
        </is>
      </c>
      <c r="C494" s="1571" t="inlineStr">
        <is>
          <t>Technology Manager - P&amp;C Platforms</t>
        </is>
      </c>
      <c r="D494" s="1567" t="inlineStr">
        <is>
          <t>Vacant</t>
        </is>
      </c>
      <c r="E494" s="1571" t="inlineStr">
        <is>
          <t>Head of Technology - P&amp;C, Finance &amp; Legal</t>
        </is>
      </c>
      <c r="F494" s="1382" t="inlineStr">
        <is>
          <t>TDD Group Functions</t>
        </is>
      </c>
      <c r="G494" s="1571" t="inlineStr">
        <is>
          <t>P&amp;C, Finance &amp; Legal</t>
        </is>
      </c>
      <c r="H494" s="1567" t="inlineStr">
        <is>
          <t>Tech, P&amp;C Platforms</t>
        </is>
      </c>
      <c r="I494" s="1567" t="inlineStr">
        <is>
          <t>P&amp;C</t>
        </is>
      </c>
      <c r="J494" s="1567" t="inlineStr">
        <is>
          <t>P&amp;C</t>
        </is>
      </c>
      <c r="K494" s="1567" t="inlineStr">
        <is>
          <t>Leadership</t>
        </is>
      </c>
      <c r="L494" s="1567" t="n"/>
      <c r="M494" s="1568" t="n"/>
      <c r="N494" s="865" t="inlineStr">
        <is>
          <t>P&amp;C</t>
        </is>
      </c>
      <c r="O494" s="865" t="inlineStr">
        <is>
          <t>Leadership</t>
        </is>
      </c>
      <c r="P494" s="865" t="inlineStr">
        <is>
          <t>Leadership</t>
        </is>
      </c>
      <c r="Q494" s="865" t="inlineStr">
        <is>
          <t>Leadership</t>
        </is>
      </c>
      <c r="R494" s="865" t="inlineStr">
        <is>
          <t>Filled</t>
        </is>
      </c>
    </row>
    <row r="495" ht="18" customHeight="1" s="866">
      <c r="A495" s="1566" t="n">
        <v>4818</v>
      </c>
      <c r="B495" s="1382" t="inlineStr">
        <is>
          <t>Vaso Vukovic</t>
        </is>
      </c>
      <c r="C495" s="1382" t="inlineStr">
        <is>
          <t>Head of Technology - P&amp;C, Finance &amp; Legal</t>
        </is>
      </c>
      <c r="D495" s="1571" t="inlineStr">
        <is>
          <t>Emily Mogic</t>
        </is>
      </c>
      <c r="E495" s="1382" t="inlineStr">
        <is>
          <t>GM TDD, Group Function</t>
        </is>
      </c>
      <c r="F495" s="1382" t="inlineStr">
        <is>
          <t>TDD Group Functions</t>
        </is>
      </c>
      <c r="G495" s="1571" t="inlineStr">
        <is>
          <t>P&amp;C, Finance &amp; Legal</t>
        </is>
      </c>
      <c r="H495" s="1567" t="inlineStr">
        <is>
          <t>Technology, CF Engineering</t>
        </is>
      </c>
      <c r="I495" s="1567" t="inlineStr">
        <is>
          <t>P&amp;C, Finance &amp; Legal</t>
        </is>
      </c>
      <c r="J495" s="1567" t="inlineStr">
        <is>
          <t>P&amp;C, Finance &amp; Legal</t>
        </is>
      </c>
      <c r="K495" s="1567" t="inlineStr">
        <is>
          <t>Leadership</t>
        </is>
      </c>
      <c r="L495" s="1567" t="n"/>
      <c r="M495" s="1568" t="inlineStr">
        <is>
          <t>Australia</t>
        </is>
      </c>
      <c r="N495" s="865" t="inlineStr">
        <is>
          <t>P&amp;C</t>
        </is>
      </c>
      <c r="O495" s="865" t="inlineStr">
        <is>
          <t>Leadership</t>
        </is>
      </c>
      <c r="P495" s="865" t="inlineStr">
        <is>
          <t>Leadership</t>
        </is>
      </c>
      <c r="Q495" s="865" t="inlineStr">
        <is>
          <t>Leadership</t>
        </is>
      </c>
      <c r="R495" s="865" t="inlineStr">
        <is>
          <t>Filled</t>
        </is>
      </c>
    </row>
    <row r="496" ht="18" customHeight="1" s="866">
      <c r="A496" s="1566" t="n"/>
      <c r="B496" s="1581" t="inlineStr">
        <is>
          <t>Vacant</t>
        </is>
      </c>
      <c r="C496" s="1571" t="inlineStr">
        <is>
          <t>Delivery Manager</t>
        </is>
      </c>
      <c r="D496" s="1567" t="inlineStr">
        <is>
          <t>Vacant</t>
        </is>
      </c>
      <c r="E496" s="1588" t="inlineStr">
        <is>
          <t>Head of Technology - P&amp;C, Finance &amp; Legal</t>
        </is>
      </c>
      <c r="F496" s="1382" t="inlineStr">
        <is>
          <t>TDD Group Functions</t>
        </is>
      </c>
      <c r="G496" s="1571" t="inlineStr">
        <is>
          <t>P&amp;C, Finance &amp; Legal</t>
        </is>
      </c>
      <c r="H496" s="1567" t="inlineStr">
        <is>
          <t>Delivery, Commercial Fuels</t>
        </is>
      </c>
      <c r="I496" s="1567" t="inlineStr">
        <is>
          <t>P&amp;C, Finance &amp; Legal</t>
        </is>
      </c>
      <c r="J496" s="1567" t="inlineStr">
        <is>
          <t>P&amp;C, Finance &amp; Legal</t>
        </is>
      </c>
      <c r="K496" s="1567" t="inlineStr">
        <is>
          <t>Leadership</t>
        </is>
      </c>
      <c r="L496" s="1567" t="n"/>
      <c r="M496" s="1568" t="n"/>
      <c r="N496" s="865" t="inlineStr">
        <is>
          <t>P&amp;C</t>
        </is>
      </c>
      <c r="O496" s="865" t="inlineStr">
        <is>
          <t>Leadership</t>
        </is>
      </c>
      <c r="P496" s="865" t="inlineStr">
        <is>
          <t>Leadership</t>
        </is>
      </c>
      <c r="Q496" s="865" t="inlineStr">
        <is>
          <t>Leadership</t>
        </is>
      </c>
      <c r="R496" s="865" t="inlineStr">
        <is>
          <t>Vacant</t>
        </is>
      </c>
    </row>
    <row r="497" ht="18" customHeight="1" s="866">
      <c r="A497" s="1566" t="n"/>
      <c r="B497" s="1382" t="inlineStr">
        <is>
          <t>Vacant</t>
        </is>
      </c>
      <c r="C497" s="1382" t="inlineStr">
        <is>
          <t>Head of Technology - TDD &amp; Engineering Capability Lead</t>
        </is>
      </c>
      <c r="D497" s="1571" t="inlineStr">
        <is>
          <t>Emily Mogic</t>
        </is>
      </c>
      <c r="E497" s="1382" t="inlineStr">
        <is>
          <t>GM TDD, Group Function</t>
        </is>
      </c>
      <c r="F497" s="1382" t="inlineStr">
        <is>
          <t>TDD Group Functions</t>
        </is>
      </c>
      <c r="G497" s="1567" t="inlineStr">
        <is>
          <t xml:space="preserve">TDD &amp; Engineering </t>
        </is>
      </c>
      <c r="H497" s="1567" t="inlineStr">
        <is>
          <t>na</t>
        </is>
      </c>
      <c r="I497" s="1567" t="inlineStr">
        <is>
          <t>TDD</t>
        </is>
      </c>
      <c r="J497" s="1567" t="inlineStr">
        <is>
          <t>TDD</t>
        </is>
      </c>
      <c r="K497" s="1567" t="inlineStr">
        <is>
          <t>Leadership</t>
        </is>
      </c>
      <c r="L497" s="1567" t="n"/>
      <c r="M497" s="1568" t="n"/>
      <c r="N497" s="865" t="inlineStr">
        <is>
          <t>TDD Group Functions</t>
        </is>
      </c>
      <c r="O497" s="865" t="inlineStr">
        <is>
          <t>Leadership</t>
        </is>
      </c>
      <c r="P497" s="865" t="inlineStr">
        <is>
          <t>Leadership</t>
        </is>
      </c>
      <c r="Q497" s="865" t="inlineStr">
        <is>
          <t>Leadership</t>
        </is>
      </c>
      <c r="R497" s="865" t="inlineStr">
        <is>
          <t>Vacant</t>
        </is>
      </c>
    </row>
    <row r="498" ht="18" customHeight="1" s="866">
      <c r="A498" s="1566" t="n">
        <v>99999100381</v>
      </c>
      <c r="B498" s="1382" t="inlineStr">
        <is>
          <t>Nakul Bharade</t>
        </is>
      </c>
      <c r="C498" s="1382" t="inlineStr">
        <is>
          <t>Lead Engineer Software</t>
        </is>
      </c>
      <c r="D498" s="1382" t="inlineStr">
        <is>
          <t>Mike Seales</t>
        </is>
      </c>
      <c r="E498" s="1382" t="inlineStr">
        <is>
          <t>Technology Manager Integration &amp; Process Managemetn</t>
        </is>
      </c>
      <c r="F498" s="1382" t="inlineStr">
        <is>
          <t>TDD Group Functions</t>
        </is>
      </c>
      <c r="G498" s="1567" t="inlineStr">
        <is>
          <t xml:space="preserve">TDD &amp; Engineering </t>
        </is>
      </c>
      <c r="H498" s="1382" t="inlineStr">
        <is>
          <t>Leadership</t>
        </is>
      </c>
      <c r="I498" s="1382" t="inlineStr">
        <is>
          <t>TDD</t>
        </is>
      </c>
      <c r="J498" s="1567" t="inlineStr">
        <is>
          <t>Leadership</t>
        </is>
      </c>
      <c r="K498" s="1567" t="inlineStr">
        <is>
          <t>Leadership</t>
        </is>
      </c>
      <c r="L498" s="1567" t="n"/>
      <c r="M498" s="1568" t="inlineStr">
        <is>
          <t>NZ</t>
        </is>
      </c>
      <c r="N498" s="865" t="inlineStr">
        <is>
          <t>TDD Group Functions</t>
        </is>
      </c>
      <c r="O498" s="865" t="inlineStr">
        <is>
          <t>Leadership</t>
        </is>
      </c>
      <c r="P498" s="865" t="inlineStr">
        <is>
          <t>Leadership</t>
        </is>
      </c>
      <c r="Q498" s="865" t="inlineStr">
        <is>
          <t>Leadership</t>
        </is>
      </c>
      <c r="R498" s="865" t="inlineStr">
        <is>
          <t>Filled</t>
        </is>
      </c>
    </row>
    <row r="499" ht="18" customHeight="1" s="866">
      <c r="A499" s="1566" t="n">
        <v>113017</v>
      </c>
      <c r="B499" s="1581" t="inlineStr">
        <is>
          <t>Murray Mitchell</t>
        </is>
      </c>
      <c r="C499" s="1571" t="inlineStr">
        <is>
          <t>Technology Manager, Workplace and Enterprise Tooling</t>
        </is>
      </c>
      <c r="D499" s="1567" t="inlineStr">
        <is>
          <t>Vacant</t>
        </is>
      </c>
      <c r="E499" s="1571" t="inlineStr">
        <is>
          <t>Head of Technology - TDD &amp; Engineering Capability Lead</t>
        </is>
      </c>
      <c r="F499" s="1382" t="inlineStr">
        <is>
          <t>TDD Group Functions</t>
        </is>
      </c>
      <c r="G499" s="1567" t="inlineStr">
        <is>
          <t xml:space="preserve">TDD &amp; Engineering </t>
        </is>
      </c>
      <c r="H499" s="1567" t="n"/>
      <c r="I499" s="1567" t="inlineStr">
        <is>
          <t>TDD</t>
        </is>
      </c>
      <c r="J499" s="1567" t="inlineStr">
        <is>
          <t>TDD</t>
        </is>
      </c>
      <c r="K499" s="1567" t="inlineStr">
        <is>
          <t>Leadership</t>
        </is>
      </c>
      <c r="L499" s="1567" t="n"/>
      <c r="M499" s="1568" t="n"/>
      <c r="N499" s="865" t="inlineStr">
        <is>
          <t>TDD Group Functions</t>
        </is>
      </c>
      <c r="O499" s="865" t="inlineStr">
        <is>
          <t>Leadership</t>
        </is>
      </c>
      <c r="P499" s="865" t="inlineStr">
        <is>
          <t>Leadership</t>
        </is>
      </c>
      <c r="Q499" s="865" t="inlineStr">
        <is>
          <t>Leadership</t>
        </is>
      </c>
      <c r="R499" s="865" t="inlineStr">
        <is>
          <t>Filled</t>
        </is>
      </c>
    </row>
    <row r="500" ht="18" customHeight="1" s="866">
      <c r="A500" s="1566" t="n"/>
      <c r="B500" s="1581" t="inlineStr">
        <is>
          <t>Vacant</t>
        </is>
      </c>
      <c r="C500" s="1571" t="inlineStr">
        <is>
          <t>Technology Manager - DevOps and Quality Engineering</t>
        </is>
      </c>
      <c r="D500" s="1571" t="inlineStr">
        <is>
          <t>vacant</t>
        </is>
      </c>
      <c r="E500" s="1557" t="inlineStr">
        <is>
          <t>Head of Technology- TDD &amp; Engineering Capability</t>
        </is>
      </c>
      <c r="F500" s="1382" t="inlineStr">
        <is>
          <t>TDD Group Functions</t>
        </is>
      </c>
      <c r="G500" s="1567" t="inlineStr">
        <is>
          <t>TDD &amp; Engineering</t>
        </is>
      </c>
      <c r="H500" s="1567" t="n"/>
      <c r="I500" s="1567" t="inlineStr">
        <is>
          <t>TDD</t>
        </is>
      </c>
      <c r="J500" s="1567" t="inlineStr">
        <is>
          <t>TDD</t>
        </is>
      </c>
      <c r="K500" s="1567" t="inlineStr">
        <is>
          <t>Leadership</t>
        </is>
      </c>
      <c r="L500" s="1567" t="n"/>
      <c r="M500" s="1568" t="n"/>
      <c r="N500" s="865" t="inlineStr">
        <is>
          <t>TDD Group Functions</t>
        </is>
      </c>
      <c r="O500" s="865" t="inlineStr">
        <is>
          <t>Leadership</t>
        </is>
      </c>
      <c r="P500" s="865" t="inlineStr">
        <is>
          <t>Leadership</t>
        </is>
      </c>
      <c r="Q500" s="865" t="inlineStr">
        <is>
          <t>Leadership</t>
        </is>
      </c>
      <c r="R500" s="865" t="inlineStr">
        <is>
          <t>Vacant</t>
        </is>
      </c>
    </row>
    <row r="501" ht="18" customHeight="1" s="866">
      <c r="A501" s="1566" t="n"/>
      <c r="B501" s="1581" t="inlineStr">
        <is>
          <t>Vacant</t>
        </is>
      </c>
      <c r="C501" s="1571" t="inlineStr">
        <is>
          <t>Delivery Manager</t>
        </is>
      </c>
      <c r="D501" s="1567" t="inlineStr">
        <is>
          <t>vacant</t>
        </is>
      </c>
      <c r="E501" s="1571" t="inlineStr">
        <is>
          <t>Head of Technology - TDD &amp; Engineering Capability Lead</t>
        </is>
      </c>
      <c r="F501" s="1382" t="inlineStr">
        <is>
          <t>TDD Group Functions</t>
        </is>
      </c>
      <c r="G501" s="1567" t="inlineStr">
        <is>
          <t xml:space="preserve">TDD &amp; Engineering </t>
        </is>
      </c>
      <c r="H501" s="1567" t="n"/>
      <c r="I501" s="1567" t="inlineStr">
        <is>
          <t>TDD</t>
        </is>
      </c>
      <c r="J501" s="1567" t="inlineStr">
        <is>
          <t>TDD</t>
        </is>
      </c>
      <c r="K501" s="1567" t="inlineStr">
        <is>
          <t>Leadership</t>
        </is>
      </c>
      <c r="L501" s="1567" t="n"/>
      <c r="M501" s="1568" t="n"/>
      <c r="N501" s="865" t="inlineStr">
        <is>
          <t>TDD Group Functions</t>
        </is>
      </c>
      <c r="O501" s="865" t="inlineStr">
        <is>
          <t>Leadership</t>
        </is>
      </c>
      <c r="P501" s="865" t="inlineStr">
        <is>
          <t>Leadership</t>
        </is>
      </c>
      <c r="Q501" s="865" t="inlineStr">
        <is>
          <t>Leadership</t>
        </is>
      </c>
      <c r="R501" s="865" t="inlineStr">
        <is>
          <t>Vacant</t>
        </is>
      </c>
    </row>
    <row r="502" ht="18" customHeight="1" s="866">
      <c r="A502" s="1566" t="n"/>
      <c r="B502" s="1581" t="inlineStr">
        <is>
          <t>Vacant</t>
        </is>
      </c>
      <c r="C502" s="1571" t="inlineStr">
        <is>
          <t>Technology Manager - Cloud, Network and Infrastructure Operations</t>
        </is>
      </c>
      <c r="D502" s="1571" t="inlineStr">
        <is>
          <t>vacant</t>
        </is>
      </c>
      <c r="E502" s="1567" t="inlineStr">
        <is>
          <t>Head of Technology - TDD &amp; Engineering Capability Lead</t>
        </is>
      </c>
      <c r="F502" s="1382" t="inlineStr">
        <is>
          <t>TDD Group Functions</t>
        </is>
      </c>
      <c r="G502" s="1567" t="inlineStr">
        <is>
          <t>TDD &amp; Engineering</t>
        </is>
      </c>
      <c r="H502" s="1567" t="inlineStr">
        <is>
          <t>Cloud Network &amp; Infra Ops</t>
        </is>
      </c>
      <c r="I502" s="1567" t="inlineStr">
        <is>
          <t>TDD</t>
        </is>
      </c>
      <c r="J502" s="1567" t="inlineStr">
        <is>
          <t>TDD</t>
        </is>
      </c>
      <c r="K502" s="1567" t="inlineStr">
        <is>
          <t>Leadership</t>
        </is>
      </c>
      <c r="L502" s="1567" t="n"/>
      <c r="M502" s="1568" t="n"/>
      <c r="N502" s="865" t="inlineStr">
        <is>
          <t>TDD Group Functions</t>
        </is>
      </c>
      <c r="O502" s="865" t="inlineStr">
        <is>
          <t>Leadership</t>
        </is>
      </c>
      <c r="P502" s="865" t="inlineStr">
        <is>
          <t>Leadership</t>
        </is>
      </c>
      <c r="Q502" s="865" t="inlineStr">
        <is>
          <t>Leadership</t>
        </is>
      </c>
      <c r="R502" s="865" t="inlineStr">
        <is>
          <t>Vacant</t>
        </is>
      </c>
    </row>
    <row r="503" ht="18" customHeight="1" s="866">
      <c r="A503" s="1566" t="n">
        <v>114573</v>
      </c>
      <c r="B503" s="1571" t="inlineStr">
        <is>
          <t>Vacant</t>
        </is>
      </c>
      <c r="C503" s="1571" t="inlineStr">
        <is>
          <t>Snr Engineer</t>
        </is>
      </c>
      <c r="D503" s="1567" t="inlineStr">
        <is>
          <t>vacant</t>
        </is>
      </c>
      <c r="E503" s="1571" t="inlineStr">
        <is>
          <t>RPA Lead</t>
        </is>
      </c>
      <c r="F503" s="1382" t="inlineStr">
        <is>
          <t>TDD Group Functions</t>
        </is>
      </c>
      <c r="G503" s="1567" t="inlineStr">
        <is>
          <t xml:space="preserve">TDD &amp; Engineering </t>
        </is>
      </c>
      <c r="H503" s="1567" t="inlineStr">
        <is>
          <t>Technology, T&amp;S Data</t>
        </is>
      </c>
      <c r="I503" s="1382" t="inlineStr">
        <is>
          <t>TDD</t>
        </is>
      </c>
      <c r="J503" s="1567" t="inlineStr">
        <is>
          <t>Leadership</t>
        </is>
      </c>
      <c r="K503" s="1567" t="inlineStr">
        <is>
          <t>Leadership</t>
        </is>
      </c>
      <c r="L503" s="1567" t="n"/>
      <c r="M503" s="1568" t="inlineStr">
        <is>
          <t>Australia</t>
        </is>
      </c>
      <c r="N503" s="865" t="inlineStr">
        <is>
          <t>TDD Group Functions</t>
        </is>
      </c>
      <c r="O503" s="865" t="inlineStr">
        <is>
          <t>Leadership</t>
        </is>
      </c>
      <c r="P503" s="865" t="inlineStr">
        <is>
          <t>Leadership</t>
        </is>
      </c>
      <c r="Q503" s="865" t="inlineStr">
        <is>
          <t>Leadership</t>
        </is>
      </c>
      <c r="R503" s="865" t="inlineStr">
        <is>
          <t>Vacant</t>
        </is>
      </c>
    </row>
    <row r="504" ht="18" customHeight="1" s="866">
      <c r="A504" s="1566" t="n">
        <v>99999170438</v>
      </c>
      <c r="B504" s="1581" t="inlineStr">
        <is>
          <t>Leilanie Avilla</t>
        </is>
      </c>
      <c r="C504" s="1571" t="inlineStr">
        <is>
          <t>JDE Systems Specialist</t>
        </is>
      </c>
      <c r="D504" s="1567" t="inlineStr">
        <is>
          <t>Lydia Pritchard</t>
        </is>
      </c>
      <c r="E504" s="1571" t="inlineStr">
        <is>
          <t>Lead JDE System Specialist</t>
        </is>
      </c>
      <c r="F504" s="1382" t="inlineStr">
        <is>
          <t>TDD Group Functions</t>
        </is>
      </c>
      <c r="G504" s="1571" t="inlineStr">
        <is>
          <t>P&amp;C, Finance &amp; Legal</t>
        </is>
      </c>
      <c r="H504" s="1567" t="inlineStr">
        <is>
          <t>Tech, Finance Platforms</t>
        </is>
      </c>
      <c r="I504" s="1567" t="inlineStr">
        <is>
          <t>Finance</t>
        </is>
      </c>
      <c r="J504" s="1567" t="inlineStr">
        <is>
          <t>NZ Finance</t>
        </is>
      </c>
      <c r="K504" s="1567" t="inlineStr">
        <is>
          <t>NZ Finance</t>
        </is>
      </c>
      <c r="L504" s="1567" t="n"/>
      <c r="M504" s="1568" t="inlineStr">
        <is>
          <t>NZ</t>
        </is>
      </c>
      <c r="N504" s="865" t="inlineStr">
        <is>
          <t>Finance</t>
        </is>
      </c>
      <c r="O504" s="865" t="inlineStr">
        <is>
          <t>NZ Finance</t>
        </is>
      </c>
      <c r="P504" s="865" t="inlineStr">
        <is>
          <t>NZ Finance</t>
        </is>
      </c>
      <c r="Q504" s="865" t="inlineStr">
        <is>
          <t>Squad</t>
        </is>
      </c>
      <c r="R504" s="865" t="inlineStr">
        <is>
          <t>Filled</t>
        </is>
      </c>
    </row>
    <row r="505" ht="18" customHeight="1" s="866">
      <c r="A505" s="1566" t="n">
        <v>113562</v>
      </c>
      <c r="B505" s="1581" t="inlineStr">
        <is>
          <t>Kamal Patel</t>
        </is>
      </c>
      <c r="C505" s="1571" t="inlineStr">
        <is>
          <t>JDE Senior Systems Specialist</t>
        </is>
      </c>
      <c r="D505" s="1567" t="inlineStr">
        <is>
          <t>Lydia Pritchard</t>
        </is>
      </c>
      <c r="E505" s="1571" t="inlineStr">
        <is>
          <t>Lead JDE System Specialist</t>
        </is>
      </c>
      <c r="F505" s="1382" t="inlineStr">
        <is>
          <t>TDD Group Functions</t>
        </is>
      </c>
      <c r="G505" s="1571" t="inlineStr">
        <is>
          <t>P&amp;C, Finance &amp; Legal</t>
        </is>
      </c>
      <c r="H505" s="1567" t="inlineStr">
        <is>
          <t>Tech, Finance Platforms</t>
        </is>
      </c>
      <c r="I505" s="1567" t="inlineStr">
        <is>
          <t>Finance</t>
        </is>
      </c>
      <c r="J505" s="1567" t="inlineStr">
        <is>
          <t>NZ Finance</t>
        </is>
      </c>
      <c r="K505" s="1567" t="inlineStr">
        <is>
          <t>NZ Finance</t>
        </is>
      </c>
      <c r="L505" s="1567" t="n"/>
      <c r="M505" s="1568" t="n"/>
      <c r="N505" s="865" t="inlineStr">
        <is>
          <t>Finance</t>
        </is>
      </c>
      <c r="O505" s="865" t="inlineStr">
        <is>
          <t>NZ Finance</t>
        </is>
      </c>
      <c r="P505" s="865" t="inlineStr">
        <is>
          <t>NZ Finance</t>
        </is>
      </c>
      <c r="Q505" s="865" t="inlineStr">
        <is>
          <t>Squad</t>
        </is>
      </c>
      <c r="R505" s="865" t="inlineStr">
        <is>
          <t>Filled</t>
        </is>
      </c>
    </row>
    <row r="506" ht="18" customHeight="1" s="866">
      <c r="A506" s="1566" t="n">
        <v>113587</v>
      </c>
      <c r="B506" s="1581" t="inlineStr">
        <is>
          <t>Martyn Rudduck</t>
        </is>
      </c>
      <c r="C506" s="1571" t="inlineStr">
        <is>
          <t>JDE Senior Systems Specialist</t>
        </is>
      </c>
      <c r="D506" s="1567" t="inlineStr">
        <is>
          <t>Lydia Pritchard</t>
        </is>
      </c>
      <c r="E506" s="1571" t="inlineStr">
        <is>
          <t>Lead JDE System Specialist</t>
        </is>
      </c>
      <c r="F506" s="1382" t="inlineStr">
        <is>
          <t>TDD Group Functions</t>
        </is>
      </c>
      <c r="G506" s="1571" t="inlineStr">
        <is>
          <t>P&amp;C, Finance &amp; Legal</t>
        </is>
      </c>
      <c r="H506" s="1567" t="inlineStr">
        <is>
          <t>Tech, Finance Platforms</t>
        </is>
      </c>
      <c r="I506" s="1567" t="inlineStr">
        <is>
          <t>Finance</t>
        </is>
      </c>
      <c r="J506" s="1567" t="inlineStr">
        <is>
          <t>NZ Finance</t>
        </is>
      </c>
      <c r="K506" s="1567" t="inlineStr">
        <is>
          <t>NZ Finance</t>
        </is>
      </c>
      <c r="L506" s="1567" t="n"/>
      <c r="M506" s="1568" t="n"/>
      <c r="N506" s="865" t="inlineStr">
        <is>
          <t>Finance</t>
        </is>
      </c>
      <c r="O506" s="865" t="inlineStr">
        <is>
          <t>NZ Finance</t>
        </is>
      </c>
      <c r="P506" s="865" t="inlineStr">
        <is>
          <t>NZ Finance</t>
        </is>
      </c>
      <c r="Q506" s="865" t="inlineStr">
        <is>
          <t>Squad</t>
        </is>
      </c>
      <c r="R506" s="865" t="inlineStr">
        <is>
          <t>Filled</t>
        </is>
      </c>
    </row>
    <row r="507" ht="18" customHeight="1" s="866">
      <c r="A507" s="1566" t="n">
        <v>99999100336</v>
      </c>
      <c r="B507" s="1382" t="inlineStr">
        <is>
          <t>Lydia Pritchard</t>
        </is>
      </c>
      <c r="C507" s="1382" t="inlineStr">
        <is>
          <t>Lead JDE Systems Specialist</t>
        </is>
      </c>
      <c r="D507" s="1382" t="inlineStr">
        <is>
          <t>Shane Ker</t>
        </is>
      </c>
      <c r="E507" s="1382" t="inlineStr">
        <is>
          <t>Technology Manager Finance Platforms</t>
        </is>
      </c>
      <c r="F507" s="1382" t="inlineStr">
        <is>
          <t>TDD Group Functions</t>
        </is>
      </c>
      <c r="G507" s="1571" t="inlineStr">
        <is>
          <t>P&amp;C, Finance &amp; Legal</t>
        </is>
      </c>
      <c r="H507" s="1567" t="inlineStr">
        <is>
          <t>Tech, Finance Platforms</t>
        </is>
      </c>
      <c r="I507" s="1567" t="inlineStr">
        <is>
          <t>Finance</t>
        </is>
      </c>
      <c r="J507" s="1567" t="inlineStr">
        <is>
          <t>NZ Finance</t>
        </is>
      </c>
      <c r="K507" s="1567" t="inlineStr">
        <is>
          <t>NZ Finance</t>
        </is>
      </c>
      <c r="L507" s="1567" t="n"/>
      <c r="M507" s="1568" t="inlineStr">
        <is>
          <t>NZ</t>
        </is>
      </c>
      <c r="N507" s="865" t="inlineStr">
        <is>
          <t>Finance</t>
        </is>
      </c>
      <c r="O507" s="865" t="inlineStr">
        <is>
          <t>NZ Finance</t>
        </is>
      </c>
      <c r="P507" s="865" t="inlineStr">
        <is>
          <t>NZ Finance</t>
        </is>
      </c>
      <c r="Q507" s="865" t="inlineStr">
        <is>
          <t>Squad</t>
        </is>
      </c>
      <c r="R507" s="865" t="inlineStr">
        <is>
          <t>Filled</t>
        </is>
      </c>
    </row>
    <row r="508" ht="18" customHeight="1" s="866">
      <c r="A508" s="1566" t="n"/>
      <c r="B508" s="1581" t="inlineStr">
        <is>
          <t>Vacant</t>
        </is>
      </c>
      <c r="C508" s="1571" t="inlineStr">
        <is>
          <t>Delivery Lead (JDE)</t>
        </is>
      </c>
      <c r="D508" s="1567" t="inlineStr">
        <is>
          <t>Vacant</t>
        </is>
      </c>
      <c r="E508" s="1571" t="inlineStr">
        <is>
          <t>Delivery Manager, P&amp;C, Finance &amp; Legal</t>
        </is>
      </c>
      <c r="F508" s="1382" t="inlineStr">
        <is>
          <t>TDD Group Functions</t>
        </is>
      </c>
      <c r="G508" s="1571" t="inlineStr">
        <is>
          <t>P&amp;C, Finance &amp; Legal</t>
        </is>
      </c>
      <c r="H508" s="1567" t="inlineStr">
        <is>
          <t>Delivery, P&amp;C, Finance &amp; Legal</t>
        </is>
      </c>
      <c r="I508" s="1567" t="inlineStr">
        <is>
          <t>Finance</t>
        </is>
      </c>
      <c r="J508" s="1567" t="inlineStr">
        <is>
          <t>NZ Finance</t>
        </is>
      </c>
      <c r="K508" s="1567" t="inlineStr">
        <is>
          <t>NZ Finance</t>
        </is>
      </c>
      <c r="L508" s="1567" t="n"/>
      <c r="M508" s="1568" t="n"/>
      <c r="N508" s="865" t="inlineStr">
        <is>
          <t>Finance</t>
        </is>
      </c>
      <c r="O508" s="865" t="inlineStr">
        <is>
          <t>NZ Finance</t>
        </is>
      </c>
      <c r="P508" s="865" t="inlineStr">
        <is>
          <t>NZ Finance</t>
        </is>
      </c>
      <c r="Q508" s="865" t="inlineStr">
        <is>
          <t>Squad</t>
        </is>
      </c>
      <c r="R508" s="865" t="inlineStr">
        <is>
          <t>Vacant</t>
        </is>
      </c>
    </row>
    <row r="509" ht="18" customHeight="1" s="866">
      <c r="A509" s="1566" t="n">
        <v>83003</v>
      </c>
      <c r="B509" s="1382" t="inlineStr">
        <is>
          <t>Grace Hadiwijaya</t>
        </is>
      </c>
      <c r="C509" s="1382" t="inlineStr">
        <is>
          <t>Lead P&amp;C Platforms</t>
        </is>
      </c>
      <c r="D509" s="1567" t="inlineStr">
        <is>
          <t>Vacant</t>
        </is>
      </c>
      <c r="E509" s="1382" t="inlineStr">
        <is>
          <t>Technology Manager P&amp;C Platforms</t>
        </is>
      </c>
      <c r="F509" s="1382" t="inlineStr">
        <is>
          <t>TDD Group Functions</t>
        </is>
      </c>
      <c r="G509" s="1571" t="inlineStr">
        <is>
          <t>Loyalty &amp; Martech</t>
        </is>
      </c>
      <c r="H509" s="1567" t="inlineStr">
        <is>
          <t>Tech, P&amp;C Platforms</t>
        </is>
      </c>
      <c r="I509" s="1567" t="inlineStr">
        <is>
          <t>P&amp;C</t>
        </is>
      </c>
      <c r="J509" s="1567" t="inlineStr">
        <is>
          <t>P&amp;C</t>
        </is>
      </c>
      <c r="K509" s="1567" t="inlineStr">
        <is>
          <t>P&amp;C</t>
        </is>
      </c>
      <c r="L509" s="1567" t="n"/>
      <c r="M509" s="1568" t="inlineStr">
        <is>
          <t>Australia</t>
        </is>
      </c>
      <c r="N509" s="865" t="inlineStr">
        <is>
          <t>P&amp;C</t>
        </is>
      </c>
      <c r="O509" s="865" t="inlineStr">
        <is>
          <t>P&amp;C</t>
        </is>
      </c>
      <c r="P509" s="865" t="inlineStr">
        <is>
          <t>P&amp;C</t>
        </is>
      </c>
      <c r="Q509" s="865" t="inlineStr">
        <is>
          <t>Squad</t>
        </is>
      </c>
      <c r="R509" s="865" t="inlineStr">
        <is>
          <t>Filled</t>
        </is>
      </c>
    </row>
    <row r="510" ht="18" customHeight="1" s="866">
      <c r="A510" s="1566" t="n"/>
      <c r="B510" s="1581" t="inlineStr">
        <is>
          <t>Vacant</t>
        </is>
      </c>
      <c r="C510" s="1571" t="inlineStr">
        <is>
          <t>Quality Assurance</t>
        </is>
      </c>
      <c r="D510" s="1567" t="inlineStr">
        <is>
          <t>Vacant</t>
        </is>
      </c>
      <c r="E510" s="1382" t="inlineStr">
        <is>
          <t>Technology Manager P&amp;C Platforms</t>
        </is>
      </c>
      <c r="F510" s="1382" t="inlineStr">
        <is>
          <t>TDD Group Functions</t>
        </is>
      </c>
      <c r="G510" s="1571" t="inlineStr">
        <is>
          <t>P&amp;C, Finance &amp; Legal</t>
        </is>
      </c>
      <c r="H510" s="1567" t="inlineStr">
        <is>
          <t>Tech, P&amp;C Platforms</t>
        </is>
      </c>
      <c r="I510" s="1567" t="inlineStr">
        <is>
          <t>P&amp;C</t>
        </is>
      </c>
      <c r="J510" s="1567" t="inlineStr">
        <is>
          <t>P&amp;C</t>
        </is>
      </c>
      <c r="K510" s="1567" t="inlineStr">
        <is>
          <t>P&amp;C</t>
        </is>
      </c>
      <c r="L510" s="1567" t="n"/>
      <c r="M510" s="1568" t="n"/>
      <c r="N510" s="865" t="inlineStr">
        <is>
          <t>P&amp;C</t>
        </is>
      </c>
      <c r="O510" s="865" t="inlineStr">
        <is>
          <t>P&amp;C</t>
        </is>
      </c>
      <c r="P510" s="865" t="inlineStr">
        <is>
          <t>P&amp;C</t>
        </is>
      </c>
      <c r="Q510" s="865" t="inlineStr">
        <is>
          <t>Squad</t>
        </is>
      </c>
      <c r="R510" s="865" t="inlineStr">
        <is>
          <t>Vacant</t>
        </is>
      </c>
    </row>
    <row r="511" ht="18" customHeight="1" s="866">
      <c r="A511" s="1566" t="n">
        <v>93476</v>
      </c>
      <c r="B511" s="1382" t="inlineStr">
        <is>
          <t>Prerna Sharma</t>
        </is>
      </c>
      <c r="C511" s="1382" t="inlineStr">
        <is>
          <t>SAP HR Specialist</t>
        </is>
      </c>
      <c r="D511" s="1567" t="inlineStr">
        <is>
          <t>Vacant</t>
        </is>
      </c>
      <c r="E511" s="1382" t="inlineStr">
        <is>
          <t>Technology Manager P&amp;C Platforms</t>
        </is>
      </c>
      <c r="F511" s="1382" t="inlineStr">
        <is>
          <t>TDD Group Functions</t>
        </is>
      </c>
      <c r="G511" s="1571" t="inlineStr">
        <is>
          <t>P&amp;C, Finance &amp; Legal</t>
        </is>
      </c>
      <c r="H511" s="1567" t="inlineStr">
        <is>
          <t>Tech, P&amp;C Platforms</t>
        </is>
      </c>
      <c r="I511" s="1567" t="inlineStr">
        <is>
          <t>P&amp;C</t>
        </is>
      </c>
      <c r="J511" s="1567" t="inlineStr">
        <is>
          <t>P&amp;C</t>
        </is>
      </c>
      <c r="K511" s="1567" t="inlineStr">
        <is>
          <t>P&amp;C</t>
        </is>
      </c>
      <c r="L511" s="1567" t="n"/>
      <c r="M511" s="1568" t="inlineStr">
        <is>
          <t>Australia</t>
        </is>
      </c>
      <c r="N511" s="865" t="inlineStr">
        <is>
          <t>P&amp;C</t>
        </is>
      </c>
      <c r="O511" s="865" t="inlineStr">
        <is>
          <t>P&amp;C</t>
        </is>
      </c>
      <c r="P511" s="865" t="inlineStr">
        <is>
          <t>P&amp;C</t>
        </is>
      </c>
      <c r="Q511" s="865" t="inlineStr">
        <is>
          <t>Squad</t>
        </is>
      </c>
      <c r="R511" s="865" t="inlineStr">
        <is>
          <t>Filled</t>
        </is>
      </c>
    </row>
    <row r="512" ht="18" customHeight="1" s="866">
      <c r="A512" s="1566" t="n"/>
      <c r="B512" s="1581" t="inlineStr">
        <is>
          <t>Vacant</t>
        </is>
      </c>
      <c r="C512" s="1571" t="inlineStr">
        <is>
          <t>Engineer</t>
        </is>
      </c>
      <c r="D512" s="1567" t="inlineStr">
        <is>
          <t>vacant</t>
        </is>
      </c>
      <c r="E512" s="1382" t="inlineStr">
        <is>
          <t>Technology Manager P&amp;C Platforms</t>
        </is>
      </c>
      <c r="F512" s="1382" t="inlineStr">
        <is>
          <t>TDD Group Functions</t>
        </is>
      </c>
      <c r="G512" s="1571" t="inlineStr">
        <is>
          <t>P&amp;C, Finance &amp; Legal</t>
        </is>
      </c>
      <c r="H512" s="1567" t="inlineStr">
        <is>
          <t>Tech, P&amp;C Platforms</t>
        </is>
      </c>
      <c r="I512" s="1567" t="inlineStr">
        <is>
          <t>P&amp;C</t>
        </is>
      </c>
      <c r="J512" s="1567" t="inlineStr">
        <is>
          <t>P&amp;C</t>
        </is>
      </c>
      <c r="K512" s="1567" t="inlineStr">
        <is>
          <t>P&amp;C</t>
        </is>
      </c>
      <c r="L512" s="1567" t="n"/>
      <c r="M512" s="1568" t="n"/>
      <c r="N512" s="865" t="inlineStr">
        <is>
          <t>P&amp;C</t>
        </is>
      </c>
      <c r="O512" s="865" t="inlineStr">
        <is>
          <t>P&amp;C</t>
        </is>
      </c>
      <c r="P512" s="865" t="inlineStr">
        <is>
          <t>P&amp;C</t>
        </is>
      </c>
      <c r="Q512" s="865" t="inlineStr">
        <is>
          <t>Squad</t>
        </is>
      </c>
      <c r="R512" s="865" t="inlineStr">
        <is>
          <t>Vacant</t>
        </is>
      </c>
    </row>
    <row r="513" ht="18" customHeight="1" s="866">
      <c r="A513" s="1566" t="n">
        <v>108123</v>
      </c>
      <c r="B513" s="1382" t="inlineStr">
        <is>
          <t>Maadhu Suresh</t>
        </is>
      </c>
      <c r="C513" s="1382" t="inlineStr">
        <is>
          <t>Solution Architect</t>
        </is>
      </c>
      <c r="D513" s="1567" t="inlineStr">
        <is>
          <t>Vacant</t>
        </is>
      </c>
      <c r="E513" s="1382" t="inlineStr">
        <is>
          <t>Technology Manager P&amp;C Platforms</t>
        </is>
      </c>
      <c r="F513" s="1382" t="inlineStr">
        <is>
          <t>TDD Group Functions</t>
        </is>
      </c>
      <c r="G513" s="1571" t="inlineStr">
        <is>
          <t>P&amp;C, Finance &amp; Legal</t>
        </is>
      </c>
      <c r="H513" s="1567" t="inlineStr">
        <is>
          <t>Tech, P&amp;C Platforms</t>
        </is>
      </c>
      <c r="I513" s="1567" t="inlineStr">
        <is>
          <t>P&amp;C</t>
        </is>
      </c>
      <c r="J513" s="1567" t="inlineStr">
        <is>
          <t>P&amp;C</t>
        </is>
      </c>
      <c r="K513" s="1567" t="inlineStr">
        <is>
          <t>P&amp;C</t>
        </is>
      </c>
      <c r="L513" s="1567" t="n"/>
      <c r="M513" s="1568" t="inlineStr">
        <is>
          <t>Australia</t>
        </is>
      </c>
      <c r="N513" s="865" t="inlineStr">
        <is>
          <t>P&amp;C</t>
        </is>
      </c>
      <c r="O513" s="865" t="inlineStr">
        <is>
          <t>P&amp;C</t>
        </is>
      </c>
      <c r="P513" s="865" t="inlineStr">
        <is>
          <t>P&amp;C</t>
        </is>
      </c>
      <c r="Q513" s="865" t="inlineStr">
        <is>
          <t>Squad</t>
        </is>
      </c>
      <c r="R513" s="865" t="inlineStr">
        <is>
          <t>Filled</t>
        </is>
      </c>
    </row>
    <row r="514" ht="18" customHeight="1" s="866">
      <c r="A514" s="1566" t="n">
        <v>99999101403</v>
      </c>
      <c r="B514" s="1382" t="inlineStr">
        <is>
          <t>Michael Pollock</t>
        </is>
      </c>
      <c r="C514" s="1382" t="inlineStr">
        <is>
          <t>Lead Business Analyst</t>
        </is>
      </c>
      <c r="D514" s="1567" t="inlineStr">
        <is>
          <t>Vacant</t>
        </is>
      </c>
      <c r="E514" s="1571" t="inlineStr">
        <is>
          <t>Delivery Manager, P&amp;C, Finance &amp; Legal</t>
        </is>
      </c>
      <c r="F514" s="1382" t="inlineStr">
        <is>
          <t>TDD Group Functions</t>
        </is>
      </c>
      <c r="G514" s="1571" t="inlineStr">
        <is>
          <t>Loyalty &amp; Martech</t>
        </is>
      </c>
      <c r="H514" s="1567" t="inlineStr">
        <is>
          <t>Delivery, P&amp;C, Finance &amp; Legal</t>
        </is>
      </c>
      <c r="I514" s="1567" t="inlineStr">
        <is>
          <t>P&amp;C</t>
        </is>
      </c>
      <c r="J514" s="1567" t="inlineStr">
        <is>
          <t>P&amp;C</t>
        </is>
      </c>
      <c r="K514" s="1567" t="inlineStr">
        <is>
          <t>P&amp;C</t>
        </is>
      </c>
      <c r="L514" s="1567" t="n"/>
      <c r="M514" s="1568" t="inlineStr">
        <is>
          <t>NZ</t>
        </is>
      </c>
      <c r="N514" s="865" t="inlineStr">
        <is>
          <t>P&amp;C</t>
        </is>
      </c>
      <c r="O514" s="865" t="inlineStr">
        <is>
          <t>P&amp;C</t>
        </is>
      </c>
      <c r="P514" s="865" t="inlineStr">
        <is>
          <t>P&amp;C</t>
        </is>
      </c>
      <c r="Q514" s="865" t="inlineStr">
        <is>
          <t>Squad</t>
        </is>
      </c>
      <c r="R514" s="865" t="inlineStr">
        <is>
          <t>Filled</t>
        </is>
      </c>
    </row>
    <row r="515" ht="18" customHeight="1" s="866">
      <c r="A515" s="1566" t="n"/>
      <c r="B515" s="1581" t="inlineStr">
        <is>
          <t>Vacant</t>
        </is>
      </c>
      <c r="C515" s="1571" t="inlineStr">
        <is>
          <t>Engineer</t>
        </is>
      </c>
      <c r="D515" s="1567" t="inlineStr">
        <is>
          <t>vacant</t>
        </is>
      </c>
      <c r="E515" s="1382" t="inlineStr">
        <is>
          <t>Technology Manager P&amp;C Platforms</t>
        </is>
      </c>
      <c r="F515" s="1382" t="inlineStr">
        <is>
          <t>TDD Group Functions</t>
        </is>
      </c>
      <c r="G515" s="1571" t="inlineStr">
        <is>
          <t>P&amp;C, Finance &amp; Legal</t>
        </is>
      </c>
      <c r="H515" s="1567" t="inlineStr">
        <is>
          <t>Tech, P&amp;C Platforms</t>
        </is>
      </c>
      <c r="I515" s="1567" t="inlineStr">
        <is>
          <t>P&amp;C</t>
        </is>
      </c>
      <c r="J515" s="1567" t="inlineStr">
        <is>
          <t>P&amp;C</t>
        </is>
      </c>
      <c r="K515" s="1567" t="inlineStr">
        <is>
          <t>P&amp;C</t>
        </is>
      </c>
      <c r="L515" s="1567" t="n"/>
      <c r="M515" s="1568" t="n"/>
      <c r="N515" s="865" t="inlineStr">
        <is>
          <t>P&amp;C</t>
        </is>
      </c>
      <c r="O515" s="865" t="inlineStr">
        <is>
          <t>P&amp;C</t>
        </is>
      </c>
      <c r="P515" s="865" t="inlineStr">
        <is>
          <t>P&amp;C</t>
        </is>
      </c>
      <c r="Q515" s="865" t="inlineStr">
        <is>
          <t>Squad</t>
        </is>
      </c>
      <c r="R515" s="865" t="inlineStr">
        <is>
          <t>Vacant</t>
        </is>
      </c>
    </row>
    <row r="516" ht="18" customHeight="1" s="866">
      <c r="A516" s="1566" t="n">
        <v>99876</v>
      </c>
      <c r="B516" s="1571" t="inlineStr">
        <is>
          <t>Thai Pung</t>
        </is>
      </c>
      <c r="C516" s="1571" t="inlineStr">
        <is>
          <t>Delivery Lead - (P&amp;C)</t>
        </is>
      </c>
      <c r="D516" s="1571" t="inlineStr">
        <is>
          <t>vacant</t>
        </is>
      </c>
      <c r="E516" s="1571" t="inlineStr">
        <is>
          <t>Delivery Manager, P&amp;C, Finance &amp; Legal</t>
        </is>
      </c>
      <c r="F516" s="1382" t="inlineStr">
        <is>
          <t>TDD Group Functions</t>
        </is>
      </c>
      <c r="G516" s="1571" t="inlineStr">
        <is>
          <t>P&amp;C, Finance &amp; Legal</t>
        </is>
      </c>
      <c r="H516" s="1567" t="inlineStr">
        <is>
          <t>Delivery, P&amp;C, Finance &amp; Legal</t>
        </is>
      </c>
      <c r="I516" s="1567" t="inlineStr">
        <is>
          <t>P&amp;C</t>
        </is>
      </c>
      <c r="J516" s="1567" t="inlineStr">
        <is>
          <t>P&amp;C</t>
        </is>
      </c>
      <c r="K516" s="1567" t="inlineStr">
        <is>
          <t>P&amp;C</t>
        </is>
      </c>
      <c r="L516" s="1567" t="n"/>
      <c r="M516" s="1568" t="inlineStr">
        <is>
          <t>Australia</t>
        </is>
      </c>
      <c r="N516" s="865" t="inlineStr">
        <is>
          <t>P&amp;C</t>
        </is>
      </c>
      <c r="O516" s="865" t="inlineStr">
        <is>
          <t>P&amp;C</t>
        </is>
      </c>
      <c r="P516" s="865" t="inlineStr">
        <is>
          <t>P&amp;C</t>
        </is>
      </c>
      <c r="Q516" s="865" t="inlineStr">
        <is>
          <t>Squad</t>
        </is>
      </c>
      <c r="R516" s="865" t="inlineStr">
        <is>
          <t>Filled</t>
        </is>
      </c>
    </row>
    <row r="517" ht="18" customHeight="1" s="866">
      <c r="A517" s="1566" t="n"/>
      <c r="B517" s="1581" t="inlineStr">
        <is>
          <t>Vacant</t>
        </is>
      </c>
      <c r="C517" s="1571" t="inlineStr">
        <is>
          <t>Systems Specialist</t>
        </is>
      </c>
      <c r="D517" s="1567" t="inlineStr">
        <is>
          <t>Vacant</t>
        </is>
      </c>
      <c r="E517" s="1382" t="inlineStr">
        <is>
          <t>Technology Manager P&amp;C Platforms</t>
        </is>
      </c>
      <c r="F517" s="1382" t="inlineStr">
        <is>
          <t>TDD Group Functions</t>
        </is>
      </c>
      <c r="G517" s="1571" t="inlineStr">
        <is>
          <t>P&amp;C, Finance &amp; Legal</t>
        </is>
      </c>
      <c r="H517" s="1567" t="inlineStr">
        <is>
          <t>Tech, P&amp;C Platforms</t>
        </is>
      </c>
      <c r="I517" s="1567" t="inlineStr">
        <is>
          <t>P&amp;C</t>
        </is>
      </c>
      <c r="J517" s="1567" t="inlineStr">
        <is>
          <t>P&amp;C</t>
        </is>
      </c>
      <c r="K517" s="1567" t="inlineStr">
        <is>
          <t>P&amp;C RTA</t>
        </is>
      </c>
      <c r="L517" s="1567" t="n"/>
      <c r="M517" s="1568" t="n"/>
      <c r="N517" s="865" t="inlineStr">
        <is>
          <t>P&amp;C</t>
        </is>
      </c>
      <c r="O517" s="865" t="inlineStr">
        <is>
          <t>P&amp;C</t>
        </is>
      </c>
      <c r="P517" s="865" t="inlineStr">
        <is>
          <t>P&amp;C - RTA</t>
        </is>
      </c>
      <c r="Q517" s="865" t="inlineStr">
        <is>
          <t>Squad</t>
        </is>
      </c>
      <c r="R517" s="865" t="inlineStr">
        <is>
          <t>Vacant</t>
        </is>
      </c>
    </row>
    <row r="518" ht="18" customHeight="1" s="866">
      <c r="A518" s="1566" t="n">
        <v>0</v>
      </c>
      <c r="B518" s="1382" t="inlineStr">
        <is>
          <t>Kurniaty Widjaya</t>
        </is>
      </c>
      <c r="C518" s="1382" t="inlineStr">
        <is>
          <t>ERP HR Pay Functional Lead</t>
        </is>
      </c>
      <c r="D518" s="1567" t="inlineStr">
        <is>
          <t>Vacant</t>
        </is>
      </c>
      <c r="E518" s="1382" t="inlineStr">
        <is>
          <t>Technology Manager P&amp;C Platforms</t>
        </is>
      </c>
      <c r="F518" s="1382" t="inlineStr">
        <is>
          <t>TDD Group Functions</t>
        </is>
      </c>
      <c r="G518" s="1571" t="inlineStr">
        <is>
          <t>P&amp;C, Finance &amp; Legal</t>
        </is>
      </c>
      <c r="H518" s="1567" t="inlineStr">
        <is>
          <t>Tech, P&amp;C Platforms</t>
        </is>
      </c>
      <c r="I518" s="1557" t="inlineStr">
        <is>
          <t>P&amp;C</t>
        </is>
      </c>
      <c r="J518" s="1567" t="inlineStr">
        <is>
          <t>P&amp;C</t>
        </is>
      </c>
      <c r="K518" s="1567" t="inlineStr">
        <is>
          <t>P&amp;C RTA</t>
        </is>
      </c>
      <c r="L518" s="1567" t="n"/>
      <c r="M518" s="1568" t="n">
        <v>0</v>
      </c>
      <c r="N518" s="865" t="inlineStr">
        <is>
          <t>P&amp;C</t>
        </is>
      </c>
      <c r="O518" s="865" t="inlineStr">
        <is>
          <t>P&amp;C</t>
        </is>
      </c>
      <c r="P518" s="865" t="inlineStr">
        <is>
          <t>P&amp;C - RTA</t>
        </is>
      </c>
      <c r="Q518" s="865" t="inlineStr">
        <is>
          <t>Squad</t>
        </is>
      </c>
      <c r="R518" s="865" t="inlineStr">
        <is>
          <t>Filled</t>
        </is>
      </c>
    </row>
    <row r="519" ht="18" customHeight="1" s="866">
      <c r="A519" s="1566" t="n"/>
      <c r="B519" s="1581" t="inlineStr">
        <is>
          <t>Vacant</t>
        </is>
      </c>
      <c r="C519" s="1571" t="inlineStr">
        <is>
          <t>Delivery Lead (RTA)</t>
        </is>
      </c>
      <c r="D519" s="1567" t="inlineStr">
        <is>
          <t>Vacant</t>
        </is>
      </c>
      <c r="E519" s="1571" t="inlineStr">
        <is>
          <t>Delivery Manager, P&amp;C, Finance &amp; Legal</t>
        </is>
      </c>
      <c r="F519" s="1382" t="inlineStr">
        <is>
          <t>TDD Group Functions</t>
        </is>
      </c>
      <c r="G519" s="1571" t="inlineStr">
        <is>
          <t>P&amp;C, Finance &amp; Legal</t>
        </is>
      </c>
      <c r="H519" s="1557" t="inlineStr">
        <is>
          <t>Delivery, P&amp;C, Finance &amp; Legal</t>
        </is>
      </c>
      <c r="I519" s="1567" t="inlineStr">
        <is>
          <t>P&amp;C</t>
        </is>
      </c>
      <c r="J519" s="1567" t="inlineStr">
        <is>
          <t>P&amp;C</t>
        </is>
      </c>
      <c r="K519" s="1557" t="inlineStr">
        <is>
          <t>P&amp;C RTA</t>
        </is>
      </c>
      <c r="L519" s="1567" t="n"/>
      <c r="M519" s="1568" t="n"/>
      <c r="N519" s="865" t="inlineStr">
        <is>
          <t>P&amp;C</t>
        </is>
      </c>
      <c r="O519" s="865" t="inlineStr">
        <is>
          <t>P&amp;C</t>
        </is>
      </c>
      <c r="P519" s="865" t="inlineStr">
        <is>
          <t>P&amp;C - RTA</t>
        </is>
      </c>
      <c r="Q519" s="865" t="inlineStr">
        <is>
          <t>Squad</t>
        </is>
      </c>
      <c r="R519" s="865" t="inlineStr">
        <is>
          <t>Vacant</t>
        </is>
      </c>
    </row>
    <row r="520" ht="18" customHeight="1" s="866">
      <c r="A520" s="1566" t="n"/>
      <c r="B520" s="1581" t="inlineStr">
        <is>
          <t>Vacant</t>
        </is>
      </c>
      <c r="C520" s="1571" t="inlineStr">
        <is>
          <t>Engineer</t>
        </is>
      </c>
      <c r="D520" s="1567" t="inlineStr">
        <is>
          <t>vacant</t>
        </is>
      </c>
      <c r="E520" s="1382" t="inlineStr">
        <is>
          <t>Technology Manager P&amp;C Platforms</t>
        </is>
      </c>
      <c r="F520" s="1382" t="inlineStr">
        <is>
          <t>TDD Group Functions</t>
        </is>
      </c>
      <c r="G520" s="1571" t="inlineStr">
        <is>
          <t>P&amp;C, Finance &amp; Legal</t>
        </is>
      </c>
      <c r="H520" s="1567" t="inlineStr">
        <is>
          <t>Tech, P&amp;C Platforms</t>
        </is>
      </c>
      <c r="I520" s="1567" t="inlineStr">
        <is>
          <t>P&amp;C</t>
        </is>
      </c>
      <c r="J520" s="1567" t="inlineStr">
        <is>
          <t>P&amp;C</t>
        </is>
      </c>
      <c r="K520" s="1567" t="inlineStr">
        <is>
          <t>P&amp;C RTA</t>
        </is>
      </c>
      <c r="L520" s="1567" t="n"/>
      <c r="M520" s="1568" t="n"/>
      <c r="N520" s="865" t="inlineStr">
        <is>
          <t>P&amp;C</t>
        </is>
      </c>
      <c r="O520" s="865" t="inlineStr">
        <is>
          <t>P&amp;C</t>
        </is>
      </c>
      <c r="P520" s="865" t="inlineStr">
        <is>
          <t>P&amp;C - RTA</t>
        </is>
      </c>
      <c r="Q520" s="865" t="inlineStr">
        <is>
          <t>Squad</t>
        </is>
      </c>
      <c r="R520" s="865" t="inlineStr">
        <is>
          <t>Vacant</t>
        </is>
      </c>
    </row>
    <row r="521" ht="18" customHeight="1" s="866">
      <c r="A521" s="1566" t="n"/>
      <c r="B521" s="1581" t="inlineStr">
        <is>
          <t>Vacant</t>
        </is>
      </c>
      <c r="C521" s="1571" t="inlineStr">
        <is>
          <t>Quality Assurance</t>
        </is>
      </c>
      <c r="D521" s="1567" t="inlineStr">
        <is>
          <t>vacant</t>
        </is>
      </c>
      <c r="E521" s="1382" t="inlineStr">
        <is>
          <t>Technology Manager P&amp;C Platforms</t>
        </is>
      </c>
      <c r="F521" s="1382" t="inlineStr">
        <is>
          <t>TDD Group Functions</t>
        </is>
      </c>
      <c r="G521" s="1571" t="inlineStr">
        <is>
          <t>P&amp;C, Finance &amp; Legal</t>
        </is>
      </c>
      <c r="H521" s="1567" t="inlineStr">
        <is>
          <t>Tech, P&amp;C Platforms</t>
        </is>
      </c>
      <c r="I521" s="1567" t="inlineStr">
        <is>
          <t>P&amp;C</t>
        </is>
      </c>
      <c r="J521" s="1567" t="inlineStr">
        <is>
          <t>P&amp;C</t>
        </is>
      </c>
      <c r="K521" s="1567" t="inlineStr">
        <is>
          <t>P&amp;C RTA</t>
        </is>
      </c>
      <c r="L521" s="1567" t="n"/>
      <c r="M521" s="1568" t="n"/>
      <c r="N521" s="865" t="inlineStr">
        <is>
          <t>P&amp;C</t>
        </is>
      </c>
      <c r="O521" s="865" t="inlineStr">
        <is>
          <t>P&amp;C</t>
        </is>
      </c>
      <c r="P521" s="865" t="inlineStr">
        <is>
          <t>P&amp;C - RTA</t>
        </is>
      </c>
      <c r="Q521" s="865" t="inlineStr">
        <is>
          <t>Squad</t>
        </is>
      </c>
      <c r="R521" s="865" t="inlineStr">
        <is>
          <t>Vacant</t>
        </is>
      </c>
    </row>
    <row r="522" ht="18" customHeight="1" s="866">
      <c r="A522" s="1566" t="n"/>
      <c r="B522" s="1581" t="inlineStr">
        <is>
          <t>Vacant</t>
        </is>
      </c>
      <c r="C522" s="1571" t="inlineStr">
        <is>
          <t>Business Analyst (P&amp;C RTA)</t>
        </is>
      </c>
      <c r="D522" s="1567" t="inlineStr">
        <is>
          <t>Vacant</t>
        </is>
      </c>
      <c r="E522" s="1571" t="inlineStr">
        <is>
          <t>Delivery Manager, P&amp;C, Finance &amp; Legal</t>
        </is>
      </c>
      <c r="F522" s="1382" t="inlineStr">
        <is>
          <t>TDD Group Functions</t>
        </is>
      </c>
      <c r="G522" s="1571" t="inlineStr">
        <is>
          <t>P&amp;C, Finance &amp; Legal</t>
        </is>
      </c>
      <c r="H522" s="1567" t="inlineStr">
        <is>
          <t>Technology B2B</t>
        </is>
      </c>
      <c r="I522" s="1567" t="inlineStr">
        <is>
          <t>P&amp;C</t>
        </is>
      </c>
      <c r="J522" s="1567" t="inlineStr">
        <is>
          <t>P&amp;C</t>
        </is>
      </c>
      <c r="K522" s="1567" t="inlineStr">
        <is>
          <t>P&amp;C RTA</t>
        </is>
      </c>
      <c r="L522" s="1567" t="n"/>
      <c r="M522" s="1568" t="n"/>
      <c r="N522" s="865" t="inlineStr">
        <is>
          <t>P&amp;C</t>
        </is>
      </c>
      <c r="O522" s="865" t="inlineStr">
        <is>
          <t>P&amp;C</t>
        </is>
      </c>
      <c r="P522" s="865" t="inlineStr">
        <is>
          <t>P&amp;C - RTA</t>
        </is>
      </c>
      <c r="Q522" s="865" t="inlineStr">
        <is>
          <t>Squad</t>
        </is>
      </c>
      <c r="R522" s="865" t="inlineStr">
        <is>
          <t>Vacant</t>
        </is>
      </c>
    </row>
    <row r="523" ht="18" customHeight="1" s="866">
      <c r="A523" s="1566" t="n"/>
      <c r="B523" s="1581" t="inlineStr">
        <is>
          <t>Vacant</t>
        </is>
      </c>
      <c r="C523" s="1571" t="inlineStr">
        <is>
          <t>SAP Functional Specialist</t>
        </is>
      </c>
      <c r="D523" s="1567" t="inlineStr">
        <is>
          <t>EE Lynn Yap</t>
        </is>
      </c>
      <c r="E523" s="1571" t="inlineStr">
        <is>
          <t>SAP ERP Application Lead</t>
        </is>
      </c>
      <c r="F523" s="1382" t="inlineStr">
        <is>
          <t>TDD Group Functions</t>
        </is>
      </c>
      <c r="G523" s="1571" t="inlineStr">
        <is>
          <t>P&amp;C, Finance &amp; Legal</t>
        </is>
      </c>
      <c r="H523" s="1567" t="inlineStr">
        <is>
          <t>Tech, Finance Platforms</t>
        </is>
      </c>
      <c r="I523" s="1567" t="inlineStr">
        <is>
          <t>Finance</t>
        </is>
      </c>
      <c r="J523" s="1567" t="inlineStr">
        <is>
          <t>AU Finance</t>
        </is>
      </c>
      <c r="K523" s="1567" t="inlineStr">
        <is>
          <t>SAP ERP</t>
        </is>
      </c>
      <c r="L523" s="1567" t="n"/>
      <c r="M523" s="1568" t="n"/>
      <c r="N523" s="865" t="inlineStr">
        <is>
          <t>Finance</t>
        </is>
      </c>
      <c r="O523" s="865" t="inlineStr">
        <is>
          <t>AU Finance</t>
        </is>
      </c>
      <c r="P523" s="865" t="inlineStr">
        <is>
          <t>AU Finance</t>
        </is>
      </c>
      <c r="Q523" s="865" t="inlineStr">
        <is>
          <t>Squad</t>
        </is>
      </c>
      <c r="R523" s="865" t="inlineStr">
        <is>
          <t>Vacant</t>
        </is>
      </c>
    </row>
    <row r="524" ht="18" customHeight="1" s="866">
      <c r="A524" s="1566" t="n"/>
      <c r="B524" s="1581" t="inlineStr">
        <is>
          <t>Vacant</t>
        </is>
      </c>
      <c r="C524" s="1571" t="inlineStr">
        <is>
          <t>SAP Functional Specialist</t>
        </is>
      </c>
      <c r="D524" s="1567" t="inlineStr">
        <is>
          <t>Julma Bhagwani</t>
        </is>
      </c>
      <c r="E524" s="1571" t="inlineStr">
        <is>
          <t>SAP ERP Application Lead</t>
        </is>
      </c>
      <c r="F524" s="1382" t="inlineStr">
        <is>
          <t>TDD Group Functions</t>
        </is>
      </c>
      <c r="G524" s="1571" t="inlineStr">
        <is>
          <t>P&amp;C, Finance &amp; Legal</t>
        </is>
      </c>
      <c r="H524" s="1567" t="inlineStr">
        <is>
          <t>Tech, Finance Platforms</t>
        </is>
      </c>
      <c r="I524" s="1567" t="inlineStr">
        <is>
          <t>Finance</t>
        </is>
      </c>
      <c r="J524" s="1567" t="inlineStr">
        <is>
          <t>AU Finance</t>
        </is>
      </c>
      <c r="K524" s="1567" t="inlineStr">
        <is>
          <t>SAP ERP</t>
        </is>
      </c>
      <c r="L524" s="1567" t="n"/>
      <c r="M524" s="1568" t="n"/>
      <c r="N524" s="865" t="inlineStr">
        <is>
          <t>Finance</t>
        </is>
      </c>
      <c r="O524" s="865" t="inlineStr">
        <is>
          <t>AU Finance</t>
        </is>
      </c>
      <c r="P524" s="865" t="inlineStr">
        <is>
          <t>AU Finance</t>
        </is>
      </c>
      <c r="Q524" s="865" t="inlineStr">
        <is>
          <t>Squad</t>
        </is>
      </c>
      <c r="R524" s="865" t="inlineStr">
        <is>
          <t>Vacant</t>
        </is>
      </c>
    </row>
    <row r="525" ht="18" customHeight="1" s="866">
      <c r="A525" s="1566" t="n"/>
      <c r="B525" s="1581" t="inlineStr">
        <is>
          <t>Vacant</t>
        </is>
      </c>
      <c r="C525" s="1571" t="inlineStr">
        <is>
          <t>SAP Functional Specialist</t>
        </is>
      </c>
      <c r="D525" s="1567" t="inlineStr">
        <is>
          <t>Maudud Chaudhury</t>
        </is>
      </c>
      <c r="E525" s="1571" t="inlineStr">
        <is>
          <t>SAP ERP Application Lead</t>
        </is>
      </c>
      <c r="F525" s="1382" t="inlineStr">
        <is>
          <t>TDD Group Functions</t>
        </is>
      </c>
      <c r="G525" s="1571" t="inlineStr">
        <is>
          <t>P&amp;C, Finance &amp; Legal</t>
        </is>
      </c>
      <c r="H525" s="1567" t="inlineStr">
        <is>
          <t>Tech, Finance Platforms</t>
        </is>
      </c>
      <c r="I525" s="1567" t="inlineStr">
        <is>
          <t>Finance</t>
        </is>
      </c>
      <c r="J525" s="1567" t="inlineStr">
        <is>
          <t>AU Finance</t>
        </is>
      </c>
      <c r="K525" s="1567" t="inlineStr">
        <is>
          <t>SAP ERP</t>
        </is>
      </c>
      <c r="L525" s="1567" t="n"/>
      <c r="M525" s="1568" t="n"/>
      <c r="N525" s="865" t="inlineStr">
        <is>
          <t>Finance</t>
        </is>
      </c>
      <c r="O525" s="865" t="inlineStr">
        <is>
          <t>AU Finance</t>
        </is>
      </c>
      <c r="P525" s="865" t="inlineStr">
        <is>
          <t>AU Finance</t>
        </is>
      </c>
      <c r="Q525" s="865" t="inlineStr">
        <is>
          <t>Squad</t>
        </is>
      </c>
      <c r="R525" s="865" t="inlineStr">
        <is>
          <t>Vacant</t>
        </is>
      </c>
    </row>
    <row r="526" ht="18" customHeight="1" s="866">
      <c r="A526" s="1566" t="n">
        <v>4251</v>
      </c>
      <c r="B526" s="1571" t="inlineStr">
        <is>
          <t>Maudud Chaudhury</t>
        </is>
      </c>
      <c r="C526" s="1571" t="inlineStr">
        <is>
          <t>SAP ERP Application Lead</t>
        </is>
      </c>
      <c r="D526" s="1567" t="inlineStr">
        <is>
          <t>Shane Ker</t>
        </is>
      </c>
      <c r="E526" s="1571" t="inlineStr">
        <is>
          <t>Technology Manager Finance Platforms</t>
        </is>
      </c>
      <c r="F526" s="1382" t="inlineStr">
        <is>
          <t>TDD Group Functions</t>
        </is>
      </c>
      <c r="G526" s="1571" t="inlineStr">
        <is>
          <t>P&amp;C, Finance &amp; Legal</t>
        </is>
      </c>
      <c r="H526" s="1567" t="inlineStr">
        <is>
          <t>Tech, Finance Platforms</t>
        </is>
      </c>
      <c r="I526" s="1567" t="inlineStr">
        <is>
          <t>Finance</t>
        </is>
      </c>
      <c r="J526" s="1567" t="inlineStr">
        <is>
          <t>AU Finance</t>
        </is>
      </c>
      <c r="K526" s="1567" t="inlineStr">
        <is>
          <t>SAP ERP</t>
        </is>
      </c>
      <c r="L526" s="1567" t="n"/>
      <c r="M526" s="1568" t="inlineStr">
        <is>
          <t>Australia</t>
        </is>
      </c>
      <c r="N526" s="865" t="inlineStr">
        <is>
          <t>Finance</t>
        </is>
      </c>
      <c r="O526" s="865" t="inlineStr">
        <is>
          <t>AU Finance</t>
        </is>
      </c>
      <c r="P526" s="865" t="inlineStr">
        <is>
          <t>AU Finance</t>
        </is>
      </c>
      <c r="Q526" s="865" t="inlineStr">
        <is>
          <t>Squad</t>
        </is>
      </c>
      <c r="R526" s="865" t="inlineStr">
        <is>
          <t>Filled</t>
        </is>
      </c>
    </row>
    <row r="527" ht="18" customHeight="1" s="866">
      <c r="A527" s="1566" t="n"/>
      <c r="B527" s="1581" t="inlineStr">
        <is>
          <t>Vacant</t>
        </is>
      </c>
      <c r="C527" s="1571" t="inlineStr">
        <is>
          <t>Solution Architect - Finance</t>
        </is>
      </c>
      <c r="D527" s="1567" t="inlineStr">
        <is>
          <t>Shane Ker</t>
        </is>
      </c>
      <c r="E527" s="1571" t="inlineStr">
        <is>
          <t>Technology Manager Finance Platforms</t>
        </is>
      </c>
      <c r="F527" s="1382" t="inlineStr">
        <is>
          <t>TDD Group Functions</t>
        </is>
      </c>
      <c r="G527" s="1571" t="inlineStr">
        <is>
          <t>P&amp;C, Finance &amp; Legal</t>
        </is>
      </c>
      <c r="H527" s="1567" t="inlineStr">
        <is>
          <t>Tech, Finance Platforms</t>
        </is>
      </c>
      <c r="I527" s="1567" t="inlineStr">
        <is>
          <t>Finance</t>
        </is>
      </c>
      <c r="J527" s="1567" t="inlineStr">
        <is>
          <t>AU Finance</t>
        </is>
      </c>
      <c r="K527" s="1567" t="inlineStr">
        <is>
          <t>SAP ERP</t>
        </is>
      </c>
      <c r="L527" s="1567" t="n"/>
      <c r="M527" s="1568" t="n"/>
      <c r="N527" s="865" t="inlineStr">
        <is>
          <t>Finance</t>
        </is>
      </c>
      <c r="O527" s="865" t="inlineStr">
        <is>
          <t>AU Finance</t>
        </is>
      </c>
      <c r="P527" s="865" t="inlineStr">
        <is>
          <t>AU Finance</t>
        </is>
      </c>
      <c r="Q527" s="865" t="inlineStr">
        <is>
          <t>Squad</t>
        </is>
      </c>
      <c r="R527" s="865" t="inlineStr">
        <is>
          <t>Vacant</t>
        </is>
      </c>
    </row>
    <row r="528" ht="18" customHeight="1" s="866">
      <c r="A528" s="1566" t="n">
        <v>11241</v>
      </c>
      <c r="B528" s="1571" t="inlineStr">
        <is>
          <t>Julma Bhagwani</t>
        </is>
      </c>
      <c r="C528" s="1571" t="inlineStr">
        <is>
          <t>SAP ERP Application Lead</t>
        </is>
      </c>
      <c r="D528" s="1567" t="inlineStr">
        <is>
          <t>Shane Ker</t>
        </is>
      </c>
      <c r="E528" s="1571" t="inlineStr">
        <is>
          <t>Technology Manager Finance Platforms</t>
        </is>
      </c>
      <c r="F528" s="1382" t="inlineStr">
        <is>
          <t>TDD Group Functions</t>
        </is>
      </c>
      <c r="G528" s="1571" t="inlineStr">
        <is>
          <t>P&amp;C, Finance &amp; Legal</t>
        </is>
      </c>
      <c r="H528" s="1567" t="inlineStr">
        <is>
          <t>Tech, Finance Platforms</t>
        </is>
      </c>
      <c r="I528" s="1567" t="inlineStr">
        <is>
          <t>Finance</t>
        </is>
      </c>
      <c r="J528" s="1567" t="inlineStr">
        <is>
          <t>AU Finance</t>
        </is>
      </c>
      <c r="K528" s="1567" t="inlineStr">
        <is>
          <t>SAP ERP</t>
        </is>
      </c>
      <c r="L528" s="1567" t="n"/>
      <c r="M528" s="1568" t="inlineStr">
        <is>
          <t>Australia</t>
        </is>
      </c>
      <c r="N528" s="865" t="inlineStr">
        <is>
          <t>Finance</t>
        </is>
      </c>
      <c r="O528" s="865" t="inlineStr">
        <is>
          <t>AU Finance</t>
        </is>
      </c>
      <c r="P528" s="865" t="inlineStr">
        <is>
          <t>AU Finance</t>
        </is>
      </c>
      <c r="Q528" s="865" t="inlineStr">
        <is>
          <t>Squad</t>
        </is>
      </c>
      <c r="R528" s="865" t="inlineStr">
        <is>
          <t>Filled</t>
        </is>
      </c>
    </row>
    <row r="529" ht="18" customHeight="1" s="866">
      <c r="A529" s="1566" t="n"/>
      <c r="B529" s="1581" t="inlineStr">
        <is>
          <t xml:space="preserve">Vacant </t>
        </is>
      </c>
      <c r="C529" s="1571" t="inlineStr">
        <is>
          <t>Integration Specialist (ASAPIO CTRM)</t>
        </is>
      </c>
      <c r="D529" s="1567" t="inlineStr">
        <is>
          <t>Vacant</t>
        </is>
      </c>
      <c r="E529" s="1571" t="inlineStr">
        <is>
          <t>Technology Manager Finance Platforms</t>
        </is>
      </c>
      <c r="F529" s="1382" t="inlineStr">
        <is>
          <t>TDD Group Functions</t>
        </is>
      </c>
      <c r="G529" s="1571" t="inlineStr">
        <is>
          <t>P&amp;C, Finance &amp; Legal</t>
        </is>
      </c>
      <c r="H529" s="1567" t="inlineStr">
        <is>
          <t>Tech, Finance Platforms</t>
        </is>
      </c>
      <c r="I529" s="1567" t="inlineStr">
        <is>
          <t>Finance</t>
        </is>
      </c>
      <c r="J529" s="1567" t="inlineStr">
        <is>
          <t>AU Finance</t>
        </is>
      </c>
      <c r="K529" s="1567" t="inlineStr">
        <is>
          <t>SAP ERP</t>
        </is>
      </c>
      <c r="L529" s="1567" t="n"/>
      <c r="M529" s="1568" t="n"/>
      <c r="N529" s="865" t="inlineStr">
        <is>
          <t>Finance</t>
        </is>
      </c>
      <c r="O529" s="865" t="inlineStr">
        <is>
          <t>AU Finance</t>
        </is>
      </c>
      <c r="P529" s="865" t="inlineStr">
        <is>
          <t>AU Finance</t>
        </is>
      </c>
      <c r="Q529" s="865" t="inlineStr">
        <is>
          <t>Squad</t>
        </is>
      </c>
      <c r="R529" s="865" t="inlineStr">
        <is>
          <t>Vacant</t>
        </is>
      </c>
    </row>
    <row r="530" ht="18" customHeight="1" s="866">
      <c r="A530" s="1566" t="n"/>
      <c r="B530" s="1581" t="inlineStr">
        <is>
          <t>Vacant</t>
        </is>
      </c>
      <c r="C530" s="1571" t="inlineStr">
        <is>
          <t>SAP Functional Specialist</t>
        </is>
      </c>
      <c r="D530" s="1567" t="inlineStr">
        <is>
          <t>Vacant</t>
        </is>
      </c>
      <c r="E530" s="1571" t="inlineStr">
        <is>
          <t>Technology Manager Finance Platforms</t>
        </is>
      </c>
      <c r="F530" s="1382" t="inlineStr">
        <is>
          <t>TDD Group Functions</t>
        </is>
      </c>
      <c r="G530" s="1571" t="inlineStr">
        <is>
          <t>P&amp;C, Finance &amp; Legal</t>
        </is>
      </c>
      <c r="H530" s="1567" t="inlineStr">
        <is>
          <t>Tech, Finance Platforms</t>
        </is>
      </c>
      <c r="I530" s="1567" t="inlineStr">
        <is>
          <t>Finance</t>
        </is>
      </c>
      <c r="J530" s="1567" t="inlineStr">
        <is>
          <t>AU Finance</t>
        </is>
      </c>
      <c r="K530" s="1567" t="inlineStr">
        <is>
          <t>SAP ERP</t>
        </is>
      </c>
      <c r="L530" s="1567" t="n"/>
      <c r="M530" s="1568" t="n"/>
      <c r="N530" s="865" t="inlineStr">
        <is>
          <t>Finance</t>
        </is>
      </c>
      <c r="O530" s="865" t="inlineStr">
        <is>
          <t>AU Finance</t>
        </is>
      </c>
      <c r="P530" s="865" t="inlineStr">
        <is>
          <t>AU Finance</t>
        </is>
      </c>
      <c r="Q530" s="865" t="inlineStr">
        <is>
          <t>Squad</t>
        </is>
      </c>
      <c r="R530" s="865" t="inlineStr">
        <is>
          <t>Vacant</t>
        </is>
      </c>
    </row>
    <row r="531" ht="18" customHeight="1" s="866">
      <c r="A531" s="1566" t="n"/>
      <c r="B531" s="1581" t="inlineStr">
        <is>
          <t>Vacant</t>
        </is>
      </c>
      <c r="C531" s="1571" t="inlineStr">
        <is>
          <t>Delivery Lead (SAP)</t>
        </is>
      </c>
      <c r="D531" s="1567" t="inlineStr">
        <is>
          <t>Vacant</t>
        </is>
      </c>
      <c r="E531" s="1571" t="inlineStr">
        <is>
          <t>Delivery Manager, P&amp;C, Finance &amp; Legal</t>
        </is>
      </c>
      <c r="F531" s="1382" t="inlineStr">
        <is>
          <t>TDD Group Functions</t>
        </is>
      </c>
      <c r="G531" s="1571" t="inlineStr">
        <is>
          <t>P&amp;C, Finance &amp; Legal</t>
        </is>
      </c>
      <c r="H531" s="1567" t="inlineStr">
        <is>
          <t>Delivery, P&amp;C, Finance &amp; Legal</t>
        </is>
      </c>
      <c r="I531" s="1567" t="inlineStr">
        <is>
          <t>Finance</t>
        </is>
      </c>
      <c r="J531" s="1567" t="inlineStr">
        <is>
          <t>AU Finance</t>
        </is>
      </c>
      <c r="K531" s="1567" t="inlineStr">
        <is>
          <t>SAP ERP</t>
        </is>
      </c>
      <c r="L531" s="1567" t="n"/>
      <c r="M531" s="1568" t="n"/>
      <c r="N531" s="865" t="inlineStr">
        <is>
          <t>Finance</t>
        </is>
      </c>
      <c r="O531" s="865" t="inlineStr">
        <is>
          <t>AU Finance</t>
        </is>
      </c>
      <c r="P531" s="865" t="inlineStr">
        <is>
          <t>AU Finance</t>
        </is>
      </c>
      <c r="Q531" s="865" t="inlineStr">
        <is>
          <t>Squad</t>
        </is>
      </c>
      <c r="R531" s="865" t="inlineStr">
        <is>
          <t>Vacant</t>
        </is>
      </c>
    </row>
    <row r="532" ht="18" customHeight="1" s="866">
      <c r="A532" s="1566" t="n">
        <v>99999101446</v>
      </c>
      <c r="B532" s="1382" t="inlineStr">
        <is>
          <t>Rob Struthers</t>
        </is>
      </c>
      <c r="C532" s="1382" t="inlineStr">
        <is>
          <t>Engineer - Modern Workplaces</t>
        </is>
      </c>
      <c r="D532" s="1567" t="inlineStr">
        <is>
          <t>Vacant</t>
        </is>
      </c>
      <c r="E532" s="1382" t="inlineStr">
        <is>
          <t>Technology Manager, Enterprise Tooling</t>
        </is>
      </c>
      <c r="F532" s="1382" t="inlineStr">
        <is>
          <t>TDD Group Functions</t>
        </is>
      </c>
      <c r="G532" s="1567" t="inlineStr">
        <is>
          <t xml:space="preserve">TDD &amp; Engineering </t>
        </is>
      </c>
      <c r="H532" s="1382" t="inlineStr">
        <is>
          <t>Workplace &amp; Enterprise Tooling</t>
        </is>
      </c>
      <c r="I532" s="1382" t="inlineStr">
        <is>
          <t>TDD</t>
        </is>
      </c>
      <c r="J532" s="1567" t="inlineStr">
        <is>
          <t>TDD</t>
        </is>
      </c>
      <c r="K532" s="1567" t="inlineStr">
        <is>
          <t>Workplace &amp; Enterprise Tooling</t>
        </is>
      </c>
      <c r="L532" s="1567" t="n"/>
      <c r="M532" s="1568" t="inlineStr">
        <is>
          <t>NZ</t>
        </is>
      </c>
      <c r="N532" s="865" t="inlineStr">
        <is>
          <t>TDD Group Functions</t>
        </is>
      </c>
      <c r="O532" s="865" t="inlineStr">
        <is>
          <t>TDD Group Functions</t>
        </is>
      </c>
      <c r="P532" s="865" t="inlineStr">
        <is>
          <t>Workplace &amp; Enterprise Tooling</t>
        </is>
      </c>
      <c r="Q532" s="865" t="inlineStr">
        <is>
          <t>Squad</t>
        </is>
      </c>
      <c r="R532" s="865" t="inlineStr">
        <is>
          <t>Filled</t>
        </is>
      </c>
    </row>
    <row r="533" ht="18" customHeight="1" s="866">
      <c r="A533" s="1566" t="n">
        <v>99999101229</v>
      </c>
      <c r="B533" s="1382" t="inlineStr">
        <is>
          <t>Billie Connolly</t>
        </is>
      </c>
      <c r="C533" s="1382" t="inlineStr">
        <is>
          <t>Engineer - Modern Workplaces</t>
        </is>
      </c>
      <c r="D533" s="1567" t="inlineStr">
        <is>
          <t>Vacant</t>
        </is>
      </c>
      <c r="E533" s="1382" t="inlineStr">
        <is>
          <t>Technology Manager, Workplace and Enterprise Tooling</t>
        </is>
      </c>
      <c r="F533" s="1382" t="inlineStr">
        <is>
          <t>TDD Group Functions</t>
        </is>
      </c>
      <c r="G533" s="1567" t="inlineStr">
        <is>
          <t xml:space="preserve">TDD &amp; Engineering </t>
        </is>
      </c>
      <c r="H533" s="1382" t="inlineStr">
        <is>
          <t>Workplace &amp; Enterprise Tooling</t>
        </is>
      </c>
      <c r="I533" s="1382" t="inlineStr">
        <is>
          <t>TDD</t>
        </is>
      </c>
      <c r="J533" s="1567" t="inlineStr">
        <is>
          <t>TDD</t>
        </is>
      </c>
      <c r="K533" s="1567" t="inlineStr">
        <is>
          <t>Workplace &amp; Enterprise Tooling</t>
        </is>
      </c>
      <c r="L533" s="1567" t="n"/>
      <c r="M533" s="1568" t="inlineStr">
        <is>
          <t>NZ</t>
        </is>
      </c>
      <c r="N533" s="865" t="inlineStr">
        <is>
          <t>TDD Group Functions</t>
        </is>
      </c>
      <c r="O533" s="865" t="inlineStr">
        <is>
          <t>TDD Group Functions</t>
        </is>
      </c>
      <c r="P533" s="865" t="inlineStr">
        <is>
          <t>Workplace &amp; Enterprise Tooling</t>
        </is>
      </c>
      <c r="Q533" s="865" t="inlineStr">
        <is>
          <t>Squad</t>
        </is>
      </c>
      <c r="R533" s="865" t="inlineStr">
        <is>
          <t>Filled</t>
        </is>
      </c>
    </row>
    <row r="534" ht="18" customHeight="1" s="866">
      <c r="A534" s="1566" t="n"/>
      <c r="B534" s="1581" t="inlineStr">
        <is>
          <t>Vacant</t>
        </is>
      </c>
      <c r="C534" s="1571" t="inlineStr">
        <is>
          <t>Business Analyst (Workplace &amp; Enterprise Tooling)</t>
        </is>
      </c>
      <c r="D534" s="1567" t="inlineStr">
        <is>
          <t>vacant</t>
        </is>
      </c>
      <c r="E534" s="1571" t="inlineStr">
        <is>
          <t xml:space="preserve">Delivery Manager </t>
        </is>
      </c>
      <c r="F534" s="1382" t="inlineStr">
        <is>
          <t>TDD Group Functions</t>
        </is>
      </c>
      <c r="G534" s="1567" t="inlineStr">
        <is>
          <t>TDD &amp; Engineering</t>
        </is>
      </c>
      <c r="H534" s="1382" t="inlineStr">
        <is>
          <t>Delivery, TDD &amp; Engineering</t>
        </is>
      </c>
      <c r="I534" s="1382" t="inlineStr">
        <is>
          <t>TDD</t>
        </is>
      </c>
      <c r="J534" s="1567" t="inlineStr">
        <is>
          <t>TDD</t>
        </is>
      </c>
      <c r="K534" s="1567" t="inlineStr">
        <is>
          <t>Workplace &amp; Enterprise Tooling</t>
        </is>
      </c>
      <c r="L534" s="1567" t="n"/>
      <c r="M534" s="1568" t="n"/>
      <c r="N534" s="865" t="inlineStr">
        <is>
          <t>TDD Group Functions</t>
        </is>
      </c>
      <c r="O534" s="865" t="inlineStr">
        <is>
          <t>TDD Group Functions</t>
        </is>
      </c>
      <c r="P534" s="865" t="inlineStr">
        <is>
          <t>Workplace &amp; Enterprise Tooling</t>
        </is>
      </c>
      <c r="Q534" s="865" t="inlineStr">
        <is>
          <t>Squad</t>
        </is>
      </c>
      <c r="R534" s="865" t="inlineStr">
        <is>
          <t>Vacant</t>
        </is>
      </c>
    </row>
    <row r="535" ht="18" customHeight="1" s="866">
      <c r="A535" s="1566" t="n">
        <v>95018</v>
      </c>
      <c r="B535" s="1382" t="inlineStr">
        <is>
          <t>Ken Thomson</t>
        </is>
      </c>
      <c r="C535" s="1382" t="inlineStr">
        <is>
          <t>Servicenow Platform Specialist</t>
        </is>
      </c>
      <c r="D535" s="1567" t="inlineStr">
        <is>
          <t>Vacant</t>
        </is>
      </c>
      <c r="E535" s="1382" t="inlineStr">
        <is>
          <t>Technology Manager, Workplace and Enterprise Tooling</t>
        </is>
      </c>
      <c r="F535" s="1382" t="inlineStr">
        <is>
          <t>TDD Group Functions</t>
        </is>
      </c>
      <c r="G535" s="1567" t="inlineStr">
        <is>
          <t xml:space="preserve">TDD &amp; Engineering </t>
        </is>
      </c>
      <c r="H535" s="1382" t="inlineStr">
        <is>
          <t>Workplace &amp; Enterprise Tooling</t>
        </is>
      </c>
      <c r="I535" s="1382" t="inlineStr">
        <is>
          <t>TDD</t>
        </is>
      </c>
      <c r="J535" s="1567" t="inlineStr">
        <is>
          <t>TDD</t>
        </is>
      </c>
      <c r="K535" s="1567" t="inlineStr">
        <is>
          <t>Workplace &amp; Enterprise Tooling</t>
        </is>
      </c>
      <c r="L535" s="1567" t="n"/>
      <c r="M535" s="1568" t="inlineStr">
        <is>
          <t>Australia</t>
        </is>
      </c>
      <c r="N535" s="865" t="inlineStr">
        <is>
          <t>TDD Group Functions</t>
        </is>
      </c>
      <c r="O535" s="865" t="inlineStr">
        <is>
          <t>TDD Group Functions</t>
        </is>
      </c>
      <c r="P535" s="865" t="inlineStr">
        <is>
          <t>Workplace &amp; Enterprise Tooling</t>
        </is>
      </c>
      <c r="Q535" s="865" t="inlineStr">
        <is>
          <t>Squad</t>
        </is>
      </c>
      <c r="R535" s="865" t="inlineStr">
        <is>
          <t>Filled</t>
        </is>
      </c>
    </row>
    <row r="536" ht="18" customHeight="1" s="866">
      <c r="A536" s="1566" t="n">
        <v>106024</v>
      </c>
      <c r="B536" s="1382" t="inlineStr">
        <is>
          <t>Nicholas McKay</t>
        </is>
      </c>
      <c r="C536" s="1382" t="inlineStr">
        <is>
          <t>Workplace Tooling Specialist</t>
        </is>
      </c>
      <c r="D536" s="1567" t="inlineStr">
        <is>
          <t>Vacant</t>
        </is>
      </c>
      <c r="E536" s="1382" t="inlineStr">
        <is>
          <t>Technology Manager, Workplace and Enterprise Tooling</t>
        </is>
      </c>
      <c r="F536" s="1382" t="inlineStr">
        <is>
          <t>TDD Group Functions</t>
        </is>
      </c>
      <c r="G536" s="1567" t="inlineStr">
        <is>
          <t xml:space="preserve">TDD &amp; Engineering </t>
        </is>
      </c>
      <c r="H536" s="1382" t="inlineStr">
        <is>
          <t>Workplace &amp; Enterprise Tooling</t>
        </is>
      </c>
      <c r="I536" s="1382" t="inlineStr">
        <is>
          <t>TDD</t>
        </is>
      </c>
      <c r="J536" s="1567" t="inlineStr">
        <is>
          <t>TDD</t>
        </is>
      </c>
      <c r="K536" s="1567" t="inlineStr">
        <is>
          <t>Workplace &amp; Enterprise Tooling</t>
        </is>
      </c>
      <c r="L536" s="1567" t="n"/>
      <c r="M536" s="1568" t="inlineStr">
        <is>
          <t>Australia</t>
        </is>
      </c>
      <c r="N536" s="865" t="inlineStr">
        <is>
          <t>TDD Group Functions</t>
        </is>
      </c>
      <c r="O536" s="865" t="inlineStr">
        <is>
          <t>TDD Group Functions</t>
        </is>
      </c>
      <c r="P536" s="865" t="inlineStr">
        <is>
          <t>Workplace &amp; Enterprise Tooling</t>
        </is>
      </c>
      <c r="Q536" s="865" t="inlineStr">
        <is>
          <t>Squad</t>
        </is>
      </c>
      <c r="R536" s="865" t="inlineStr">
        <is>
          <t>Filled</t>
        </is>
      </c>
    </row>
    <row r="537" ht="18" customHeight="1" s="866">
      <c r="A537" s="1566" t="n"/>
      <c r="B537" s="1581" t="inlineStr">
        <is>
          <t>Vacant</t>
        </is>
      </c>
      <c r="C537" s="1571" t="inlineStr">
        <is>
          <t>Enterprise Systems Specialist</t>
        </is>
      </c>
      <c r="D537" s="1567" t="inlineStr">
        <is>
          <t>Vacant</t>
        </is>
      </c>
      <c r="E537" s="1382" t="inlineStr">
        <is>
          <t>Technology Manager, Workplace and Enterprise Tooling</t>
        </is>
      </c>
      <c r="F537" s="1382" t="inlineStr">
        <is>
          <t>TDD Group Functions</t>
        </is>
      </c>
      <c r="G537" s="1567" t="inlineStr">
        <is>
          <t xml:space="preserve">TDD &amp; Engineering </t>
        </is>
      </c>
      <c r="H537" s="1382" t="inlineStr">
        <is>
          <t>Workplace &amp; Enterprise Tooling</t>
        </is>
      </c>
      <c r="I537" s="1382" t="inlineStr">
        <is>
          <t>TDD</t>
        </is>
      </c>
      <c r="J537" s="1567" t="inlineStr">
        <is>
          <t>TDD</t>
        </is>
      </c>
      <c r="K537" s="1567" t="inlineStr">
        <is>
          <t>Workplace &amp; Enterprise Tooling</t>
        </is>
      </c>
      <c r="L537" s="1567" t="n"/>
      <c r="M537" s="1568" t="n"/>
      <c r="N537" s="865" t="inlineStr">
        <is>
          <t>TDD Group Functions</t>
        </is>
      </c>
      <c r="O537" s="865" t="inlineStr">
        <is>
          <t>TDD Group Functions</t>
        </is>
      </c>
      <c r="P537" s="865" t="inlineStr">
        <is>
          <t>Workplace &amp; Enterprise Tooling</t>
        </is>
      </c>
      <c r="Q537" s="865" t="inlineStr">
        <is>
          <t>Squad</t>
        </is>
      </c>
      <c r="R537" s="865" t="inlineStr">
        <is>
          <t>Vacant</t>
        </is>
      </c>
    </row>
    <row r="538" ht="18" customHeight="1" s="866">
      <c r="A538" s="1566" t="n">
        <v>99999102124</v>
      </c>
      <c r="B538" s="1382" t="n"/>
      <c r="C538" s="1382" t="n"/>
      <c r="D538" s="1382" t="inlineStr">
        <is>
          <t>Vacant</t>
        </is>
      </c>
      <c r="E538" s="1382" t="n"/>
      <c r="F538" s="1382" t="n"/>
      <c r="G538" s="1567" t="n"/>
      <c r="H538" s="1382" t="n"/>
      <c r="I538" s="1567" t="n"/>
      <c r="J538" s="1382" t="n"/>
      <c r="K538" s="1382" t="n"/>
      <c r="L538" s="1567" t="n"/>
      <c r="M538" s="1568" t="inlineStr">
        <is>
          <t>NZ</t>
        </is>
      </c>
    </row>
  </sheetData>
  <autoFilter ref="A1:XEV538"/>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6.xml><?xml version="1.0" encoding="utf-8"?>
<worksheet xmlns="http://schemas.openxmlformats.org/spreadsheetml/2006/main">
  <sheetPr filterMode="1">
    <tabColor rgb="FF375623"/>
    <outlinePr summaryBelow="1" summaryRight="1"/>
    <pageSetUpPr fitToPage="0"/>
  </sheetPr>
  <dimension ref="A1:AG572"/>
  <sheetViews>
    <sheetView showFormulas="0" showGridLines="0" showRowColHeaders="1" showZeros="1" rightToLeft="0" tabSelected="0" showOutlineSymbols="1" defaultGridColor="1" view="normal" topLeftCell="A1" colorId="64" zoomScale="78" zoomScaleNormal="78" zoomScalePageLayoutView="100" workbookViewId="0">
      <selection pane="topLeft" activeCell="A1" activeCellId="0" sqref="A1"/>
    </sheetView>
  </sheetViews>
  <sheetFormatPr baseColWidth="8" defaultColWidth="8.73046875" defaultRowHeight="18" zeroHeight="0" outlineLevelRow="0"/>
  <cols>
    <col width="16.27" customWidth="1" style="1597" min="1" max="1"/>
    <col width="20.73" customWidth="1" style="1598" min="2" max="2"/>
    <col width="26.82" customWidth="1" style="1599" min="3" max="3"/>
    <col width="19.45" customWidth="1" style="1598" min="4" max="4"/>
    <col width="37.45" customWidth="1" style="1598" min="5" max="5"/>
    <col width="37" customWidth="1" style="1598" min="6" max="6"/>
    <col width="30.54" customWidth="1" style="1598" min="7" max="7"/>
    <col width="33" customWidth="1" style="1598" min="8" max="8"/>
    <col width="23.45" customWidth="1" style="1598" min="9" max="9"/>
    <col width="23.27" customWidth="1" style="1598" min="10" max="10"/>
    <col width="17.18" customWidth="1" style="1598" min="11" max="11"/>
    <col width="6.54" customWidth="1" style="1598" min="12" max="12"/>
    <col width="9.449999999999999" customWidth="1" style="1598" min="13" max="13"/>
    <col width="8.27" customWidth="1" style="1600" min="14" max="14"/>
    <col width="8.73" customWidth="1" style="1600" min="15" max="15"/>
    <col width="17.18" customWidth="1" style="1600" min="16" max="16"/>
    <col width="16.45" customWidth="1" style="1600" min="17" max="17"/>
    <col width="10.18" customWidth="1" style="1600" min="18" max="18"/>
    <col width="8.73" customWidth="1" style="1600" min="19" max="19"/>
    <col width="14.81" customWidth="1" style="1600" min="20" max="20"/>
    <col width="15.18" customWidth="1" style="1600" min="21" max="21"/>
    <col width="14.81" customWidth="1" style="1600" min="22" max="24"/>
    <col width="14.81" customWidth="1" style="1598" min="25" max="25"/>
    <col width="14.81" customWidth="1" style="1600" min="26" max="26"/>
    <col width="14.81" customWidth="1" style="1598" min="27" max="27"/>
    <col width="8.73" customWidth="1" style="1598" min="28" max="16384"/>
  </cols>
  <sheetData>
    <row r="1" ht="41.25" customFormat="1" customHeight="1" s="1601">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602" t="inlineStr">
        <is>
          <t>Department (GM-1)</t>
        </is>
      </c>
      <c r="H1" s="1602" t="inlineStr">
        <is>
          <t>Team (GM-2)</t>
        </is>
      </c>
      <c r="I1" s="1603" t="inlineStr">
        <is>
          <t>Portfolio</t>
        </is>
      </c>
      <c r="J1" s="1564" t="inlineStr">
        <is>
          <t>Platform</t>
        </is>
      </c>
      <c r="K1" s="1603" t="inlineStr">
        <is>
          <t>Squad</t>
        </is>
      </c>
      <c r="L1" s="1603" t="inlineStr">
        <is>
          <t>CC</t>
        </is>
      </c>
      <c r="M1" s="1565" t="inlineStr">
        <is>
          <t>Country</t>
        </is>
      </c>
      <c r="N1" s="1604" t="inlineStr">
        <is>
          <t>Job Level</t>
        </is>
      </c>
      <c r="O1" s="1604" t="inlineStr">
        <is>
          <t>FTE</t>
        </is>
      </c>
      <c r="P1" s="1604" t="n"/>
      <c r="Q1" s="1604" t="inlineStr">
        <is>
          <t>Type</t>
        </is>
      </c>
      <c r="R1" s="1605" t="inlineStr">
        <is>
          <t>Unit</t>
        </is>
      </c>
      <c r="S1" s="1605" t="inlineStr">
        <is>
          <t>day rate</t>
        </is>
      </c>
      <c r="T1" s="1606" t="inlineStr">
        <is>
          <t>FTE Base
 Local</t>
        </is>
      </c>
      <c r="U1" s="1607" t="inlineStr">
        <is>
          <t>FTE Base 
AUD</t>
        </is>
      </c>
      <c r="V1" s="1608" t="inlineStr">
        <is>
          <t>STI</t>
        </is>
      </c>
      <c r="W1" s="1609" t="inlineStr">
        <is>
          <t>Payroll</t>
        </is>
      </c>
      <c r="X1" s="1609" t="inlineStr">
        <is>
          <t>Pensions</t>
        </is>
      </c>
      <c r="Y1" s="1609" t="inlineStr">
        <is>
          <t>medical</t>
        </is>
      </c>
      <c r="Z1" s="1609" t="inlineStr">
        <is>
          <t>CPI</t>
        </is>
      </c>
      <c r="AA1" s="1610" t="inlineStr">
        <is>
          <t>Full Cost 
AUD</t>
        </is>
      </c>
      <c r="AB1" s="1601" t="inlineStr">
        <is>
          <t>MyHR ee no</t>
        </is>
      </c>
      <c r="AC1" s="1560" t="inlineStr">
        <is>
          <t>Model Portfolio</t>
        </is>
      </c>
      <c r="AD1" s="1560" t="inlineStr">
        <is>
          <t>Model Platform</t>
        </is>
      </c>
      <c r="AE1" s="1560" t="inlineStr">
        <is>
          <t>Model Squad</t>
        </is>
      </c>
      <c r="AF1" s="1560" t="inlineStr">
        <is>
          <t>Class</t>
        </is>
      </c>
      <c r="AG1" s="1560" t="inlineStr">
        <is>
          <t>Status</t>
        </is>
      </c>
    </row>
    <row r="2" hidden="1" ht="18" customHeight="1" s="866">
      <c r="A2" s="1566" t="n">
        <v>99999101533</v>
      </c>
      <c r="B2" s="1382" t="inlineStr">
        <is>
          <t>Adrian Alcance</t>
        </is>
      </c>
      <c r="C2" s="1611" t="inlineStr">
        <is>
          <t>Senior Engineer - DevOps</t>
        </is>
      </c>
      <c r="D2" s="1382" t="inlineStr">
        <is>
          <t>Vacant</t>
        </is>
      </c>
      <c r="E2" s="1382" t="inlineStr">
        <is>
          <t>Technology Manager, Engineering</t>
        </is>
      </c>
      <c r="F2" s="1382" t="inlineStr">
        <is>
          <t>Ampol Retail &amp; Z</t>
        </is>
      </c>
      <c r="G2" s="1382" t="inlineStr">
        <is>
          <t>Z &amp; Group Retail</t>
        </is>
      </c>
      <c r="H2" s="1382" t="inlineStr">
        <is>
          <t>Z &amp; Group Retail, Engineering</t>
        </is>
      </c>
      <c r="I2" s="1382" t="inlineStr">
        <is>
          <t>Z</t>
        </is>
      </c>
      <c r="J2" s="1382" t="inlineStr">
        <is>
          <t>Z Customer</t>
        </is>
      </c>
      <c r="K2" s="1382" t="inlineStr">
        <is>
          <t xml:space="preserve">Z Retail Backend </t>
        </is>
      </c>
      <c r="L2" s="1612" t="n"/>
      <c r="M2" s="1613" t="inlineStr">
        <is>
          <t>NZ</t>
        </is>
      </c>
      <c r="N2" s="1614" t="inlineStr">
        <is>
          <t>CIA</t>
        </is>
      </c>
      <c r="O2" s="1615" t="n">
        <v>1</v>
      </c>
      <c r="P2" s="1614" t="n"/>
      <c r="Q2" s="1615" t="inlineStr">
        <is>
          <t>Permanent - Full Time</t>
        </is>
      </c>
      <c r="R2" s="1616" t="n"/>
      <c r="S2" s="1616" t="n"/>
      <c r="T2" s="1616" t="n">
        <v>123710</v>
      </c>
      <c r="U2" s="1617" t="n">
        <v>113813.2</v>
      </c>
      <c r="V2" s="1618" t="n">
        <v>0.15</v>
      </c>
      <c r="W2" s="1615" t="n"/>
      <c r="X2" s="1619" t="n">
        <v>0.05</v>
      </c>
      <c r="Y2" s="1620" t="n">
        <v>2910</v>
      </c>
      <c r="Z2" s="1619" t="n">
        <v>0.03</v>
      </c>
      <c r="AA2" s="1621">
        <f>U2*(1+V2+X2+Z2)+Y2</f>
        <v>142900.236</v>
      </c>
      <c r="AB2" s="865" t="n">
        <v>113501</v>
      </c>
      <c r="AC2" s="865" t="inlineStr">
        <is>
          <t>Z Retail</t>
        </is>
      </c>
      <c r="AD2" s="865" t="inlineStr">
        <is>
          <t>Z Customer</t>
        </is>
      </c>
      <c r="AE2" s="865" t="inlineStr">
        <is>
          <t>Z Retail Backend</t>
        </is>
      </c>
      <c r="AF2" s="865" t="inlineStr">
        <is>
          <t>Squad</t>
        </is>
      </c>
      <c r="AG2" s="865" t="inlineStr">
        <is>
          <t>Filled</t>
        </is>
      </c>
    </row>
    <row r="3" hidden="1" ht="18" customHeight="1" s="866">
      <c r="A3" s="1566" t="n">
        <v>110388</v>
      </c>
      <c r="B3" s="1382" t="inlineStr">
        <is>
          <t>Adrian Lueng</t>
        </is>
      </c>
      <c r="C3" s="1611" t="inlineStr">
        <is>
          <t>Quality Assurance</t>
        </is>
      </c>
      <c r="D3" s="1382" t="inlineStr">
        <is>
          <t>Vedran Jukic</t>
        </is>
      </c>
      <c r="E3" s="1382" t="inlineStr">
        <is>
          <t>Technology Manager, Retail</t>
        </is>
      </c>
      <c r="F3" s="1382" t="inlineStr">
        <is>
          <t>Ampol Retail &amp; Z</t>
        </is>
      </c>
      <c r="G3" s="1612" t="inlineStr">
        <is>
          <t>Ampol Retail</t>
        </is>
      </c>
      <c r="H3" s="1382" t="inlineStr">
        <is>
          <t>Ampol Retail, Technology</t>
        </is>
      </c>
      <c r="I3" s="1382" t="inlineStr">
        <is>
          <t>Retail</t>
        </is>
      </c>
      <c r="J3" s="1612" t="inlineStr">
        <is>
          <t>Network/QSR</t>
        </is>
      </c>
      <c r="K3" s="1382" t="inlineStr">
        <is>
          <t>Network &amp; QSR</t>
        </is>
      </c>
      <c r="L3" s="1612" t="n"/>
      <c r="M3" s="1613" t="inlineStr">
        <is>
          <t>Australia</t>
        </is>
      </c>
      <c r="N3" s="1614" t="inlineStr">
        <is>
          <t>CIA</t>
        </is>
      </c>
      <c r="O3" s="1614" t="n">
        <v>1</v>
      </c>
      <c r="P3" s="1614" t="n"/>
      <c r="Q3" s="1614" t="inlineStr">
        <is>
          <t>Permanent - Full Time</t>
        </is>
      </c>
      <c r="R3" s="1616" t="n"/>
      <c r="S3" s="1616" t="n"/>
      <c r="T3" s="1616" t="n">
        <v>120030</v>
      </c>
      <c r="U3" s="1617" t="n">
        <v>120030</v>
      </c>
      <c r="V3" s="1619" t="n">
        <v>0.1</v>
      </c>
      <c r="W3" s="1622" t="n">
        <v>0.055</v>
      </c>
      <c r="X3" s="1622" t="n">
        <v>0.12</v>
      </c>
      <c r="Y3" s="1623" t="n"/>
      <c r="Z3" s="1622" t="n">
        <v>0.04</v>
      </c>
      <c r="AA3" s="1621">
        <f>U3*(1+V3+W3+X3+Y3+Z3)</f>
        <v>157839.45</v>
      </c>
      <c r="AC3" s="865" t="inlineStr">
        <is>
          <t>Ampol Retail</t>
        </is>
      </c>
      <c r="AD3" s="865" t="inlineStr">
        <is>
          <t>Network / QSR</t>
        </is>
      </c>
      <c r="AE3" s="865" t="inlineStr">
        <is>
          <t>Network / QSR</t>
        </is>
      </c>
      <c r="AF3" s="865" t="inlineStr">
        <is>
          <t>Squad</t>
        </is>
      </c>
      <c r="AG3" s="865" t="inlineStr">
        <is>
          <t>Filled</t>
        </is>
      </c>
    </row>
    <row r="4" hidden="1" ht="18" customHeight="1" s="866">
      <c r="A4" s="1566" t="inlineStr">
        <is>
          <t>C</t>
        </is>
      </c>
      <c r="B4" s="1382" t="inlineStr">
        <is>
          <t>Alex Prakhiy</t>
        </is>
      </c>
      <c r="C4" s="1611" t="inlineStr">
        <is>
          <t>Business Analyst</t>
        </is>
      </c>
      <c r="D4" s="1382" t="inlineStr">
        <is>
          <t>Vanessa Allen</t>
        </is>
      </c>
      <c r="E4" s="1382" t="inlineStr">
        <is>
          <t>Delivery Manager, Ampol Retail</t>
        </is>
      </c>
      <c r="F4" s="1382" t="inlineStr">
        <is>
          <t>Ampol Retail &amp; Z</t>
        </is>
      </c>
      <c r="G4" s="1612" t="inlineStr">
        <is>
          <t>Ampol Retail</t>
        </is>
      </c>
      <c r="H4" s="1382" t="inlineStr">
        <is>
          <t>Ampol Retail, Delivery</t>
        </is>
      </c>
      <c r="I4" s="1382" t="inlineStr">
        <is>
          <t>EGI Integration</t>
        </is>
      </c>
      <c r="J4" s="1612" t="inlineStr">
        <is>
          <t>EGI</t>
        </is>
      </c>
      <c r="K4" s="1382" t="inlineStr">
        <is>
          <t>EGI</t>
        </is>
      </c>
      <c r="L4" s="1612" t="n"/>
      <c r="M4" s="1613" t="inlineStr">
        <is>
          <t>Australia</t>
        </is>
      </c>
      <c r="N4" s="1616" t="inlineStr">
        <is>
          <t>NA</t>
        </is>
      </c>
      <c r="O4" s="1614" t="n">
        <v>1</v>
      </c>
      <c r="P4" s="1616" t="n"/>
      <c r="Q4" s="1616" t="inlineStr">
        <is>
          <t>cxc</t>
        </is>
      </c>
      <c r="R4" s="1624" t="inlineStr">
        <is>
          <t>Daily</t>
        </is>
      </c>
      <c r="S4" s="1616" t="n">
        <v>1000</v>
      </c>
      <c r="T4" s="1616" t="n">
        <v>0</v>
      </c>
      <c r="U4" s="1616" t="n"/>
      <c r="V4" s="1612" t="n"/>
      <c r="W4" s="1612" t="n"/>
      <c r="X4" s="1612" t="n"/>
      <c r="Y4" s="1612" t="n"/>
      <c r="Z4" s="1612" t="n"/>
      <c r="AA4" s="1625">
        <f>S4*222</f>
        <v>222000</v>
      </c>
      <c r="AC4" s="865" t="inlineStr">
        <is>
          <t>EGI</t>
        </is>
      </c>
      <c r="AD4" s="865" t="inlineStr">
        <is>
          <t>EGI</t>
        </is>
      </c>
      <c r="AE4" s="865" t="inlineStr">
        <is>
          <t>EGI (unassigned)</t>
        </is>
      </c>
      <c r="AF4" s="865" t="inlineStr">
        <is>
          <t>Unmapped</t>
        </is>
      </c>
      <c r="AG4" s="865" t="inlineStr">
        <is>
          <t>Filled</t>
        </is>
      </c>
    </row>
    <row r="5" hidden="1" ht="18" customHeight="1" s="866">
      <c r="A5" s="1566" t="n">
        <v>99999101643</v>
      </c>
      <c r="B5" s="1382" t="inlineStr">
        <is>
          <t>Alex Sutherland</t>
        </is>
      </c>
      <c r="C5" s="1611" t="inlineStr">
        <is>
          <t>Site Systems Analyst</t>
        </is>
      </c>
      <c r="D5" s="1382" t="inlineStr">
        <is>
          <t>Callan McLaughlin</t>
        </is>
      </c>
      <c r="E5" s="1382" t="inlineStr">
        <is>
          <t>Technology Manager,  Site Systems</t>
        </is>
      </c>
      <c r="F5" s="1382" t="inlineStr">
        <is>
          <t>Ampol Retail &amp; Z</t>
        </is>
      </c>
      <c r="G5" s="1612" t="inlineStr">
        <is>
          <t>Z &amp; Group Retail</t>
        </is>
      </c>
      <c r="H5" s="1382" t="inlineStr">
        <is>
          <t>Z &amp; Group Retail, Site Systems</t>
        </is>
      </c>
      <c r="I5" s="1382" t="inlineStr">
        <is>
          <t>Z</t>
        </is>
      </c>
      <c r="J5" s="1612" t="inlineStr">
        <is>
          <t>Z Customer</t>
        </is>
      </c>
      <c r="K5" s="1382" t="inlineStr">
        <is>
          <t>Site Systems</t>
        </is>
      </c>
      <c r="L5" s="1612" t="n"/>
      <c r="M5" s="1613" t="inlineStr">
        <is>
          <t>NZ</t>
        </is>
      </c>
      <c r="N5" s="1614" t="inlineStr">
        <is>
          <t>CDB</t>
        </is>
      </c>
      <c r="O5" s="1615" t="n">
        <v>1</v>
      </c>
      <c r="P5" s="1614" t="n"/>
      <c r="Q5" s="1615" t="inlineStr">
        <is>
          <t>Permanent - Full Time</t>
        </is>
      </c>
      <c r="R5" s="1616" t="n"/>
      <c r="S5" s="1616" t="n"/>
      <c r="T5" s="1616" t="n">
        <v>86540</v>
      </c>
      <c r="U5" s="1617" t="n">
        <v>79616.8</v>
      </c>
      <c r="V5" s="1618" t="n">
        <v>0.1</v>
      </c>
      <c r="W5" s="1615" t="n"/>
      <c r="X5" s="1619" t="n">
        <v>0.05</v>
      </c>
      <c r="Y5" s="1620" t="n">
        <v>2910</v>
      </c>
      <c r="Z5" s="1619" t="n">
        <v>0.03</v>
      </c>
      <c r="AA5" s="1621">
        <f>U5*(1+V5+X5+Z5)+Y5</f>
        <v>96857.824</v>
      </c>
      <c r="AB5" s="865" t="n">
        <v>113502</v>
      </c>
      <c r="AC5" s="865" t="inlineStr">
        <is>
          <t>Z Retail</t>
        </is>
      </c>
      <c r="AD5" s="865" t="inlineStr">
        <is>
          <t>Z Customer</t>
        </is>
      </c>
      <c r="AE5" s="865" t="inlineStr">
        <is>
          <t>Site Systems</t>
        </is>
      </c>
      <c r="AF5" s="865" t="inlineStr">
        <is>
          <t>Squad</t>
        </is>
      </c>
      <c r="AG5" s="865" t="inlineStr">
        <is>
          <t>Filled</t>
        </is>
      </c>
    </row>
    <row r="6" hidden="1" ht="18" customHeight="1" s="866">
      <c r="A6" s="1566" t="n">
        <v>99999101548</v>
      </c>
      <c r="B6" s="1382" t="inlineStr">
        <is>
          <t>Allana Arbuckle</t>
        </is>
      </c>
      <c r="C6" s="1611" t="inlineStr">
        <is>
          <t>Business Analyst</t>
        </is>
      </c>
      <c r="D6" s="1612" t="inlineStr">
        <is>
          <t>Vacant</t>
        </is>
      </c>
      <c r="E6" s="1382" t="inlineStr">
        <is>
          <t>Delivery Manager, Z and Retail Data</t>
        </is>
      </c>
      <c r="F6" s="1382" t="inlineStr">
        <is>
          <t>Ampol Retail &amp; Z</t>
        </is>
      </c>
      <c r="G6" s="1612" t="inlineStr">
        <is>
          <t>Z &amp; Group Retail</t>
        </is>
      </c>
      <c r="H6" s="1382" t="inlineStr">
        <is>
          <t>Z &amp; Group Retail, Delivery</t>
        </is>
      </c>
      <c r="I6" s="1382" t="inlineStr">
        <is>
          <t>Z</t>
        </is>
      </c>
      <c r="J6" s="1382" t="inlineStr">
        <is>
          <t>Z Customer</t>
        </is>
      </c>
      <c r="K6" s="1382" t="inlineStr">
        <is>
          <t xml:space="preserve">Z Retail Backend </t>
        </is>
      </c>
      <c r="L6" s="1612" t="n"/>
      <c r="M6" s="1613" t="inlineStr">
        <is>
          <t>NZ</t>
        </is>
      </c>
      <c r="N6" s="1614" t="inlineStr">
        <is>
          <t>CDB</t>
        </is>
      </c>
      <c r="O6" s="1615" t="n">
        <v>1</v>
      </c>
      <c r="P6" s="1614" t="n"/>
      <c r="Q6" s="1615" t="inlineStr">
        <is>
          <t>Permanent - Full Time</t>
        </is>
      </c>
      <c r="R6" s="1616" t="n"/>
      <c r="S6" s="1616" t="n"/>
      <c r="T6" s="1616" t="n">
        <v>100900</v>
      </c>
      <c r="U6" s="1617" t="n">
        <v>92828</v>
      </c>
      <c r="V6" s="1618" t="n">
        <v>0.1</v>
      </c>
      <c r="W6" s="1615" t="n"/>
      <c r="X6" s="1619" t="n">
        <v>0.05</v>
      </c>
      <c r="Y6" s="1620" t="n">
        <v>2910</v>
      </c>
      <c r="Z6" s="1619" t="n">
        <v>0.03</v>
      </c>
      <c r="AA6" s="1621">
        <f>U6*(1+V6+X6+Z6)+Y6</f>
        <v>112447.04</v>
      </c>
      <c r="AB6" s="865" t="n">
        <v>113503</v>
      </c>
      <c r="AC6" s="865" t="inlineStr">
        <is>
          <t>Z Retail</t>
        </is>
      </c>
      <c r="AD6" s="865" t="inlineStr">
        <is>
          <t>Z Customer</t>
        </is>
      </c>
      <c r="AE6" s="865" t="inlineStr">
        <is>
          <t>Z Retail Backend</t>
        </is>
      </c>
      <c r="AF6" s="865" t="inlineStr">
        <is>
          <t>Squad</t>
        </is>
      </c>
      <c r="AG6" s="865" t="inlineStr">
        <is>
          <t>Filled</t>
        </is>
      </c>
    </row>
    <row r="7" hidden="1" ht="18" customHeight="1" s="866">
      <c r="A7" s="1566" t="n">
        <v>4534</v>
      </c>
      <c r="B7" s="1382" t="inlineStr">
        <is>
          <t>Andrew Whitford</t>
        </is>
      </c>
      <c r="C7" s="1611" t="inlineStr">
        <is>
          <t>Field Systems Operations Lead - WA</t>
        </is>
      </c>
      <c r="D7" s="1382" t="inlineStr">
        <is>
          <t>Ephriam Adan</t>
        </is>
      </c>
      <c r="E7" s="1382" t="inlineStr">
        <is>
          <t>Manager, AU Retail Operations</t>
        </is>
      </c>
      <c r="F7" s="1382" t="inlineStr">
        <is>
          <t>Ampol Retail &amp; Z</t>
        </is>
      </c>
      <c r="G7" s="1612" t="inlineStr">
        <is>
          <t>Ampol Retail</t>
        </is>
      </c>
      <c r="H7" s="1382" t="inlineStr">
        <is>
          <t>Ampol Retail, Technology</t>
        </is>
      </c>
      <c r="I7" s="1382" t="inlineStr">
        <is>
          <t>Retail</t>
        </is>
      </c>
      <c r="J7" s="1612" t="inlineStr">
        <is>
          <t>Store Operations</t>
        </is>
      </c>
      <c r="K7" s="1382" t="inlineStr">
        <is>
          <t>Store Operations</t>
        </is>
      </c>
      <c r="L7" s="1612" t="n"/>
      <c r="M7" s="1613" t="inlineStr">
        <is>
          <t>Australia</t>
        </is>
      </c>
      <c r="N7" s="1616" t="inlineStr">
        <is>
          <t>CIA</t>
        </is>
      </c>
      <c r="O7" s="1616" t="n">
        <v>1</v>
      </c>
      <c r="P7" s="1616" t="n"/>
      <c r="Q7" s="1616" t="inlineStr">
        <is>
          <t>Permanent - Full Time</t>
        </is>
      </c>
      <c r="R7" s="1616" t="n"/>
      <c r="S7" s="1616" t="n"/>
      <c r="T7" s="1616" t="n">
        <v>124740</v>
      </c>
      <c r="U7" s="1626" t="n">
        <v>124740</v>
      </c>
      <c r="V7" s="1619" t="n">
        <v>0.1</v>
      </c>
      <c r="W7" s="1622" t="n">
        <v>0.055</v>
      </c>
      <c r="X7" s="1622" t="n">
        <v>0.12</v>
      </c>
      <c r="Y7" s="1623" t="n"/>
      <c r="Z7" s="1622" t="n">
        <v>0.04</v>
      </c>
      <c r="AA7" s="1621">
        <f>U7*(1+V7+W7+X7+Y7+Z7)</f>
        <v>164033.1</v>
      </c>
      <c r="AC7" s="865" t="inlineStr">
        <is>
          <t>Ampol Retail</t>
        </is>
      </c>
      <c r="AD7" s="865" t="inlineStr">
        <is>
          <t>Store Operations</t>
        </is>
      </c>
      <c r="AE7" s="865" t="inlineStr">
        <is>
          <t>Store Operations</t>
        </is>
      </c>
      <c r="AF7" s="865" t="inlineStr">
        <is>
          <t>Squad</t>
        </is>
      </c>
      <c r="AG7" s="865" t="inlineStr">
        <is>
          <t>Filled</t>
        </is>
      </c>
    </row>
    <row r="8" hidden="1" ht="18" customHeight="1" s="866">
      <c r="A8" s="1566" t="n">
        <v>111451</v>
      </c>
      <c r="B8" s="1382" t="inlineStr">
        <is>
          <t>Aniket Banerji</t>
        </is>
      </c>
      <c r="C8" s="1611" t="inlineStr">
        <is>
          <t>Deployment Lead</t>
        </is>
      </c>
      <c r="D8" s="1382" t="inlineStr">
        <is>
          <t>Matthew Patane</t>
        </is>
      </c>
      <c r="E8" s="1382" t="inlineStr">
        <is>
          <t>Release &amp; Deployment Manager</t>
        </is>
      </c>
      <c r="F8" s="1382" t="inlineStr">
        <is>
          <t>Ampol Retail &amp; Z</t>
        </is>
      </c>
      <c r="G8" s="1612" t="inlineStr">
        <is>
          <t>Ampol Retail</t>
        </is>
      </c>
      <c r="H8" s="1382" t="inlineStr">
        <is>
          <t>Ampol Retail, Technology</t>
        </is>
      </c>
      <c r="I8" s="1382" t="inlineStr">
        <is>
          <t>Retail</t>
        </is>
      </c>
      <c r="J8" s="1612" t="inlineStr">
        <is>
          <t>Store Operations</t>
        </is>
      </c>
      <c r="K8" s="1572" t="inlineStr">
        <is>
          <t>Deployment</t>
        </is>
      </c>
      <c r="L8" s="1612" t="n"/>
      <c r="M8" s="1613" t="inlineStr">
        <is>
          <t>Australia</t>
        </is>
      </c>
      <c r="N8" s="1614" t="inlineStr">
        <is>
          <t>CIB</t>
        </is>
      </c>
      <c r="O8" s="1614" t="n">
        <v>1</v>
      </c>
      <c r="P8" s="1614" t="n"/>
      <c r="Q8" s="1614" t="inlineStr">
        <is>
          <t>Temporary - Full Time</t>
        </is>
      </c>
      <c r="R8" s="1616" t="n"/>
      <c r="S8" s="1616" t="n"/>
      <c r="T8" s="1616" t="n">
        <v>150000</v>
      </c>
      <c r="U8" s="1626" t="n">
        <v>150000</v>
      </c>
      <c r="V8" s="1619" t="n">
        <v>0.12</v>
      </c>
      <c r="W8" s="1622" t="n">
        <v>0.055</v>
      </c>
      <c r="X8" s="1622" t="n">
        <v>0.12</v>
      </c>
      <c r="Y8" s="1623" t="n"/>
      <c r="Z8" s="1622" t="n">
        <v>0.04</v>
      </c>
      <c r="AA8" s="1621">
        <f>U8*(1+V8+W8+X8+Y8+Z8)</f>
        <v>200250</v>
      </c>
      <c r="AC8" s="865" t="inlineStr">
        <is>
          <t>Ampol Retail</t>
        </is>
      </c>
      <c r="AD8" s="865" t="inlineStr">
        <is>
          <t>Store Operations</t>
        </is>
      </c>
      <c r="AE8" s="865" t="inlineStr">
        <is>
          <t>Deployment</t>
        </is>
      </c>
      <c r="AF8" s="865" t="inlineStr">
        <is>
          <t>Squad</t>
        </is>
      </c>
      <c r="AG8" s="865" t="inlineStr">
        <is>
          <t>Filled</t>
        </is>
      </c>
    </row>
    <row r="9" hidden="1" ht="18" customHeight="1" s="866">
      <c r="A9" s="1566" t="n">
        <v>99999101214</v>
      </c>
      <c r="B9" s="1382" t="inlineStr">
        <is>
          <t>Anna Koot</t>
        </is>
      </c>
      <c r="C9" s="1611" t="inlineStr">
        <is>
          <t>Senior Business Analyst</t>
        </is>
      </c>
      <c r="D9" s="1612" t="inlineStr">
        <is>
          <t>Vacant</t>
        </is>
      </c>
      <c r="E9" s="1382" t="inlineStr">
        <is>
          <t>Delivery Manager, Z and Retail Data</t>
        </is>
      </c>
      <c r="F9" s="1382" t="inlineStr">
        <is>
          <t>Ampol Retail &amp; Z</t>
        </is>
      </c>
      <c r="G9" s="1612" t="inlineStr">
        <is>
          <t>Z &amp; Group Retail</t>
        </is>
      </c>
      <c r="H9" s="1382" t="inlineStr">
        <is>
          <t>Z &amp; Group Retail, Delivery</t>
        </is>
      </c>
      <c r="I9" s="1382" t="inlineStr">
        <is>
          <t>Z</t>
        </is>
      </c>
      <c r="J9" s="1612" t="inlineStr">
        <is>
          <t>Z Supply</t>
        </is>
      </c>
      <c r="K9" s="1382" t="inlineStr">
        <is>
          <t>Z Supply</t>
        </is>
      </c>
      <c r="L9" s="1612" t="n"/>
      <c r="M9" s="1613" t="inlineStr">
        <is>
          <t>NZ</t>
        </is>
      </c>
      <c r="N9" s="1614" t="inlineStr">
        <is>
          <t>CIA</t>
        </is>
      </c>
      <c r="O9" s="1615" t="n">
        <v>1</v>
      </c>
      <c r="P9" s="1614" t="n"/>
      <c r="Q9" s="1615" t="inlineStr">
        <is>
          <t>Permanent - Full Time</t>
        </is>
      </c>
      <c r="R9" s="1616" t="n"/>
      <c r="S9" s="1616" t="n"/>
      <c r="T9" s="1616" t="n">
        <v>133320</v>
      </c>
      <c r="U9" s="1626" t="n">
        <v>122654.4</v>
      </c>
      <c r="V9" s="1618" t="n">
        <v>0.15</v>
      </c>
      <c r="W9" s="1615" t="n"/>
      <c r="X9" s="1619" t="n">
        <v>0.05</v>
      </c>
      <c r="Y9" s="1620" t="n">
        <v>2910</v>
      </c>
      <c r="Z9" s="1619" t="n">
        <v>0.03</v>
      </c>
      <c r="AA9" s="1621">
        <f>U9*(1+V9+X9+Z9)+Y9</f>
        <v>153774.912</v>
      </c>
      <c r="AB9" s="865" t="n">
        <v>113512</v>
      </c>
      <c r="AC9" s="865" t="inlineStr">
        <is>
          <t>Z Retail</t>
        </is>
      </c>
      <c r="AD9" s="865" t="inlineStr">
        <is>
          <t>Z Supply</t>
        </is>
      </c>
      <c r="AE9" s="865" t="inlineStr">
        <is>
          <t>Z Supply</t>
        </is>
      </c>
      <c r="AF9" s="865" t="inlineStr">
        <is>
          <t>Squad</t>
        </is>
      </c>
      <c r="AG9" s="865" t="inlineStr">
        <is>
          <t>Filled</t>
        </is>
      </c>
    </row>
    <row r="10" hidden="1" ht="18" customHeight="1" s="866">
      <c r="A10" s="1566" t="n">
        <v>9999970029518</v>
      </c>
      <c r="B10" s="1382" t="inlineStr">
        <is>
          <t>Anne Pretorius</t>
        </is>
      </c>
      <c r="C10" s="1611" t="inlineStr">
        <is>
          <t>Lead Business Analyst</t>
        </is>
      </c>
      <c r="D10" s="1612" t="inlineStr">
        <is>
          <t>Vacant</t>
        </is>
      </c>
      <c r="E10" s="1382" t="inlineStr">
        <is>
          <t>Delivery Manager, Z and Retail Data</t>
        </is>
      </c>
      <c r="F10" s="1382" t="inlineStr">
        <is>
          <t>Ampol Retail &amp; Z</t>
        </is>
      </c>
      <c r="G10" s="1612" t="inlineStr">
        <is>
          <t>Z &amp; Group Retail</t>
        </is>
      </c>
      <c r="H10" s="1382" t="inlineStr">
        <is>
          <t>Z &amp; Group Retail, Delivery</t>
        </is>
      </c>
      <c r="I10" s="1382" t="inlineStr">
        <is>
          <t>EGI Integration</t>
        </is>
      </c>
      <c r="J10" s="1612" t="inlineStr">
        <is>
          <t>EGI</t>
        </is>
      </c>
      <c r="K10" s="1382" t="inlineStr">
        <is>
          <t>EGI</t>
        </is>
      </c>
      <c r="L10" s="1612" t="n"/>
      <c r="M10" s="1613" t="inlineStr">
        <is>
          <t>NZ</t>
        </is>
      </c>
      <c r="N10" s="1614" t="inlineStr">
        <is>
          <t>CIC</t>
        </is>
      </c>
      <c r="O10" s="1615" t="n">
        <v>0.8</v>
      </c>
      <c r="P10" s="1614" t="n"/>
      <c r="Q10" s="1615" t="inlineStr">
        <is>
          <t>Permanent - Part Time</t>
        </is>
      </c>
      <c r="R10" s="1616" t="n"/>
      <c r="S10" s="1616" t="n"/>
      <c r="T10" s="1616" t="n">
        <v>170290</v>
      </c>
      <c r="U10" s="1626" t="n">
        <v>156666.8</v>
      </c>
      <c r="V10" s="1618" t="n">
        <v>0.15</v>
      </c>
      <c r="W10" s="1615" t="n"/>
      <c r="X10" s="1619" t="n">
        <v>0.05</v>
      </c>
      <c r="Y10" s="1620" t="n">
        <v>2910</v>
      </c>
      <c r="Z10" s="1619" t="n">
        <v>0.03</v>
      </c>
      <c r="AA10" s="1621">
        <f>U10*(1+V10+X10+Z10)+Y10</f>
        <v>195610.164</v>
      </c>
      <c r="AB10" s="865" t="n">
        <v>113513</v>
      </c>
      <c r="AC10" s="865" t="inlineStr">
        <is>
          <t>EGI</t>
        </is>
      </c>
      <c r="AD10" s="865" t="inlineStr">
        <is>
          <t>EGI</t>
        </is>
      </c>
      <c r="AE10" s="865" t="inlineStr">
        <is>
          <t>EGI (unassigned)</t>
        </is>
      </c>
      <c r="AF10" s="865" t="inlineStr">
        <is>
          <t>Unmapped</t>
        </is>
      </c>
      <c r="AG10" s="865" t="inlineStr">
        <is>
          <t>Filled</t>
        </is>
      </c>
    </row>
    <row r="11" hidden="1" ht="18" customHeight="1" s="866">
      <c r="A11" s="1566" t="n">
        <v>110197</v>
      </c>
      <c r="B11" s="1382" t="inlineStr">
        <is>
          <t>Anthony Dumbrell</t>
        </is>
      </c>
      <c r="C11" s="1611" t="inlineStr">
        <is>
          <t>Technology &amp; Lab Specialist Stores</t>
        </is>
      </c>
      <c r="D11" s="1382" t="inlineStr">
        <is>
          <t>Vedran Jukic</t>
        </is>
      </c>
      <c r="E11" s="1382" t="inlineStr">
        <is>
          <t>Technology Manager, Retail</t>
        </is>
      </c>
      <c r="F11" s="1382" t="inlineStr">
        <is>
          <t>Ampol Retail &amp; Z</t>
        </is>
      </c>
      <c r="G11" s="1612" t="inlineStr">
        <is>
          <t>Ampol Retail</t>
        </is>
      </c>
      <c r="H11" s="1382" t="inlineStr">
        <is>
          <t>Ampol Retail, Technology</t>
        </is>
      </c>
      <c r="I11" s="1382" t="inlineStr">
        <is>
          <t>Retail</t>
        </is>
      </c>
      <c r="J11" s="1612" t="inlineStr">
        <is>
          <t>Store Operations</t>
        </is>
      </c>
      <c r="K11" s="1382" t="inlineStr">
        <is>
          <t>Deployment</t>
        </is>
      </c>
      <c r="L11" s="1612" t="n"/>
      <c r="M11" s="1613" t="inlineStr">
        <is>
          <t>Australia</t>
        </is>
      </c>
      <c r="N11" s="1614" t="inlineStr">
        <is>
          <t>CIB</t>
        </is>
      </c>
      <c r="O11" s="1614" t="n">
        <v>1</v>
      </c>
      <c r="P11" s="1614" t="n"/>
      <c r="Q11" s="1614" t="inlineStr">
        <is>
          <t>Permanent - Full Time</t>
        </is>
      </c>
      <c r="R11" s="1616" t="n"/>
      <c r="S11" s="1616" t="n"/>
      <c r="T11" s="1616" t="n">
        <v>154360</v>
      </c>
      <c r="U11" s="1626" t="n">
        <v>154360</v>
      </c>
      <c r="V11" s="1619" t="n">
        <v>0.12</v>
      </c>
      <c r="W11" s="1622" t="n">
        <v>0.055</v>
      </c>
      <c r="X11" s="1622" t="n">
        <v>0.12</v>
      </c>
      <c r="Y11" s="1623" t="n"/>
      <c r="Z11" s="1622" t="n">
        <v>0.04</v>
      </c>
      <c r="AA11" s="1621">
        <f>U11*(1+V11+W11+X11+Y11+Z11)</f>
        <v>206070.6</v>
      </c>
      <c r="AC11" s="865" t="inlineStr">
        <is>
          <t>Ampol Retail</t>
        </is>
      </c>
      <c r="AD11" s="865" t="inlineStr">
        <is>
          <t>Store Operations</t>
        </is>
      </c>
      <c r="AE11" s="865" t="inlineStr">
        <is>
          <t>Deployment</t>
        </is>
      </c>
      <c r="AF11" s="865" t="inlineStr">
        <is>
          <t>Squad</t>
        </is>
      </c>
      <c r="AG11" s="865" t="inlineStr">
        <is>
          <t>Filled</t>
        </is>
      </c>
    </row>
    <row r="12" hidden="1" ht="18" customHeight="1" s="866">
      <c r="A12" s="1566" t="n">
        <v>99999101647</v>
      </c>
      <c r="B12" s="1382" t="inlineStr">
        <is>
          <t>Ash Muthumala</t>
        </is>
      </c>
      <c r="C12" s="1611" t="inlineStr">
        <is>
          <t>Senior QA Analyst</t>
        </is>
      </c>
      <c r="D12" s="1612" t="inlineStr">
        <is>
          <t>Vacant</t>
        </is>
      </c>
      <c r="E12" s="1382" t="inlineStr">
        <is>
          <t>Technology Manager, Data</t>
        </is>
      </c>
      <c r="F12" s="1382" t="inlineStr">
        <is>
          <t>Ampol Retail &amp; Z</t>
        </is>
      </c>
      <c r="G12" s="1612" t="inlineStr">
        <is>
          <t>Z &amp; Group Retail</t>
        </is>
      </c>
      <c r="H12" s="865" t="inlineStr">
        <is>
          <t>Z &amp; Group Retail, Data</t>
        </is>
      </c>
      <c r="I12" s="1382" t="inlineStr">
        <is>
          <t>Z</t>
        </is>
      </c>
      <c r="J12" s="1612" t="inlineStr">
        <is>
          <t>Z Customer &amp; Z Supply</t>
        </is>
      </c>
      <c r="K12" s="1382" t="inlineStr">
        <is>
          <t>Data - NZ</t>
        </is>
      </c>
      <c r="L12" s="1612" t="n"/>
      <c r="M12" s="1613" t="inlineStr">
        <is>
          <t>NZ</t>
        </is>
      </c>
      <c r="N12" s="1614" t="inlineStr">
        <is>
          <t>CIA</t>
        </is>
      </c>
      <c r="O12" s="1615" t="n">
        <v>1</v>
      </c>
      <c r="P12" s="1614" t="n"/>
      <c r="Q12" s="1615" t="inlineStr">
        <is>
          <t>Permanent - Full Time</t>
        </is>
      </c>
      <c r="R12" s="1616" t="n"/>
      <c r="S12" s="1616" t="n"/>
      <c r="T12" s="1616" t="n">
        <v>121830</v>
      </c>
      <c r="U12" s="1626" t="n">
        <v>112083.6</v>
      </c>
      <c r="V12" s="1618" t="n">
        <v>0.15</v>
      </c>
      <c r="W12" s="1615" t="n"/>
      <c r="X12" s="1619" t="n">
        <v>0.05</v>
      </c>
      <c r="Y12" s="1620" t="n">
        <v>2910</v>
      </c>
      <c r="Z12" s="1619" t="n">
        <v>0.03</v>
      </c>
      <c r="AA12" s="1621">
        <f>U12*(1+V12+X12+Z12)+Y12</f>
        <v>140772.828</v>
      </c>
      <c r="AB12" s="865" t="n">
        <v>113515</v>
      </c>
      <c r="AC12" s="865" t="inlineStr">
        <is>
          <t>Z Retail</t>
        </is>
      </c>
      <c r="AD12" s="865" t="inlineStr">
        <is>
          <t>-</t>
        </is>
      </c>
      <c r="AE12" s="865" t="inlineStr">
        <is>
          <t>Data NZ</t>
        </is>
      </c>
      <c r="AF12" s="865" t="inlineStr">
        <is>
          <t>Unmapped</t>
        </is>
      </c>
      <c r="AG12" s="865" t="inlineStr">
        <is>
          <t>Filled</t>
        </is>
      </c>
    </row>
    <row r="13" hidden="1" ht="18" customHeight="1" s="866">
      <c r="A13" s="1566" t="n">
        <v>97784</v>
      </c>
      <c r="B13" s="1382" t="inlineStr">
        <is>
          <t>Balaji Murugan</t>
        </is>
      </c>
      <c r="C13" s="1611" t="inlineStr">
        <is>
          <t>Delivery Lead</t>
        </is>
      </c>
      <c r="D13" s="1382" t="inlineStr">
        <is>
          <t>Vanessa Allen</t>
        </is>
      </c>
      <c r="E13" s="1382" t="inlineStr">
        <is>
          <t>Delivery Manager, Ampol Retail</t>
        </is>
      </c>
      <c r="F13" s="1382" t="inlineStr">
        <is>
          <t>Ampol Retail &amp; Z</t>
        </is>
      </c>
      <c r="G13" s="1612" t="inlineStr">
        <is>
          <t>Ampol Retail</t>
        </is>
      </c>
      <c r="H13" s="1382" t="inlineStr">
        <is>
          <t>Ampol Retail, Delivery</t>
        </is>
      </c>
      <c r="I13" s="1382" t="inlineStr">
        <is>
          <t>Retail</t>
        </is>
      </c>
      <c r="J13" s="1612" t="inlineStr">
        <is>
          <t>AMPOS</t>
        </is>
      </c>
      <c r="K13" s="1382" t="inlineStr">
        <is>
          <t>Ampos</t>
        </is>
      </c>
      <c r="L13" s="1612" t="n"/>
      <c r="M13" s="1613" t="inlineStr">
        <is>
          <t>Australia</t>
        </is>
      </c>
      <c r="N13" s="1614" t="inlineStr">
        <is>
          <t>CIC</t>
        </is>
      </c>
      <c r="O13" s="1614" t="n">
        <v>1</v>
      </c>
      <c r="P13" s="1614" t="n"/>
      <c r="Q13" s="1614" t="inlineStr">
        <is>
          <t>Permanent - Full Time</t>
        </is>
      </c>
      <c r="R13" s="1616" t="n"/>
      <c r="S13" s="1616" t="n"/>
      <c r="T13" s="1616" t="n">
        <v>178018</v>
      </c>
      <c r="U13" s="1626" t="n">
        <v>178018</v>
      </c>
      <c r="V13" s="1619" t="n">
        <v>0.12</v>
      </c>
      <c r="W13" s="1622" t="n">
        <v>0.055</v>
      </c>
      <c r="X13" s="1622" t="n">
        <v>0.12</v>
      </c>
      <c r="Y13" s="1623" t="n"/>
      <c r="Z13" s="1622" t="n">
        <v>0.04</v>
      </c>
      <c r="AA13" s="1621">
        <f>U13*(1+V13+W13+X13+Y13+Z13)</f>
        <v>237654.03</v>
      </c>
      <c r="AC13" s="865" t="inlineStr">
        <is>
          <t>Ampol Retail</t>
        </is>
      </c>
      <c r="AD13" s="865" t="inlineStr">
        <is>
          <t>AmPOS</t>
        </is>
      </c>
      <c r="AE13" s="865" t="inlineStr">
        <is>
          <t>AmPOS</t>
        </is>
      </c>
      <c r="AF13" s="865" t="inlineStr">
        <is>
          <t>Strategic Program</t>
        </is>
      </c>
      <c r="AG13" s="865" t="inlineStr">
        <is>
          <t>Filled</t>
        </is>
      </c>
    </row>
    <row r="14" hidden="1" ht="18" customHeight="1" s="866">
      <c r="A14" s="1566" t="n">
        <v>97847</v>
      </c>
      <c r="B14" s="1382" t="inlineStr">
        <is>
          <t>Beenu Murali</t>
        </is>
      </c>
      <c r="C14" s="1611" t="inlineStr">
        <is>
          <t>Quality Assurance</t>
        </is>
      </c>
      <c r="D14" s="1612" t="inlineStr">
        <is>
          <t>Vacant</t>
        </is>
      </c>
      <c r="E14" s="1382" t="inlineStr">
        <is>
          <t>Lead Quality Assurance</t>
        </is>
      </c>
      <c r="F14" s="1382" t="inlineStr">
        <is>
          <t>Ampol Retail &amp; Z</t>
        </is>
      </c>
      <c r="G14" s="1612" t="inlineStr">
        <is>
          <t>Ampol Retail</t>
        </is>
      </c>
      <c r="H14" s="1382" t="inlineStr">
        <is>
          <t>Ampol Retail, Store Platforms</t>
        </is>
      </c>
      <c r="I14" s="1382" t="inlineStr">
        <is>
          <t>Retail</t>
        </is>
      </c>
      <c r="J14" s="1612" t="inlineStr">
        <is>
          <t>Store Operations</t>
        </is>
      </c>
      <c r="K14" s="1382" t="inlineStr">
        <is>
          <t>Payments</t>
        </is>
      </c>
      <c r="L14" s="1612" t="n"/>
      <c r="M14" s="1613" t="inlineStr">
        <is>
          <t>Australia</t>
        </is>
      </c>
      <c r="N14" s="1614" t="inlineStr">
        <is>
          <t>CDC</t>
        </is>
      </c>
      <c r="O14" s="1614" t="n">
        <v>1</v>
      </c>
      <c r="P14" s="1614" t="n"/>
      <c r="Q14" s="1614" t="inlineStr">
        <is>
          <t>Permanent - Full Time</t>
        </is>
      </c>
      <c r="R14" s="1616" t="n"/>
      <c r="S14" s="1616" t="n"/>
      <c r="T14" s="1616" t="n">
        <v>111090</v>
      </c>
      <c r="U14" s="1626" t="n">
        <v>111090</v>
      </c>
      <c r="V14" s="1619" t="n">
        <v>0.1</v>
      </c>
      <c r="W14" s="1622" t="n">
        <v>0.055</v>
      </c>
      <c r="X14" s="1622" t="n">
        <v>0.12</v>
      </c>
      <c r="Y14" s="1623" t="n"/>
      <c r="Z14" s="1622" t="n">
        <v>0.04</v>
      </c>
      <c r="AA14" s="1621">
        <f>U14*(1+V14+W14+X14+Y14+Z14)</f>
        <v>146083.35</v>
      </c>
      <c r="AC14" s="865" t="inlineStr">
        <is>
          <t>Ampol Retail</t>
        </is>
      </c>
      <c r="AD14" s="865" t="inlineStr">
        <is>
          <t>Store Operations</t>
        </is>
      </c>
      <c r="AE14" s="865" t="inlineStr">
        <is>
          <t>Payments</t>
        </is>
      </c>
      <c r="AF14" s="865" t="inlineStr">
        <is>
          <t>Squad</t>
        </is>
      </c>
      <c r="AG14" s="865" t="inlineStr">
        <is>
          <t>Filled</t>
        </is>
      </c>
    </row>
    <row r="15" hidden="1" ht="18" customHeight="1" s="866">
      <c r="A15" s="1566" t="n">
        <v>99999101333</v>
      </c>
      <c r="B15" s="1382" t="inlineStr">
        <is>
          <t>Benjamin Sheffield</t>
        </is>
      </c>
      <c r="C15" s="1611" t="inlineStr">
        <is>
          <t>Lead Engineer - Software</t>
        </is>
      </c>
      <c r="D15" s="1382" t="inlineStr">
        <is>
          <t>Vacant</t>
        </is>
      </c>
      <c r="E15" s="1382" t="inlineStr">
        <is>
          <t>Technology Manager, Engineering</t>
        </is>
      </c>
      <c r="F15" s="1382" t="inlineStr">
        <is>
          <t>Ampol Retail &amp; Z</t>
        </is>
      </c>
      <c r="G15" s="1612" t="inlineStr">
        <is>
          <t>Z &amp; Group Retail</t>
        </is>
      </c>
      <c r="H15" s="1382" t="inlineStr">
        <is>
          <t>Z &amp; Group Retail, Engineering</t>
        </is>
      </c>
      <c r="I15" s="1382" t="inlineStr">
        <is>
          <t>Z</t>
        </is>
      </c>
      <c r="J15" s="1612" t="inlineStr">
        <is>
          <t>Z Supply</t>
        </is>
      </c>
      <c r="K15" s="1382" t="inlineStr">
        <is>
          <t>Z Supply</t>
        </is>
      </c>
      <c r="L15" s="1612" t="n"/>
      <c r="M15" s="1613" t="inlineStr">
        <is>
          <t>NZ</t>
        </is>
      </c>
      <c r="N15" s="1614" t="inlineStr">
        <is>
          <t>CIC</t>
        </is>
      </c>
      <c r="O15" s="1615" t="n">
        <v>1</v>
      </c>
      <c r="P15" s="1614" t="n"/>
      <c r="Q15" s="1615" t="inlineStr">
        <is>
          <t>Permanent - Full Time</t>
        </is>
      </c>
      <c r="R15" s="1616" t="n"/>
      <c r="S15" s="1616" t="n"/>
      <c r="T15" s="1616" t="n">
        <v>160250</v>
      </c>
      <c r="U15" s="1626" t="n">
        <v>147430</v>
      </c>
      <c r="V15" s="1618" t="n">
        <v>0.15</v>
      </c>
      <c r="W15" s="1615" t="n"/>
      <c r="X15" s="1619" t="n">
        <v>0.05</v>
      </c>
      <c r="Y15" s="1620" t="n">
        <v>2910</v>
      </c>
      <c r="Z15" s="1619" t="n">
        <v>0.03</v>
      </c>
      <c r="AA15" s="1621">
        <f>U15*(1+V15+X15+Z15)+Y15</f>
        <v>184248.9</v>
      </c>
      <c r="AB15" s="865" t="n">
        <v>113518</v>
      </c>
      <c r="AC15" s="865" t="inlineStr">
        <is>
          <t>Z Retail</t>
        </is>
      </c>
      <c r="AD15" s="865" t="inlineStr">
        <is>
          <t>Z Supply</t>
        </is>
      </c>
      <c r="AE15" s="865" t="inlineStr">
        <is>
          <t>Z Supply</t>
        </is>
      </c>
      <c r="AF15" s="865" t="inlineStr">
        <is>
          <t>Squad</t>
        </is>
      </c>
      <c r="AG15" s="865" t="inlineStr">
        <is>
          <t>Filled</t>
        </is>
      </c>
    </row>
    <row r="16" hidden="1" ht="18" customHeight="1" s="866">
      <c r="A16" s="1566" t="inlineStr">
        <is>
          <t>C</t>
        </is>
      </c>
      <c r="B16" s="1382" t="inlineStr">
        <is>
          <t>Bhaskar Nandi</t>
        </is>
      </c>
      <c r="C16" s="1611" t="inlineStr">
        <is>
          <t>Business Analyst</t>
        </is>
      </c>
      <c r="D16" s="1382" t="inlineStr">
        <is>
          <t>Vanessa Allen</t>
        </is>
      </c>
      <c r="E16" s="1382" t="inlineStr">
        <is>
          <t>Delivery Manager, Ampol Retail</t>
        </is>
      </c>
      <c r="F16" s="1382" t="inlineStr">
        <is>
          <t>Ampol Retail &amp; Z</t>
        </is>
      </c>
      <c r="G16" s="1612" t="inlineStr">
        <is>
          <t>Ampol Retail</t>
        </is>
      </c>
      <c r="H16" s="1382" t="inlineStr">
        <is>
          <t>Ampol Retail, Delivery</t>
        </is>
      </c>
      <c r="I16" s="1382" t="inlineStr">
        <is>
          <t>EGI Integration</t>
        </is>
      </c>
      <c r="J16" s="1612" t="inlineStr">
        <is>
          <t>EGI</t>
        </is>
      </c>
      <c r="K16" s="1382" t="inlineStr">
        <is>
          <t>EGI</t>
        </is>
      </c>
      <c r="L16" s="1612" t="n"/>
      <c r="M16" s="1613" t="inlineStr">
        <is>
          <t>Australia</t>
        </is>
      </c>
      <c r="N16" s="1616" t="inlineStr">
        <is>
          <t>NA</t>
        </is>
      </c>
      <c r="O16" s="1614" t="n">
        <v>1</v>
      </c>
      <c r="P16" s="1616" t="n"/>
      <c r="Q16" s="1616" t="inlineStr">
        <is>
          <t>cxc</t>
        </is>
      </c>
      <c r="R16" s="1624" t="inlineStr">
        <is>
          <t>Daily</t>
        </is>
      </c>
      <c r="S16" s="1616" t="n">
        <v>900</v>
      </c>
      <c r="T16" s="1616" t="n">
        <v>0</v>
      </c>
      <c r="U16" s="1627" t="n"/>
      <c r="V16" s="1612" t="n"/>
      <c r="W16" s="1612" t="n"/>
      <c r="X16" s="1612" t="n"/>
      <c r="Y16" s="1612" t="n"/>
      <c r="Z16" s="1612" t="n"/>
      <c r="AA16" s="1625">
        <f>S16*222</f>
        <v>199800</v>
      </c>
      <c r="AC16" s="865" t="inlineStr">
        <is>
          <t>EGI</t>
        </is>
      </c>
      <c r="AD16" s="865" t="inlineStr">
        <is>
          <t>EGI</t>
        </is>
      </c>
      <c r="AE16" s="865" t="inlineStr">
        <is>
          <t>EGI (unassigned)</t>
        </is>
      </c>
      <c r="AF16" s="865" t="inlineStr">
        <is>
          <t>Unmapped</t>
        </is>
      </c>
      <c r="AG16" s="865" t="inlineStr">
        <is>
          <t>Filled</t>
        </is>
      </c>
    </row>
    <row r="17" hidden="1" ht="18" customHeight="1" s="866">
      <c r="A17" s="1566" t="n">
        <v>99999101553</v>
      </c>
      <c r="B17" s="1382" t="inlineStr">
        <is>
          <t>Bradley Cunningham</t>
        </is>
      </c>
      <c r="C17" s="1611" t="inlineStr">
        <is>
          <t>Site Systems Analyst</t>
        </is>
      </c>
      <c r="D17" s="1382" t="inlineStr">
        <is>
          <t>Callan McLaughlin</t>
        </is>
      </c>
      <c r="E17" s="1382" t="inlineStr">
        <is>
          <t>Technology Manager,  Site Systems</t>
        </is>
      </c>
      <c r="F17" s="1382" t="inlineStr">
        <is>
          <t>Ampol Retail &amp; Z</t>
        </is>
      </c>
      <c r="G17" s="1612" t="inlineStr">
        <is>
          <t>Z &amp; Group Retail</t>
        </is>
      </c>
      <c r="H17" s="1382" t="inlineStr">
        <is>
          <t>Z &amp; Group Retail, Site Systems</t>
        </is>
      </c>
      <c r="I17" s="1382" t="inlineStr">
        <is>
          <t>Z</t>
        </is>
      </c>
      <c r="J17" s="1612" t="inlineStr">
        <is>
          <t>Z Customer</t>
        </is>
      </c>
      <c r="K17" s="1382" t="inlineStr">
        <is>
          <t>Site Systems</t>
        </is>
      </c>
      <c r="L17" s="1612" t="n"/>
      <c r="M17" s="1613" t="inlineStr">
        <is>
          <t>NZ</t>
        </is>
      </c>
      <c r="N17" s="1614" t="inlineStr">
        <is>
          <t>CDC</t>
        </is>
      </c>
      <c r="O17" s="1615" t="n">
        <v>1</v>
      </c>
      <c r="P17" s="1614" t="n"/>
      <c r="Q17" s="1615" t="inlineStr">
        <is>
          <t>Permanent - Full Time</t>
        </is>
      </c>
      <c r="R17" s="1616" t="n"/>
      <c r="S17" s="1616" t="n"/>
      <c r="T17" s="1616" t="n">
        <v>96110</v>
      </c>
      <c r="U17" s="1617" t="n">
        <v>88421.2</v>
      </c>
      <c r="V17" s="1618" t="n">
        <v>0.1</v>
      </c>
      <c r="W17" s="1615" t="n"/>
      <c r="X17" s="1619" t="n">
        <v>0.05</v>
      </c>
      <c r="Y17" s="1620" t="n">
        <v>2910</v>
      </c>
      <c r="Z17" s="1619" t="n">
        <v>0.03</v>
      </c>
      <c r="AA17" s="1621">
        <f>U17*(1+V17+X17+Z17)+Y17</f>
        <v>107247.016</v>
      </c>
      <c r="AB17" s="865" t="n">
        <v>113522</v>
      </c>
      <c r="AC17" s="865" t="inlineStr">
        <is>
          <t>Z Retail</t>
        </is>
      </c>
      <c r="AD17" s="865" t="inlineStr">
        <is>
          <t>Z Customer</t>
        </is>
      </c>
      <c r="AE17" s="865" t="inlineStr">
        <is>
          <t>Site Systems</t>
        </is>
      </c>
      <c r="AF17" s="865" t="inlineStr">
        <is>
          <t>Squad</t>
        </is>
      </c>
      <c r="AG17" s="865" t="inlineStr">
        <is>
          <t>Filled</t>
        </is>
      </c>
    </row>
    <row r="18" hidden="1" ht="18" customHeight="1" s="866">
      <c r="A18" s="1566" t="n">
        <v>99999101959</v>
      </c>
      <c r="B18" s="1382" t="inlineStr">
        <is>
          <t>Brian Lai</t>
        </is>
      </c>
      <c r="C18" s="1611" t="inlineStr">
        <is>
          <t>Engineer - Data</t>
        </is>
      </c>
      <c r="D18" s="1612" t="inlineStr">
        <is>
          <t>Vacant</t>
        </is>
      </c>
      <c r="E18" s="1382" t="inlineStr">
        <is>
          <t>Technology Manager, Data</t>
        </is>
      </c>
      <c r="F18" s="1382" t="inlineStr">
        <is>
          <t>Ampol Retail &amp; Z</t>
        </is>
      </c>
      <c r="G18" s="1612" t="inlineStr">
        <is>
          <t>Z &amp; Group Retail</t>
        </is>
      </c>
      <c r="H18" s="1382" t="inlineStr">
        <is>
          <t>Z &amp; Group Retail, Data</t>
        </is>
      </c>
      <c r="I18" s="1382" t="inlineStr">
        <is>
          <t>Z</t>
        </is>
      </c>
      <c r="J18" s="1612" t="inlineStr">
        <is>
          <t>Z Customer &amp; Z Supply</t>
        </is>
      </c>
      <c r="K18" s="1382" t="inlineStr">
        <is>
          <t>Data - NZ</t>
        </is>
      </c>
      <c r="L18" s="1612" t="n"/>
      <c r="M18" s="1613" t="inlineStr">
        <is>
          <t>NZ</t>
        </is>
      </c>
      <c r="N18" s="1614" t="inlineStr">
        <is>
          <t>CIA</t>
        </is>
      </c>
      <c r="O18" s="1615" t="n">
        <v>1</v>
      </c>
      <c r="P18" s="1614" t="n"/>
      <c r="Q18" s="1615" t="inlineStr">
        <is>
          <t>Permanent - Full Time</t>
        </is>
      </c>
      <c r="R18" s="1616" t="n"/>
      <c r="S18" s="1616" t="n"/>
      <c r="T18" s="1616" t="n">
        <v>135000</v>
      </c>
      <c r="U18" s="1617" t="n">
        <v>124200</v>
      </c>
      <c r="V18" s="1618" t="n">
        <v>0.15</v>
      </c>
      <c r="W18" s="1615" t="n"/>
      <c r="X18" s="1619" t="n">
        <v>0.05</v>
      </c>
      <c r="Y18" s="1620" t="n">
        <v>2910</v>
      </c>
      <c r="Z18" s="1619" t="n">
        <v>0.03</v>
      </c>
      <c r="AA18" s="1621">
        <f>U18*(1+V18+X18+Z18)+Y18</f>
        <v>155676</v>
      </c>
      <c r="AB18" s="865" t="n">
        <v>113523</v>
      </c>
      <c r="AC18" s="865" t="inlineStr">
        <is>
          <t>Z Retail</t>
        </is>
      </c>
      <c r="AD18" s="865" t="inlineStr">
        <is>
          <t>-</t>
        </is>
      </c>
      <c r="AE18" s="865" t="inlineStr">
        <is>
          <t>Data NZ</t>
        </is>
      </c>
      <c r="AF18" s="865" t="inlineStr">
        <is>
          <t>Unmapped</t>
        </is>
      </c>
      <c r="AG18" s="865" t="inlineStr">
        <is>
          <t>Filled</t>
        </is>
      </c>
    </row>
    <row r="19" hidden="1" ht="18" customHeight="1" s="866">
      <c r="A19" s="1566" t="n">
        <v>99999100418</v>
      </c>
      <c r="B19" s="1628" t="inlineStr">
        <is>
          <t>Callan McLaughlin</t>
        </is>
      </c>
      <c r="C19" s="1629" t="inlineStr">
        <is>
          <t>Technology Manager, Site Systems</t>
        </is>
      </c>
      <c r="D19" s="1612" t="inlineStr">
        <is>
          <t>vacant</t>
        </is>
      </c>
      <c r="E19" s="1612" t="inlineStr">
        <is>
          <t>Head of Technology, Z and Group Retail Platforms</t>
        </is>
      </c>
      <c r="F19" s="1382" t="inlineStr">
        <is>
          <t>Ampol Retail &amp; Z</t>
        </is>
      </c>
      <c r="G19" s="1612" t="inlineStr">
        <is>
          <t>Z &amp; Group Retail</t>
        </is>
      </c>
      <c r="H19" s="1382" t="inlineStr">
        <is>
          <t>Z &amp; Group Retail, Site Systems</t>
        </is>
      </c>
      <c r="I19" s="1382" t="inlineStr">
        <is>
          <t>Z</t>
        </is>
      </c>
      <c r="J19" s="1612" t="inlineStr">
        <is>
          <t>Z Customer &amp; Z Supply</t>
        </is>
      </c>
      <c r="K19" s="1612" t="inlineStr">
        <is>
          <t>Leadership</t>
        </is>
      </c>
      <c r="L19" s="1612" t="n"/>
      <c r="M19" s="1613" t="inlineStr">
        <is>
          <t>NZ</t>
        </is>
      </c>
      <c r="N19" s="1614" t="inlineStr">
        <is>
          <t>CSB</t>
        </is>
      </c>
      <c r="O19" s="1615" t="n">
        <v>1</v>
      </c>
      <c r="P19" s="1614" t="n"/>
      <c r="Q19" s="1615" t="inlineStr">
        <is>
          <t>Permanent - Full Time</t>
        </is>
      </c>
      <c r="R19" s="1616" t="n"/>
      <c r="S19" s="1616" t="n"/>
      <c r="T19" s="1616" t="n">
        <v>183480</v>
      </c>
      <c r="U19" s="1617" t="n">
        <v>168801.6</v>
      </c>
      <c r="V19" s="1618" t="n">
        <v>0.15</v>
      </c>
      <c r="W19" s="1615" t="n"/>
      <c r="X19" s="1619" t="n">
        <v>0.05</v>
      </c>
      <c r="Y19" s="1620" t="n">
        <v>2910</v>
      </c>
      <c r="Z19" s="1619" t="n">
        <v>0.03</v>
      </c>
      <c r="AA19" s="1621">
        <f>U19*(1+V19+X19+Z19)+Y19</f>
        <v>210535.968</v>
      </c>
      <c r="AB19" s="865" t="n">
        <v>113525</v>
      </c>
      <c r="AC19" s="865" t="inlineStr">
        <is>
          <t>Z Retail</t>
        </is>
      </c>
      <c r="AD19" s="865" t="inlineStr">
        <is>
          <t>Leadership</t>
        </is>
      </c>
      <c r="AE19" s="865" t="inlineStr">
        <is>
          <t>Leadership</t>
        </is>
      </c>
      <c r="AF19" s="865" t="inlineStr">
        <is>
          <t>Leadership</t>
        </is>
      </c>
      <c r="AG19" s="865" t="inlineStr">
        <is>
          <t>Filled</t>
        </is>
      </c>
    </row>
    <row r="20" hidden="1" ht="18" customHeight="1" s="866">
      <c r="A20" s="1566" t="n">
        <v>99999100975</v>
      </c>
      <c r="B20" s="1382" t="inlineStr">
        <is>
          <t>Chris Mitchell</t>
        </is>
      </c>
      <c r="C20" s="1611" t="inlineStr">
        <is>
          <t>Deployment Lead</t>
        </is>
      </c>
      <c r="D20" s="1382" t="inlineStr">
        <is>
          <t>Callan McLaughlin</t>
        </is>
      </c>
      <c r="E20" s="1382" t="inlineStr">
        <is>
          <t>Technology Manager,  Site Systems</t>
        </is>
      </c>
      <c r="F20" s="1382" t="inlineStr">
        <is>
          <t>Ampol Retail &amp; Z</t>
        </is>
      </c>
      <c r="G20" s="1612" t="inlineStr">
        <is>
          <t>Z &amp; Group Retail</t>
        </is>
      </c>
      <c r="H20" s="1382" t="inlineStr">
        <is>
          <t>Z &amp; Group Retail, Site Systems</t>
        </is>
      </c>
      <c r="I20" s="1382" t="inlineStr">
        <is>
          <t>Z</t>
        </is>
      </c>
      <c r="J20" s="1612" t="inlineStr">
        <is>
          <t>Z Customer</t>
        </is>
      </c>
      <c r="K20" s="1382" t="inlineStr">
        <is>
          <t>Site Systems</t>
        </is>
      </c>
      <c r="L20" s="1612" t="n"/>
      <c r="M20" s="1613" t="inlineStr">
        <is>
          <t>NZ</t>
        </is>
      </c>
      <c r="N20" s="1614" t="inlineStr">
        <is>
          <t>CIA</t>
        </is>
      </c>
      <c r="O20" s="1615" t="n">
        <v>1</v>
      </c>
      <c r="P20" s="1614" t="n"/>
      <c r="Q20" s="1615" t="inlineStr">
        <is>
          <t>Permanent - Full Time</t>
        </is>
      </c>
      <c r="R20" s="1616" t="n"/>
      <c r="S20" s="1616" t="n"/>
      <c r="T20" s="1616" t="n">
        <v>118000</v>
      </c>
      <c r="U20" s="1617" t="n">
        <v>108560</v>
      </c>
      <c r="V20" s="1618" t="n">
        <v>0.15</v>
      </c>
      <c r="W20" s="1615" t="n"/>
      <c r="X20" s="1619" t="n">
        <v>0.05</v>
      </c>
      <c r="Y20" s="1620" t="n">
        <v>2910</v>
      </c>
      <c r="Z20" s="1619" t="n">
        <v>0.03</v>
      </c>
      <c r="AA20" s="1621">
        <f>U20*(1+V20+X20+Z20)+Y20</f>
        <v>136438.8</v>
      </c>
      <c r="AB20" s="865" t="n">
        <v>113530</v>
      </c>
      <c r="AC20" s="865" t="inlineStr">
        <is>
          <t>Z Retail</t>
        </is>
      </c>
      <c r="AD20" s="865" t="inlineStr">
        <is>
          <t>Z Customer</t>
        </is>
      </c>
      <c r="AE20" s="865" t="inlineStr">
        <is>
          <t>Site Systems</t>
        </is>
      </c>
      <c r="AF20" s="865" t="inlineStr">
        <is>
          <t>Squad</t>
        </is>
      </c>
      <c r="AG20" s="865" t="inlineStr">
        <is>
          <t>Filled</t>
        </is>
      </c>
    </row>
    <row r="21" hidden="1" ht="18" customHeight="1" s="866">
      <c r="A21" s="1566" t="n">
        <v>99999101233</v>
      </c>
      <c r="B21" s="1382" t="inlineStr">
        <is>
          <t>Chris Wilson</t>
        </is>
      </c>
      <c r="C21" s="1611" t="inlineStr">
        <is>
          <t>Solution Architect</t>
        </is>
      </c>
      <c r="D21" s="1382" t="inlineStr">
        <is>
          <t>Callan McLaughlin</t>
        </is>
      </c>
      <c r="E21" s="1382" t="inlineStr">
        <is>
          <t>Technology Manager,  Site Systems</t>
        </is>
      </c>
      <c r="F21" s="1382" t="inlineStr">
        <is>
          <t>Ampol Retail &amp; Z</t>
        </is>
      </c>
      <c r="G21" s="1612" t="inlineStr">
        <is>
          <t>Z &amp; Group Retail</t>
        </is>
      </c>
      <c r="H21" s="1382" t="inlineStr">
        <is>
          <t>Z &amp; Group Retail, Site Systems</t>
        </is>
      </c>
      <c r="I21" s="1382" t="inlineStr">
        <is>
          <t>Z</t>
        </is>
      </c>
      <c r="J21" s="1612" t="inlineStr">
        <is>
          <t>Z Customer</t>
        </is>
      </c>
      <c r="K21" s="1382" t="inlineStr">
        <is>
          <t>Site Systems</t>
        </is>
      </c>
      <c r="L21" s="1612" t="n"/>
      <c r="M21" s="1613" t="inlineStr">
        <is>
          <t>NZ</t>
        </is>
      </c>
      <c r="N21" s="1614" t="inlineStr">
        <is>
          <t>CIC</t>
        </is>
      </c>
      <c r="O21" s="1615" t="n">
        <v>1</v>
      </c>
      <c r="P21" s="1614" t="n"/>
      <c r="Q21" s="1615" t="inlineStr">
        <is>
          <t>Permanent - Full Time</t>
        </is>
      </c>
      <c r="R21" s="1616" t="n"/>
      <c r="S21" s="1616" t="n"/>
      <c r="T21" s="1616" t="n">
        <v>161990</v>
      </c>
      <c r="U21" s="1626" t="n">
        <v>149030.8</v>
      </c>
      <c r="V21" s="1618" t="n">
        <v>0.15</v>
      </c>
      <c r="W21" s="1615" t="n"/>
      <c r="X21" s="1619" t="n">
        <v>0.05</v>
      </c>
      <c r="Y21" s="1620" t="n">
        <v>2910</v>
      </c>
      <c r="Z21" s="1619" t="n">
        <v>0.03</v>
      </c>
      <c r="AA21" s="1621">
        <f>U21*(1+V21+X21+Z21)+Y21</f>
        <v>186217.884</v>
      </c>
      <c r="AB21" s="865" t="n">
        <v>113531</v>
      </c>
      <c r="AC21" s="865" t="inlineStr">
        <is>
          <t>Z Retail</t>
        </is>
      </c>
      <c r="AD21" s="865" t="inlineStr">
        <is>
          <t>Z Customer</t>
        </is>
      </c>
      <c r="AE21" s="865" t="inlineStr">
        <is>
          <t>Site Systems</t>
        </is>
      </c>
      <c r="AF21" s="865" t="inlineStr">
        <is>
          <t>Squad</t>
        </is>
      </c>
      <c r="AG21" s="865" t="inlineStr">
        <is>
          <t>Filled</t>
        </is>
      </c>
    </row>
    <row r="22" hidden="1" ht="18" customHeight="1" s="866">
      <c r="A22" s="1566" t="n">
        <v>99999102141</v>
      </c>
      <c r="B22" s="1382" t="inlineStr">
        <is>
          <t>Christian Guo</t>
        </is>
      </c>
      <c r="C22" s="1611" t="inlineStr">
        <is>
          <t>Solution Architect</t>
        </is>
      </c>
      <c r="D22" s="1382" t="inlineStr">
        <is>
          <t>Callan McLaughlin</t>
        </is>
      </c>
      <c r="E22" s="1382" t="inlineStr">
        <is>
          <t>Technology Manager,  Site Systems</t>
        </is>
      </c>
      <c r="F22" s="1382" t="inlineStr">
        <is>
          <t>Ampol Retail &amp; Z</t>
        </is>
      </c>
      <c r="G22" s="1612" t="inlineStr">
        <is>
          <t>Z &amp; Group Retail</t>
        </is>
      </c>
      <c r="H22" s="1382" t="inlineStr">
        <is>
          <t>Z &amp; Group Retail, Site Systems</t>
        </is>
      </c>
      <c r="I22" s="1382" t="inlineStr">
        <is>
          <t>Z</t>
        </is>
      </c>
      <c r="J22" s="1382" t="inlineStr">
        <is>
          <t>Z Customer</t>
        </is>
      </c>
      <c r="K22" s="1382" t="inlineStr">
        <is>
          <t>Z Retail Backend &amp; Supply</t>
        </is>
      </c>
      <c r="L22" s="1612" t="n"/>
      <c r="M22" s="1613" t="inlineStr">
        <is>
          <t>NZ</t>
        </is>
      </c>
      <c r="N22" s="1614" t="inlineStr">
        <is>
          <t>CIC</t>
        </is>
      </c>
      <c r="O22" s="1615" t="n">
        <v>1</v>
      </c>
      <c r="P22" s="1614" t="n"/>
      <c r="Q22" s="1615" t="inlineStr">
        <is>
          <t>Permanent - Full Time</t>
        </is>
      </c>
      <c r="R22" s="1616" t="n"/>
      <c r="S22" s="1616" t="n"/>
      <c r="T22" s="1616" t="n">
        <v>180000</v>
      </c>
      <c r="U22" s="1626" t="n">
        <v>165600</v>
      </c>
      <c r="V22" s="1618" t="n">
        <v>0.15</v>
      </c>
      <c r="W22" s="1615" t="n"/>
      <c r="X22" s="1619" t="n">
        <v>0.05</v>
      </c>
      <c r="Y22" s="1620" t="n">
        <v>2910</v>
      </c>
      <c r="Z22" s="1619" t="n">
        <v>0.03</v>
      </c>
      <c r="AA22" s="1621">
        <f>U22*(1+V22+X22+Z22)+Y22</f>
        <v>206598</v>
      </c>
      <c r="AB22" s="865" t="n">
        <v>116260</v>
      </c>
      <c r="AC22" s="865" t="inlineStr">
        <is>
          <t>Z Retail</t>
        </is>
      </c>
      <c r="AD22" s="865" t="inlineStr">
        <is>
          <t>Z Customer</t>
        </is>
      </c>
      <c r="AE22" s="865" t="inlineStr">
        <is>
          <t>Z Retail Backend</t>
        </is>
      </c>
      <c r="AF22" s="865" t="inlineStr">
        <is>
          <t>Squad</t>
        </is>
      </c>
      <c r="AG22" s="865" t="inlineStr">
        <is>
          <t>Filled</t>
        </is>
      </c>
    </row>
    <row r="23" hidden="1" ht="18" customHeight="1" s="866">
      <c r="A23" s="1566" t="n">
        <v>95128</v>
      </c>
      <c r="B23" s="1382" t="inlineStr">
        <is>
          <t>Deepak Kubendran</t>
        </is>
      </c>
      <c r="C23" s="1611" t="inlineStr">
        <is>
          <t>Project Manager - Deployments</t>
        </is>
      </c>
      <c r="D23" s="1382" t="inlineStr">
        <is>
          <t>Matthew Patane</t>
        </is>
      </c>
      <c r="E23" s="1382" t="inlineStr">
        <is>
          <t>Release &amp; Deployment Manager</t>
        </is>
      </c>
      <c r="F23" s="1382" t="inlineStr">
        <is>
          <t>Ampol Retail &amp; Z</t>
        </is>
      </c>
      <c r="G23" s="1612" t="inlineStr">
        <is>
          <t>Ampol Retail</t>
        </is>
      </c>
      <c r="H23" s="1382" t="inlineStr">
        <is>
          <t>Ampol Retail, Technology</t>
        </is>
      </c>
      <c r="I23" s="1382" t="inlineStr">
        <is>
          <t>Retail</t>
        </is>
      </c>
      <c r="J23" s="1612" t="inlineStr">
        <is>
          <t>Store Operations</t>
        </is>
      </c>
      <c r="K23" s="1572" t="inlineStr">
        <is>
          <t>Deployment</t>
        </is>
      </c>
      <c r="L23" s="1612" t="n"/>
      <c r="M23" s="1613" t="inlineStr">
        <is>
          <t>Australia</t>
        </is>
      </c>
      <c r="N23" s="1614" t="inlineStr">
        <is>
          <t>CIB</t>
        </is>
      </c>
      <c r="O23" s="1614" t="n">
        <v>1</v>
      </c>
      <c r="P23" s="1614" t="n"/>
      <c r="Q23" s="1614" t="inlineStr">
        <is>
          <t>Permanent - Full Time</t>
        </is>
      </c>
      <c r="R23" s="1616" t="n"/>
      <c r="S23" s="1616" t="n"/>
      <c r="T23" s="1616" t="n">
        <v>153920</v>
      </c>
      <c r="U23" s="1626" t="n">
        <v>153920</v>
      </c>
      <c r="V23" s="1619" t="n">
        <v>0.12</v>
      </c>
      <c r="W23" s="1622" t="n">
        <v>0.055</v>
      </c>
      <c r="X23" s="1622" t="n">
        <v>0.12</v>
      </c>
      <c r="Y23" s="1623" t="n"/>
      <c r="Z23" s="1622" t="n">
        <v>0.04</v>
      </c>
      <c r="AA23" s="1621">
        <f>U23*(1+V23+W23+X23+Y23+Z23)</f>
        <v>205483.2</v>
      </c>
      <c r="AC23" s="865" t="inlineStr">
        <is>
          <t>Ampol Retail</t>
        </is>
      </c>
      <c r="AD23" s="865" t="inlineStr">
        <is>
          <t>Store Operations</t>
        </is>
      </c>
      <c r="AE23" s="865" t="inlineStr">
        <is>
          <t>Deployment</t>
        </is>
      </c>
      <c r="AF23" s="865" t="inlineStr">
        <is>
          <t>Squad</t>
        </is>
      </c>
      <c r="AG23" s="865" t="inlineStr">
        <is>
          <t>Filled</t>
        </is>
      </c>
    </row>
    <row r="24" hidden="1" ht="18" customHeight="1" s="866">
      <c r="A24" s="1566" t="n">
        <v>4259</v>
      </c>
      <c r="B24" s="1382" t="inlineStr">
        <is>
          <t>Ephraim Adan</t>
        </is>
      </c>
      <c r="C24" s="1611" t="inlineStr">
        <is>
          <t>Manager - AU Retail Operations</t>
        </is>
      </c>
      <c r="D24" s="1382" t="inlineStr">
        <is>
          <t>Vedran Jukic</t>
        </is>
      </c>
      <c r="E24" s="1382" t="inlineStr">
        <is>
          <t>Technology Manager, Retail</t>
        </is>
      </c>
      <c r="F24" s="1382" t="inlineStr">
        <is>
          <t>Ampol Retail &amp; Z</t>
        </is>
      </c>
      <c r="G24" s="1612" t="inlineStr">
        <is>
          <t>Ampol Retail</t>
        </is>
      </c>
      <c r="H24" s="1382" t="inlineStr">
        <is>
          <t>Ampol Retail, Technology</t>
        </is>
      </c>
      <c r="I24" s="1382" t="inlineStr">
        <is>
          <t>Retail</t>
        </is>
      </c>
      <c r="J24" s="1612" t="inlineStr">
        <is>
          <t>Store Operations</t>
        </is>
      </c>
      <c r="K24" s="1382" t="inlineStr">
        <is>
          <t>Retail Operations</t>
        </is>
      </c>
      <c r="L24" s="1612" t="n"/>
      <c r="M24" s="1613" t="inlineStr">
        <is>
          <t>Australia</t>
        </is>
      </c>
      <c r="N24" s="1616" t="inlineStr">
        <is>
          <t>CIC</t>
        </is>
      </c>
      <c r="O24" s="1616" t="n">
        <v>1</v>
      </c>
      <c r="P24" s="1616" t="n"/>
      <c r="Q24" s="1616" t="inlineStr">
        <is>
          <t>Permanent - Full Time</t>
        </is>
      </c>
      <c r="R24" s="1616" t="n"/>
      <c r="S24" s="1616" t="n"/>
      <c r="T24" s="1616" t="n">
        <v>177320</v>
      </c>
      <c r="U24" s="1626" t="n">
        <v>177320</v>
      </c>
      <c r="V24" s="1619" t="n">
        <v>0.12</v>
      </c>
      <c r="W24" s="1622" t="n">
        <v>0.055</v>
      </c>
      <c r="X24" s="1622" t="n">
        <v>0.12</v>
      </c>
      <c r="Y24" s="1623" t="n"/>
      <c r="Z24" s="1622" t="n">
        <v>0.04</v>
      </c>
      <c r="AA24" s="1621">
        <f>U24*(1+V24+W24+X24+Y24+Z24)</f>
        <v>236722.2</v>
      </c>
      <c r="AC24" s="865" t="inlineStr">
        <is>
          <t>Ampol Retail</t>
        </is>
      </c>
      <c r="AD24" s="865" t="inlineStr">
        <is>
          <t>Store Operations</t>
        </is>
      </c>
      <c r="AE24" s="865" t="inlineStr">
        <is>
          <t>Retail Operations</t>
        </is>
      </c>
      <c r="AF24" s="865" t="inlineStr">
        <is>
          <t>Unmapped</t>
        </is>
      </c>
      <c r="AG24" s="865" t="inlineStr">
        <is>
          <t>Filled</t>
        </is>
      </c>
    </row>
    <row r="25" hidden="1" ht="18" customHeight="1" s="866">
      <c r="A25" s="1566" t="n">
        <v>99999102110</v>
      </c>
      <c r="B25" s="1382" t="inlineStr">
        <is>
          <t>Eugene Yeo</t>
        </is>
      </c>
      <c r="C25" s="1611" t="inlineStr">
        <is>
          <t>Engineer - DevOps</t>
        </is>
      </c>
      <c r="D25" s="1382" t="inlineStr">
        <is>
          <t>Vacant</t>
        </is>
      </c>
      <c r="E25" s="1382" t="inlineStr">
        <is>
          <t>Technology Manager, Engineering</t>
        </is>
      </c>
      <c r="F25" s="1382" t="inlineStr">
        <is>
          <t>Ampol Retail &amp; Z</t>
        </is>
      </c>
      <c r="G25" s="1612" t="inlineStr">
        <is>
          <t>Z &amp; Group Retail</t>
        </is>
      </c>
      <c r="H25" s="1382" t="inlineStr">
        <is>
          <t>Z &amp; Group Retail, Engineering</t>
        </is>
      </c>
      <c r="I25" s="1382" t="inlineStr">
        <is>
          <t>Z</t>
        </is>
      </c>
      <c r="J25" s="1612" t="inlineStr">
        <is>
          <t>Z Supply</t>
        </is>
      </c>
      <c r="K25" s="1382" t="inlineStr">
        <is>
          <t>Z Supply</t>
        </is>
      </c>
      <c r="L25" s="1612" t="n"/>
      <c r="M25" s="1613" t="inlineStr">
        <is>
          <t>NZ</t>
        </is>
      </c>
      <c r="N25" s="1614" t="inlineStr">
        <is>
          <t>CDA</t>
        </is>
      </c>
      <c r="O25" s="1615" t="n">
        <v>1</v>
      </c>
      <c r="P25" s="1614" t="n"/>
      <c r="Q25" s="1615" t="inlineStr">
        <is>
          <t>Permanent - Full Time</t>
        </is>
      </c>
      <c r="R25" s="1616" t="n"/>
      <c r="S25" s="1616" t="n"/>
      <c r="T25" s="1616" t="n">
        <v>68900</v>
      </c>
      <c r="U25" s="1626" t="n">
        <v>63388</v>
      </c>
      <c r="V25" s="1618" t="n">
        <v>0.1</v>
      </c>
      <c r="W25" s="1615" t="n"/>
      <c r="X25" s="1619" t="n">
        <v>0.05</v>
      </c>
      <c r="Y25" s="1620" t="n">
        <v>2910</v>
      </c>
      <c r="Z25" s="1619" t="n">
        <v>0.03</v>
      </c>
      <c r="AA25" s="1621">
        <f>U25*(1+V25+X25+Z25)+Y25</f>
        <v>77707.84</v>
      </c>
      <c r="AB25" s="865" t="n">
        <v>116998</v>
      </c>
      <c r="AC25" s="865" t="inlineStr">
        <is>
          <t>Z Retail</t>
        </is>
      </c>
      <c r="AD25" s="865" t="inlineStr">
        <is>
          <t>Z Supply</t>
        </is>
      </c>
      <c r="AE25" s="865" t="inlineStr">
        <is>
          <t>Z Supply</t>
        </is>
      </c>
      <c r="AF25" s="865" t="inlineStr">
        <is>
          <t>Squad</t>
        </is>
      </c>
      <c r="AG25" s="865" t="inlineStr">
        <is>
          <t>Filled</t>
        </is>
      </c>
    </row>
    <row r="26" hidden="1" ht="18" customHeight="1" s="866">
      <c r="A26" s="1630" t="n">
        <v>99999102111</v>
      </c>
      <c r="B26" s="1382" t="inlineStr">
        <is>
          <t>Gayan Liyana Arachchige</t>
        </is>
      </c>
      <c r="C26" s="1611" t="inlineStr">
        <is>
          <t>Engineer - DevOps</t>
        </is>
      </c>
      <c r="D26" s="1382" t="inlineStr">
        <is>
          <t>Vacant</t>
        </is>
      </c>
      <c r="E26" s="1382" t="inlineStr">
        <is>
          <t>Technology Manager, Engineering</t>
        </is>
      </c>
      <c r="F26" s="1382" t="inlineStr">
        <is>
          <t>Ampol Retail &amp; Z</t>
        </is>
      </c>
      <c r="G26" s="1612" t="inlineStr">
        <is>
          <t>Z &amp; Group Retail</t>
        </is>
      </c>
      <c r="H26" s="1382" t="inlineStr">
        <is>
          <t>Z &amp; Group Retail, Engineering</t>
        </is>
      </c>
      <c r="I26" s="1382" t="inlineStr">
        <is>
          <t>Z</t>
        </is>
      </c>
      <c r="J26" s="1612" t="inlineStr">
        <is>
          <t>Z Supply</t>
        </is>
      </c>
      <c r="K26" s="1382" t="inlineStr">
        <is>
          <t>Z Supply</t>
        </is>
      </c>
      <c r="L26" s="1612" t="n"/>
      <c r="M26" s="1613" t="inlineStr">
        <is>
          <t>NZ</t>
        </is>
      </c>
      <c r="N26" s="1614" t="inlineStr">
        <is>
          <t>CDB</t>
        </is>
      </c>
      <c r="O26" s="1615" t="n">
        <v>1</v>
      </c>
      <c r="P26" s="1614" t="n"/>
      <c r="Q26" s="1615" t="inlineStr">
        <is>
          <t>Permanent - Full Time</t>
        </is>
      </c>
      <c r="R26" s="1616" t="n"/>
      <c r="S26" s="1616" t="n"/>
      <c r="T26" s="1616" t="n">
        <v>105000</v>
      </c>
      <c r="U26" s="1626" t="n">
        <v>96600</v>
      </c>
      <c r="V26" s="1618" t="n">
        <v>0.1</v>
      </c>
      <c r="W26" s="1615" t="n"/>
      <c r="X26" s="1619" t="n">
        <v>0.05</v>
      </c>
      <c r="Y26" s="1620" t="n">
        <v>2910</v>
      </c>
      <c r="Z26" s="1619" t="n">
        <v>0.03</v>
      </c>
      <c r="AA26" s="1621">
        <f>U26*(1+V26+X26+Z26)+Y26</f>
        <v>116898</v>
      </c>
      <c r="AB26" s="865" t="n">
        <v>115819</v>
      </c>
      <c r="AC26" s="865" t="inlineStr">
        <is>
          <t>Z Retail</t>
        </is>
      </c>
      <c r="AD26" s="865" t="inlineStr">
        <is>
          <t>Z Supply</t>
        </is>
      </c>
      <c r="AE26" s="865" t="inlineStr">
        <is>
          <t>Z Supply</t>
        </is>
      </c>
      <c r="AF26" s="865" t="inlineStr">
        <is>
          <t>Squad</t>
        </is>
      </c>
      <c r="AG26" s="865" t="inlineStr">
        <is>
          <t>Filled</t>
        </is>
      </c>
    </row>
    <row r="27" hidden="1" ht="18" customHeight="1" s="866">
      <c r="A27" s="1566" t="n">
        <v>8445</v>
      </c>
      <c r="B27" s="1382" t="inlineStr">
        <is>
          <t>Geoff Goddard</t>
        </is>
      </c>
      <c r="C27" s="1611" t="inlineStr">
        <is>
          <t>Field Systems Operations Lead - VIC</t>
        </is>
      </c>
      <c r="D27" s="1382" t="inlineStr">
        <is>
          <t>Ephraim Adan</t>
        </is>
      </c>
      <c r="E27" s="1382" t="inlineStr">
        <is>
          <t>Manager, AU Retail Operations</t>
        </is>
      </c>
      <c r="F27" s="1382" t="inlineStr">
        <is>
          <t>Ampol Retail &amp; Z</t>
        </is>
      </c>
      <c r="G27" s="1612" t="inlineStr">
        <is>
          <t>Ampol Retail</t>
        </is>
      </c>
      <c r="H27" s="1382" t="inlineStr">
        <is>
          <t>Ampol Retail, Technology</t>
        </is>
      </c>
      <c r="I27" s="1382" t="inlineStr">
        <is>
          <t>Retail</t>
        </is>
      </c>
      <c r="J27" s="1612" t="inlineStr">
        <is>
          <t>Store Operations</t>
        </is>
      </c>
      <c r="K27" s="1382" t="inlineStr">
        <is>
          <t>Retail Operations</t>
        </is>
      </c>
      <c r="L27" s="1612" t="n"/>
      <c r="M27" s="1613" t="inlineStr">
        <is>
          <t>Australia</t>
        </is>
      </c>
      <c r="N27" s="1616" t="inlineStr">
        <is>
          <t>CIA</t>
        </is>
      </c>
      <c r="O27" s="1616" t="n">
        <v>1</v>
      </c>
      <c r="P27" s="1616" t="n"/>
      <c r="Q27" s="1616" t="inlineStr">
        <is>
          <t>Permanent - Full Time</t>
        </is>
      </c>
      <c r="R27" s="1616" t="n"/>
      <c r="S27" s="1616" t="n"/>
      <c r="T27" s="1616" t="n">
        <v>132710</v>
      </c>
      <c r="U27" s="1626" t="n">
        <v>132710</v>
      </c>
      <c r="V27" s="1619" t="n">
        <v>0.1</v>
      </c>
      <c r="W27" s="1622" t="n">
        <v>0.055</v>
      </c>
      <c r="X27" s="1622" t="n">
        <v>0.12</v>
      </c>
      <c r="Y27" s="1623" t="n"/>
      <c r="Z27" s="1622" t="n">
        <v>0.04</v>
      </c>
      <c r="AA27" s="1621">
        <f>U27*(1+V27+W27+X27+Y27+Z27)</f>
        <v>174513.65</v>
      </c>
      <c r="AC27" s="865" t="inlineStr">
        <is>
          <t>Ampol Retail</t>
        </is>
      </c>
      <c r="AD27" s="865" t="inlineStr">
        <is>
          <t>Store Operations</t>
        </is>
      </c>
      <c r="AE27" s="865" t="inlineStr">
        <is>
          <t>Retail Operations</t>
        </is>
      </c>
      <c r="AF27" s="865" t="inlineStr">
        <is>
          <t>Unmapped</t>
        </is>
      </c>
      <c r="AG27" s="865" t="inlineStr">
        <is>
          <t>Filled</t>
        </is>
      </c>
    </row>
    <row r="28" hidden="1" ht="18" customHeight="1" s="866">
      <c r="A28" s="1566" t="n">
        <v>109974</v>
      </c>
      <c r="B28" s="1382" t="inlineStr">
        <is>
          <t>Gerald Aguas</t>
        </is>
      </c>
      <c r="C28" s="1611" t="inlineStr">
        <is>
          <t>Field Systems Operations Lead - NSW</t>
        </is>
      </c>
      <c r="D28" s="1382" t="inlineStr">
        <is>
          <t>Ephraim Adan</t>
        </is>
      </c>
      <c r="E28" s="1382" t="inlineStr">
        <is>
          <t>Manager, AU Retail Operations</t>
        </is>
      </c>
      <c r="F28" s="1382" t="inlineStr">
        <is>
          <t>Ampol Retail &amp; Z</t>
        </is>
      </c>
      <c r="G28" s="1612" t="inlineStr">
        <is>
          <t>Ampol Retail</t>
        </is>
      </c>
      <c r="H28" s="1382" t="inlineStr">
        <is>
          <t>Ampol Retail, Technology</t>
        </is>
      </c>
      <c r="I28" s="1382" t="inlineStr">
        <is>
          <t>Retail</t>
        </is>
      </c>
      <c r="J28" s="1612" t="inlineStr">
        <is>
          <t>Store Operations</t>
        </is>
      </c>
      <c r="K28" s="1382" t="inlineStr">
        <is>
          <t>Retail Operations</t>
        </is>
      </c>
      <c r="L28" s="1612" t="n"/>
      <c r="M28" s="1613" t="inlineStr">
        <is>
          <t>Australia</t>
        </is>
      </c>
      <c r="N28" s="1614" t="inlineStr">
        <is>
          <t>CIA</t>
        </is>
      </c>
      <c r="O28" s="1614" t="n">
        <v>1</v>
      </c>
      <c r="P28" s="1614" t="n"/>
      <c r="Q28" s="1614" t="inlineStr">
        <is>
          <t>Permanent - Full Time</t>
        </is>
      </c>
      <c r="R28" s="1616" t="n"/>
      <c r="S28" s="1616" t="n"/>
      <c r="T28" s="1616" t="n">
        <v>127270</v>
      </c>
      <c r="U28" s="1626" t="n">
        <v>127270</v>
      </c>
      <c r="V28" s="1619" t="n">
        <v>0.1</v>
      </c>
      <c r="W28" s="1622" t="n">
        <v>0.055</v>
      </c>
      <c r="X28" s="1622" t="n">
        <v>0.12</v>
      </c>
      <c r="Y28" s="1623" t="n"/>
      <c r="Z28" s="1622" t="n">
        <v>0.04</v>
      </c>
      <c r="AA28" s="1621">
        <f>U28*(1+V28+W28+X28+Y28+Z28)</f>
        <v>167360.05</v>
      </c>
      <c r="AC28" s="865" t="inlineStr">
        <is>
          <t>Ampol Retail</t>
        </is>
      </c>
      <c r="AD28" s="865" t="inlineStr">
        <is>
          <t>Store Operations</t>
        </is>
      </c>
      <c r="AE28" s="865" t="inlineStr">
        <is>
          <t>Retail Operations</t>
        </is>
      </c>
      <c r="AF28" s="865" t="inlineStr">
        <is>
          <t>Unmapped</t>
        </is>
      </c>
      <c r="AG28" s="865" t="inlineStr">
        <is>
          <t>Filled</t>
        </is>
      </c>
    </row>
    <row r="29" hidden="1" ht="18" customHeight="1" s="866">
      <c r="A29" s="1566" t="n">
        <v>99999100699</v>
      </c>
      <c r="B29" s="1382" t="inlineStr">
        <is>
          <t>Helen Jones</t>
        </is>
      </c>
      <c r="C29" s="1611" t="inlineStr">
        <is>
          <t>Delivery Lead</t>
        </is>
      </c>
      <c r="D29" s="1612" t="inlineStr">
        <is>
          <t>Vacant</t>
        </is>
      </c>
      <c r="E29" s="1382" t="inlineStr">
        <is>
          <t>Delivery Manager, Z and Retail Data</t>
        </is>
      </c>
      <c r="F29" s="1382" t="inlineStr">
        <is>
          <t>Ampol Retail &amp; Z</t>
        </is>
      </c>
      <c r="G29" s="1612" t="inlineStr">
        <is>
          <t>Z &amp; Group Retail</t>
        </is>
      </c>
      <c r="H29" s="1382" t="inlineStr">
        <is>
          <t>Z &amp; Group Retail, Delivery</t>
        </is>
      </c>
      <c r="I29" s="1382" t="inlineStr">
        <is>
          <t>Z</t>
        </is>
      </c>
      <c r="J29" s="1612" t="inlineStr">
        <is>
          <t>Z Supply</t>
        </is>
      </c>
      <c r="K29" s="1382" t="inlineStr">
        <is>
          <t>Z Supply</t>
        </is>
      </c>
      <c r="L29" s="1612" t="n"/>
      <c r="M29" s="1613" t="inlineStr">
        <is>
          <t>NZ</t>
        </is>
      </c>
      <c r="N29" s="1614" t="inlineStr">
        <is>
          <t>CIC</t>
        </is>
      </c>
      <c r="O29" s="1615" t="n">
        <v>1</v>
      </c>
      <c r="P29" s="1614" t="n"/>
      <c r="Q29" s="1615" t="inlineStr">
        <is>
          <t>Permanent - Full Time</t>
        </is>
      </c>
      <c r="R29" s="1616" t="n"/>
      <c r="S29" s="1616" t="n"/>
      <c r="T29" s="1616" t="n">
        <v>165470</v>
      </c>
      <c r="U29" s="1626" t="n">
        <v>152232.4</v>
      </c>
      <c r="V29" s="1618" t="n">
        <v>0.15</v>
      </c>
      <c r="W29" s="1615" t="n"/>
      <c r="X29" s="1619" t="n">
        <v>0.05</v>
      </c>
      <c r="Y29" s="1620" t="n">
        <v>2910</v>
      </c>
      <c r="Z29" s="1619" t="n">
        <v>0.03</v>
      </c>
      <c r="AA29" s="1621">
        <f>U29*(1+V29+X29+Z29)+Y29</f>
        <v>190155.852</v>
      </c>
      <c r="AB29" s="865" t="n">
        <v>113545</v>
      </c>
      <c r="AC29" s="865" t="inlineStr">
        <is>
          <t>Z Retail</t>
        </is>
      </c>
      <c r="AD29" s="865" t="inlineStr">
        <is>
          <t>Z Supply</t>
        </is>
      </c>
      <c r="AE29" s="865" t="inlineStr">
        <is>
          <t>Z Supply</t>
        </is>
      </c>
      <c r="AF29" s="865" t="inlineStr">
        <is>
          <t>Squad</t>
        </is>
      </c>
      <c r="AG29" s="865" t="inlineStr">
        <is>
          <t>Filled</t>
        </is>
      </c>
    </row>
    <row r="30" hidden="1" ht="18" customHeight="1" s="866">
      <c r="A30" s="1566" t="n">
        <v>110704</v>
      </c>
      <c r="B30" s="1382" t="inlineStr">
        <is>
          <t>Irfan Zavahir</t>
        </is>
      </c>
      <c r="C30" s="1611" t="inlineStr">
        <is>
          <t>Delivery Lead</t>
        </is>
      </c>
      <c r="D30" s="1382" t="inlineStr">
        <is>
          <t>Vanessa Allen</t>
        </is>
      </c>
      <c r="E30" s="1382" t="inlineStr">
        <is>
          <t>Delivery Manager, Ampol Retail</t>
        </is>
      </c>
      <c r="F30" s="1382" t="inlineStr">
        <is>
          <t>Ampol Retail &amp; Z</t>
        </is>
      </c>
      <c r="G30" s="1612" t="inlineStr">
        <is>
          <t>Ampol Retail</t>
        </is>
      </c>
      <c r="H30" s="1382" t="inlineStr">
        <is>
          <t>Ampol Retail, Delivery</t>
        </is>
      </c>
      <c r="I30" s="1382" t="inlineStr">
        <is>
          <t>Retail</t>
        </is>
      </c>
      <c r="J30" s="1612" t="inlineStr">
        <is>
          <t>AMPOS</t>
        </is>
      </c>
      <c r="K30" s="1382" t="inlineStr">
        <is>
          <t>Ampos</t>
        </is>
      </c>
      <c r="L30" s="1612" t="n"/>
      <c r="M30" s="1613" t="inlineStr">
        <is>
          <t>Australia</t>
        </is>
      </c>
      <c r="N30" s="1614" t="inlineStr">
        <is>
          <t>CIC</t>
        </is>
      </c>
      <c r="O30" s="1614" t="n">
        <v>1</v>
      </c>
      <c r="P30" s="1614" t="n"/>
      <c r="Q30" s="1614" t="inlineStr">
        <is>
          <t>Permanent - Full Time</t>
        </is>
      </c>
      <c r="R30" s="1616" t="n"/>
      <c r="S30" s="1616" t="n"/>
      <c r="T30" s="1616" t="n">
        <v>179340</v>
      </c>
      <c r="U30" s="1626" t="n">
        <v>179340</v>
      </c>
      <c r="V30" s="1619" t="n">
        <v>0.12</v>
      </c>
      <c r="W30" s="1622" t="n">
        <v>0.055</v>
      </c>
      <c r="X30" s="1622" t="n">
        <v>0.12</v>
      </c>
      <c r="Y30" s="1623" t="n"/>
      <c r="Z30" s="1622" t="n">
        <v>0.04</v>
      </c>
      <c r="AA30" s="1621">
        <f>U30*(1+V30+W30+X30+Y30+Z30)</f>
        <v>239418.9</v>
      </c>
      <c r="AC30" s="865" t="inlineStr">
        <is>
          <t>Ampol Retail</t>
        </is>
      </c>
      <c r="AD30" s="865" t="inlineStr">
        <is>
          <t>AmPOS</t>
        </is>
      </c>
      <c r="AE30" s="865" t="inlineStr">
        <is>
          <t>AmPOS</t>
        </is>
      </c>
      <c r="AF30" s="865" t="inlineStr">
        <is>
          <t>Strategic Program</t>
        </is>
      </c>
      <c r="AG30" s="865" t="inlineStr">
        <is>
          <t>Filled</t>
        </is>
      </c>
    </row>
    <row r="31" hidden="1" ht="18" customHeight="1" s="866">
      <c r="A31" s="1566" t="n">
        <v>99999102104</v>
      </c>
      <c r="B31" s="1382" t="inlineStr">
        <is>
          <t>Isuru Herath</t>
        </is>
      </c>
      <c r="C31" s="1611" t="inlineStr">
        <is>
          <t>Senior Engineer - Software</t>
        </is>
      </c>
      <c r="D31" s="1382" t="inlineStr">
        <is>
          <t>Vacant</t>
        </is>
      </c>
      <c r="E31" s="1382" t="inlineStr">
        <is>
          <t>Technology Manager, Engineering</t>
        </is>
      </c>
      <c r="F31" s="1382" t="inlineStr">
        <is>
          <t>Ampol Retail &amp; Z</t>
        </is>
      </c>
      <c r="G31" s="1612" t="inlineStr">
        <is>
          <t>Z &amp; Group Retail</t>
        </is>
      </c>
      <c r="H31" s="1382" t="inlineStr">
        <is>
          <t>Z &amp; Group Retail, Engineering</t>
        </is>
      </c>
      <c r="I31" s="1382" t="inlineStr">
        <is>
          <t>Z</t>
        </is>
      </c>
      <c r="J31" s="1612" t="inlineStr">
        <is>
          <t>Z Supply</t>
        </is>
      </c>
      <c r="K31" s="1382" t="inlineStr">
        <is>
          <t>Z Supply</t>
        </is>
      </c>
      <c r="L31" s="1612" t="n"/>
      <c r="M31" s="1613" t="inlineStr">
        <is>
          <t>NZ</t>
        </is>
      </c>
      <c r="N31" s="1614" t="inlineStr">
        <is>
          <t>CIB</t>
        </is>
      </c>
      <c r="O31" s="1615" t="n">
        <v>1</v>
      </c>
      <c r="P31" s="1614" t="n"/>
      <c r="Q31" s="1615" t="inlineStr">
        <is>
          <t>Permanent - Full Time</t>
        </is>
      </c>
      <c r="R31" s="1616" t="n"/>
      <c r="S31" s="1616" t="n"/>
      <c r="T31" s="1616" t="n">
        <v>140000</v>
      </c>
      <c r="U31" s="1626" t="n">
        <v>128800</v>
      </c>
      <c r="V31" s="1618" t="n">
        <v>0.15</v>
      </c>
      <c r="W31" s="1615" t="n"/>
      <c r="X31" s="1619" t="n">
        <v>0.05</v>
      </c>
      <c r="Y31" s="1620" t="n">
        <v>2910</v>
      </c>
      <c r="Z31" s="1619" t="n">
        <v>0.03</v>
      </c>
      <c r="AA31" s="1621">
        <f>U31*(1+V31+X31+Z31)+Y31</f>
        <v>161334</v>
      </c>
      <c r="AB31" s="865" t="n">
        <v>115813</v>
      </c>
      <c r="AC31" s="865" t="inlineStr">
        <is>
          <t>Z Retail</t>
        </is>
      </c>
      <c r="AD31" s="865" t="inlineStr">
        <is>
          <t>Z Supply</t>
        </is>
      </c>
      <c r="AE31" s="865" t="inlineStr">
        <is>
          <t>Z Supply</t>
        </is>
      </c>
      <c r="AF31" s="865" t="inlineStr">
        <is>
          <t>Squad</t>
        </is>
      </c>
      <c r="AG31" s="865" t="inlineStr">
        <is>
          <t>Filled</t>
        </is>
      </c>
    </row>
    <row r="32" hidden="1" ht="18" customHeight="1" s="866">
      <c r="A32" s="1566" t="n">
        <v>91356</v>
      </c>
      <c r="B32" s="1382" t="inlineStr">
        <is>
          <t>Javier Aguirre Castellanos</t>
        </is>
      </c>
      <c r="C32" s="1611" t="inlineStr">
        <is>
          <t>Solution Architect</t>
        </is>
      </c>
      <c r="D32" s="1382" t="inlineStr">
        <is>
          <t>Vedran Jukic</t>
        </is>
      </c>
      <c r="E32" s="1382" t="inlineStr">
        <is>
          <t>Technology Manager, Retail</t>
        </is>
      </c>
      <c r="F32" s="1382" t="inlineStr">
        <is>
          <t>Ampol Retail &amp; Z</t>
        </is>
      </c>
      <c r="G32" s="1612" t="inlineStr">
        <is>
          <t>Ampol Retail</t>
        </is>
      </c>
      <c r="H32" s="1382" t="inlineStr">
        <is>
          <t>Ampol Retail, Technology</t>
        </is>
      </c>
      <c r="I32" s="1382" t="inlineStr">
        <is>
          <t>Retail</t>
        </is>
      </c>
      <c r="J32" s="1612" t="inlineStr">
        <is>
          <t>Network/QSR</t>
        </is>
      </c>
      <c r="K32" s="1382" t="inlineStr">
        <is>
          <t>Network &amp; QSR</t>
        </is>
      </c>
      <c r="L32" s="1612" t="n"/>
      <c r="M32" s="1613" t="inlineStr">
        <is>
          <t>Australia</t>
        </is>
      </c>
      <c r="N32" s="1614" t="inlineStr">
        <is>
          <t>CIB</t>
        </is>
      </c>
      <c r="O32" s="1614" t="n">
        <v>1</v>
      </c>
      <c r="P32" s="1614" t="n"/>
      <c r="Q32" s="1614" t="inlineStr">
        <is>
          <t>Permanent - Full Time</t>
        </is>
      </c>
      <c r="R32" s="1616" t="n"/>
      <c r="S32" s="1616" t="n"/>
      <c r="T32" s="1616" t="n">
        <v>168160</v>
      </c>
      <c r="U32" s="1626" t="n">
        <v>168160</v>
      </c>
      <c r="V32" s="1619" t="n">
        <v>0.12</v>
      </c>
      <c r="W32" s="1622" t="n">
        <v>0.055</v>
      </c>
      <c r="X32" s="1622" t="n">
        <v>0.12</v>
      </c>
      <c r="Y32" s="1623" t="n"/>
      <c r="Z32" s="1622" t="n">
        <v>0.04</v>
      </c>
      <c r="AA32" s="1621">
        <f>U32*(1+V32+W32+X32+Y32+Z32)</f>
        <v>224493.6</v>
      </c>
      <c r="AC32" s="865" t="inlineStr">
        <is>
          <t>Ampol Retail</t>
        </is>
      </c>
      <c r="AD32" s="865" t="inlineStr">
        <is>
          <t>Network / QSR</t>
        </is>
      </c>
      <c r="AE32" s="865" t="inlineStr">
        <is>
          <t>Network / QSR</t>
        </is>
      </c>
      <c r="AF32" s="865" t="inlineStr">
        <is>
          <t>Squad</t>
        </is>
      </c>
      <c r="AG32" s="865" t="inlineStr">
        <is>
          <t>Filled</t>
        </is>
      </c>
    </row>
    <row r="33" hidden="1" ht="18" customHeight="1" s="866">
      <c r="A33" s="1566" t="n">
        <v>99999102123</v>
      </c>
      <c r="B33" s="1382" t="inlineStr">
        <is>
          <t>Jodie Marquez</t>
        </is>
      </c>
      <c r="C33" s="1611" t="inlineStr">
        <is>
          <t>Data Analyst</t>
        </is>
      </c>
      <c r="D33" s="1612" t="inlineStr">
        <is>
          <t>Vacant</t>
        </is>
      </c>
      <c r="E33" s="1382" t="inlineStr">
        <is>
          <t>Technology Manager, Data</t>
        </is>
      </c>
      <c r="F33" s="1382" t="inlineStr">
        <is>
          <t>Ampol Retail &amp; Z</t>
        </is>
      </c>
      <c r="G33" s="1612" t="inlineStr">
        <is>
          <t>Z &amp; Group Retail</t>
        </is>
      </c>
      <c r="H33" s="1382" t="inlineStr">
        <is>
          <t>Z &amp; Group Retail, Data</t>
        </is>
      </c>
      <c r="I33" s="1382" t="inlineStr">
        <is>
          <t>Z</t>
        </is>
      </c>
      <c r="J33" s="1612" t="inlineStr">
        <is>
          <t>Z Customer &amp; Z Supply</t>
        </is>
      </c>
      <c r="K33" s="1382" t="inlineStr">
        <is>
          <t>Data - NZ</t>
        </is>
      </c>
      <c r="L33" s="1612" t="n"/>
      <c r="M33" s="1613" t="inlineStr">
        <is>
          <t>NZ</t>
        </is>
      </c>
      <c r="N33" s="1614" t="inlineStr">
        <is>
          <t>CIA</t>
        </is>
      </c>
      <c r="O33" s="1615" t="n">
        <v>1</v>
      </c>
      <c r="P33" s="1614" t="n"/>
      <c r="Q33" s="1615" t="inlineStr">
        <is>
          <t>Permanent - Full Time</t>
        </is>
      </c>
      <c r="R33" s="1616" t="n"/>
      <c r="S33" s="1616" t="n"/>
      <c r="T33" s="1616" t="n">
        <v>115000</v>
      </c>
      <c r="U33" s="1626" t="n">
        <v>105800</v>
      </c>
      <c r="V33" s="1618" t="n">
        <v>0.15</v>
      </c>
      <c r="W33" s="1615" t="n"/>
      <c r="X33" s="1619" t="n">
        <v>0.05</v>
      </c>
      <c r="Y33" s="1620" t="n">
        <v>2910</v>
      </c>
      <c r="Z33" s="1619" t="n">
        <v>0.03</v>
      </c>
      <c r="AA33" s="1621">
        <f>U33*(1+V33+X33+Z33)+Y33</f>
        <v>133044</v>
      </c>
      <c r="AB33" s="865" t="n">
        <v>115821</v>
      </c>
      <c r="AC33" s="865" t="inlineStr">
        <is>
          <t>Z Retail</t>
        </is>
      </c>
      <c r="AD33" s="865" t="inlineStr">
        <is>
          <t>-</t>
        </is>
      </c>
      <c r="AE33" s="865" t="inlineStr">
        <is>
          <t>Data NZ</t>
        </is>
      </c>
      <c r="AF33" s="865" t="inlineStr">
        <is>
          <t>Unmapped</t>
        </is>
      </c>
      <c r="AG33" s="865" t="inlineStr">
        <is>
          <t>Filled</t>
        </is>
      </c>
    </row>
    <row r="34" hidden="1" ht="18" customHeight="1" s="866">
      <c r="A34" s="1566" t="n">
        <v>99999101542</v>
      </c>
      <c r="B34" s="1382" t="inlineStr">
        <is>
          <t>Joe Kuttikkatt</t>
        </is>
      </c>
      <c r="C34" s="1611" t="inlineStr">
        <is>
          <t>Senior Quality Assurance</t>
        </is>
      </c>
      <c r="D34" s="1382" t="inlineStr">
        <is>
          <t>Vacant</t>
        </is>
      </c>
      <c r="E34" s="1382" t="inlineStr">
        <is>
          <t>Technology Manager, Engineering</t>
        </is>
      </c>
      <c r="F34" s="1382" t="inlineStr">
        <is>
          <t>Ampol Retail &amp; Z</t>
        </is>
      </c>
      <c r="G34" s="1612" t="inlineStr">
        <is>
          <t>Z &amp; Group Retail</t>
        </is>
      </c>
      <c r="H34" s="1382" t="inlineStr">
        <is>
          <t>Z &amp; Group Retail, Engineering</t>
        </is>
      </c>
      <c r="I34" s="1382" t="inlineStr">
        <is>
          <t>Z</t>
        </is>
      </c>
      <c r="J34" s="1612" t="inlineStr">
        <is>
          <t>Z Supply</t>
        </is>
      </c>
      <c r="K34" s="1382" t="inlineStr">
        <is>
          <t>Z Supply</t>
        </is>
      </c>
      <c r="L34" s="1612" t="n"/>
      <c r="M34" s="1613" t="inlineStr">
        <is>
          <t>NZ</t>
        </is>
      </c>
      <c r="N34" s="1614" t="inlineStr">
        <is>
          <t>CIA</t>
        </is>
      </c>
      <c r="O34" s="1615" t="n">
        <v>1</v>
      </c>
      <c r="P34" s="1614" t="n"/>
      <c r="Q34" s="1615" t="inlineStr">
        <is>
          <t>Permanent - Full Time</t>
        </is>
      </c>
      <c r="R34" s="1616" t="n"/>
      <c r="S34" s="1616" t="n"/>
      <c r="T34" s="1616" t="n">
        <v>125250</v>
      </c>
      <c r="U34" s="1626" t="n">
        <v>115230</v>
      </c>
      <c r="V34" s="1618" t="n">
        <v>0.15</v>
      </c>
      <c r="W34" s="1615" t="n"/>
      <c r="X34" s="1619" t="n">
        <v>0.05</v>
      </c>
      <c r="Y34" s="1620" t="n">
        <v>2910</v>
      </c>
      <c r="Z34" s="1619" t="n">
        <v>0.03</v>
      </c>
      <c r="AA34" s="1621">
        <f>U34*(1+V34+X34+Z34)+Y34</f>
        <v>144642.9</v>
      </c>
      <c r="AB34" s="865" t="n">
        <v>113556</v>
      </c>
      <c r="AC34" s="865" t="inlineStr">
        <is>
          <t>Z Retail</t>
        </is>
      </c>
      <c r="AD34" s="865" t="inlineStr">
        <is>
          <t>Z Supply</t>
        </is>
      </c>
      <c r="AE34" s="865" t="inlineStr">
        <is>
          <t>Z Supply</t>
        </is>
      </c>
      <c r="AF34" s="865" t="inlineStr">
        <is>
          <t>Squad</t>
        </is>
      </c>
      <c r="AG34" s="865" t="inlineStr">
        <is>
          <t>Filled</t>
        </is>
      </c>
    </row>
    <row r="35" hidden="1" ht="18" customHeight="1" s="866">
      <c r="A35" s="1566" t="n">
        <v>99999101620</v>
      </c>
      <c r="B35" s="1382" t="inlineStr">
        <is>
          <t>Johanah Gloria</t>
        </is>
      </c>
      <c r="C35" s="1611" t="inlineStr">
        <is>
          <t>Engineer - Software</t>
        </is>
      </c>
      <c r="D35" s="1382" t="inlineStr">
        <is>
          <t>Vacant</t>
        </is>
      </c>
      <c r="E35" s="1382" t="inlineStr">
        <is>
          <t>Technology Manager, Engineering</t>
        </is>
      </c>
      <c r="F35" s="1382" t="inlineStr">
        <is>
          <t>Ampol Retail &amp; Z</t>
        </is>
      </c>
      <c r="G35" s="1612" t="inlineStr">
        <is>
          <t>Z &amp; Group Retail</t>
        </is>
      </c>
      <c r="H35" s="1382" t="inlineStr">
        <is>
          <t>Z &amp; Group Retail, Engineering</t>
        </is>
      </c>
      <c r="I35" s="1382" t="inlineStr">
        <is>
          <t>Z</t>
        </is>
      </c>
      <c r="J35" s="1612" t="inlineStr">
        <is>
          <t>Z Supply</t>
        </is>
      </c>
      <c r="K35" s="1382" t="inlineStr">
        <is>
          <t>Z Supply</t>
        </is>
      </c>
      <c r="L35" s="1612" t="n"/>
      <c r="M35" s="1613" t="inlineStr">
        <is>
          <t>NZ</t>
        </is>
      </c>
      <c r="N35" s="1614" t="inlineStr">
        <is>
          <t>CDB</t>
        </is>
      </c>
      <c r="O35" s="1615" t="n">
        <v>1</v>
      </c>
      <c r="P35" s="1614" t="n"/>
      <c r="Q35" s="1615" t="inlineStr">
        <is>
          <t>Permanent - Full Time</t>
        </is>
      </c>
      <c r="R35" s="1616" t="n"/>
      <c r="S35" s="1616" t="n"/>
      <c r="T35" s="1616" t="n">
        <v>93640</v>
      </c>
      <c r="U35" s="1626" t="n">
        <v>86148.8</v>
      </c>
      <c r="V35" s="1618" t="n">
        <v>0.1</v>
      </c>
      <c r="W35" s="1615" t="n"/>
      <c r="X35" s="1619" t="n">
        <v>0.05</v>
      </c>
      <c r="Y35" s="1620" t="n">
        <v>2910</v>
      </c>
      <c r="Z35" s="1619" t="n">
        <v>0.03</v>
      </c>
      <c r="AA35" s="1621">
        <f>U35*(1+V35+X35+Z35)+Y35</f>
        <v>104565.584</v>
      </c>
      <c r="AB35" s="865" t="n">
        <v>113558</v>
      </c>
      <c r="AC35" s="865" t="inlineStr">
        <is>
          <t>Z Retail</t>
        </is>
      </c>
      <c r="AD35" s="865" t="inlineStr">
        <is>
          <t>Z Supply</t>
        </is>
      </c>
      <c r="AE35" s="865" t="inlineStr">
        <is>
          <t>Z Supply</t>
        </is>
      </c>
      <c r="AF35" s="865" t="inlineStr">
        <is>
          <t>Squad</t>
        </is>
      </c>
      <c r="AG35" s="865" t="inlineStr">
        <is>
          <t>Filled</t>
        </is>
      </c>
    </row>
    <row r="36" hidden="1" ht="18" customHeight="1" s="866">
      <c r="A36" s="1566" t="n">
        <v>7001</v>
      </c>
      <c r="B36" s="1382" t="inlineStr">
        <is>
          <t>Joseph Maroun</t>
        </is>
      </c>
      <c r="C36" s="1611" t="inlineStr">
        <is>
          <t>Delivery Lead, Integrations</t>
        </is>
      </c>
      <c r="D36" s="1382" t="inlineStr">
        <is>
          <t>Tracy Lee Reaper</t>
        </is>
      </c>
      <c r="E36" s="1382" t="inlineStr">
        <is>
          <t>Tech Manager, Merchandising &amp; WFM</t>
        </is>
      </c>
      <c r="F36" s="1382" t="inlineStr">
        <is>
          <t>Ampol Retail &amp; Z</t>
        </is>
      </c>
      <c r="G36" s="1612" t="inlineStr">
        <is>
          <t>Ampol Retail</t>
        </is>
      </c>
      <c r="H36" s="1382" t="inlineStr">
        <is>
          <t>Ampol Retail, Merch &amp; RTA</t>
        </is>
      </c>
      <c r="I36" s="1382" t="inlineStr">
        <is>
          <t>Retail</t>
        </is>
      </c>
      <c r="J36" s="1612" t="inlineStr">
        <is>
          <t>Merch / Supply Chain</t>
        </is>
      </c>
      <c r="K36" s="1382" t="inlineStr">
        <is>
          <t>Merchandising &amp; Supply Chain</t>
        </is>
      </c>
      <c r="L36" s="1612" t="n"/>
      <c r="M36" s="1613" t="inlineStr">
        <is>
          <t>Australia</t>
        </is>
      </c>
      <c r="N36" s="1616" t="inlineStr">
        <is>
          <t>CIB</t>
        </is>
      </c>
      <c r="O36" s="1616" t="n">
        <v>1</v>
      </c>
      <c r="P36" s="1616" t="n"/>
      <c r="Q36" s="1616" t="inlineStr">
        <is>
          <t>Permanent - Full Time</t>
        </is>
      </c>
      <c r="R36" s="1616" t="n"/>
      <c r="S36" s="1616" t="n"/>
      <c r="T36" s="1616" t="n">
        <v>142360</v>
      </c>
      <c r="U36" s="1626" t="n">
        <v>142360</v>
      </c>
      <c r="V36" s="1619" t="n">
        <v>0.12</v>
      </c>
      <c r="W36" s="1622" t="n">
        <v>0.055</v>
      </c>
      <c r="X36" s="1622" t="n">
        <v>0.12</v>
      </c>
      <c r="Y36" s="1623" t="n"/>
      <c r="Z36" s="1622" t="n">
        <v>0.04</v>
      </c>
      <c r="AA36" s="1621">
        <f>U36*(1+V36+W36+X36+Y36+Z36)</f>
        <v>190050.6</v>
      </c>
      <c r="AC36" s="865" t="inlineStr">
        <is>
          <t>Ampol Retail</t>
        </is>
      </c>
      <c r="AD36" s="865" t="inlineStr">
        <is>
          <t>Above Store</t>
        </is>
      </c>
      <c r="AE36" s="865" t="inlineStr">
        <is>
          <t>Above Store</t>
        </is>
      </c>
      <c r="AF36" s="865" t="inlineStr">
        <is>
          <t>Squad</t>
        </is>
      </c>
      <c r="AG36" s="865" t="inlineStr">
        <is>
          <t>Filled</t>
        </is>
      </c>
    </row>
    <row r="37" hidden="1" ht="18" customHeight="1" s="866">
      <c r="A37" s="1566" t="inlineStr">
        <is>
          <t>C</t>
        </is>
      </c>
      <c r="B37" s="1382" t="inlineStr">
        <is>
          <t>Kanti Hirani</t>
        </is>
      </c>
      <c r="C37" s="1611" t="inlineStr">
        <is>
          <t>Business Analyst (PEP13 UK)</t>
        </is>
      </c>
      <c r="D37" s="1382" t="inlineStr">
        <is>
          <t>Vanessa Allen</t>
        </is>
      </c>
      <c r="E37" s="1382" t="inlineStr">
        <is>
          <t>Delivery Manager, Ampol Retail</t>
        </is>
      </c>
      <c r="F37" s="1382" t="inlineStr">
        <is>
          <t>Ampol Retail &amp; Z</t>
        </is>
      </c>
      <c r="G37" s="1612" t="inlineStr">
        <is>
          <t>Ampol Retail</t>
        </is>
      </c>
      <c r="H37" s="1382" t="inlineStr">
        <is>
          <t>Ampol Retail, Delivery</t>
        </is>
      </c>
      <c r="I37" s="1382" t="inlineStr">
        <is>
          <t>EGI Integration</t>
        </is>
      </c>
      <c r="J37" s="1612" t="inlineStr">
        <is>
          <t>EGI</t>
        </is>
      </c>
      <c r="K37" s="1382" t="inlineStr">
        <is>
          <t>EGI</t>
        </is>
      </c>
      <c r="L37" s="1612" t="n"/>
      <c r="M37" s="1613" t="inlineStr">
        <is>
          <t>Australia</t>
        </is>
      </c>
      <c r="N37" s="1616" t="inlineStr">
        <is>
          <t>NA</t>
        </is>
      </c>
      <c r="O37" s="1614" t="n">
        <v>1</v>
      </c>
      <c r="P37" s="1616" t="n"/>
      <c r="Q37" s="1616" t="inlineStr">
        <is>
          <t>cxc</t>
        </is>
      </c>
      <c r="R37" s="1624" t="inlineStr">
        <is>
          <t>Daily</t>
        </is>
      </c>
      <c r="S37" s="1616" t="n">
        <v>952</v>
      </c>
      <c r="T37" s="1616" t="n">
        <v>0</v>
      </c>
      <c r="U37" s="1627" t="n"/>
      <c r="V37" s="1612" t="n"/>
      <c r="W37" s="1612" t="n"/>
      <c r="X37" s="1612" t="n"/>
      <c r="Y37" s="1612" t="n"/>
      <c r="Z37" s="1612" t="n"/>
      <c r="AA37" s="1625">
        <f>S37*222</f>
        <v>211344</v>
      </c>
      <c r="AC37" s="865" t="inlineStr">
        <is>
          <t>EGI</t>
        </is>
      </c>
      <c r="AD37" s="865" t="inlineStr">
        <is>
          <t>EGI</t>
        </is>
      </c>
      <c r="AE37" s="865" t="inlineStr">
        <is>
          <t>EGI (unassigned)</t>
        </is>
      </c>
      <c r="AF37" s="865" t="inlineStr">
        <is>
          <t>Unmapped</t>
        </is>
      </c>
      <c r="AG37" s="865" t="inlineStr">
        <is>
          <t>Filled</t>
        </is>
      </c>
    </row>
    <row r="38" hidden="1" ht="18" customHeight="1" s="866">
      <c r="A38" s="1566" t="n">
        <v>84413</v>
      </c>
      <c r="B38" s="1382" t="inlineStr">
        <is>
          <t>Karthick Sathiyamoorthy</t>
        </is>
      </c>
      <c r="C38" s="1611" t="inlineStr">
        <is>
          <t>Quality Assurance</t>
        </is>
      </c>
      <c r="D38" s="1612" t="inlineStr">
        <is>
          <t>Vacant</t>
        </is>
      </c>
      <c r="E38" s="1382" t="inlineStr">
        <is>
          <t>Lead Quality Assurance</t>
        </is>
      </c>
      <c r="F38" s="1382" t="inlineStr">
        <is>
          <t>Ampol Retail &amp; Z</t>
        </is>
      </c>
      <c r="G38" s="1612" t="inlineStr">
        <is>
          <t>Ampol Retail</t>
        </is>
      </c>
      <c r="H38" s="1382" t="inlineStr">
        <is>
          <t>Ampol Retail, Store Platforms</t>
        </is>
      </c>
      <c r="I38" s="1382" t="inlineStr">
        <is>
          <t>Retail</t>
        </is>
      </c>
      <c r="J38" s="1612" t="inlineStr">
        <is>
          <t>AMPOS</t>
        </is>
      </c>
      <c r="K38" s="1382" t="inlineStr">
        <is>
          <t>AmPos</t>
        </is>
      </c>
      <c r="L38" s="1612" t="n"/>
      <c r="M38" s="1613" t="inlineStr">
        <is>
          <t>Australia</t>
        </is>
      </c>
      <c r="N38" s="1616" t="inlineStr">
        <is>
          <t>CIA</t>
        </is>
      </c>
      <c r="O38" s="1616" t="n">
        <v>1</v>
      </c>
      <c r="P38" s="1616" t="n"/>
      <c r="Q38" s="1616" t="inlineStr">
        <is>
          <t>Permanent - Full Time</t>
        </is>
      </c>
      <c r="R38" s="1616" t="n"/>
      <c r="S38" s="1616" t="n"/>
      <c r="T38" s="1616" t="n">
        <v>134270</v>
      </c>
      <c r="U38" s="1626" t="n">
        <v>134270</v>
      </c>
      <c r="V38" s="1619" t="n">
        <v>0.1</v>
      </c>
      <c r="W38" s="1622" t="n">
        <v>0.055</v>
      </c>
      <c r="X38" s="1622" t="n">
        <v>0.12</v>
      </c>
      <c r="Y38" s="1623" t="n"/>
      <c r="Z38" s="1622" t="n">
        <v>0.04</v>
      </c>
      <c r="AA38" s="1621">
        <f>U38*(1+V38+W38+X38+Y38+Z38)</f>
        <v>176565.05</v>
      </c>
      <c r="AC38" s="865" t="inlineStr">
        <is>
          <t>Ampol Retail</t>
        </is>
      </c>
      <c r="AD38" s="865" t="inlineStr">
        <is>
          <t>AmPOS</t>
        </is>
      </c>
      <c r="AE38" s="865" t="inlineStr">
        <is>
          <t>AmPOS</t>
        </is>
      </c>
      <c r="AF38" s="865" t="inlineStr">
        <is>
          <t>Strategic Program</t>
        </is>
      </c>
      <c r="AG38" s="865" t="inlineStr">
        <is>
          <t>Filled</t>
        </is>
      </c>
    </row>
    <row r="39" hidden="1" ht="18" customHeight="1" s="866">
      <c r="A39" s="1566" t="n">
        <v>85321</v>
      </c>
      <c r="B39" s="1382" t="inlineStr">
        <is>
          <t>Karthikeyan Kuppan</t>
        </is>
      </c>
      <c r="C39" s="1611" t="inlineStr">
        <is>
          <t>Lead - AU Retail Operations</t>
        </is>
      </c>
      <c r="D39" s="1382" t="inlineStr">
        <is>
          <t>Vaishnavi Viswanathan</t>
        </is>
      </c>
      <c r="E39" s="1382" t="inlineStr">
        <is>
          <t>Technology Manager, Store Platform</t>
        </is>
      </c>
      <c r="F39" s="1382" t="inlineStr">
        <is>
          <t>Ampol Retail &amp; Z</t>
        </is>
      </c>
      <c r="G39" s="1612" t="inlineStr">
        <is>
          <t>Ampol Retail</t>
        </is>
      </c>
      <c r="H39" s="1382" t="inlineStr">
        <is>
          <t>Ampol Retail, Store Platforms</t>
        </is>
      </c>
      <c r="I39" s="1382" t="inlineStr">
        <is>
          <t>Retail</t>
        </is>
      </c>
      <c r="J39" s="1612" t="inlineStr">
        <is>
          <t>Store Operations</t>
        </is>
      </c>
      <c r="K39" s="1382" t="inlineStr">
        <is>
          <t>Retail Operations</t>
        </is>
      </c>
      <c r="L39" s="1612" t="n"/>
      <c r="M39" s="1613" t="inlineStr">
        <is>
          <t>Australia</t>
        </is>
      </c>
      <c r="N39" s="1616" t="inlineStr">
        <is>
          <t>CIB</t>
        </is>
      </c>
      <c r="O39" s="1616" t="n">
        <v>1</v>
      </c>
      <c r="P39" s="1616" t="n"/>
      <c r="Q39" s="1616" t="inlineStr">
        <is>
          <t>Permanent - Full Time</t>
        </is>
      </c>
      <c r="R39" s="1616" t="n"/>
      <c r="S39" s="1616" t="n"/>
      <c r="T39" s="1616" t="n">
        <v>145340</v>
      </c>
      <c r="U39" s="1626" t="n">
        <v>145340</v>
      </c>
      <c r="V39" s="1619" t="n">
        <v>0.12</v>
      </c>
      <c r="W39" s="1622" t="n">
        <v>0.055</v>
      </c>
      <c r="X39" s="1622" t="n">
        <v>0.12</v>
      </c>
      <c r="Y39" s="1623" t="n"/>
      <c r="Z39" s="1622" t="n">
        <v>0.04</v>
      </c>
      <c r="AA39" s="1621">
        <f>U39*(1+V39+W39+X39+Y39+Z39)</f>
        <v>194028.9</v>
      </c>
      <c r="AC39" s="865" t="inlineStr">
        <is>
          <t>Ampol Retail</t>
        </is>
      </c>
      <c r="AD39" s="865" t="inlineStr">
        <is>
          <t>Store Operations</t>
        </is>
      </c>
      <c r="AE39" s="865" t="inlineStr">
        <is>
          <t>Retail Operations</t>
        </is>
      </c>
      <c r="AF39" s="865" t="inlineStr">
        <is>
          <t>Unmapped</t>
        </is>
      </c>
      <c r="AG39" s="865" t="inlineStr">
        <is>
          <t>Filled</t>
        </is>
      </c>
    </row>
    <row r="40" hidden="1" ht="18" customHeight="1" s="866">
      <c r="A40" s="1566" t="n">
        <v>99999101804</v>
      </c>
      <c r="B40" s="1628" t="inlineStr">
        <is>
          <t>Kate Johnstone</t>
        </is>
      </c>
      <c r="C40" s="1629" t="inlineStr">
        <is>
          <t>Program Manager POS</t>
        </is>
      </c>
      <c r="D40" s="1382" t="inlineStr">
        <is>
          <t>Vance Anderson</t>
        </is>
      </c>
      <c r="E40" s="1612" t="inlineStr">
        <is>
          <t>GM TDD, Ampol Retail &amp; Z</t>
        </is>
      </c>
      <c r="F40" s="1382" t="inlineStr">
        <is>
          <t>Ampol Retail &amp; Z</t>
        </is>
      </c>
      <c r="G40" s="1612" t="inlineStr">
        <is>
          <t>Program Management</t>
        </is>
      </c>
      <c r="H40" s="1382" t="n"/>
      <c r="I40" s="1382" t="inlineStr">
        <is>
          <t>Retail</t>
        </is>
      </c>
      <c r="J40" s="1612" t="inlineStr">
        <is>
          <t>AMPOS</t>
        </is>
      </c>
      <c r="K40" s="1612" t="inlineStr">
        <is>
          <t>Leadership</t>
        </is>
      </c>
      <c r="L40" s="1612" t="n"/>
      <c r="M40" s="1613" t="inlineStr">
        <is>
          <t>NZ</t>
        </is>
      </c>
      <c r="N40" s="1614" t="inlineStr">
        <is>
          <t>CSB</t>
        </is>
      </c>
      <c r="O40" s="1615" t="n">
        <v>1</v>
      </c>
      <c r="P40" s="1614" t="n"/>
      <c r="Q40" s="1615" t="inlineStr">
        <is>
          <t>Permanent - Full Time</t>
        </is>
      </c>
      <c r="R40" s="1616" t="n"/>
      <c r="S40" s="1616" t="n"/>
      <c r="T40" s="1616" t="n">
        <v>212110</v>
      </c>
      <c r="U40" s="1626" t="n">
        <v>195141.2</v>
      </c>
      <c r="V40" s="1618" t="n">
        <v>0.15</v>
      </c>
      <c r="W40" s="1615" t="n"/>
      <c r="X40" s="1619" t="n">
        <v>0.05</v>
      </c>
      <c r="Y40" s="1620" t="n">
        <v>2910</v>
      </c>
      <c r="Z40" s="1619" t="n">
        <v>0.03</v>
      </c>
      <c r="AA40" s="1621">
        <f>U40*(1+V40+X40+Z40)+Y40</f>
        <v>242933.676</v>
      </c>
      <c r="AB40" s="865" t="n">
        <v>110283</v>
      </c>
      <c r="AC40" s="865" t="inlineStr">
        <is>
          <t>Ampol Retail</t>
        </is>
      </c>
      <c r="AD40" s="865" t="inlineStr">
        <is>
          <t>Leadership</t>
        </is>
      </c>
      <c r="AE40" s="865" t="inlineStr">
        <is>
          <t>Leadership</t>
        </is>
      </c>
      <c r="AF40" s="865" t="inlineStr">
        <is>
          <t>Leadership</t>
        </is>
      </c>
      <c r="AG40" s="865" t="inlineStr">
        <is>
          <t>Filled</t>
        </is>
      </c>
    </row>
    <row r="41" hidden="1" ht="18" customHeight="1" s="866">
      <c r="A41" s="1566" t="n">
        <v>99999100476</v>
      </c>
      <c r="B41" s="1382" t="inlineStr">
        <is>
          <t>Kelly Russell</t>
        </is>
      </c>
      <c r="C41" s="1611" t="inlineStr">
        <is>
          <t>Lead Quality Assurance</t>
        </is>
      </c>
      <c r="D41" s="1382" t="inlineStr">
        <is>
          <t>Callan McLaughlin</t>
        </is>
      </c>
      <c r="E41" s="1382" t="inlineStr">
        <is>
          <t>Technology Manager,  Site Systems</t>
        </is>
      </c>
      <c r="F41" s="1382" t="inlineStr">
        <is>
          <t>Ampol Retail &amp; Z</t>
        </is>
      </c>
      <c r="G41" s="1612" t="inlineStr">
        <is>
          <t>Z &amp; Group Retail</t>
        </is>
      </c>
      <c r="H41" s="1382" t="inlineStr">
        <is>
          <t>Z &amp; Group Retail, Site Systems</t>
        </is>
      </c>
      <c r="I41" s="1382" t="inlineStr">
        <is>
          <t>Z</t>
        </is>
      </c>
      <c r="J41" s="1612" t="inlineStr">
        <is>
          <t>Z Customer</t>
        </is>
      </c>
      <c r="K41" s="1382" t="inlineStr">
        <is>
          <t>Site Systems</t>
        </is>
      </c>
      <c r="L41" s="1612" t="n"/>
      <c r="M41" s="1613" t="inlineStr">
        <is>
          <t>NZ</t>
        </is>
      </c>
      <c r="N41" s="1614" t="inlineStr">
        <is>
          <t>CIC</t>
        </is>
      </c>
      <c r="O41" s="1615" t="n">
        <v>1</v>
      </c>
      <c r="P41" s="1614" t="n"/>
      <c r="Q41" s="1615" t="inlineStr">
        <is>
          <t>Permanent - Full Time</t>
        </is>
      </c>
      <c r="R41" s="1616" t="n"/>
      <c r="S41" s="1616" t="n"/>
      <c r="T41" s="1616" t="n">
        <v>175960</v>
      </c>
      <c r="U41" s="1626" t="n">
        <v>161883.2</v>
      </c>
      <c r="V41" s="1618" t="n">
        <v>0.15</v>
      </c>
      <c r="W41" s="1615" t="n"/>
      <c r="X41" s="1619" t="n">
        <v>0.05</v>
      </c>
      <c r="Y41" s="1620" t="n">
        <v>2910</v>
      </c>
      <c r="Z41" s="1619" t="n">
        <v>0.03</v>
      </c>
      <c r="AA41" s="1621">
        <f>U41*(1+V41+X41+Z41)+Y41</f>
        <v>202026.336</v>
      </c>
      <c r="AB41" s="865" t="n">
        <v>113566</v>
      </c>
      <c r="AC41" s="865" t="inlineStr">
        <is>
          <t>Z Retail</t>
        </is>
      </c>
      <c r="AD41" s="865" t="inlineStr">
        <is>
          <t>Z Customer</t>
        </is>
      </c>
      <c r="AE41" s="865" t="inlineStr">
        <is>
          <t>Site Systems</t>
        </is>
      </c>
      <c r="AF41" s="865" t="inlineStr">
        <is>
          <t>Squad</t>
        </is>
      </c>
      <c r="AG41" s="865" t="inlineStr">
        <is>
          <t>Filled</t>
        </is>
      </c>
    </row>
    <row r="42" hidden="1" ht="18" customHeight="1" s="866">
      <c r="A42" s="1566" t="n">
        <v>99999102028</v>
      </c>
      <c r="B42" s="1382" t="inlineStr">
        <is>
          <t>Lauren Lancaster</t>
        </is>
      </c>
      <c r="C42" s="1611" t="inlineStr">
        <is>
          <t>Associate Engineer - Software</t>
        </is>
      </c>
      <c r="D42" s="1382" t="inlineStr">
        <is>
          <t>Vacant</t>
        </is>
      </c>
      <c r="E42" s="1382" t="inlineStr">
        <is>
          <t>Technology Manager, Engineering</t>
        </is>
      </c>
      <c r="F42" s="1382" t="inlineStr">
        <is>
          <t>Ampol Retail &amp; Z</t>
        </is>
      </c>
      <c r="G42" s="1382" t="inlineStr">
        <is>
          <t>Z &amp; Group Retail</t>
        </is>
      </c>
      <c r="H42" s="1382" t="inlineStr">
        <is>
          <t>Z &amp; Group Retail, Engineering</t>
        </is>
      </c>
      <c r="I42" s="1382" t="inlineStr">
        <is>
          <t>Z</t>
        </is>
      </c>
      <c r="J42" s="1382" t="inlineStr">
        <is>
          <t>Z Customer</t>
        </is>
      </c>
      <c r="K42" s="1382" t="inlineStr">
        <is>
          <t xml:space="preserve">Z Retail Backend </t>
        </is>
      </c>
      <c r="L42" s="1612" t="n"/>
      <c r="M42" s="1613" t="inlineStr">
        <is>
          <t>NZ</t>
        </is>
      </c>
      <c r="N42" s="1614" t="inlineStr">
        <is>
          <t>CDA</t>
        </is>
      </c>
      <c r="O42" s="1615" t="n">
        <v>1</v>
      </c>
      <c r="P42" s="1614" t="n"/>
      <c r="Q42" s="1615" t="inlineStr">
        <is>
          <t>Permanent - Full Time</t>
        </is>
      </c>
      <c r="R42" s="1616" t="n"/>
      <c r="S42" s="1616" t="n"/>
      <c r="T42" s="1627" t="n">
        <v>72000</v>
      </c>
      <c r="U42" s="1626" t="n">
        <v>66240</v>
      </c>
      <c r="V42" s="1618" t="n">
        <v>0.1</v>
      </c>
      <c r="W42" s="1616" t="n"/>
      <c r="X42" s="1619" t="n">
        <v>0.05</v>
      </c>
      <c r="Y42" s="1620" t="n">
        <v>2910</v>
      </c>
      <c r="Z42" s="1619" t="n">
        <v>0.03</v>
      </c>
      <c r="AA42" s="1621">
        <f>U42*(1+V42+X42+Z42)+Y42</f>
        <v>81073.2</v>
      </c>
      <c r="AB42" s="865" t="n">
        <v>115816</v>
      </c>
      <c r="AC42" s="865" t="inlineStr">
        <is>
          <t>Z Retail</t>
        </is>
      </c>
      <c r="AD42" s="865" t="inlineStr">
        <is>
          <t>Z Customer</t>
        </is>
      </c>
      <c r="AE42" s="865" t="inlineStr">
        <is>
          <t>Z Retail Backend</t>
        </is>
      </c>
      <c r="AF42" s="865" t="inlineStr">
        <is>
          <t>Squad</t>
        </is>
      </c>
      <c r="AG42" s="865" t="inlineStr">
        <is>
          <t>Filled</t>
        </is>
      </c>
    </row>
    <row r="43" hidden="1" ht="18" customHeight="1" s="866">
      <c r="A43" s="1566" t="n">
        <v>110852</v>
      </c>
      <c r="B43" s="1382" t="inlineStr">
        <is>
          <t>Madan Murthy</t>
        </is>
      </c>
      <c r="C43" s="1611" t="inlineStr">
        <is>
          <t>Head of Technology, AU Retail</t>
        </is>
      </c>
      <c r="D43" s="1382" t="inlineStr">
        <is>
          <t>Vance Anderson</t>
        </is>
      </c>
      <c r="E43" s="1612" t="inlineStr">
        <is>
          <t>GM TDD, Ampol Retail &amp; Z</t>
        </is>
      </c>
      <c r="F43" s="1382" t="inlineStr">
        <is>
          <t>Ampol Retail &amp; Z</t>
        </is>
      </c>
      <c r="G43" s="1612" t="inlineStr">
        <is>
          <t>Ampol Retail</t>
        </is>
      </c>
      <c r="H43" s="1382" t="inlineStr">
        <is>
          <t>na</t>
        </is>
      </c>
      <c r="I43" s="1382" t="inlineStr">
        <is>
          <t>Retail</t>
        </is>
      </c>
      <c r="J43" s="1382" t="inlineStr">
        <is>
          <t>(All Retail)</t>
        </is>
      </c>
      <c r="K43" s="1612" t="inlineStr">
        <is>
          <t>Leadership</t>
        </is>
      </c>
      <c r="L43" s="1612" t="n"/>
      <c r="M43" s="1613" t="inlineStr">
        <is>
          <t>Australia</t>
        </is>
      </c>
      <c r="N43" s="1614" t="inlineStr">
        <is>
          <t>CSC</t>
        </is>
      </c>
      <c r="O43" s="1614" t="n">
        <v>1</v>
      </c>
      <c r="P43" s="1614" t="n"/>
      <c r="Q43" s="1614" t="inlineStr">
        <is>
          <t>Permanent - Full Time</t>
        </is>
      </c>
      <c r="R43" s="1616" t="n"/>
      <c r="S43" s="1616" t="n"/>
      <c r="T43" s="1627" t="n">
        <v>310000</v>
      </c>
      <c r="U43" s="1626" t="n">
        <v>310000</v>
      </c>
      <c r="V43" s="1619" t="n">
        <v>0.2</v>
      </c>
      <c r="W43" s="1622" t="n">
        <v>0.055</v>
      </c>
      <c r="X43" s="1622" t="n">
        <v>0.12</v>
      </c>
      <c r="Y43" s="1623" t="n"/>
      <c r="Z43" s="1622" t="n">
        <v>0.04</v>
      </c>
      <c r="AA43" s="1621">
        <f>U43*(1+V43+W43+X43+Y43+Z43)</f>
        <v>438650</v>
      </c>
      <c r="AC43" s="865" t="inlineStr">
        <is>
          <t>Ampol Retail</t>
        </is>
      </c>
      <c r="AD43" s="865" t="inlineStr">
        <is>
          <t>Leadership</t>
        </is>
      </c>
      <c r="AE43" s="865" t="inlineStr">
        <is>
          <t>Leadership</t>
        </is>
      </c>
      <c r="AF43" s="865" t="inlineStr">
        <is>
          <t>Leadership</t>
        </is>
      </c>
      <c r="AG43" s="865" t="inlineStr">
        <is>
          <t>Filled</t>
        </is>
      </c>
    </row>
    <row r="44" hidden="1" ht="18" customHeight="1" s="866">
      <c r="A44" s="1566" t="n">
        <v>86743</v>
      </c>
      <c r="B44" s="1382" t="inlineStr">
        <is>
          <t>Majdi Abedi</t>
        </is>
      </c>
      <c r="C44" s="1611" t="inlineStr">
        <is>
          <t>Systems Analyst</t>
        </is>
      </c>
      <c r="D44" s="1382" t="inlineStr">
        <is>
          <t>Tracy Lee Reaper</t>
        </is>
      </c>
      <c r="E44" s="1382" t="inlineStr">
        <is>
          <t>Tech Manager, Merchandising &amp; WFM</t>
        </is>
      </c>
      <c r="F44" s="1382" t="inlineStr">
        <is>
          <t>Ampol Retail &amp; Z</t>
        </is>
      </c>
      <c r="G44" s="1612" t="inlineStr">
        <is>
          <t>Ampol Retail</t>
        </is>
      </c>
      <c r="H44" s="1382" t="inlineStr">
        <is>
          <t>Ampol Retail, Merch &amp; RTA</t>
        </is>
      </c>
      <c r="I44" s="1382" t="inlineStr">
        <is>
          <t>Retail</t>
        </is>
      </c>
      <c r="J44" s="1631" t="inlineStr">
        <is>
          <t>Pricing / WFM</t>
        </is>
      </c>
      <c r="K44" s="1572" t="inlineStr">
        <is>
          <t>Pricing &amp; WFM</t>
        </is>
      </c>
      <c r="L44" s="1612" t="n"/>
      <c r="M44" s="1613" t="inlineStr">
        <is>
          <t>Australia</t>
        </is>
      </c>
      <c r="N44" s="1616" t="inlineStr">
        <is>
          <t>CIB</t>
        </is>
      </c>
      <c r="O44" s="1616" t="n">
        <v>1</v>
      </c>
      <c r="P44" s="1616" t="n"/>
      <c r="Q44" s="1616" t="inlineStr">
        <is>
          <t>Permanent - Full Time</t>
        </is>
      </c>
      <c r="R44" s="1616" t="n"/>
      <c r="S44" s="1616" t="n"/>
      <c r="T44" s="1627" t="n">
        <v>139350</v>
      </c>
      <c r="U44" s="1626" t="n">
        <v>139350</v>
      </c>
      <c r="V44" s="1619" t="n">
        <v>0.12</v>
      </c>
      <c r="W44" s="1622" t="n">
        <v>0.055</v>
      </c>
      <c r="X44" s="1622" t="n">
        <v>0.12</v>
      </c>
      <c r="Y44" s="1623" t="n"/>
      <c r="Z44" s="1622" t="n">
        <v>0.04</v>
      </c>
      <c r="AA44" s="1621">
        <f>U44*(1+V44+W44+X44+Y44+Z44)</f>
        <v>186032.25</v>
      </c>
      <c r="AC44" s="865" t="inlineStr">
        <is>
          <t>Ampol Retail</t>
        </is>
      </c>
      <c r="AD44" s="865" t="inlineStr">
        <is>
          <t>Above Store</t>
        </is>
      </c>
      <c r="AE44" s="865" t="inlineStr">
        <is>
          <t>Above Store</t>
        </is>
      </c>
      <c r="AF44" s="865" t="inlineStr">
        <is>
          <t>Squad</t>
        </is>
      </c>
      <c r="AG44" s="865" t="inlineStr">
        <is>
          <t>Filled</t>
        </is>
      </c>
    </row>
    <row r="45" hidden="1" ht="18" customHeight="1" s="866">
      <c r="A45" s="1566" t="n">
        <v>99999101222</v>
      </c>
      <c r="B45" s="1382" t="inlineStr">
        <is>
          <t>Malachi Ah Hoi</t>
        </is>
      </c>
      <c r="C45" s="1611" t="inlineStr">
        <is>
          <t>Senior Quality Assurance</t>
        </is>
      </c>
      <c r="D45" s="1382" t="inlineStr">
        <is>
          <t>Vacant</t>
        </is>
      </c>
      <c r="E45" s="1382" t="inlineStr">
        <is>
          <t>Technology Manager, Engineering</t>
        </is>
      </c>
      <c r="F45" s="1382" t="inlineStr">
        <is>
          <t>Ampol Retail &amp; Z</t>
        </is>
      </c>
      <c r="G45" s="1382" t="inlineStr">
        <is>
          <t>Z &amp; Group Retail</t>
        </is>
      </c>
      <c r="H45" s="1382" t="inlineStr">
        <is>
          <t>Z &amp; Group Retail, Engineering</t>
        </is>
      </c>
      <c r="I45" s="1382" t="inlineStr">
        <is>
          <t>Z</t>
        </is>
      </c>
      <c r="J45" s="1382" t="inlineStr">
        <is>
          <t>Z Customer</t>
        </is>
      </c>
      <c r="K45" s="1382" t="inlineStr">
        <is>
          <t xml:space="preserve">Z Retail Backend </t>
        </is>
      </c>
      <c r="L45" s="1612" t="n"/>
      <c r="M45" s="1613" t="inlineStr">
        <is>
          <t>NZ</t>
        </is>
      </c>
      <c r="N45" s="1614" t="inlineStr">
        <is>
          <t>CIA</t>
        </is>
      </c>
      <c r="O45" s="1615" t="n">
        <v>1</v>
      </c>
      <c r="P45" s="1614" t="n"/>
      <c r="Q45" s="1615" t="inlineStr">
        <is>
          <t>Permanent - Full Time</t>
        </is>
      </c>
      <c r="R45" s="1616" t="n"/>
      <c r="S45" s="1616" t="n"/>
      <c r="T45" s="1627" t="n">
        <v>116170</v>
      </c>
      <c r="U45" s="1626" t="n">
        <v>106876.4</v>
      </c>
      <c r="V45" s="1618" t="n">
        <v>0.15</v>
      </c>
      <c r="W45" s="1616" t="n"/>
      <c r="X45" s="1619" t="n">
        <v>0.05</v>
      </c>
      <c r="Y45" s="1620" t="n">
        <v>2910</v>
      </c>
      <c r="Z45" s="1619" t="n">
        <v>0.03</v>
      </c>
      <c r="AA45" s="1621">
        <f>U45*(1+V45+X45+Z45)+Y45</f>
        <v>134367.972</v>
      </c>
      <c r="AB45" s="865" t="n">
        <v>113584</v>
      </c>
      <c r="AC45" s="865" t="inlineStr">
        <is>
          <t>Z Retail</t>
        </is>
      </c>
      <c r="AD45" s="865" t="inlineStr">
        <is>
          <t>Z Customer</t>
        </is>
      </c>
      <c r="AE45" s="865" t="inlineStr">
        <is>
          <t>Z Retail Backend</t>
        </is>
      </c>
      <c r="AF45" s="865" t="inlineStr">
        <is>
          <t>Squad</t>
        </is>
      </c>
      <c r="AG45" s="865" t="inlineStr">
        <is>
          <t>Filled</t>
        </is>
      </c>
    </row>
    <row r="46" hidden="1" ht="18" customHeight="1" s="866">
      <c r="A46" s="1566" t="n">
        <v>99999170431</v>
      </c>
      <c r="B46" s="1382" t="inlineStr">
        <is>
          <t>Mark Dickson</t>
        </is>
      </c>
      <c r="C46" s="1611" t="inlineStr">
        <is>
          <t>Delivery Lead</t>
        </is>
      </c>
      <c r="D46" s="1612" t="inlineStr">
        <is>
          <t>Vacant</t>
        </is>
      </c>
      <c r="E46" s="1382" t="inlineStr">
        <is>
          <t>Delivery Manager, Z and Retail Data</t>
        </is>
      </c>
      <c r="F46" s="1382" t="inlineStr">
        <is>
          <t>Ampol Retail &amp; Z</t>
        </is>
      </c>
      <c r="G46" s="1612" t="inlineStr">
        <is>
          <t>Z &amp; Group Retail</t>
        </is>
      </c>
      <c r="H46" s="1382" t="inlineStr">
        <is>
          <t>Z &amp; Group Retail, Delivery</t>
        </is>
      </c>
      <c r="I46" s="1382" t="inlineStr">
        <is>
          <t>Z</t>
        </is>
      </c>
      <c r="J46" s="1382" t="inlineStr">
        <is>
          <t>Z Customer</t>
        </is>
      </c>
      <c r="K46" s="1382" t="inlineStr">
        <is>
          <t xml:space="preserve">Z Retail Backend </t>
        </is>
      </c>
      <c r="L46" s="1612" t="n"/>
      <c r="M46" s="1613" t="inlineStr">
        <is>
          <t>NZ</t>
        </is>
      </c>
      <c r="N46" s="1614" t="inlineStr">
        <is>
          <t>CIC</t>
        </is>
      </c>
      <c r="O46" s="1615" t="n">
        <v>1</v>
      </c>
      <c r="P46" s="1614" t="n"/>
      <c r="Q46" s="1615" t="inlineStr">
        <is>
          <t>Permanent - Full Time</t>
        </is>
      </c>
      <c r="R46" s="1616" t="n"/>
      <c r="S46" s="1616" t="n"/>
      <c r="T46" s="1627" t="n">
        <v>173620</v>
      </c>
      <c r="U46" s="1626" t="n">
        <v>159730.4</v>
      </c>
      <c r="V46" s="1618" t="n">
        <v>0.15</v>
      </c>
      <c r="W46" s="1632" t="n"/>
      <c r="X46" s="1619" t="n">
        <v>0.05</v>
      </c>
      <c r="Y46" s="1620" t="n">
        <v>2910</v>
      </c>
      <c r="Z46" s="1619" t="n">
        <v>0.03</v>
      </c>
      <c r="AA46" s="1621">
        <f>U46*(1+V46+X46+Z46)+Y46</f>
        <v>199378.392</v>
      </c>
      <c r="AB46" s="865" t="n">
        <v>113586</v>
      </c>
      <c r="AC46" s="865" t="inlineStr">
        <is>
          <t>Z Retail</t>
        </is>
      </c>
      <c r="AD46" s="865" t="inlineStr">
        <is>
          <t>Z Customer</t>
        </is>
      </c>
      <c r="AE46" s="865" t="inlineStr">
        <is>
          <t>Z Retail Backend</t>
        </is>
      </c>
      <c r="AF46" s="865" t="inlineStr">
        <is>
          <t>Squad</t>
        </is>
      </c>
      <c r="AG46" s="865" t="inlineStr">
        <is>
          <t>Filled</t>
        </is>
      </c>
    </row>
    <row r="47" hidden="1" ht="18" customHeight="1" s="866">
      <c r="A47" s="1566" t="n">
        <v>114616</v>
      </c>
      <c r="B47" s="1382" t="inlineStr">
        <is>
          <t>Marty O'Shea</t>
        </is>
      </c>
      <c r="C47" s="1611" t="inlineStr">
        <is>
          <t>Systems Analyst</t>
        </is>
      </c>
      <c r="D47" s="1382" t="inlineStr">
        <is>
          <t>Vedran Jukic</t>
        </is>
      </c>
      <c r="E47" s="1382" t="inlineStr">
        <is>
          <t>Technology Manager, Retail</t>
        </is>
      </c>
      <c r="F47" s="1382" t="inlineStr">
        <is>
          <t>Ampol Retail &amp; Z</t>
        </is>
      </c>
      <c r="G47" s="1612" t="inlineStr">
        <is>
          <t>Ampol Retail</t>
        </is>
      </c>
      <c r="H47" s="1382" t="inlineStr">
        <is>
          <t>Ampol Retail, Technology</t>
        </is>
      </c>
      <c r="I47" s="1382" t="inlineStr">
        <is>
          <t>EGI Integration</t>
        </is>
      </c>
      <c r="J47" s="1612" t="inlineStr">
        <is>
          <t>EGI</t>
        </is>
      </c>
      <c r="K47" s="1382" t="inlineStr">
        <is>
          <t>EGI Retail</t>
        </is>
      </c>
      <c r="L47" s="1612" t="n"/>
      <c r="M47" s="1613" t="inlineStr">
        <is>
          <t>Australia</t>
        </is>
      </c>
      <c r="N47" s="1614" t="inlineStr">
        <is>
          <t>CIB</t>
        </is>
      </c>
      <c r="O47" s="1614" t="n">
        <v>1</v>
      </c>
      <c r="P47" s="1614" t="n"/>
      <c r="Q47" s="1614" t="inlineStr">
        <is>
          <t>Permanent - Full Time</t>
        </is>
      </c>
      <c r="R47" s="1616" t="n"/>
      <c r="S47" s="1616" t="n"/>
      <c r="T47" s="1627" t="n">
        <v>135000</v>
      </c>
      <c r="U47" s="1626" t="n">
        <v>135000</v>
      </c>
      <c r="V47" s="1619" t="n">
        <v>0.12</v>
      </c>
      <c r="W47" s="1622" t="n">
        <v>0.055</v>
      </c>
      <c r="X47" s="1622" t="n">
        <v>0.12</v>
      </c>
      <c r="Y47" s="1623" t="n"/>
      <c r="Z47" s="1622" t="n">
        <v>0.04</v>
      </c>
      <c r="AA47" s="1621">
        <f>U47*(1+V47+W47+X47+Y47+Z47)</f>
        <v>180225</v>
      </c>
      <c r="AC47" s="865" t="inlineStr">
        <is>
          <t>Ampol Retail</t>
        </is>
      </c>
      <c r="AD47" s="865" t="inlineStr">
        <is>
          <t>EGI Retail</t>
        </is>
      </c>
      <c r="AE47" s="865" t="inlineStr">
        <is>
          <t>EGI Retail</t>
        </is>
      </c>
      <c r="AF47" s="865" t="inlineStr">
        <is>
          <t>Strategic Program</t>
        </is>
      </c>
      <c r="AG47" s="865" t="inlineStr">
        <is>
          <t>Filled</t>
        </is>
      </c>
    </row>
    <row r="48" hidden="1" ht="18" customHeight="1" s="866">
      <c r="A48" s="1566" t="n">
        <v>111835</v>
      </c>
      <c r="B48" s="1382" t="inlineStr">
        <is>
          <t>Matthew Patane</t>
        </is>
      </c>
      <c r="C48" s="1611" t="inlineStr">
        <is>
          <t>Release &amp; Deployment Manager</t>
        </is>
      </c>
      <c r="D48" s="1382" t="inlineStr">
        <is>
          <t>Vedran Jukic</t>
        </is>
      </c>
      <c r="E48" s="1382" t="inlineStr">
        <is>
          <t>Technology Manager, Retail</t>
        </is>
      </c>
      <c r="F48" s="1382" t="inlineStr">
        <is>
          <t>Ampol Retail &amp; Z</t>
        </is>
      </c>
      <c r="G48" s="1612" t="inlineStr">
        <is>
          <t>Ampol Retail</t>
        </is>
      </c>
      <c r="H48" s="1382" t="inlineStr">
        <is>
          <t>Ampol Retail, Technology</t>
        </is>
      </c>
      <c r="I48" s="1382" t="inlineStr">
        <is>
          <t>Retail</t>
        </is>
      </c>
      <c r="J48" s="1612" t="inlineStr">
        <is>
          <t>Store Operations</t>
        </is>
      </c>
      <c r="K48" s="1382" t="inlineStr">
        <is>
          <t>Deployment</t>
        </is>
      </c>
      <c r="L48" s="1612" t="n"/>
      <c r="M48" s="1613" t="inlineStr">
        <is>
          <t>Australia</t>
        </is>
      </c>
      <c r="N48" s="1614" t="inlineStr">
        <is>
          <t>CIC</t>
        </is>
      </c>
      <c r="O48" s="1614" t="n">
        <v>1</v>
      </c>
      <c r="P48" s="1614" t="n"/>
      <c r="Q48" s="1614" t="inlineStr">
        <is>
          <t>Permanent - Full Time</t>
        </is>
      </c>
      <c r="R48" s="1616" t="n"/>
      <c r="S48" s="1616" t="n"/>
      <c r="T48" s="1627" t="n">
        <v>185140</v>
      </c>
      <c r="U48" s="1626" t="n">
        <v>185140</v>
      </c>
      <c r="V48" s="1619" t="n">
        <v>0.12</v>
      </c>
      <c r="W48" s="1622" t="n">
        <v>0.055</v>
      </c>
      <c r="X48" s="1622" t="n">
        <v>0.12</v>
      </c>
      <c r="Y48" s="1623" t="n"/>
      <c r="Z48" s="1622" t="n">
        <v>0.04</v>
      </c>
      <c r="AA48" s="1621">
        <f>U48*(1+V48+W48+X48+Y48+Z48)</f>
        <v>247161.9</v>
      </c>
      <c r="AC48" s="865" t="inlineStr">
        <is>
          <t>Ampol Retail</t>
        </is>
      </c>
      <c r="AD48" s="865" t="inlineStr">
        <is>
          <t>Store Operations</t>
        </is>
      </c>
      <c r="AE48" s="865" t="inlineStr">
        <is>
          <t>Deployment</t>
        </is>
      </c>
      <c r="AF48" s="865" t="inlineStr">
        <is>
          <t>Squad</t>
        </is>
      </c>
      <c r="AG48" s="865" t="inlineStr">
        <is>
          <t>Filled</t>
        </is>
      </c>
    </row>
    <row r="49" hidden="1" ht="18" customHeight="1" s="866">
      <c r="A49" s="1566" t="n">
        <v>99999101668</v>
      </c>
      <c r="B49" s="1382" t="inlineStr">
        <is>
          <t>McKenzie Tournquist</t>
        </is>
      </c>
      <c r="C49" s="1611" t="inlineStr">
        <is>
          <t>Data Analyst</t>
        </is>
      </c>
      <c r="D49" s="1612" t="inlineStr">
        <is>
          <t>Vacant</t>
        </is>
      </c>
      <c r="E49" s="1382" t="inlineStr">
        <is>
          <t>Technology Manager, Data</t>
        </is>
      </c>
      <c r="F49" s="1382" t="inlineStr">
        <is>
          <t>Ampol Retail &amp; Z</t>
        </is>
      </c>
      <c r="G49" s="1612" t="inlineStr">
        <is>
          <t>Z &amp; Group Retail</t>
        </is>
      </c>
      <c r="H49" s="1382" t="inlineStr">
        <is>
          <t>Z &amp; Group Retail, Data</t>
        </is>
      </c>
      <c r="I49" s="1382" t="inlineStr">
        <is>
          <t>Z</t>
        </is>
      </c>
      <c r="J49" s="1612" t="inlineStr">
        <is>
          <t>Z Customer &amp; Z Supply</t>
        </is>
      </c>
      <c r="K49" s="1382" t="inlineStr">
        <is>
          <t>Data - NZ</t>
        </is>
      </c>
      <c r="L49" s="1612" t="n"/>
      <c r="M49" s="1613" t="inlineStr">
        <is>
          <t>NZ</t>
        </is>
      </c>
      <c r="N49" s="1614" t="inlineStr">
        <is>
          <t>CIA</t>
        </is>
      </c>
      <c r="O49" s="1615" t="n">
        <v>1</v>
      </c>
      <c r="P49" s="1614" t="n"/>
      <c r="Q49" s="1615" t="inlineStr">
        <is>
          <t>Permanent - Full Time</t>
        </is>
      </c>
      <c r="R49" s="1616" t="n"/>
      <c r="S49" s="1616" t="n"/>
      <c r="T49" s="1627" t="n">
        <v>118020</v>
      </c>
      <c r="U49" s="1626" t="n">
        <v>108578.4</v>
      </c>
      <c r="V49" s="1618" t="n">
        <v>0.15</v>
      </c>
      <c r="W49" s="1616" t="n"/>
      <c r="X49" s="1619" t="n">
        <v>0.05</v>
      </c>
      <c r="Y49" s="1620" t="n">
        <v>2910</v>
      </c>
      <c r="Z49" s="1619" t="n">
        <v>0.03</v>
      </c>
      <c r="AA49" s="1621">
        <f>U49*(1+V49+X49+Z49)+Y49</f>
        <v>136461.432</v>
      </c>
      <c r="AB49" s="865" t="n">
        <v>113589</v>
      </c>
      <c r="AC49" s="865" t="inlineStr">
        <is>
          <t>Z Retail</t>
        </is>
      </c>
      <c r="AD49" s="865" t="inlineStr">
        <is>
          <t>-</t>
        </is>
      </c>
      <c r="AE49" s="865" t="inlineStr">
        <is>
          <t>Data NZ</t>
        </is>
      </c>
      <c r="AF49" s="865" t="inlineStr">
        <is>
          <t>Unmapped</t>
        </is>
      </c>
      <c r="AG49" s="865" t="inlineStr">
        <is>
          <t>Filled</t>
        </is>
      </c>
    </row>
    <row r="50" hidden="1" ht="18" customHeight="1" s="866">
      <c r="A50" s="1566" t="n">
        <v>99999101623</v>
      </c>
      <c r="B50" s="1382" t="inlineStr">
        <is>
          <t>Michael Dasan</t>
        </is>
      </c>
      <c r="C50" s="1611" t="inlineStr">
        <is>
          <t>Engineer - Data</t>
        </is>
      </c>
      <c r="D50" s="1612" t="inlineStr">
        <is>
          <t>Vacant</t>
        </is>
      </c>
      <c r="E50" s="1382" t="inlineStr">
        <is>
          <t>Technology Manager, Data</t>
        </is>
      </c>
      <c r="F50" s="1382" t="inlineStr">
        <is>
          <t>Ampol Retail &amp; Z</t>
        </is>
      </c>
      <c r="G50" s="1612" t="inlineStr">
        <is>
          <t>Z &amp; Group Retail</t>
        </is>
      </c>
      <c r="H50" s="1382" t="inlineStr">
        <is>
          <t>Z &amp; Group Retail, Data</t>
        </is>
      </c>
      <c r="I50" s="1382" t="inlineStr">
        <is>
          <t>Z</t>
        </is>
      </c>
      <c r="J50" s="1612" t="inlineStr">
        <is>
          <t>Z Customer &amp; Z Supply</t>
        </is>
      </c>
      <c r="K50" s="1382" t="inlineStr">
        <is>
          <t>Data - NZ</t>
        </is>
      </c>
      <c r="L50" s="1612" t="n"/>
      <c r="M50" s="1613" t="inlineStr">
        <is>
          <t>NZ</t>
        </is>
      </c>
      <c r="N50" s="1614" t="inlineStr">
        <is>
          <t>CDB</t>
        </is>
      </c>
      <c r="O50" s="1615" t="n">
        <v>1</v>
      </c>
      <c r="P50" s="1614" t="n"/>
      <c r="Q50" s="1615" t="inlineStr">
        <is>
          <t>Permanent - Full Time</t>
        </is>
      </c>
      <c r="R50" s="1616" t="n"/>
      <c r="S50" s="1616" t="n"/>
      <c r="T50" s="1627" t="n">
        <v>81890</v>
      </c>
      <c r="U50" s="1626" t="n">
        <v>75338.8</v>
      </c>
      <c r="V50" s="1618" t="n">
        <v>0.1</v>
      </c>
      <c r="W50" s="1616" t="n"/>
      <c r="X50" s="1619" t="n">
        <v>0.05</v>
      </c>
      <c r="Y50" s="1620" t="n">
        <v>2910</v>
      </c>
      <c r="Z50" s="1619" t="n">
        <v>0.03</v>
      </c>
      <c r="AA50" s="1621">
        <f>U50*(1+V50+X50+Z50)+Y50</f>
        <v>91809.784</v>
      </c>
      <c r="AB50" s="865" t="n">
        <v>113591</v>
      </c>
      <c r="AC50" s="865" t="inlineStr">
        <is>
          <t>Z Retail</t>
        </is>
      </c>
      <c r="AD50" s="865" t="inlineStr">
        <is>
          <t>-</t>
        </is>
      </c>
      <c r="AE50" s="865" t="inlineStr">
        <is>
          <t>Data NZ</t>
        </is>
      </c>
      <c r="AF50" s="865" t="inlineStr">
        <is>
          <t>Unmapped</t>
        </is>
      </c>
      <c r="AG50" s="865" t="inlineStr">
        <is>
          <t>Filled</t>
        </is>
      </c>
    </row>
    <row r="51" hidden="1" ht="18" customHeight="1" s="866">
      <c r="A51" s="1566" t="n">
        <v>85137</v>
      </c>
      <c r="B51" s="1382" t="inlineStr">
        <is>
          <t>Mick Standen</t>
        </is>
      </c>
      <c r="C51" s="1611" t="inlineStr">
        <is>
          <t>Systems Analyst</t>
        </is>
      </c>
      <c r="D51" s="1382" t="inlineStr">
        <is>
          <t>Vaishnavi Viswanathan</t>
        </is>
      </c>
      <c r="E51" s="1382" t="inlineStr">
        <is>
          <t>Technology Manager, Store Platform</t>
        </is>
      </c>
      <c r="F51" s="1382" t="inlineStr">
        <is>
          <t>Ampol Retail &amp; Z</t>
        </is>
      </c>
      <c r="G51" s="1612" t="inlineStr">
        <is>
          <t>Ampol Retail</t>
        </is>
      </c>
      <c r="H51" s="1382" t="inlineStr">
        <is>
          <t>Ampol Retail, Store Platforms</t>
        </is>
      </c>
      <c r="I51" s="1382" t="inlineStr">
        <is>
          <t>Retail</t>
        </is>
      </c>
      <c r="J51" s="1612" t="inlineStr">
        <is>
          <t>AMPOS</t>
        </is>
      </c>
      <c r="K51" s="1382" t="inlineStr">
        <is>
          <t>AmPos</t>
        </is>
      </c>
      <c r="L51" s="1612" t="n"/>
      <c r="M51" s="1613" t="inlineStr">
        <is>
          <t>Australia</t>
        </is>
      </c>
      <c r="N51" s="1616" t="inlineStr">
        <is>
          <t>CIB</t>
        </is>
      </c>
      <c r="O51" s="1616" t="n">
        <v>1</v>
      </c>
      <c r="P51" s="1616" t="n"/>
      <c r="Q51" s="1616" t="inlineStr">
        <is>
          <t>Permanent - Full Time</t>
        </is>
      </c>
      <c r="R51" s="1616" t="n"/>
      <c r="S51" s="1616" t="n"/>
      <c r="T51" s="1627" t="n">
        <v>159010</v>
      </c>
      <c r="U51" s="1626" t="n">
        <v>159010</v>
      </c>
      <c r="V51" s="1619" t="n">
        <v>0.12</v>
      </c>
      <c r="W51" s="1622" t="n">
        <v>0.055</v>
      </c>
      <c r="X51" s="1622" t="n">
        <v>0.12</v>
      </c>
      <c r="Y51" s="1623" t="n"/>
      <c r="Z51" s="1622" t="n">
        <v>0.04</v>
      </c>
      <c r="AA51" s="1621">
        <f>U51*(1+V51+W51+X51+Y51+Z51)</f>
        <v>212278.35</v>
      </c>
      <c r="AC51" s="865" t="inlineStr">
        <is>
          <t>Ampol Retail</t>
        </is>
      </c>
      <c r="AD51" s="865" t="inlineStr">
        <is>
          <t>AmPOS</t>
        </is>
      </c>
      <c r="AE51" s="865" t="inlineStr">
        <is>
          <t>AmPOS</t>
        </is>
      </c>
      <c r="AF51" s="865" t="inlineStr">
        <is>
          <t>Strategic Program</t>
        </is>
      </c>
      <c r="AG51" s="865" t="inlineStr">
        <is>
          <t>Filled</t>
        </is>
      </c>
    </row>
    <row r="52" hidden="1" ht="18" customHeight="1" s="866">
      <c r="A52" s="1566" t="n">
        <v>95286</v>
      </c>
      <c r="B52" s="1382" t="inlineStr">
        <is>
          <t>Navneet Singh</t>
        </is>
      </c>
      <c r="C52" s="1611" t="inlineStr">
        <is>
          <t>Solution Architect</t>
        </is>
      </c>
      <c r="D52" s="1382" t="inlineStr">
        <is>
          <t>Vedran Jukic</t>
        </is>
      </c>
      <c r="E52" s="1382" t="inlineStr">
        <is>
          <t>Technology Manager, Retail</t>
        </is>
      </c>
      <c r="F52" s="1382" t="inlineStr">
        <is>
          <t>Ampol Retail &amp; Z</t>
        </is>
      </c>
      <c r="G52" s="1612" t="inlineStr">
        <is>
          <t>Ampol Retail</t>
        </is>
      </c>
      <c r="H52" s="1382" t="inlineStr">
        <is>
          <t>Ampol Retail, Technology</t>
        </is>
      </c>
      <c r="I52" s="1382" t="inlineStr">
        <is>
          <t>EGI Integration</t>
        </is>
      </c>
      <c r="J52" s="1612" t="inlineStr">
        <is>
          <t>EGI</t>
        </is>
      </c>
      <c r="K52" s="1382" t="inlineStr">
        <is>
          <t>EGI Retail</t>
        </is>
      </c>
      <c r="L52" s="1612" t="n"/>
      <c r="M52" s="1613" t="inlineStr">
        <is>
          <t>Australia</t>
        </is>
      </c>
      <c r="N52" s="1614" t="inlineStr">
        <is>
          <t>CIC</t>
        </is>
      </c>
      <c r="O52" s="1614" t="n">
        <v>1</v>
      </c>
      <c r="P52" s="1614" t="n"/>
      <c r="Q52" s="1614" t="inlineStr">
        <is>
          <t>Permanent - Full Time</t>
        </is>
      </c>
      <c r="R52" s="1616" t="n"/>
      <c r="S52" s="1616" t="n"/>
      <c r="T52" s="1600" t="n">
        <v>196740</v>
      </c>
      <c r="U52" s="1626" t="n">
        <v>196740</v>
      </c>
      <c r="V52" s="1619" t="n">
        <v>0.12</v>
      </c>
      <c r="W52" s="1622" t="n">
        <v>0.055</v>
      </c>
      <c r="X52" s="1622" t="n">
        <v>0.12</v>
      </c>
      <c r="Y52" s="1623" t="n"/>
      <c r="Z52" s="1622" t="n">
        <v>0.04</v>
      </c>
      <c r="AA52" s="1621">
        <f>U52*(1+V52+W52+X52+Y52+Z52)</f>
        <v>262647.9</v>
      </c>
      <c r="AC52" s="865" t="inlineStr">
        <is>
          <t>Ampol Retail</t>
        </is>
      </c>
      <c r="AD52" s="865" t="inlineStr">
        <is>
          <t>EGI Retail</t>
        </is>
      </c>
      <c r="AE52" s="865" t="inlineStr">
        <is>
          <t>EGI Retail</t>
        </is>
      </c>
      <c r="AF52" s="865" t="inlineStr">
        <is>
          <t>Strategic Program</t>
        </is>
      </c>
      <c r="AG52" s="865" t="inlineStr">
        <is>
          <t>Filled</t>
        </is>
      </c>
    </row>
    <row r="53" hidden="1" ht="18" customHeight="1" s="866">
      <c r="A53" s="1566" t="n">
        <v>108357</v>
      </c>
      <c r="B53" s="1382" t="inlineStr">
        <is>
          <t>Pahul Oberoi</t>
        </is>
      </c>
      <c r="C53" s="1611" t="inlineStr">
        <is>
          <t>Systems Analyst</t>
        </is>
      </c>
      <c r="D53" s="1382" t="inlineStr">
        <is>
          <t>Tracy Lee Reaper</t>
        </is>
      </c>
      <c r="E53" s="1382" t="inlineStr">
        <is>
          <t>Tech Manager, Merchandising &amp; WFM</t>
        </is>
      </c>
      <c r="F53" s="1382" t="inlineStr">
        <is>
          <t>Ampol Retail &amp; Z</t>
        </is>
      </c>
      <c r="G53" s="1612" t="inlineStr">
        <is>
          <t>Ampol Retail</t>
        </is>
      </c>
      <c r="H53" s="1382" t="inlineStr">
        <is>
          <t>Ampol Retail, Merch &amp; RTA</t>
        </is>
      </c>
      <c r="I53" s="1382" t="inlineStr">
        <is>
          <t>Retail</t>
        </is>
      </c>
      <c r="J53" s="1612" t="inlineStr">
        <is>
          <t>Merch / Supply Chain</t>
        </is>
      </c>
      <c r="K53" s="1382" t="inlineStr">
        <is>
          <t>Merchandising &amp; Supply Chain</t>
        </is>
      </c>
      <c r="L53" s="1612" t="n"/>
      <c r="M53" s="1613" t="inlineStr">
        <is>
          <t>Australia</t>
        </is>
      </c>
      <c r="N53" s="1614" t="inlineStr">
        <is>
          <t>CIB</t>
        </is>
      </c>
      <c r="O53" s="1614" t="n">
        <v>1</v>
      </c>
      <c r="P53" s="1614" t="n"/>
      <c r="Q53" s="1614" t="inlineStr">
        <is>
          <t>Permanent - Full Time</t>
        </is>
      </c>
      <c r="R53" s="1616" t="n"/>
      <c r="S53" s="1616" t="n"/>
      <c r="T53" s="1627" t="n">
        <v>100000</v>
      </c>
      <c r="U53" s="1626" t="n">
        <v>100000</v>
      </c>
      <c r="V53" s="1619" t="n">
        <v>0.12</v>
      </c>
      <c r="W53" s="1622" t="n">
        <v>0.055</v>
      </c>
      <c r="X53" s="1622" t="n">
        <v>0.12</v>
      </c>
      <c r="Y53" s="1623" t="n"/>
      <c r="Z53" s="1622" t="n">
        <v>0.04</v>
      </c>
      <c r="AA53" s="1621">
        <f>U53*(1+V53+W53+X53+Y53+Z53)</f>
        <v>133500</v>
      </c>
      <c r="AC53" s="865" t="inlineStr">
        <is>
          <t>Ampol Retail</t>
        </is>
      </c>
      <c r="AD53" s="865" t="inlineStr">
        <is>
          <t>Above Store</t>
        </is>
      </c>
      <c r="AE53" s="865" t="inlineStr">
        <is>
          <t>Above Store</t>
        </is>
      </c>
      <c r="AF53" s="865" t="inlineStr">
        <is>
          <t>Squad</t>
        </is>
      </c>
      <c r="AG53" s="865" t="inlineStr">
        <is>
          <t>Filled</t>
        </is>
      </c>
    </row>
    <row r="54" hidden="1" ht="18" customHeight="1" s="866">
      <c r="A54" s="1566" t="n">
        <v>90097</v>
      </c>
      <c r="B54" s="1382" t="inlineStr">
        <is>
          <t>Patrick Ericson Nario</t>
        </is>
      </c>
      <c r="C54" s="1611" t="inlineStr">
        <is>
          <t>Support Analyst - Field Operations</t>
        </is>
      </c>
      <c r="D54" s="1382" t="inlineStr">
        <is>
          <t>Ephriam Adan</t>
        </is>
      </c>
      <c r="E54" s="1382" t="inlineStr">
        <is>
          <t>Manager, AU Retail Operations</t>
        </is>
      </c>
      <c r="F54" s="1382" t="inlineStr">
        <is>
          <t>Ampol Retail &amp; Z</t>
        </is>
      </c>
      <c r="G54" s="1612" t="inlineStr">
        <is>
          <t>Ampol Retail</t>
        </is>
      </c>
      <c r="H54" s="1382" t="inlineStr">
        <is>
          <t>Ampol Retail, Technology</t>
        </is>
      </c>
      <c r="I54" s="1382" t="inlineStr">
        <is>
          <t>Retail</t>
        </is>
      </c>
      <c r="J54" s="1612" t="inlineStr">
        <is>
          <t>Store Operations</t>
        </is>
      </c>
      <c r="K54" s="1382" t="inlineStr">
        <is>
          <t>Retail Operations</t>
        </is>
      </c>
      <c r="L54" s="1612" t="n"/>
      <c r="M54" s="1613" t="inlineStr">
        <is>
          <t>Australia</t>
        </is>
      </c>
      <c r="N54" s="1614" t="inlineStr">
        <is>
          <t>CIA</t>
        </is>
      </c>
      <c r="O54" s="1614" t="n">
        <v>1</v>
      </c>
      <c r="P54" s="1614" t="n"/>
      <c r="Q54" s="1614" t="inlineStr">
        <is>
          <t>Permanent - Full Time</t>
        </is>
      </c>
      <c r="R54" s="1616" t="n"/>
      <c r="S54" s="1616" t="n"/>
      <c r="T54" s="1627" t="n">
        <v>123240</v>
      </c>
      <c r="U54" s="1626" t="n">
        <v>123240</v>
      </c>
      <c r="V54" s="1619" t="n">
        <v>0.1</v>
      </c>
      <c r="W54" s="1622" t="n">
        <v>0.055</v>
      </c>
      <c r="X54" s="1622" t="n">
        <v>0.12</v>
      </c>
      <c r="Y54" s="1623" t="n"/>
      <c r="Z54" s="1622" t="n">
        <v>0.04</v>
      </c>
      <c r="AA54" s="1621">
        <f>U54*(1+V54+W54+X54+Y54+Z54)</f>
        <v>162060.6</v>
      </c>
      <c r="AC54" s="865" t="inlineStr">
        <is>
          <t>Ampol Retail</t>
        </is>
      </c>
      <c r="AD54" s="865" t="inlineStr">
        <is>
          <t>Store Operations</t>
        </is>
      </c>
      <c r="AE54" s="865" t="inlineStr">
        <is>
          <t>Retail Operations</t>
        </is>
      </c>
      <c r="AF54" s="865" t="inlineStr">
        <is>
          <t>Unmapped</t>
        </is>
      </c>
      <c r="AG54" s="865" t="inlineStr">
        <is>
          <t>Filled</t>
        </is>
      </c>
    </row>
    <row r="55" hidden="1" ht="18" customHeight="1" s="866">
      <c r="A55" s="1566" t="n">
        <v>94420</v>
      </c>
      <c r="B55" s="1382" t="inlineStr">
        <is>
          <t>Peter Nicolopoulos</t>
        </is>
      </c>
      <c r="C55" s="1611" t="inlineStr">
        <is>
          <t>Systems Analyst</t>
        </is>
      </c>
      <c r="D55" s="1382" t="inlineStr">
        <is>
          <t>Vaishnavi Viswanathan</t>
        </is>
      </c>
      <c r="E55" s="1382" t="inlineStr">
        <is>
          <t>Technology Manager, Store Platform</t>
        </is>
      </c>
      <c r="F55" s="1382" t="inlineStr">
        <is>
          <t>Ampol Retail &amp; Z</t>
        </is>
      </c>
      <c r="G55" s="1612" t="inlineStr">
        <is>
          <t>Ampol Retail</t>
        </is>
      </c>
      <c r="H55" s="1382" t="inlineStr">
        <is>
          <t>Ampol Retail, Store Platforms</t>
        </is>
      </c>
      <c r="I55" s="1382" t="inlineStr">
        <is>
          <t>Retail</t>
        </is>
      </c>
      <c r="J55" s="1612" t="inlineStr">
        <is>
          <t>AMPOS</t>
        </is>
      </c>
      <c r="K55" s="1382" t="inlineStr">
        <is>
          <t>AmPos</t>
        </is>
      </c>
      <c r="L55" s="1612" t="n"/>
      <c r="M55" s="1613" t="inlineStr">
        <is>
          <t>Australia</t>
        </is>
      </c>
      <c r="N55" s="1614" t="inlineStr">
        <is>
          <t>CIB</t>
        </is>
      </c>
      <c r="O55" s="1614" t="n">
        <v>1</v>
      </c>
      <c r="P55" s="1614" t="n"/>
      <c r="Q55" s="1614" t="inlineStr">
        <is>
          <t>Permanent - Full Time</t>
        </is>
      </c>
      <c r="R55" s="1616" t="n"/>
      <c r="S55" s="1616" t="n"/>
      <c r="T55" s="1627" t="n">
        <v>160460</v>
      </c>
      <c r="U55" s="1626" t="n">
        <v>160460</v>
      </c>
      <c r="V55" s="1619" t="n">
        <v>0.12</v>
      </c>
      <c r="W55" s="1622" t="n">
        <v>0.055</v>
      </c>
      <c r="X55" s="1622" t="n">
        <v>0.12</v>
      </c>
      <c r="Y55" s="1623" t="n"/>
      <c r="Z55" s="1622" t="n">
        <v>0.04</v>
      </c>
      <c r="AA55" s="1621">
        <f>U55*(1+V55+W55+X55+Y55+Z55)</f>
        <v>214214.1</v>
      </c>
      <c r="AC55" s="865" t="inlineStr">
        <is>
          <t>Ampol Retail</t>
        </is>
      </c>
      <c r="AD55" s="865" t="inlineStr">
        <is>
          <t>AmPOS</t>
        </is>
      </c>
      <c r="AE55" s="865" t="inlineStr">
        <is>
          <t>AmPOS</t>
        </is>
      </c>
      <c r="AF55" s="865" t="inlineStr">
        <is>
          <t>Strategic Program</t>
        </is>
      </c>
      <c r="AG55" s="865" t="inlineStr">
        <is>
          <t>Filled</t>
        </is>
      </c>
    </row>
    <row r="56" hidden="1" ht="18" customHeight="1" s="866">
      <c r="A56" s="1566" t="n">
        <v>99999101650</v>
      </c>
      <c r="B56" s="1382" t="inlineStr">
        <is>
          <t>Sakshi Sachdeva</t>
        </is>
      </c>
      <c r="C56" s="1611" t="inlineStr">
        <is>
          <t xml:space="preserve">Senior Quality Assurance </t>
        </is>
      </c>
      <c r="D56" s="1382" t="inlineStr">
        <is>
          <t>Callan McLaughlin</t>
        </is>
      </c>
      <c r="E56" s="1382" t="inlineStr">
        <is>
          <t>Technology Manager,  Site Systems</t>
        </is>
      </c>
      <c r="F56" s="1382" t="inlineStr">
        <is>
          <t>Ampol Retail &amp; Z</t>
        </is>
      </c>
      <c r="G56" s="1612" t="inlineStr">
        <is>
          <t>Z &amp; Group Retail</t>
        </is>
      </c>
      <c r="H56" s="1382" t="inlineStr">
        <is>
          <t>Z &amp; Group Retail, Site Systems</t>
        </is>
      </c>
      <c r="I56" s="1382" t="inlineStr">
        <is>
          <t>Z</t>
        </is>
      </c>
      <c r="J56" s="1612" t="inlineStr">
        <is>
          <t>Z Customer</t>
        </is>
      </c>
      <c r="K56" s="1382" t="inlineStr">
        <is>
          <t>Site Systems</t>
        </is>
      </c>
      <c r="L56" s="1612" t="n"/>
      <c r="M56" s="1613" t="inlineStr">
        <is>
          <t>NZ</t>
        </is>
      </c>
      <c r="N56" s="1614" t="inlineStr">
        <is>
          <t>CIA</t>
        </is>
      </c>
      <c r="O56" s="1615" t="n">
        <v>1</v>
      </c>
      <c r="P56" s="1614" t="n"/>
      <c r="Q56" s="1615" t="inlineStr">
        <is>
          <t>Permanent - Full Time</t>
        </is>
      </c>
      <c r="R56" s="1616" t="n"/>
      <c r="S56" s="1616" t="n"/>
      <c r="T56" s="1627" t="n">
        <v>127740</v>
      </c>
      <c r="U56" s="1626" t="n">
        <v>117520.8</v>
      </c>
      <c r="V56" s="1618" t="n">
        <v>0.15</v>
      </c>
      <c r="W56" s="1616" t="n"/>
      <c r="X56" s="1619" t="n">
        <v>0.05</v>
      </c>
      <c r="Y56" s="1620" t="n">
        <v>2910</v>
      </c>
      <c r="Z56" s="1619" t="n">
        <v>0.03</v>
      </c>
      <c r="AA56" s="1621">
        <f>U56*(1+V56+X56+Z56)+Y56</f>
        <v>147460.584</v>
      </c>
      <c r="AB56" s="865" t="n">
        <v>113608</v>
      </c>
      <c r="AC56" s="865" t="inlineStr">
        <is>
          <t>Z Retail</t>
        </is>
      </c>
      <c r="AD56" s="865" t="inlineStr">
        <is>
          <t>Z Customer</t>
        </is>
      </c>
      <c r="AE56" s="865" t="inlineStr">
        <is>
          <t>Site Systems</t>
        </is>
      </c>
      <c r="AF56" s="865" t="inlineStr">
        <is>
          <t>Squad</t>
        </is>
      </c>
      <c r="AG56" s="865" t="inlineStr">
        <is>
          <t>Filled</t>
        </is>
      </c>
    </row>
    <row r="57" hidden="1" ht="18" customHeight="1" s="866">
      <c r="A57" s="1566" t="n">
        <v>107164</v>
      </c>
      <c r="B57" s="1382" t="inlineStr">
        <is>
          <t>Santiago Hernandez Arevalo</t>
        </is>
      </c>
      <c r="C57" s="1611" t="inlineStr">
        <is>
          <t>Systems Analyst</t>
        </is>
      </c>
      <c r="D57" s="1382" t="inlineStr">
        <is>
          <t>Vedran Jukic</t>
        </is>
      </c>
      <c r="E57" s="1382" t="inlineStr">
        <is>
          <t>Technology Manager, Retail</t>
        </is>
      </c>
      <c r="F57" s="1382" t="inlineStr">
        <is>
          <t>Ampol Retail &amp; Z</t>
        </is>
      </c>
      <c r="G57" s="1612" t="inlineStr">
        <is>
          <t>Ampol Retail</t>
        </is>
      </c>
      <c r="H57" s="1382" t="inlineStr">
        <is>
          <t>Ampol Retail, Technology</t>
        </is>
      </c>
      <c r="I57" s="1382" t="inlineStr">
        <is>
          <t>Retail</t>
        </is>
      </c>
      <c r="J57" s="1612" t="inlineStr">
        <is>
          <t>Network/QSR</t>
        </is>
      </c>
      <c r="K57" s="1382" t="inlineStr">
        <is>
          <t>Network &amp; QSR</t>
        </is>
      </c>
      <c r="L57" s="1612" t="n"/>
      <c r="M57" s="1613" t="inlineStr">
        <is>
          <t>Australia</t>
        </is>
      </c>
      <c r="N57" s="1614" t="inlineStr">
        <is>
          <t>CIA</t>
        </is>
      </c>
      <c r="O57" s="1614" t="n">
        <v>1</v>
      </c>
      <c r="P57" s="1614" t="n"/>
      <c r="Q57" s="1614" t="inlineStr">
        <is>
          <t>Permanent - Full Time</t>
        </is>
      </c>
      <c r="R57" s="1616" t="n"/>
      <c r="S57" s="1616" t="n"/>
      <c r="T57" s="1627" t="n">
        <v>133110</v>
      </c>
      <c r="U57" s="1626" t="n">
        <v>133110</v>
      </c>
      <c r="V57" s="1619" t="n">
        <v>0.1</v>
      </c>
      <c r="W57" s="1622" t="n">
        <v>0.055</v>
      </c>
      <c r="X57" s="1622" t="n">
        <v>0.12</v>
      </c>
      <c r="Y57" s="1623" t="n"/>
      <c r="Z57" s="1622" t="n">
        <v>0.04</v>
      </c>
      <c r="AA57" s="1621">
        <f>U57*(1+V57+W57+X57+Y57+Z57)</f>
        <v>175039.65</v>
      </c>
      <c r="AC57" s="865" t="inlineStr">
        <is>
          <t>Ampol Retail</t>
        </is>
      </c>
      <c r="AD57" s="865" t="inlineStr">
        <is>
          <t>Network / QSR</t>
        </is>
      </c>
      <c r="AE57" s="865" t="inlineStr">
        <is>
          <t>Network / QSR</t>
        </is>
      </c>
      <c r="AF57" s="865" t="inlineStr">
        <is>
          <t>Squad</t>
        </is>
      </c>
      <c r="AG57" s="865" t="inlineStr">
        <is>
          <t>Filled</t>
        </is>
      </c>
    </row>
    <row r="58" hidden="1" ht="18" customHeight="1" s="866">
      <c r="A58" s="1566" t="n">
        <v>11424</v>
      </c>
      <c r="B58" s="1382" t="inlineStr">
        <is>
          <t>Sao Keawprasit</t>
        </is>
      </c>
      <c r="C58" s="1611" t="inlineStr">
        <is>
          <t>Systems Analyst</t>
        </is>
      </c>
      <c r="D58" s="1382" t="inlineStr">
        <is>
          <t>Tracy Lee Reaper</t>
        </is>
      </c>
      <c r="E58" s="1382" t="inlineStr">
        <is>
          <t>Tech Manager, Merchandising &amp; WFM</t>
        </is>
      </c>
      <c r="F58" s="1382" t="inlineStr">
        <is>
          <t>Ampol Retail &amp; Z</t>
        </is>
      </c>
      <c r="G58" s="1612" t="inlineStr">
        <is>
          <t>Ampol Retail</t>
        </is>
      </c>
      <c r="H58" s="1382" t="inlineStr">
        <is>
          <t>Ampol Retail, Merch &amp; RTA</t>
        </is>
      </c>
      <c r="I58" s="1382" t="inlineStr">
        <is>
          <t>Retail</t>
        </is>
      </c>
      <c r="J58" s="1612" t="inlineStr">
        <is>
          <t>Merch / Supply Chain</t>
        </is>
      </c>
      <c r="K58" s="1382" t="inlineStr">
        <is>
          <t>Merchandising &amp; Supply Chain</t>
        </is>
      </c>
      <c r="L58" s="1612" t="n"/>
      <c r="M58" s="1613" t="inlineStr">
        <is>
          <t>Australia</t>
        </is>
      </c>
      <c r="N58" s="1616" t="inlineStr">
        <is>
          <t>CIB</t>
        </is>
      </c>
      <c r="O58" s="1616" t="n">
        <v>1</v>
      </c>
      <c r="P58" s="1616" t="n"/>
      <c r="Q58" s="1616" t="inlineStr">
        <is>
          <t>Permanent - Full Time</t>
        </is>
      </c>
      <c r="R58" s="1616" t="n"/>
      <c r="S58" s="1616" t="n"/>
      <c r="T58" s="1627" t="n">
        <v>154420</v>
      </c>
      <c r="U58" s="1626" t="n">
        <v>154420</v>
      </c>
      <c r="V58" s="1619" t="n">
        <v>0.12</v>
      </c>
      <c r="W58" s="1622" t="n">
        <v>0.055</v>
      </c>
      <c r="X58" s="1622" t="n">
        <v>0.12</v>
      </c>
      <c r="Y58" s="1623" t="n"/>
      <c r="Z58" s="1622" t="n">
        <v>0.04</v>
      </c>
      <c r="AA58" s="1621">
        <f>U58*(1+V58+W58+X58+Y58+Z58)</f>
        <v>206150.7</v>
      </c>
      <c r="AC58" s="865" t="inlineStr">
        <is>
          <t>Ampol Retail</t>
        </is>
      </c>
      <c r="AD58" s="865" t="inlineStr">
        <is>
          <t>Above Store</t>
        </is>
      </c>
      <c r="AE58" s="865" t="inlineStr">
        <is>
          <t>Above Store</t>
        </is>
      </c>
      <c r="AF58" s="865" t="inlineStr">
        <is>
          <t>Squad</t>
        </is>
      </c>
      <c r="AG58" s="865" t="inlineStr">
        <is>
          <t>Filled</t>
        </is>
      </c>
    </row>
    <row r="59" hidden="1" ht="18" customHeight="1" s="866">
      <c r="A59" s="1566" t="n">
        <v>114003</v>
      </c>
      <c r="B59" s="1382" t="inlineStr">
        <is>
          <t>Sayan Kar</t>
        </is>
      </c>
      <c r="C59" s="1611" t="inlineStr">
        <is>
          <t>Systems Analyst</t>
        </is>
      </c>
      <c r="D59" s="1382" t="inlineStr">
        <is>
          <t>Vaishnavi Viswanathan</t>
        </is>
      </c>
      <c r="E59" s="1382" t="inlineStr">
        <is>
          <t>Technology Manager, Store Platform</t>
        </is>
      </c>
      <c r="F59" s="1382" t="inlineStr">
        <is>
          <t>Ampol Retail &amp; Z</t>
        </is>
      </c>
      <c r="G59" s="1612" t="inlineStr">
        <is>
          <t>Ampol Retail</t>
        </is>
      </c>
      <c r="H59" s="1382" t="inlineStr">
        <is>
          <t>Ampol Retail, Store Platforms</t>
        </is>
      </c>
      <c r="I59" s="1382" t="inlineStr">
        <is>
          <t>Retail</t>
        </is>
      </c>
      <c r="J59" s="1612" t="inlineStr">
        <is>
          <t>Store Operations</t>
        </is>
      </c>
      <c r="K59" s="1382" t="inlineStr">
        <is>
          <t>Payments</t>
        </is>
      </c>
      <c r="L59" s="1612" t="n"/>
      <c r="M59" s="1613" t="inlineStr">
        <is>
          <t>Australia</t>
        </is>
      </c>
      <c r="N59" s="1614" t="inlineStr">
        <is>
          <t>CIB</t>
        </is>
      </c>
      <c r="O59" s="1614" t="n">
        <v>1</v>
      </c>
      <c r="P59" s="1614" t="n"/>
      <c r="Q59" s="1614" t="inlineStr">
        <is>
          <t>Permanent - Full Time</t>
        </is>
      </c>
      <c r="R59" s="1616" t="n"/>
      <c r="S59" s="1616" t="n"/>
      <c r="T59" s="1627" t="n">
        <v>152220</v>
      </c>
      <c r="U59" s="1626" t="n">
        <v>152220</v>
      </c>
      <c r="V59" s="1619" t="n">
        <v>0.12</v>
      </c>
      <c r="W59" s="1622" t="n">
        <v>0.055</v>
      </c>
      <c r="X59" s="1622" t="n">
        <v>0.12</v>
      </c>
      <c r="Y59" s="1623" t="n"/>
      <c r="Z59" s="1622" t="n">
        <v>0.04</v>
      </c>
      <c r="AA59" s="1621">
        <f>U59*(1+V59+W59+X59+Y59+Z59)</f>
        <v>203213.7</v>
      </c>
      <c r="AC59" s="865" t="inlineStr">
        <is>
          <t>Ampol Retail</t>
        </is>
      </c>
      <c r="AD59" s="865" t="inlineStr">
        <is>
          <t>Store Operations</t>
        </is>
      </c>
      <c r="AE59" s="865" t="inlineStr">
        <is>
          <t>Payments</t>
        </is>
      </c>
      <c r="AF59" s="865" t="inlineStr">
        <is>
          <t>Squad</t>
        </is>
      </c>
      <c r="AG59" s="865" t="inlineStr">
        <is>
          <t>Filled</t>
        </is>
      </c>
    </row>
    <row r="60" hidden="1" ht="18" customHeight="1" s="866">
      <c r="A60" s="1566" t="n">
        <v>98007</v>
      </c>
      <c r="B60" s="1382" t="inlineStr">
        <is>
          <t>Sendhil Vinayagam (75% EGI)</t>
        </is>
      </c>
      <c r="C60" s="1611" t="inlineStr">
        <is>
          <t>Solution Architect</t>
        </is>
      </c>
      <c r="D60" s="1382" t="inlineStr">
        <is>
          <t>Vedran Jukic</t>
        </is>
      </c>
      <c r="E60" s="1382" t="inlineStr">
        <is>
          <t>Technology Manager, Retail</t>
        </is>
      </c>
      <c r="F60" s="1382" t="inlineStr">
        <is>
          <t>Ampol Retail &amp; Z</t>
        </is>
      </c>
      <c r="G60" s="1612" t="inlineStr">
        <is>
          <t>Ampol Retail</t>
        </is>
      </c>
      <c r="H60" s="1382" t="inlineStr">
        <is>
          <t>Ampol Retail, Technology</t>
        </is>
      </c>
      <c r="I60" s="1382" t="inlineStr">
        <is>
          <t>EGI Integration</t>
        </is>
      </c>
      <c r="J60" s="1612" t="inlineStr">
        <is>
          <t>EGI</t>
        </is>
      </c>
      <c r="K60" s="1382" t="inlineStr">
        <is>
          <t>EGI Retail</t>
        </is>
      </c>
      <c r="L60" s="1612" t="n"/>
      <c r="M60" s="1613" t="inlineStr">
        <is>
          <t>Australia</t>
        </is>
      </c>
      <c r="N60" s="1614" t="inlineStr">
        <is>
          <t>CIC</t>
        </is>
      </c>
      <c r="O60" s="1614" t="n">
        <v>1</v>
      </c>
      <c r="P60" s="1614" t="n"/>
      <c r="Q60" s="1614" t="inlineStr">
        <is>
          <t>Permanent - Full Time</t>
        </is>
      </c>
      <c r="R60" s="1616" t="n"/>
      <c r="S60" s="1616" t="n"/>
      <c r="T60" s="1627" t="n">
        <v>194190</v>
      </c>
      <c r="U60" s="1626" t="n">
        <v>194190</v>
      </c>
      <c r="V60" s="1619" t="n">
        <v>0.12</v>
      </c>
      <c r="W60" s="1622" t="n">
        <v>0.055</v>
      </c>
      <c r="X60" s="1622" t="n">
        <v>0.12</v>
      </c>
      <c r="Y60" s="1623" t="n"/>
      <c r="Z60" s="1622" t="n">
        <v>0.04</v>
      </c>
      <c r="AA60" s="1621">
        <f>U60*(1+V60+W60+X60+Y60+Z60)</f>
        <v>259243.65</v>
      </c>
      <c r="AC60" s="865" t="inlineStr">
        <is>
          <t>Ampol Retail</t>
        </is>
      </c>
      <c r="AD60" s="865" t="inlineStr">
        <is>
          <t>EGI Retail</t>
        </is>
      </c>
      <c r="AE60" s="865" t="inlineStr">
        <is>
          <t>EGI Retail</t>
        </is>
      </c>
      <c r="AF60" s="865" t="inlineStr">
        <is>
          <t>Strategic Program</t>
        </is>
      </c>
      <c r="AG60" s="865" t="inlineStr">
        <is>
          <t>Filled</t>
        </is>
      </c>
    </row>
    <row r="61" hidden="1" ht="18" customHeight="1" s="866">
      <c r="A61" s="1566" t="n">
        <v>95017</v>
      </c>
      <c r="B61" s="1628" t="inlineStr">
        <is>
          <t>Sjoerd Van Sluijs</t>
        </is>
      </c>
      <c r="C61" s="1611" t="inlineStr">
        <is>
          <t>Senior PM PEP1, PEP18</t>
        </is>
      </c>
      <c r="D61" s="1612" t="inlineStr">
        <is>
          <t>Greg Cassis</t>
        </is>
      </c>
      <c r="E61" s="1612" t="inlineStr">
        <is>
          <t>GM TDD, EGI</t>
        </is>
      </c>
      <c r="F61" s="1382" t="inlineStr">
        <is>
          <t>Ampol Retail &amp; Z</t>
        </is>
      </c>
      <c r="G61" s="1612" t="inlineStr">
        <is>
          <t>EGI</t>
        </is>
      </c>
      <c r="H61" s="1612" t="inlineStr">
        <is>
          <t>EGI</t>
        </is>
      </c>
      <c r="I61" s="1382" t="inlineStr">
        <is>
          <t>EGI Integration</t>
        </is>
      </c>
      <c r="J61" s="1612" t="inlineStr">
        <is>
          <t>EGI</t>
        </is>
      </c>
      <c r="K61" s="1612" t="inlineStr">
        <is>
          <t>EGI Retail</t>
        </is>
      </c>
      <c r="L61" s="1612" t="n"/>
      <c r="M61" s="1613" t="inlineStr">
        <is>
          <t>Australia</t>
        </is>
      </c>
      <c r="N61" s="1614" t="inlineStr">
        <is>
          <t>CIC</t>
        </is>
      </c>
      <c r="O61" s="1614" t="n">
        <v>1</v>
      </c>
      <c r="P61" s="1614" t="n"/>
      <c r="Q61" s="1614" t="inlineStr">
        <is>
          <t>Permanent - Full Time</t>
        </is>
      </c>
      <c r="R61" s="1616" t="n"/>
      <c r="S61" s="1616" t="n"/>
      <c r="T61" s="1627" t="n">
        <v>200410</v>
      </c>
      <c r="U61" s="1626" t="n">
        <v>200410</v>
      </c>
      <c r="V61" s="1619" t="n">
        <v>0.12</v>
      </c>
      <c r="W61" s="1622" t="n">
        <v>0.055</v>
      </c>
      <c r="X61" s="1622" t="n">
        <v>0.12</v>
      </c>
      <c r="Y61" s="1623" t="n"/>
      <c r="Z61" s="1622" t="n">
        <v>0.04</v>
      </c>
      <c r="AA61" s="1621">
        <f>U61*(1+V61+W61+X61+Y61+Z61)</f>
        <v>267547.35</v>
      </c>
      <c r="AC61" s="865" t="inlineStr">
        <is>
          <t>Ampol Retail</t>
        </is>
      </c>
      <c r="AD61" s="865" t="inlineStr">
        <is>
          <t>EGI Retail</t>
        </is>
      </c>
      <c r="AE61" s="865" t="inlineStr">
        <is>
          <t>EGI Retail</t>
        </is>
      </c>
      <c r="AF61" s="865" t="inlineStr">
        <is>
          <t>Strategic Program</t>
        </is>
      </c>
      <c r="AG61" s="865" t="inlineStr">
        <is>
          <t>Filled</t>
        </is>
      </c>
    </row>
    <row r="62" hidden="1" ht="18" customHeight="1" s="866">
      <c r="A62" s="1566" t="n">
        <v>113783</v>
      </c>
      <c r="B62" s="1382" t="inlineStr">
        <is>
          <t>Tabitha Raharadjo</t>
        </is>
      </c>
      <c r="C62" s="1611" t="inlineStr">
        <is>
          <t>Project Coordinator</t>
        </is>
      </c>
      <c r="D62" s="1382" t="inlineStr">
        <is>
          <t>Vanessa Allen</t>
        </is>
      </c>
      <c r="E62" s="1382" t="inlineStr">
        <is>
          <t>Delivery Manager, Ampol Retail</t>
        </is>
      </c>
      <c r="F62" s="1382" t="inlineStr">
        <is>
          <t>Ampol Retail &amp; Z</t>
        </is>
      </c>
      <c r="G62" s="1612" t="inlineStr">
        <is>
          <t>Ampol Retail</t>
        </is>
      </c>
      <c r="H62" s="1382" t="inlineStr">
        <is>
          <t>Ampol Retail, Delivery</t>
        </is>
      </c>
      <c r="I62" s="1382" t="inlineStr">
        <is>
          <t>Retail</t>
        </is>
      </c>
      <c r="J62" s="1612" t="inlineStr">
        <is>
          <t>AMPOS</t>
        </is>
      </c>
      <c r="K62" s="1382" t="inlineStr">
        <is>
          <t>Ampos</t>
        </is>
      </c>
      <c r="L62" s="1612" t="n"/>
      <c r="M62" s="1613" t="inlineStr">
        <is>
          <t>Australia</t>
        </is>
      </c>
      <c r="N62" s="1614" t="inlineStr">
        <is>
          <t>CDC</t>
        </is>
      </c>
      <c r="O62" s="1614" t="n">
        <v>1</v>
      </c>
      <c r="P62" s="1614" t="n"/>
      <c r="Q62" s="1614" t="inlineStr">
        <is>
          <t>Permanent - Full Time</t>
        </is>
      </c>
      <c r="R62" s="1616" t="n"/>
      <c r="S62" s="1616" t="n"/>
      <c r="T62" s="1627" t="n">
        <v>118280</v>
      </c>
      <c r="U62" s="1626" t="n">
        <v>118280</v>
      </c>
      <c r="V62" s="1619" t="n">
        <v>0.1</v>
      </c>
      <c r="W62" s="1622" t="n">
        <v>0.055</v>
      </c>
      <c r="X62" s="1622" t="n">
        <v>0.12</v>
      </c>
      <c r="Y62" s="1623" t="n"/>
      <c r="Z62" s="1622" t="n">
        <v>0.04</v>
      </c>
      <c r="AA62" s="1621">
        <f>U62*(1+V62+W62+X62+Y62+Z62)</f>
        <v>155538.2</v>
      </c>
      <c r="AC62" s="865" t="inlineStr">
        <is>
          <t>Ampol Retail</t>
        </is>
      </c>
      <c r="AD62" s="865" t="inlineStr">
        <is>
          <t>AmPOS</t>
        </is>
      </c>
      <c r="AE62" s="865" t="inlineStr">
        <is>
          <t>AmPOS</t>
        </is>
      </c>
      <c r="AF62" s="865" t="inlineStr">
        <is>
          <t>Strategic Program</t>
        </is>
      </c>
      <c r="AG62" s="865" t="inlineStr">
        <is>
          <t>Filled</t>
        </is>
      </c>
    </row>
    <row r="63" hidden="1" ht="18" customHeight="1" s="866">
      <c r="A63" s="1566" t="n">
        <v>9999922690</v>
      </c>
      <c r="B63" s="1382" t="inlineStr">
        <is>
          <t>Tim Gurnsey</t>
        </is>
      </c>
      <c r="C63" s="1611" t="inlineStr">
        <is>
          <t>Delivery Lead</t>
        </is>
      </c>
      <c r="D63" s="1612" t="inlineStr">
        <is>
          <t>Vacant</t>
        </is>
      </c>
      <c r="E63" s="1382" t="inlineStr">
        <is>
          <t>Delivery Manager, Z and Retail Data</t>
        </is>
      </c>
      <c r="F63" s="1382" t="inlineStr">
        <is>
          <t>Ampol Retail &amp; Z</t>
        </is>
      </c>
      <c r="G63" s="1612" t="inlineStr">
        <is>
          <t>Z &amp; Group Retail</t>
        </is>
      </c>
      <c r="H63" s="1382" t="inlineStr">
        <is>
          <t>Z &amp; Group Retail, Delivery</t>
        </is>
      </c>
      <c r="I63" s="1382" t="inlineStr">
        <is>
          <t>Z</t>
        </is>
      </c>
      <c r="J63" s="1612" t="inlineStr">
        <is>
          <t>Z Customer</t>
        </is>
      </c>
      <c r="K63" s="1382" t="inlineStr">
        <is>
          <t>Site Systems</t>
        </is>
      </c>
      <c r="L63" s="1612" t="n"/>
      <c r="M63" s="1613" t="inlineStr">
        <is>
          <t>NZ</t>
        </is>
      </c>
      <c r="N63" s="1614" t="inlineStr">
        <is>
          <t>CIC</t>
        </is>
      </c>
      <c r="O63" s="1615" t="n">
        <v>1</v>
      </c>
      <c r="P63" s="1614" t="n"/>
      <c r="Q63" s="1615" t="inlineStr">
        <is>
          <t>Permanent - Full Time</t>
        </is>
      </c>
      <c r="R63" s="1616" t="n"/>
      <c r="S63" s="1616" t="n"/>
      <c r="T63" s="1627" t="n">
        <v>173230</v>
      </c>
      <c r="U63" s="1626" t="n">
        <v>159371.6</v>
      </c>
      <c r="V63" s="1618" t="n">
        <v>0.15</v>
      </c>
      <c r="W63" s="1616" t="n"/>
      <c r="X63" s="1619" t="n">
        <v>0.05</v>
      </c>
      <c r="Y63" s="1620" t="n">
        <v>2910</v>
      </c>
      <c r="Z63" s="1619" t="n">
        <v>0.03</v>
      </c>
      <c r="AA63" s="1621">
        <f>U63*(1+V63+X63+Z63)+Y63</f>
        <v>198937.068</v>
      </c>
      <c r="AB63" s="865" t="n">
        <v>113619</v>
      </c>
      <c r="AC63" s="865" t="inlineStr">
        <is>
          <t>Z Retail</t>
        </is>
      </c>
      <c r="AD63" s="865" t="inlineStr">
        <is>
          <t>Z Customer</t>
        </is>
      </c>
      <c r="AE63" s="865" t="inlineStr">
        <is>
          <t>Site Systems</t>
        </is>
      </c>
      <c r="AF63" s="865" t="inlineStr">
        <is>
          <t>Squad</t>
        </is>
      </c>
      <c r="AG63" s="865" t="inlineStr">
        <is>
          <t>Filled</t>
        </is>
      </c>
    </row>
    <row r="64" hidden="1" ht="18" customHeight="1" s="866">
      <c r="A64" s="1566" t="n">
        <v>95285</v>
      </c>
      <c r="B64" s="1382" t="inlineStr">
        <is>
          <t>Tracy Lee Reaper</t>
        </is>
      </c>
      <c r="C64" s="1611" t="inlineStr">
        <is>
          <t>Technology Manager, Merchandising &amp; WFM</t>
        </is>
      </c>
      <c r="D64" s="1612" t="inlineStr">
        <is>
          <t>Madan Murthy</t>
        </is>
      </c>
      <c r="E64" s="1382" t="inlineStr">
        <is>
          <t>Head of Technology,  Ampol Retail</t>
        </is>
      </c>
      <c r="F64" s="1382" t="inlineStr">
        <is>
          <t>Ampol Retail &amp; Z</t>
        </is>
      </c>
      <c r="G64" s="1612" t="inlineStr">
        <is>
          <t>Ampol Retail</t>
        </is>
      </c>
      <c r="H64" s="1382" t="inlineStr">
        <is>
          <t>Ampol Retail, Merch &amp; RTA</t>
        </is>
      </c>
      <c r="I64" s="1382" t="inlineStr">
        <is>
          <t>Retail</t>
        </is>
      </c>
      <c r="J64" s="1382" t="inlineStr">
        <is>
          <t>Merch / Supply Chain</t>
        </is>
      </c>
      <c r="K64" s="1612" t="inlineStr">
        <is>
          <t>Leadership</t>
        </is>
      </c>
      <c r="L64" s="1612" t="n"/>
      <c r="M64" s="1613" t="inlineStr">
        <is>
          <t>Australia</t>
        </is>
      </c>
      <c r="N64" s="1614" t="inlineStr">
        <is>
          <t>CSB</t>
        </is>
      </c>
      <c r="O64" s="1614" t="n">
        <v>1</v>
      </c>
      <c r="P64" s="1614" t="n"/>
      <c r="Q64" s="1614" t="inlineStr">
        <is>
          <t>Permanent - Full Time</t>
        </is>
      </c>
      <c r="R64" s="1616" t="n"/>
      <c r="S64" s="1616" t="n"/>
      <c r="T64" s="1627" t="n">
        <v>189604</v>
      </c>
      <c r="U64" s="1626" t="n">
        <v>189604</v>
      </c>
      <c r="V64" s="1619" t="n">
        <v>0.14</v>
      </c>
      <c r="W64" s="1622" t="n">
        <v>0.055</v>
      </c>
      <c r="X64" s="1622" t="n">
        <v>0.12</v>
      </c>
      <c r="Y64" s="1623" t="n"/>
      <c r="Z64" s="1622" t="n">
        <v>0.04</v>
      </c>
      <c r="AA64" s="1621">
        <f>U64*(1+V64+W64+X64+Y64+Z64)</f>
        <v>256913.42</v>
      </c>
      <c r="AC64" s="865" t="inlineStr">
        <is>
          <t>Ampol Retail</t>
        </is>
      </c>
      <c r="AD64" s="865" t="inlineStr">
        <is>
          <t>Leadership</t>
        </is>
      </c>
      <c r="AE64" s="865" t="inlineStr">
        <is>
          <t>Leadership</t>
        </is>
      </c>
      <c r="AF64" s="865" t="inlineStr">
        <is>
          <t>Leadership</t>
        </is>
      </c>
      <c r="AG64" s="865" t="inlineStr">
        <is>
          <t>Filled</t>
        </is>
      </c>
    </row>
    <row r="65" hidden="1" ht="18" customHeight="1" s="866">
      <c r="A65" s="1566" t="n">
        <v>99999101426</v>
      </c>
      <c r="B65" s="1382" t="inlineStr">
        <is>
          <t>Trevor Weaver</t>
        </is>
      </c>
      <c r="C65" s="1611" t="inlineStr">
        <is>
          <t>Lead  Engineer - Software</t>
        </is>
      </c>
      <c r="D65" s="1382" t="inlineStr">
        <is>
          <t>Vacant</t>
        </is>
      </c>
      <c r="E65" s="1382" t="inlineStr">
        <is>
          <t>Technology Manager, Engineering</t>
        </is>
      </c>
      <c r="F65" s="1382" t="inlineStr">
        <is>
          <t>Ampol Retail &amp; Z</t>
        </is>
      </c>
      <c r="G65" s="1382" t="inlineStr">
        <is>
          <t>Z &amp; Group Retail</t>
        </is>
      </c>
      <c r="H65" s="1382" t="inlineStr">
        <is>
          <t>Z &amp; Group Retail, Engineering</t>
        </is>
      </c>
      <c r="I65" s="1382" t="inlineStr">
        <is>
          <t>Z</t>
        </is>
      </c>
      <c r="J65" s="1382" t="inlineStr">
        <is>
          <t>Z Customer</t>
        </is>
      </c>
      <c r="K65" s="1382" t="inlineStr">
        <is>
          <t xml:space="preserve">Z Retail Backend </t>
        </is>
      </c>
      <c r="L65" s="1612" t="n"/>
      <c r="M65" s="1613" t="inlineStr">
        <is>
          <t>NZ</t>
        </is>
      </c>
      <c r="N65" s="1614" t="inlineStr">
        <is>
          <t>CIC</t>
        </is>
      </c>
      <c r="O65" s="1615" t="n">
        <v>1</v>
      </c>
      <c r="P65" s="1614" t="n"/>
      <c r="Q65" s="1615" t="inlineStr">
        <is>
          <t>Permanent - Full Time</t>
        </is>
      </c>
      <c r="R65" s="1616" t="n"/>
      <c r="S65" s="1616" t="n"/>
      <c r="T65" s="1627" t="n">
        <v>195680</v>
      </c>
      <c r="U65" s="1626" t="n">
        <v>180025.6</v>
      </c>
      <c r="V65" s="1618" t="n">
        <v>0.15</v>
      </c>
      <c r="W65" s="1616" t="n"/>
      <c r="X65" s="1619" t="n">
        <v>0.05</v>
      </c>
      <c r="Y65" s="1620" t="n">
        <v>2910</v>
      </c>
      <c r="Z65" s="1619" t="n">
        <v>0.03</v>
      </c>
      <c r="AA65" s="1621">
        <f>U65*(1+V65+X65+Z65)+Y65</f>
        <v>224341.488</v>
      </c>
      <c r="AB65" s="865" t="n">
        <v>113620</v>
      </c>
      <c r="AC65" s="865" t="inlineStr">
        <is>
          <t>Z Retail</t>
        </is>
      </c>
      <c r="AD65" s="865" t="inlineStr">
        <is>
          <t>Z Customer</t>
        </is>
      </c>
      <c r="AE65" s="865" t="inlineStr">
        <is>
          <t>Z Retail Backend</t>
        </is>
      </c>
      <c r="AF65" s="865" t="inlineStr">
        <is>
          <t>Squad</t>
        </is>
      </c>
      <c r="AG65" s="865" t="inlineStr">
        <is>
          <t>Filled</t>
        </is>
      </c>
    </row>
    <row r="66" hidden="1" ht="18" customFormat="1" customHeight="1" s="1633">
      <c r="A66" s="1566" t="n">
        <v>85136</v>
      </c>
      <c r="B66" s="1382" t="inlineStr">
        <is>
          <t>Tuan Edwards</t>
        </is>
      </c>
      <c r="C66" s="1611" t="inlineStr">
        <is>
          <t>Field Systems Operations Lead - QLD</t>
        </is>
      </c>
      <c r="D66" s="1382" t="inlineStr">
        <is>
          <t>Ephraim Adan</t>
        </is>
      </c>
      <c r="E66" s="1382" t="inlineStr">
        <is>
          <t>Manager, AU Retail Operations</t>
        </is>
      </c>
      <c r="F66" s="1382" t="inlineStr">
        <is>
          <t>Ampol Retail &amp; Z</t>
        </is>
      </c>
      <c r="G66" s="1612" t="inlineStr">
        <is>
          <t>Ampol Retail</t>
        </is>
      </c>
      <c r="H66" s="1382" t="inlineStr">
        <is>
          <t>Ampol Retail, Technology</t>
        </is>
      </c>
      <c r="I66" s="1382" t="inlineStr">
        <is>
          <t>Retail</t>
        </is>
      </c>
      <c r="J66" s="1612" t="inlineStr">
        <is>
          <t>Store Operations</t>
        </is>
      </c>
      <c r="K66" s="1382" t="inlineStr">
        <is>
          <t>Retail Operations</t>
        </is>
      </c>
      <c r="L66" s="1612" t="n"/>
      <c r="M66" s="1613" t="inlineStr">
        <is>
          <t>Australia</t>
        </is>
      </c>
      <c r="N66" s="1616" t="inlineStr">
        <is>
          <t>CIA</t>
        </is>
      </c>
      <c r="O66" s="1616" t="n">
        <v>1</v>
      </c>
      <c r="P66" s="1616" t="n"/>
      <c r="Q66" s="1616" t="inlineStr">
        <is>
          <t>Permanent - Full Time</t>
        </is>
      </c>
      <c r="R66" s="1616" t="n"/>
      <c r="S66" s="1616" t="n"/>
      <c r="T66" s="1627" t="n">
        <v>133300</v>
      </c>
      <c r="U66" s="1626" t="n">
        <v>133300</v>
      </c>
      <c r="V66" s="1619" t="n">
        <v>0.1</v>
      </c>
      <c r="W66" s="1622" t="n">
        <v>0.055</v>
      </c>
      <c r="X66" s="1622" t="n">
        <v>0.12</v>
      </c>
      <c r="Y66" s="1623" t="n"/>
      <c r="Z66" s="1622" t="n">
        <v>0.04</v>
      </c>
      <c r="AA66" s="1621">
        <f>U66*(1+V66+W66+X66+Y66+Z66)</f>
        <v>175289.5</v>
      </c>
      <c r="AB66" s="1598" t="n"/>
      <c r="AC66" s="1598" t="inlineStr">
        <is>
          <t>Ampol Retail</t>
        </is>
      </c>
      <c r="AD66" s="865" t="inlineStr">
        <is>
          <t>Store Operations</t>
        </is>
      </c>
      <c r="AE66" s="865" t="inlineStr">
        <is>
          <t>Retail Operations</t>
        </is>
      </c>
      <c r="AF66" s="865" t="inlineStr">
        <is>
          <t>Unmapped</t>
        </is>
      </c>
      <c r="AG66" s="865" t="inlineStr">
        <is>
          <t>Filled</t>
        </is>
      </c>
    </row>
    <row r="67" hidden="1" ht="18" customHeight="1" s="866">
      <c r="A67" s="1566" t="inlineStr">
        <is>
          <t>V</t>
        </is>
      </c>
      <c r="B67" s="1382" t="inlineStr">
        <is>
          <t>Vacant</t>
        </is>
      </c>
      <c r="C67" s="1611" t="inlineStr">
        <is>
          <t>Engineer - Integration</t>
        </is>
      </c>
      <c r="D67" s="1382" t="inlineStr">
        <is>
          <t>Tracy Lee Reaper</t>
        </is>
      </c>
      <c r="E67" s="1382" t="inlineStr">
        <is>
          <t>Tech Manager, Merchandising &amp; WFM</t>
        </is>
      </c>
      <c r="F67" s="1382" t="inlineStr">
        <is>
          <t>Ampol Retail &amp; Z</t>
        </is>
      </c>
      <c r="G67" s="1612" t="inlineStr">
        <is>
          <t>Ampol Retail</t>
        </is>
      </c>
      <c r="H67" s="1382" t="inlineStr">
        <is>
          <t>Ampol Retail, Merch &amp; RTA</t>
        </is>
      </c>
      <c r="I67" s="1382" t="inlineStr">
        <is>
          <t>Retail</t>
        </is>
      </c>
      <c r="J67" s="1612" t="inlineStr">
        <is>
          <t>Merch / Supply Chain</t>
        </is>
      </c>
      <c r="K67" s="1382" t="inlineStr">
        <is>
          <t>Merchandising &amp; Supply Chain</t>
        </is>
      </c>
      <c r="L67" s="1612" t="n"/>
      <c r="M67" s="1613" t="inlineStr">
        <is>
          <t>Australia</t>
        </is>
      </c>
      <c r="N67" s="1614" t="inlineStr">
        <is>
          <t>CIB</t>
        </is>
      </c>
      <c r="O67" s="1614" t="n">
        <v>1</v>
      </c>
      <c r="P67" s="1614" t="n"/>
      <c r="Q67" s="1614" t="inlineStr">
        <is>
          <t>V</t>
        </is>
      </c>
      <c r="R67" s="1616" t="n"/>
      <c r="S67" s="1616" t="n"/>
      <c r="T67" s="1627" t="n">
        <v>151950</v>
      </c>
      <c r="U67" s="1626" t="n">
        <v>151950</v>
      </c>
      <c r="V67" s="1619" t="n">
        <v>0.12</v>
      </c>
      <c r="W67" s="1622" t="n">
        <v>0.055</v>
      </c>
      <c r="X67" s="1622" t="n">
        <v>0.12</v>
      </c>
      <c r="Y67" s="1623" t="n"/>
      <c r="Z67" s="1622" t="n">
        <v>0.04</v>
      </c>
      <c r="AA67" s="1621">
        <f>U67*(1+V67+W67+X67+Y67+Z67)</f>
        <v>202853.25</v>
      </c>
      <c r="AC67" s="865" t="inlineStr">
        <is>
          <t>Ampol Retail</t>
        </is>
      </c>
      <c r="AD67" s="865" t="inlineStr">
        <is>
          <t>Above Store</t>
        </is>
      </c>
      <c r="AE67" s="865" t="inlineStr">
        <is>
          <t>Above Store</t>
        </is>
      </c>
      <c r="AF67" s="865" t="inlineStr">
        <is>
          <t>Squad</t>
        </is>
      </c>
      <c r="AG67" s="865" t="inlineStr">
        <is>
          <t>Vacant</t>
        </is>
      </c>
    </row>
    <row r="68" hidden="1" ht="18" customHeight="1" s="866">
      <c r="A68" s="1566" t="inlineStr">
        <is>
          <t>V</t>
        </is>
      </c>
      <c r="B68" s="1382" t="inlineStr">
        <is>
          <t>vacant</t>
        </is>
      </c>
      <c r="C68" s="1611" t="inlineStr">
        <is>
          <t>Quality Assurance</t>
        </is>
      </c>
      <c r="D68" s="1382" t="inlineStr">
        <is>
          <t>Tracy Lee Reaper</t>
        </is>
      </c>
      <c r="E68" s="1382" t="inlineStr">
        <is>
          <t>Tech Manager, Merchandising &amp; WFM</t>
        </is>
      </c>
      <c r="F68" s="1382" t="inlineStr">
        <is>
          <t>Ampol Retail &amp; Z</t>
        </is>
      </c>
      <c r="G68" s="1612" t="inlineStr">
        <is>
          <t>Ampol Retail</t>
        </is>
      </c>
      <c r="H68" s="1382" t="inlineStr">
        <is>
          <t>Ampol Retail, Merch &amp; RTA</t>
        </is>
      </c>
      <c r="I68" s="1382" t="inlineStr">
        <is>
          <t>Retail</t>
        </is>
      </c>
      <c r="J68" s="1612" t="inlineStr">
        <is>
          <t>Merch / Supply Chain</t>
        </is>
      </c>
      <c r="K68" s="1382" t="inlineStr">
        <is>
          <t>Merchandising &amp; Supply Chain</t>
        </is>
      </c>
      <c r="L68" s="1612" t="n"/>
      <c r="M68" s="1613" t="inlineStr">
        <is>
          <t>Australia</t>
        </is>
      </c>
      <c r="N68" s="1614" t="inlineStr">
        <is>
          <t>CIA</t>
        </is>
      </c>
      <c r="O68" s="1614" t="n">
        <v>1</v>
      </c>
      <c r="P68" s="1614" t="n"/>
      <c r="Q68" s="1614" t="inlineStr">
        <is>
          <t>v</t>
        </is>
      </c>
      <c r="R68" s="1616" t="n"/>
      <c r="S68" s="1616" t="n"/>
      <c r="T68" s="1627" t="n">
        <v>129650</v>
      </c>
      <c r="U68" s="1626" t="n">
        <v>129650</v>
      </c>
      <c r="V68" s="1619" t="n">
        <v>0.1</v>
      </c>
      <c r="W68" s="1622" t="n">
        <v>0.055</v>
      </c>
      <c r="X68" s="1622" t="n">
        <v>0.12</v>
      </c>
      <c r="Y68" s="1623" t="n"/>
      <c r="Z68" s="1622" t="n">
        <v>0.04</v>
      </c>
      <c r="AA68" s="1621">
        <f>U68*(1+V68+W68+X68+Y68+Z68)</f>
        <v>170489.75</v>
      </c>
      <c r="AC68" s="865" t="inlineStr">
        <is>
          <t>Ampol Retail</t>
        </is>
      </c>
      <c r="AD68" s="865" t="inlineStr">
        <is>
          <t>Above Store</t>
        </is>
      </c>
      <c r="AE68" s="865" t="inlineStr">
        <is>
          <t>Above Store</t>
        </is>
      </c>
      <c r="AF68" s="865" t="inlineStr">
        <is>
          <t>Squad</t>
        </is>
      </c>
      <c r="AG68" s="865" t="inlineStr">
        <is>
          <t>Vacant</t>
        </is>
      </c>
    </row>
    <row r="69" hidden="1" ht="18" customHeight="1" s="866">
      <c r="A69" s="1566" t="inlineStr">
        <is>
          <t>V</t>
        </is>
      </c>
      <c r="B69" s="1382" t="inlineStr">
        <is>
          <t>vacant</t>
        </is>
      </c>
      <c r="C69" s="1611" t="inlineStr">
        <is>
          <t>Quality Assurance</t>
        </is>
      </c>
      <c r="D69" s="1382" t="inlineStr">
        <is>
          <t>Tracy Lee Reaper</t>
        </is>
      </c>
      <c r="E69" s="1382" t="inlineStr">
        <is>
          <t>Tech Manager, Merchandising &amp; WFM</t>
        </is>
      </c>
      <c r="F69" s="1382" t="inlineStr">
        <is>
          <t>Ampol Retail &amp; Z</t>
        </is>
      </c>
      <c r="G69" s="1612" t="inlineStr">
        <is>
          <t>Ampol Retail</t>
        </is>
      </c>
      <c r="H69" s="1382" t="inlineStr">
        <is>
          <t>Ampol Retail, Merch &amp; RTA</t>
        </is>
      </c>
      <c r="I69" s="1382" t="inlineStr">
        <is>
          <t>Retail</t>
        </is>
      </c>
      <c r="J69" s="1612" t="inlineStr">
        <is>
          <t>Pricing / WFM</t>
        </is>
      </c>
      <c r="K69" s="1382" t="inlineStr">
        <is>
          <t>Pricing &amp; WFM</t>
        </is>
      </c>
      <c r="L69" s="1612" t="n"/>
      <c r="M69" s="1613" t="inlineStr">
        <is>
          <t>Australia</t>
        </is>
      </c>
      <c r="N69" s="1614" t="inlineStr">
        <is>
          <t>CIA</t>
        </is>
      </c>
      <c r="O69" s="1614" t="n">
        <v>1</v>
      </c>
      <c r="P69" s="1614" t="n"/>
      <c r="Q69" s="1614" t="inlineStr">
        <is>
          <t>v</t>
        </is>
      </c>
      <c r="R69" s="1616" t="n"/>
      <c r="S69" s="1616" t="n"/>
      <c r="T69" s="1627" t="n">
        <v>129650</v>
      </c>
      <c r="U69" s="1626" t="n">
        <v>129650</v>
      </c>
      <c r="V69" s="1619" t="n">
        <v>0.1</v>
      </c>
      <c r="W69" s="1622" t="n">
        <v>0.055</v>
      </c>
      <c r="X69" s="1622" t="n">
        <v>0.12</v>
      </c>
      <c r="Y69" s="1623" t="n"/>
      <c r="Z69" s="1622" t="n">
        <v>0.04</v>
      </c>
      <c r="AA69" s="1621">
        <f>U69*(1+V69+W69+X69+Y69+Z69)</f>
        <v>170489.75</v>
      </c>
      <c r="AC69" s="865" t="inlineStr">
        <is>
          <t>Ampol Retail</t>
        </is>
      </c>
      <c r="AD69" s="865" t="inlineStr">
        <is>
          <t>Above Store</t>
        </is>
      </c>
      <c r="AE69" s="865" t="inlineStr">
        <is>
          <t>Above Store</t>
        </is>
      </c>
      <c r="AF69" s="865" t="inlineStr">
        <is>
          <t>Squad</t>
        </is>
      </c>
      <c r="AG69" s="865" t="inlineStr">
        <is>
          <t>Vacant</t>
        </is>
      </c>
    </row>
    <row r="70" hidden="1" ht="18" customHeight="1" s="866">
      <c r="A70" s="1566" t="inlineStr">
        <is>
          <t>V</t>
        </is>
      </c>
      <c r="B70" s="1382" t="inlineStr">
        <is>
          <t>Vacant</t>
        </is>
      </c>
      <c r="C70" s="1611" t="inlineStr">
        <is>
          <t>Systems Analyst</t>
        </is>
      </c>
      <c r="D70" s="1382" t="inlineStr">
        <is>
          <t>Tracy Lee Reaper</t>
        </is>
      </c>
      <c r="E70" s="1382" t="inlineStr">
        <is>
          <t>Tech Manager, Merchandising &amp; WFM</t>
        </is>
      </c>
      <c r="F70" s="1382" t="inlineStr">
        <is>
          <t>Ampol Retail &amp; Z</t>
        </is>
      </c>
      <c r="G70" s="1612" t="inlineStr">
        <is>
          <t>Ampol Retail</t>
        </is>
      </c>
      <c r="H70" s="1382" t="inlineStr">
        <is>
          <t>Ampol Retail, Merch &amp; RTA</t>
        </is>
      </c>
      <c r="I70" s="865" t="inlineStr">
        <is>
          <t>Retail</t>
        </is>
      </c>
      <c r="J70" s="1612" t="inlineStr">
        <is>
          <t>Merch / Supply Chain</t>
        </is>
      </c>
      <c r="K70" s="865" t="inlineStr">
        <is>
          <t>Merchandising &amp; Supply Chain</t>
        </is>
      </c>
      <c r="L70" s="1612" t="n"/>
      <c r="M70" s="1613" t="inlineStr">
        <is>
          <t>Australia</t>
        </is>
      </c>
      <c r="N70" s="1614" t="inlineStr">
        <is>
          <t>CIA</t>
        </is>
      </c>
      <c r="O70" s="1614" t="n">
        <v>1</v>
      </c>
      <c r="P70" s="1614" t="n"/>
      <c r="Q70" s="1614" t="inlineStr">
        <is>
          <t>v</t>
        </is>
      </c>
      <c r="R70" s="1616" t="n"/>
      <c r="S70" s="1616" t="n"/>
      <c r="T70" s="1627" t="n">
        <v>129659</v>
      </c>
      <c r="U70" s="1626" t="n">
        <v>129659</v>
      </c>
      <c r="V70" s="1619" t="n">
        <v>0.1</v>
      </c>
      <c r="W70" s="1622" t="n">
        <v>0.055</v>
      </c>
      <c r="X70" s="1622" t="n">
        <v>0.12</v>
      </c>
      <c r="Y70" s="1623" t="n"/>
      <c r="Z70" s="1622" t="n">
        <v>0.04</v>
      </c>
      <c r="AA70" s="1621">
        <f>U70*(1+V70+W70+X70+Y70+Z70)</f>
        <v>170501.585</v>
      </c>
      <c r="AC70" s="865" t="inlineStr">
        <is>
          <t>Ampol Retail</t>
        </is>
      </c>
      <c r="AD70" s="865" t="inlineStr">
        <is>
          <t>Above Store</t>
        </is>
      </c>
      <c r="AE70" s="865" t="inlineStr">
        <is>
          <t>Above Store</t>
        </is>
      </c>
      <c r="AF70" s="865" t="inlineStr">
        <is>
          <t>Squad</t>
        </is>
      </c>
      <c r="AG70" s="865" t="inlineStr">
        <is>
          <t>Vacant</t>
        </is>
      </c>
    </row>
    <row r="71" hidden="1" ht="18" customHeight="1" s="866">
      <c r="A71" s="1566" t="inlineStr">
        <is>
          <t>V</t>
        </is>
      </c>
      <c r="B71" s="1382" t="inlineStr">
        <is>
          <t>Vacant</t>
        </is>
      </c>
      <c r="C71" s="1611" t="inlineStr">
        <is>
          <t>Systems Analyst</t>
        </is>
      </c>
      <c r="D71" s="1382" t="inlineStr">
        <is>
          <t>Tracy Lee Reaper</t>
        </is>
      </c>
      <c r="E71" s="1382" t="inlineStr">
        <is>
          <t>Tech Manager, Merchandising &amp; WFM</t>
        </is>
      </c>
      <c r="F71" s="1382" t="inlineStr">
        <is>
          <t>Ampol Retail &amp; Z</t>
        </is>
      </c>
      <c r="G71" s="1612" t="inlineStr">
        <is>
          <t>Ampol Retail</t>
        </is>
      </c>
      <c r="H71" s="1382" t="inlineStr">
        <is>
          <t>Ampol Retail, Merch &amp; RTA</t>
        </is>
      </c>
      <c r="I71" s="1382" t="inlineStr">
        <is>
          <t>Retail</t>
        </is>
      </c>
      <c r="J71" s="1612" t="inlineStr">
        <is>
          <t>Pricing / WFM</t>
        </is>
      </c>
      <c r="K71" s="1382" t="inlineStr">
        <is>
          <t>Pricing &amp; WFM</t>
        </is>
      </c>
      <c r="L71" s="1612" t="n"/>
      <c r="M71" s="1613" t="inlineStr">
        <is>
          <t>Australia</t>
        </is>
      </c>
      <c r="N71" s="1614" t="inlineStr">
        <is>
          <t>CIA</t>
        </is>
      </c>
      <c r="O71" s="1614" t="n">
        <v>1</v>
      </c>
      <c r="P71" s="1614" t="n"/>
      <c r="Q71" s="1614" t="inlineStr">
        <is>
          <t>v</t>
        </is>
      </c>
      <c r="R71" s="1616" t="n"/>
      <c r="S71" s="1616" t="n"/>
      <c r="T71" s="1627" t="n">
        <v>129659</v>
      </c>
      <c r="U71" s="1626" t="n">
        <v>129659</v>
      </c>
      <c r="V71" s="1619" t="n">
        <v>0.1</v>
      </c>
      <c r="W71" s="1622" t="n">
        <v>0.055</v>
      </c>
      <c r="X71" s="1622" t="n">
        <v>0.12</v>
      </c>
      <c r="Y71" s="1623" t="n"/>
      <c r="Z71" s="1622" t="n">
        <v>0.04</v>
      </c>
      <c r="AA71" s="1621">
        <f>U71*(1+V71+W71+X71+Y71+Z71)</f>
        <v>170501.585</v>
      </c>
      <c r="AC71" s="865" t="inlineStr">
        <is>
          <t>Ampol Retail</t>
        </is>
      </c>
      <c r="AD71" s="865" t="inlineStr">
        <is>
          <t>Above Store</t>
        </is>
      </c>
      <c r="AE71" s="865" t="inlineStr">
        <is>
          <t>Above Store</t>
        </is>
      </c>
      <c r="AF71" s="865" t="inlineStr">
        <is>
          <t>Squad</t>
        </is>
      </c>
      <c r="AG71" s="865" t="inlineStr">
        <is>
          <t>Vacant</t>
        </is>
      </c>
    </row>
    <row r="72" hidden="1" ht="18" customHeight="1" s="866">
      <c r="A72" s="1566" t="inlineStr">
        <is>
          <t>V</t>
        </is>
      </c>
      <c r="B72" s="1382" t="inlineStr">
        <is>
          <t>Vacant</t>
        </is>
      </c>
      <c r="C72" s="1611" t="inlineStr">
        <is>
          <t>Data Analyst</t>
        </is>
      </c>
      <c r="D72" s="1612" t="inlineStr">
        <is>
          <t>Vacant</t>
        </is>
      </c>
      <c r="E72" s="1382" t="inlineStr">
        <is>
          <t>Technology Manager, Data</t>
        </is>
      </c>
      <c r="F72" s="1382" t="inlineStr">
        <is>
          <t>Ampol Retail &amp; Z</t>
        </is>
      </c>
      <c r="G72" s="1612" t="inlineStr">
        <is>
          <t>Z &amp; Group Retail</t>
        </is>
      </c>
      <c r="H72" s="1382" t="inlineStr">
        <is>
          <t>Z &amp; Group Retail, Data</t>
        </is>
      </c>
      <c r="I72" s="1382" t="inlineStr">
        <is>
          <t>Retail</t>
        </is>
      </c>
      <c r="J72" s="1612" t="inlineStr">
        <is>
          <t>(All Retail)</t>
        </is>
      </c>
      <c r="K72" s="1382" t="inlineStr">
        <is>
          <t>Data - AU</t>
        </is>
      </c>
      <c r="L72" s="1612" t="n"/>
      <c r="M72" s="1613" t="inlineStr">
        <is>
          <t>Australia</t>
        </is>
      </c>
      <c r="N72" s="1614" t="inlineStr">
        <is>
          <t>CIB</t>
        </is>
      </c>
      <c r="O72" s="1614" t="n">
        <v>1</v>
      </c>
      <c r="P72" s="1614" t="n"/>
      <c r="Q72" s="1614" t="inlineStr">
        <is>
          <t>V</t>
        </is>
      </c>
      <c r="R72" s="1616" t="n"/>
      <c r="S72" s="1616" t="n"/>
      <c r="T72" s="1627" t="n">
        <v>151000</v>
      </c>
      <c r="U72" s="1626" t="n">
        <v>151000</v>
      </c>
      <c r="V72" s="1619" t="n">
        <v>0.12</v>
      </c>
      <c r="W72" s="1622" t="n">
        <v>0.055</v>
      </c>
      <c r="X72" s="1622" t="n">
        <v>0.12</v>
      </c>
      <c r="Y72" s="1623" t="n"/>
      <c r="Z72" s="1622" t="n">
        <v>0.04</v>
      </c>
      <c r="AA72" s="1621">
        <f>U72*(1+V72+W72+X72+Y72+Z72)</f>
        <v>201585</v>
      </c>
      <c r="AC72" s="865" t="inlineStr">
        <is>
          <t>Ampol Retail</t>
        </is>
      </c>
      <c r="AD72" s="865" t="inlineStr">
        <is>
          <t>Data AU</t>
        </is>
      </c>
      <c r="AE72" s="865" t="inlineStr">
        <is>
          <t>Data AU</t>
        </is>
      </c>
      <c r="AF72" s="865" t="inlineStr">
        <is>
          <t>Squad</t>
        </is>
      </c>
      <c r="AG72" s="865" t="inlineStr">
        <is>
          <t>Vacant</t>
        </is>
      </c>
    </row>
    <row r="73" hidden="1" ht="18" customHeight="1" s="866">
      <c r="A73" s="1566" t="inlineStr">
        <is>
          <t>V</t>
        </is>
      </c>
      <c r="B73" s="1382" t="inlineStr">
        <is>
          <t>Vacant</t>
        </is>
      </c>
      <c r="C73" s="1611" t="inlineStr">
        <is>
          <t>Data Analyst</t>
        </is>
      </c>
      <c r="D73" s="1612" t="inlineStr">
        <is>
          <t>Vacant</t>
        </is>
      </c>
      <c r="E73" s="1382" t="inlineStr">
        <is>
          <t>Technology Manager, Data</t>
        </is>
      </c>
      <c r="F73" s="1382" t="inlineStr">
        <is>
          <t>Ampol Retail &amp; Z</t>
        </is>
      </c>
      <c r="G73" s="1612" t="inlineStr">
        <is>
          <t>Z &amp; Group Retail</t>
        </is>
      </c>
      <c r="H73" s="1382" t="inlineStr">
        <is>
          <t>Z &amp; Group Retail, Data</t>
        </is>
      </c>
      <c r="I73" s="1382" t="inlineStr">
        <is>
          <t>Retail</t>
        </is>
      </c>
      <c r="J73" s="1612" t="inlineStr">
        <is>
          <t>(All Retail)</t>
        </is>
      </c>
      <c r="K73" s="1382" t="inlineStr">
        <is>
          <t>Data - AU</t>
        </is>
      </c>
      <c r="L73" s="1612" t="n"/>
      <c r="M73" s="1613" t="inlineStr">
        <is>
          <t>Australia</t>
        </is>
      </c>
      <c r="N73" s="1614" t="inlineStr">
        <is>
          <t>CIB</t>
        </is>
      </c>
      <c r="O73" s="1614" t="n">
        <v>1</v>
      </c>
      <c r="P73" s="1614" t="n"/>
      <c r="Q73" s="1614" t="inlineStr">
        <is>
          <t>V</t>
        </is>
      </c>
      <c r="R73" s="1616" t="n"/>
      <c r="S73" s="1616" t="n"/>
      <c r="T73" s="1627" t="n">
        <v>151000</v>
      </c>
      <c r="U73" s="1626" t="n">
        <v>151000</v>
      </c>
      <c r="V73" s="1619" t="n">
        <v>0.12</v>
      </c>
      <c r="W73" s="1622" t="n">
        <v>0.055</v>
      </c>
      <c r="X73" s="1622" t="n">
        <v>0.12</v>
      </c>
      <c r="Y73" s="1623" t="n"/>
      <c r="Z73" s="1622" t="n">
        <v>0.04</v>
      </c>
      <c r="AA73" s="1621">
        <f>U73*(1+V73+W73+X73+Y73+Z73)</f>
        <v>201585</v>
      </c>
      <c r="AC73" s="865" t="inlineStr">
        <is>
          <t>Ampol Retail</t>
        </is>
      </c>
      <c r="AD73" s="865" t="inlineStr">
        <is>
          <t>Data AU</t>
        </is>
      </c>
      <c r="AE73" s="865" t="inlineStr">
        <is>
          <t>Data AU</t>
        </is>
      </c>
      <c r="AF73" s="865" t="inlineStr">
        <is>
          <t>Squad</t>
        </is>
      </c>
      <c r="AG73" s="865" t="inlineStr">
        <is>
          <t>Vacant</t>
        </is>
      </c>
    </row>
    <row r="74" hidden="1" ht="18" customHeight="1" s="866">
      <c r="A74" s="1566" t="inlineStr">
        <is>
          <t>V</t>
        </is>
      </c>
      <c r="B74" s="1382" t="inlineStr">
        <is>
          <t>Vacant</t>
        </is>
      </c>
      <c r="C74" s="1611" t="inlineStr">
        <is>
          <t>Delivery Lead</t>
        </is>
      </c>
      <c r="D74" s="1612" t="inlineStr">
        <is>
          <t>Vacant</t>
        </is>
      </c>
      <c r="E74" s="1382" t="inlineStr">
        <is>
          <t>Delivery Manager, Z and Retail Data</t>
        </is>
      </c>
      <c r="F74" s="1382" t="inlineStr">
        <is>
          <t>Ampol Retail &amp; Z</t>
        </is>
      </c>
      <c r="G74" s="1612" t="inlineStr">
        <is>
          <t>Z &amp; Group Retail</t>
        </is>
      </c>
      <c r="H74" s="1382" t="inlineStr">
        <is>
          <t>Z &amp; Group Retail, Delivery</t>
        </is>
      </c>
      <c r="I74" s="1382" t="inlineStr">
        <is>
          <t>Retail</t>
        </is>
      </c>
      <c r="J74" s="1612" t="inlineStr">
        <is>
          <t>(All Retail)</t>
        </is>
      </c>
      <c r="K74" s="1382" t="inlineStr">
        <is>
          <t>Data - AU</t>
        </is>
      </c>
      <c r="L74" s="1612" t="n"/>
      <c r="M74" s="1613" t="inlineStr">
        <is>
          <t>Australia</t>
        </is>
      </c>
      <c r="N74" s="1614" t="inlineStr">
        <is>
          <t>CIC</t>
        </is>
      </c>
      <c r="O74" s="1614" t="n">
        <v>1</v>
      </c>
      <c r="P74" s="1614" t="n"/>
      <c r="Q74" s="1614" t="inlineStr">
        <is>
          <t>V</t>
        </is>
      </c>
      <c r="R74" s="1616" t="n"/>
      <c r="S74" s="1616" t="n"/>
      <c r="T74" s="1627" t="n">
        <v>173550</v>
      </c>
      <c r="U74" s="1626" t="n">
        <v>173550</v>
      </c>
      <c r="V74" s="1619" t="n">
        <v>0.12</v>
      </c>
      <c r="W74" s="1622" t="n">
        <v>0.055</v>
      </c>
      <c r="X74" s="1622" t="n">
        <v>0.12</v>
      </c>
      <c r="Y74" s="1623" t="n"/>
      <c r="Z74" s="1622" t="n">
        <v>0.04</v>
      </c>
      <c r="AA74" s="1621">
        <f>U74*(1+V74+W74+X74+Y74+Z74)</f>
        <v>231689.25</v>
      </c>
      <c r="AC74" s="865" t="inlineStr">
        <is>
          <t>Ampol Retail</t>
        </is>
      </c>
      <c r="AD74" s="865" t="inlineStr">
        <is>
          <t>Data AU</t>
        </is>
      </c>
      <c r="AE74" s="865" t="inlineStr">
        <is>
          <t>Data AU</t>
        </is>
      </c>
      <c r="AF74" s="865" t="inlineStr">
        <is>
          <t>Squad</t>
        </is>
      </c>
      <c r="AG74" s="865" t="inlineStr">
        <is>
          <t>Vacant</t>
        </is>
      </c>
    </row>
    <row r="75" hidden="1" ht="18" customHeight="1" s="866">
      <c r="A75" s="1566" t="inlineStr">
        <is>
          <t>V</t>
        </is>
      </c>
      <c r="B75" s="1382" t="inlineStr">
        <is>
          <t>Vacant</t>
        </is>
      </c>
      <c r="C75" s="1611" t="inlineStr">
        <is>
          <t>Engineer - Data</t>
        </is>
      </c>
      <c r="D75" s="1612" t="inlineStr">
        <is>
          <t>Vacant</t>
        </is>
      </c>
      <c r="E75" s="1382" t="inlineStr">
        <is>
          <t>Technology Manager, Data</t>
        </is>
      </c>
      <c r="F75" s="1382" t="inlineStr">
        <is>
          <t>Ampol Retail &amp; Z</t>
        </is>
      </c>
      <c r="G75" s="1612" t="inlineStr">
        <is>
          <t>Z &amp; Group Retail</t>
        </is>
      </c>
      <c r="H75" s="1382" t="inlineStr">
        <is>
          <t>Z &amp; Group Retail, Data</t>
        </is>
      </c>
      <c r="I75" s="1382" t="inlineStr">
        <is>
          <t>Retail</t>
        </is>
      </c>
      <c r="J75" s="1612" t="inlineStr">
        <is>
          <t>(All Retail)</t>
        </is>
      </c>
      <c r="K75" s="1382" t="inlineStr">
        <is>
          <t>Data - AU</t>
        </is>
      </c>
      <c r="L75" s="1612" t="n"/>
      <c r="M75" s="1613" t="inlineStr">
        <is>
          <t>Australia</t>
        </is>
      </c>
      <c r="N75" s="1614" t="inlineStr">
        <is>
          <t>CIB</t>
        </is>
      </c>
      <c r="O75" s="1614" t="n">
        <v>1</v>
      </c>
      <c r="P75" s="1614" t="n"/>
      <c r="Q75" s="1614" t="inlineStr">
        <is>
          <t>V</t>
        </is>
      </c>
      <c r="R75" s="1616" t="n"/>
      <c r="S75" s="1616" t="n"/>
      <c r="T75" s="1627" t="n">
        <v>151950</v>
      </c>
      <c r="U75" s="1626" t="n">
        <v>151950</v>
      </c>
      <c r="V75" s="1619" t="n">
        <v>0.12</v>
      </c>
      <c r="W75" s="1622" t="n">
        <v>0.055</v>
      </c>
      <c r="X75" s="1622" t="n">
        <v>0.12</v>
      </c>
      <c r="Y75" s="1623" t="n"/>
      <c r="Z75" s="1622" t="n">
        <v>0.04</v>
      </c>
      <c r="AA75" s="1621">
        <f>U75*(1+V75+W75+X75+Y75+Z75)</f>
        <v>202853.25</v>
      </c>
      <c r="AC75" s="865" t="inlineStr">
        <is>
          <t>Ampol Retail</t>
        </is>
      </c>
      <c r="AD75" s="865" t="inlineStr">
        <is>
          <t>Data AU</t>
        </is>
      </c>
      <c r="AE75" s="865" t="inlineStr">
        <is>
          <t>Data AU</t>
        </is>
      </c>
      <c r="AF75" s="865" t="inlineStr">
        <is>
          <t>Squad</t>
        </is>
      </c>
      <c r="AG75" s="865" t="inlineStr">
        <is>
          <t>Vacant</t>
        </is>
      </c>
    </row>
    <row r="76" hidden="1" ht="18" customHeight="1" s="866">
      <c r="A76" s="1566" t="inlineStr">
        <is>
          <t>V</t>
        </is>
      </c>
      <c r="B76" s="1382" t="inlineStr">
        <is>
          <t>Vacant</t>
        </is>
      </c>
      <c r="C76" s="1611" t="inlineStr">
        <is>
          <t>Engineer - Data</t>
        </is>
      </c>
      <c r="D76" s="1612" t="inlineStr">
        <is>
          <t>Vacant</t>
        </is>
      </c>
      <c r="E76" s="1382" t="inlineStr">
        <is>
          <t>Technology Manager, Data</t>
        </is>
      </c>
      <c r="F76" s="1382" t="inlineStr">
        <is>
          <t>Ampol Retail &amp; Z</t>
        </is>
      </c>
      <c r="G76" s="1612" t="inlineStr">
        <is>
          <t>Z &amp; Group Retail</t>
        </is>
      </c>
      <c r="H76" s="1382" t="inlineStr">
        <is>
          <t>Z &amp; Group Retail, Data</t>
        </is>
      </c>
      <c r="I76" s="1382" t="inlineStr">
        <is>
          <t>Retail</t>
        </is>
      </c>
      <c r="J76" s="1612" t="inlineStr">
        <is>
          <t>(All Retail)</t>
        </is>
      </c>
      <c r="K76" s="1382" t="inlineStr">
        <is>
          <t>Data - AU</t>
        </is>
      </c>
      <c r="L76" s="1612" t="n"/>
      <c r="M76" s="1613" t="inlineStr">
        <is>
          <t>Australia</t>
        </is>
      </c>
      <c r="N76" s="1614" t="inlineStr">
        <is>
          <t>CIB</t>
        </is>
      </c>
      <c r="O76" s="1614" t="n">
        <v>1</v>
      </c>
      <c r="P76" s="1614" t="n"/>
      <c r="Q76" s="1614" t="inlineStr">
        <is>
          <t>V</t>
        </is>
      </c>
      <c r="R76" s="1616" t="n"/>
      <c r="S76" s="1616" t="n"/>
      <c r="T76" s="1627" t="n">
        <v>151950</v>
      </c>
      <c r="U76" s="1626" t="n">
        <v>151950</v>
      </c>
      <c r="V76" s="1619" t="n">
        <v>0.12</v>
      </c>
      <c r="W76" s="1622" t="n">
        <v>0.055</v>
      </c>
      <c r="X76" s="1622" t="n">
        <v>0.12</v>
      </c>
      <c r="Y76" s="1623" t="n"/>
      <c r="Z76" s="1622" t="n">
        <v>0.04</v>
      </c>
      <c r="AA76" s="1621">
        <f>U76*(1+V76+W76+X76+Y76+Z76)</f>
        <v>202853.25</v>
      </c>
      <c r="AC76" s="865" t="inlineStr">
        <is>
          <t>Ampol Retail</t>
        </is>
      </c>
      <c r="AD76" s="865" t="inlineStr">
        <is>
          <t>Data AU</t>
        </is>
      </c>
      <c r="AE76" s="865" t="inlineStr">
        <is>
          <t>Data AU</t>
        </is>
      </c>
      <c r="AF76" s="865" t="inlineStr">
        <is>
          <t>Squad</t>
        </is>
      </c>
      <c r="AG76" s="865" t="inlineStr">
        <is>
          <t>Vacant</t>
        </is>
      </c>
    </row>
    <row r="77" hidden="1" ht="18" customHeight="1" s="866">
      <c r="A77" s="1566" t="inlineStr">
        <is>
          <t>V</t>
        </is>
      </c>
      <c r="B77" s="1382" t="inlineStr">
        <is>
          <t>Vacant</t>
        </is>
      </c>
      <c r="C77" s="1611" t="inlineStr">
        <is>
          <t>Engineer - Data</t>
        </is>
      </c>
      <c r="D77" s="1612" t="inlineStr">
        <is>
          <t>Vacant</t>
        </is>
      </c>
      <c r="E77" s="1382" t="inlineStr">
        <is>
          <t>Technology Manager, Data</t>
        </is>
      </c>
      <c r="F77" s="1382" t="inlineStr">
        <is>
          <t>Ampol Retail &amp; Z</t>
        </is>
      </c>
      <c r="G77" s="1612" t="inlineStr">
        <is>
          <t>Z &amp; Group Retail</t>
        </is>
      </c>
      <c r="H77" s="1382" t="inlineStr">
        <is>
          <t>Z &amp; Group Retail, Data</t>
        </is>
      </c>
      <c r="I77" s="1382" t="inlineStr">
        <is>
          <t>Retail</t>
        </is>
      </c>
      <c r="J77" s="1612" t="inlineStr">
        <is>
          <t>(All Retail)</t>
        </is>
      </c>
      <c r="K77" s="1382" t="inlineStr">
        <is>
          <t>Data - AU</t>
        </is>
      </c>
      <c r="L77" s="1612" t="n"/>
      <c r="M77" s="1613" t="inlineStr">
        <is>
          <t>Australia</t>
        </is>
      </c>
      <c r="N77" s="1614" t="inlineStr">
        <is>
          <t>CIB</t>
        </is>
      </c>
      <c r="O77" s="1614" t="n">
        <v>1</v>
      </c>
      <c r="P77" s="1614" t="n"/>
      <c r="Q77" s="1614" t="inlineStr">
        <is>
          <t>V</t>
        </is>
      </c>
      <c r="R77" s="1616" t="n"/>
      <c r="S77" s="1616" t="n"/>
      <c r="T77" s="1627" t="n">
        <v>151950</v>
      </c>
      <c r="U77" s="1626" t="n">
        <v>151950</v>
      </c>
      <c r="V77" s="1619" t="n">
        <v>0.12</v>
      </c>
      <c r="W77" s="1622" t="n">
        <v>0.055</v>
      </c>
      <c r="X77" s="1622" t="n">
        <v>0.12</v>
      </c>
      <c r="Y77" s="1623" t="n"/>
      <c r="Z77" s="1622" t="n">
        <v>0.04</v>
      </c>
      <c r="AA77" s="1621">
        <f>U77*(1+V77+W77+X77+Y77+Z77)</f>
        <v>202853.25</v>
      </c>
      <c r="AC77" s="865" t="inlineStr">
        <is>
          <t>Ampol Retail</t>
        </is>
      </c>
      <c r="AD77" s="865" t="inlineStr">
        <is>
          <t>Data AU</t>
        </is>
      </c>
      <c r="AE77" s="865" t="inlineStr">
        <is>
          <t>Data AU</t>
        </is>
      </c>
      <c r="AF77" s="865" t="inlineStr">
        <is>
          <t>Squad</t>
        </is>
      </c>
      <c r="AG77" s="865" t="inlineStr">
        <is>
          <t>Vacant</t>
        </is>
      </c>
    </row>
    <row r="78" hidden="1" ht="18" customHeight="1" s="866">
      <c r="A78" s="1566" t="inlineStr">
        <is>
          <t>V</t>
        </is>
      </c>
      <c r="B78" s="1382" t="inlineStr">
        <is>
          <t>Vacant</t>
        </is>
      </c>
      <c r="C78" s="1611" t="inlineStr">
        <is>
          <t>Quality Assurance</t>
        </is>
      </c>
      <c r="D78" s="1612" t="inlineStr">
        <is>
          <t>Vacant</t>
        </is>
      </c>
      <c r="E78" s="1382" t="inlineStr">
        <is>
          <t>Lead Quality Assurance</t>
        </is>
      </c>
      <c r="F78" s="1382" t="inlineStr">
        <is>
          <t>Ampol Retail &amp; Z</t>
        </is>
      </c>
      <c r="G78" s="1612" t="inlineStr">
        <is>
          <t>Ampol Retail</t>
        </is>
      </c>
      <c r="H78" s="1382" t="inlineStr">
        <is>
          <t>Ampol Retail, Store Platforms</t>
        </is>
      </c>
      <c r="I78" s="1382" t="inlineStr">
        <is>
          <t>Retail</t>
        </is>
      </c>
      <c r="J78" s="1612" t="inlineStr">
        <is>
          <t>AMPOS</t>
        </is>
      </c>
      <c r="K78" s="1382" t="inlineStr">
        <is>
          <t>AmPos</t>
        </is>
      </c>
      <c r="L78" s="1612" t="n"/>
      <c r="M78" s="1613" t="inlineStr">
        <is>
          <t>Australia</t>
        </is>
      </c>
      <c r="N78" s="1614" t="inlineStr">
        <is>
          <t>CIA</t>
        </is>
      </c>
      <c r="O78" s="1614" t="n">
        <v>1</v>
      </c>
      <c r="P78" s="1614" t="n"/>
      <c r="Q78" s="1614" t="inlineStr">
        <is>
          <t>v</t>
        </is>
      </c>
      <c r="R78" s="1616" t="n"/>
      <c r="S78" s="1616" t="n"/>
      <c r="T78" s="1627" t="n">
        <v>129650</v>
      </c>
      <c r="U78" s="1626" t="n">
        <v>129650</v>
      </c>
      <c r="V78" s="1619" t="n">
        <v>0.1</v>
      </c>
      <c r="W78" s="1622" t="n">
        <v>0.055</v>
      </c>
      <c r="X78" s="1622" t="n">
        <v>0.12</v>
      </c>
      <c r="Y78" s="1623" t="n"/>
      <c r="Z78" s="1622" t="n">
        <v>0.04</v>
      </c>
      <c r="AA78" s="1621">
        <f>U78*(1+V78+W78+X78+Y78+Z78)</f>
        <v>170489.75</v>
      </c>
      <c r="AC78" s="865" t="inlineStr">
        <is>
          <t>Ampol Retail</t>
        </is>
      </c>
      <c r="AD78" s="865" t="inlineStr">
        <is>
          <t>AmPOS</t>
        </is>
      </c>
      <c r="AE78" s="865" t="inlineStr">
        <is>
          <t>AmPOS</t>
        </is>
      </c>
      <c r="AF78" s="865" t="inlineStr">
        <is>
          <t>Strategic Program</t>
        </is>
      </c>
      <c r="AG78" s="865" t="inlineStr">
        <is>
          <t>Vacant</t>
        </is>
      </c>
    </row>
    <row r="79" hidden="1" ht="18" customHeight="1" s="866">
      <c r="A79" s="1566" t="inlineStr">
        <is>
          <t>V</t>
        </is>
      </c>
      <c r="B79" s="1382" t="inlineStr">
        <is>
          <t>Vacant</t>
        </is>
      </c>
      <c r="C79" s="1611" t="inlineStr">
        <is>
          <t>Quality Assurance</t>
        </is>
      </c>
      <c r="D79" s="1612" t="inlineStr">
        <is>
          <t>Vacant</t>
        </is>
      </c>
      <c r="E79" s="1382" t="inlineStr">
        <is>
          <t>Lead Quality Assurance</t>
        </is>
      </c>
      <c r="F79" s="1382" t="inlineStr">
        <is>
          <t>Ampol Retail &amp; Z</t>
        </is>
      </c>
      <c r="G79" s="1612" t="inlineStr">
        <is>
          <t>Ampol Retail</t>
        </is>
      </c>
      <c r="H79" s="1382" t="inlineStr">
        <is>
          <t>Ampol Retail, Store Platforms</t>
        </is>
      </c>
      <c r="I79" s="1382" t="inlineStr">
        <is>
          <t>Retail</t>
        </is>
      </c>
      <c r="J79" s="1612" t="inlineStr">
        <is>
          <t>AMPOS</t>
        </is>
      </c>
      <c r="K79" s="1382" t="inlineStr">
        <is>
          <t>AmPos</t>
        </is>
      </c>
      <c r="L79" s="1612" t="n"/>
      <c r="M79" s="1613" t="inlineStr">
        <is>
          <t>Australia</t>
        </is>
      </c>
      <c r="N79" s="1614" t="inlineStr">
        <is>
          <t>CIA</t>
        </is>
      </c>
      <c r="O79" s="1614" t="n">
        <v>1</v>
      </c>
      <c r="P79" s="1614" t="n"/>
      <c r="Q79" s="1614" t="inlineStr">
        <is>
          <t>v</t>
        </is>
      </c>
      <c r="R79" s="1616" t="n"/>
      <c r="S79" s="1616" t="n"/>
      <c r="T79" s="1627" t="n">
        <v>129650</v>
      </c>
      <c r="U79" s="1626" t="n">
        <v>129650</v>
      </c>
      <c r="V79" s="1619" t="n">
        <v>0.1</v>
      </c>
      <c r="W79" s="1622" t="n">
        <v>0.055</v>
      </c>
      <c r="X79" s="1622" t="n">
        <v>0.12</v>
      </c>
      <c r="Y79" s="1623" t="n"/>
      <c r="Z79" s="1622" t="n">
        <v>0.04</v>
      </c>
      <c r="AA79" s="1621">
        <f>U79*(1+V79+W79+X79+Y79+Z79)</f>
        <v>170489.75</v>
      </c>
      <c r="AC79" s="865" t="inlineStr">
        <is>
          <t>Ampol Retail</t>
        </is>
      </c>
      <c r="AD79" s="865" t="inlineStr">
        <is>
          <t>AmPOS</t>
        </is>
      </c>
      <c r="AE79" s="865" t="inlineStr">
        <is>
          <t>AmPOS</t>
        </is>
      </c>
      <c r="AF79" s="865" t="inlineStr">
        <is>
          <t>Strategic Program</t>
        </is>
      </c>
      <c r="AG79" s="865" t="inlineStr">
        <is>
          <t>Vacant</t>
        </is>
      </c>
    </row>
    <row r="80" hidden="1" ht="18" customHeight="1" s="866">
      <c r="A80" s="1566" t="inlineStr">
        <is>
          <t>V</t>
        </is>
      </c>
      <c r="B80" s="1382" t="inlineStr">
        <is>
          <t>Vacant</t>
        </is>
      </c>
      <c r="C80" s="1611" t="inlineStr">
        <is>
          <t>Quality Assurance</t>
        </is>
      </c>
      <c r="D80" s="1612" t="inlineStr">
        <is>
          <t>Vacant</t>
        </is>
      </c>
      <c r="E80" s="1382" t="inlineStr">
        <is>
          <t>Lead Quality Assurance</t>
        </is>
      </c>
      <c r="F80" s="1382" t="inlineStr">
        <is>
          <t>Ampol Retail &amp; Z</t>
        </is>
      </c>
      <c r="G80" s="1612" t="inlineStr">
        <is>
          <t>Ampol Retail</t>
        </is>
      </c>
      <c r="H80" s="1382" t="inlineStr">
        <is>
          <t>Ampol Retail, Store Platforms</t>
        </is>
      </c>
      <c r="I80" s="1382" t="inlineStr">
        <is>
          <t>Retail</t>
        </is>
      </c>
      <c r="J80" s="1612" t="inlineStr">
        <is>
          <t>AMPOS</t>
        </is>
      </c>
      <c r="K80" s="1382" t="inlineStr">
        <is>
          <t>AmPos</t>
        </is>
      </c>
      <c r="L80" s="1612" t="n"/>
      <c r="M80" s="1613" t="inlineStr">
        <is>
          <t>Australia</t>
        </is>
      </c>
      <c r="N80" s="1614" t="inlineStr">
        <is>
          <t>CIA</t>
        </is>
      </c>
      <c r="O80" s="1614" t="n">
        <v>1</v>
      </c>
      <c r="P80" s="1614" t="n"/>
      <c r="Q80" s="1614" t="inlineStr">
        <is>
          <t>v</t>
        </is>
      </c>
      <c r="R80" s="1616" t="n"/>
      <c r="S80" s="1616" t="n"/>
      <c r="T80" s="1627" t="n">
        <v>129650</v>
      </c>
      <c r="U80" s="1626" t="n">
        <v>129650</v>
      </c>
      <c r="V80" s="1619" t="n">
        <v>0.1</v>
      </c>
      <c r="W80" s="1622" t="n">
        <v>0.055</v>
      </c>
      <c r="X80" s="1622" t="n">
        <v>0.12</v>
      </c>
      <c r="Y80" s="1623" t="n"/>
      <c r="Z80" s="1622" t="n">
        <v>0.04</v>
      </c>
      <c r="AA80" s="1621">
        <f>U80*(1+V80+W80+X80+Y80+Z80)</f>
        <v>170489.75</v>
      </c>
      <c r="AC80" s="865" t="inlineStr">
        <is>
          <t>Ampol Retail</t>
        </is>
      </c>
      <c r="AD80" s="865" t="inlineStr">
        <is>
          <t>AmPOS</t>
        </is>
      </c>
      <c r="AE80" s="865" t="inlineStr">
        <is>
          <t>AmPOS</t>
        </is>
      </c>
      <c r="AF80" s="865" t="inlineStr">
        <is>
          <t>Strategic Program</t>
        </is>
      </c>
      <c r="AG80" s="865" t="inlineStr">
        <is>
          <t>Vacant</t>
        </is>
      </c>
    </row>
    <row r="81" hidden="1" ht="18" customHeight="1" s="866">
      <c r="A81" s="1566" t="inlineStr">
        <is>
          <t>V</t>
        </is>
      </c>
      <c r="B81" s="1382" t="inlineStr">
        <is>
          <t>Vacant</t>
        </is>
      </c>
      <c r="C81" s="1611" t="inlineStr">
        <is>
          <t>Release &amp; Environments Manager</t>
        </is>
      </c>
      <c r="D81" s="1612" t="inlineStr">
        <is>
          <t>Vacant</t>
        </is>
      </c>
      <c r="E81" s="1382" t="inlineStr">
        <is>
          <t>Lead Quality Assurance</t>
        </is>
      </c>
      <c r="F81" s="1382" t="inlineStr">
        <is>
          <t>Ampol Retail &amp; Z</t>
        </is>
      </c>
      <c r="G81" s="1612" t="inlineStr">
        <is>
          <t>Ampol Retail</t>
        </is>
      </c>
      <c r="H81" s="1382" t="inlineStr">
        <is>
          <t>Ampol Retail, Store Platforms</t>
        </is>
      </c>
      <c r="I81" s="1382" t="inlineStr">
        <is>
          <t>Retail</t>
        </is>
      </c>
      <c r="J81" s="1612" t="inlineStr">
        <is>
          <t>AMPOS</t>
        </is>
      </c>
      <c r="K81" s="1382" t="inlineStr">
        <is>
          <t>AmPos</t>
        </is>
      </c>
      <c r="L81" s="1612" t="n"/>
      <c r="M81" s="1613" t="inlineStr">
        <is>
          <t>Australia</t>
        </is>
      </c>
      <c r="N81" s="1614" t="inlineStr">
        <is>
          <t>CIB</t>
        </is>
      </c>
      <c r="O81" s="1614" t="n">
        <v>1</v>
      </c>
      <c r="P81" s="1614" t="n"/>
      <c r="Q81" s="1614" t="inlineStr">
        <is>
          <t>v</t>
        </is>
      </c>
      <c r="R81" s="1616" t="n"/>
      <c r="S81" s="1616" t="n"/>
      <c r="T81" s="1627" t="n">
        <v>151950</v>
      </c>
      <c r="U81" s="1626" t="n">
        <v>151950</v>
      </c>
      <c r="V81" s="1619" t="n">
        <v>0.12</v>
      </c>
      <c r="W81" s="1622" t="n">
        <v>0.055</v>
      </c>
      <c r="X81" s="1622" t="n">
        <v>0.12</v>
      </c>
      <c r="Y81" s="1623" t="n"/>
      <c r="Z81" s="1622" t="n">
        <v>0.04</v>
      </c>
      <c r="AA81" s="1621">
        <f>U81*(1+V81+W81+X81+Y81+Z81)</f>
        <v>202853.25</v>
      </c>
      <c r="AC81" s="865" t="inlineStr">
        <is>
          <t>Ampol Retail</t>
        </is>
      </c>
      <c r="AD81" s="865" t="inlineStr">
        <is>
          <t>AmPOS</t>
        </is>
      </c>
      <c r="AE81" s="865" t="inlineStr">
        <is>
          <t>AmPOS</t>
        </is>
      </c>
      <c r="AF81" s="865" t="inlineStr">
        <is>
          <t>Strategic Program</t>
        </is>
      </c>
      <c r="AG81" s="865" t="inlineStr">
        <is>
          <t>Vacant</t>
        </is>
      </c>
    </row>
    <row r="82" hidden="1" ht="18" customHeight="1" s="866">
      <c r="A82" s="1566" t="inlineStr">
        <is>
          <t>V</t>
        </is>
      </c>
      <c r="B82" s="1382" t="inlineStr">
        <is>
          <t>Vacant</t>
        </is>
      </c>
      <c r="C82" s="1611" t="inlineStr">
        <is>
          <t>Engineer Integration</t>
        </is>
      </c>
      <c r="D82" s="1382" t="inlineStr">
        <is>
          <t>Vaishnavi Viswanathan</t>
        </is>
      </c>
      <c r="E82" s="1382" t="inlineStr">
        <is>
          <t>Technology Manager, Store Platform</t>
        </is>
      </c>
      <c r="F82" s="1382" t="inlineStr">
        <is>
          <t>Ampol Retail &amp; Z</t>
        </is>
      </c>
      <c r="G82" s="1612" t="inlineStr">
        <is>
          <t>Ampol Retail</t>
        </is>
      </c>
      <c r="H82" s="1382" t="inlineStr">
        <is>
          <t>Ampol Retail, Store Platforms</t>
        </is>
      </c>
      <c r="I82" s="1382" t="inlineStr">
        <is>
          <t>Retail</t>
        </is>
      </c>
      <c r="J82" s="1612" t="inlineStr">
        <is>
          <t>Store Operations</t>
        </is>
      </c>
      <c r="K82" s="1382" t="inlineStr">
        <is>
          <t>POS, Payments</t>
        </is>
      </c>
      <c r="L82" s="1612" t="n"/>
      <c r="M82" s="1613" t="inlineStr">
        <is>
          <t>Australia</t>
        </is>
      </c>
      <c r="N82" s="1614" t="inlineStr">
        <is>
          <t>CIB</t>
        </is>
      </c>
      <c r="O82" s="1614" t="n">
        <v>1</v>
      </c>
      <c r="P82" s="1614" t="n"/>
      <c r="Q82" s="1614" t="inlineStr">
        <is>
          <t>V</t>
        </is>
      </c>
      <c r="R82" s="1616" t="n"/>
      <c r="S82" s="1616" t="n"/>
      <c r="T82" s="1627" t="n">
        <v>151950</v>
      </c>
      <c r="U82" s="1626" t="n">
        <v>151950</v>
      </c>
      <c r="V82" s="1619" t="n">
        <v>0.12</v>
      </c>
      <c r="W82" s="1622" t="n">
        <v>0.055</v>
      </c>
      <c r="X82" s="1622" t="n">
        <v>0.12</v>
      </c>
      <c r="Y82" s="1623" t="n"/>
      <c r="Z82" s="1622" t="n">
        <v>0.04</v>
      </c>
      <c r="AA82" s="1621">
        <f>U82*(1+V82+W82+X82+Y82+Z82)</f>
        <v>202853.25</v>
      </c>
      <c r="AC82" s="865" t="inlineStr">
        <is>
          <t>Ampol Retail</t>
        </is>
      </c>
      <c r="AD82" s="865" t="inlineStr">
        <is>
          <t>Store Operations</t>
        </is>
      </c>
      <c r="AE82" s="865" t="inlineStr">
        <is>
          <t>POS, Payments</t>
        </is>
      </c>
      <c r="AF82" s="865" t="inlineStr">
        <is>
          <t>Unmapped</t>
        </is>
      </c>
      <c r="AG82" s="865" t="inlineStr">
        <is>
          <t>Vacant</t>
        </is>
      </c>
    </row>
    <row r="83" hidden="1" ht="18" customHeight="1" s="866">
      <c r="A83" s="1566" t="inlineStr">
        <is>
          <t>V</t>
        </is>
      </c>
      <c r="B83" s="1382" t="inlineStr">
        <is>
          <t>Vacant</t>
        </is>
      </c>
      <c r="C83" s="1611" t="inlineStr">
        <is>
          <t>Lead Quality Assurance</t>
        </is>
      </c>
      <c r="D83" s="1382" t="inlineStr">
        <is>
          <t>Vaishnavi Viswanathan</t>
        </is>
      </c>
      <c r="E83" s="1382" t="inlineStr">
        <is>
          <t>Technology Manager, Store Platform</t>
        </is>
      </c>
      <c r="F83" s="1382" t="inlineStr">
        <is>
          <t>Ampol Retail &amp; Z</t>
        </is>
      </c>
      <c r="G83" s="1612" t="inlineStr">
        <is>
          <t>Ampol Retail</t>
        </is>
      </c>
      <c r="H83" s="1382" t="inlineStr">
        <is>
          <t>Ampol Retail, Store Platforms</t>
        </is>
      </c>
      <c r="I83" s="1382" t="inlineStr">
        <is>
          <t>Retail</t>
        </is>
      </c>
      <c r="J83" s="1612" t="inlineStr">
        <is>
          <t>Store Operations</t>
        </is>
      </c>
      <c r="K83" s="1382" t="inlineStr">
        <is>
          <t>POS</t>
        </is>
      </c>
      <c r="L83" s="1612" t="n"/>
      <c r="M83" s="1613" t="inlineStr">
        <is>
          <t>Australia</t>
        </is>
      </c>
      <c r="N83" s="1614" t="inlineStr">
        <is>
          <t>CIC</t>
        </is>
      </c>
      <c r="O83" s="1614" t="n">
        <v>1</v>
      </c>
      <c r="P83" s="1614" t="n"/>
      <c r="Q83" s="1614" t="inlineStr">
        <is>
          <t>v</t>
        </is>
      </c>
      <c r="R83" s="1616" t="n"/>
      <c r="S83" s="1616" t="n"/>
      <c r="T83" s="1627" t="n">
        <v>173550</v>
      </c>
      <c r="U83" s="1626" t="n">
        <v>173550</v>
      </c>
      <c r="V83" s="1619" t="n">
        <v>0.12</v>
      </c>
      <c r="W83" s="1622" t="n">
        <v>0.055</v>
      </c>
      <c r="X83" s="1622" t="n">
        <v>0.12</v>
      </c>
      <c r="Y83" s="1623" t="n"/>
      <c r="Z83" s="1622" t="n">
        <v>0.04</v>
      </c>
      <c r="AA83" s="1621">
        <f>U83*(1+V83+W83+X83+Y83+Z83)</f>
        <v>231689.25</v>
      </c>
      <c r="AC83" s="865" t="inlineStr">
        <is>
          <t>Ampol Retail</t>
        </is>
      </c>
      <c r="AD83" s="865" t="inlineStr">
        <is>
          <t>Store Operations</t>
        </is>
      </c>
      <c r="AE83" s="865" t="inlineStr">
        <is>
          <t>POS</t>
        </is>
      </c>
      <c r="AF83" s="865" t="inlineStr">
        <is>
          <t>Squad</t>
        </is>
      </c>
      <c r="AG83" s="865" t="inlineStr">
        <is>
          <t>Vacant</t>
        </is>
      </c>
    </row>
    <row r="84" hidden="1" ht="18" customHeight="1" s="866">
      <c r="A84" s="1566" t="inlineStr">
        <is>
          <t>V</t>
        </is>
      </c>
      <c r="B84" s="1382" t="inlineStr">
        <is>
          <t>Vacant</t>
        </is>
      </c>
      <c r="C84" s="1611" t="inlineStr">
        <is>
          <t>Support Analyst -Retail</t>
        </is>
      </c>
      <c r="D84" s="1382" t="inlineStr">
        <is>
          <t>Vaishnavi Viswanathan</t>
        </is>
      </c>
      <c r="E84" s="1382" t="inlineStr">
        <is>
          <t>Technology Manager, Store Platform</t>
        </is>
      </c>
      <c r="F84" s="1382" t="inlineStr">
        <is>
          <t>Ampol Retail &amp; Z</t>
        </is>
      </c>
      <c r="G84" s="1612" t="inlineStr">
        <is>
          <t>Ampol Retail</t>
        </is>
      </c>
      <c r="H84" s="1382" t="inlineStr">
        <is>
          <t>Ampol Retail, Store Platforms</t>
        </is>
      </c>
      <c r="I84" s="1382" t="inlineStr">
        <is>
          <t>Retail</t>
        </is>
      </c>
      <c r="J84" s="1612" t="inlineStr">
        <is>
          <t>Store Operations</t>
        </is>
      </c>
      <c r="K84" s="1382" t="inlineStr">
        <is>
          <t>Retail Operations</t>
        </is>
      </c>
      <c r="L84" s="1612" t="n"/>
      <c r="M84" s="1613" t="inlineStr">
        <is>
          <t>Australia</t>
        </is>
      </c>
      <c r="N84" s="1614" t="inlineStr">
        <is>
          <t>CIB</t>
        </is>
      </c>
      <c r="O84" s="1614" t="n">
        <v>1</v>
      </c>
      <c r="P84" s="1614" t="n"/>
      <c r="Q84" s="1614" t="inlineStr">
        <is>
          <t>v</t>
        </is>
      </c>
      <c r="R84" s="1616" t="n"/>
      <c r="S84" s="1616" t="n"/>
      <c r="T84" s="1627" t="n">
        <v>168160</v>
      </c>
      <c r="U84" s="1626" t="n">
        <v>168160</v>
      </c>
      <c r="V84" s="1619" t="n">
        <v>0.12</v>
      </c>
      <c r="W84" s="1622" t="n">
        <v>0.055</v>
      </c>
      <c r="X84" s="1622" t="n">
        <v>0.12</v>
      </c>
      <c r="Y84" s="1623" t="n"/>
      <c r="Z84" s="1622" t="n">
        <v>0.04</v>
      </c>
      <c r="AA84" s="1621">
        <f>U84*(1+V84+W84+X84+Y84+Z84)</f>
        <v>224493.6</v>
      </c>
      <c r="AC84" s="865" t="inlineStr">
        <is>
          <t>Ampol Retail</t>
        </is>
      </c>
      <c r="AD84" s="865" t="inlineStr">
        <is>
          <t>Store Operations</t>
        </is>
      </c>
      <c r="AE84" s="865" t="inlineStr">
        <is>
          <t>Retail Operations</t>
        </is>
      </c>
      <c r="AF84" s="865" t="inlineStr">
        <is>
          <t>Unmapped</t>
        </is>
      </c>
      <c r="AG84" s="865" t="inlineStr">
        <is>
          <t>Vacant</t>
        </is>
      </c>
    </row>
    <row r="85" hidden="1" ht="18" customHeight="1" s="866">
      <c r="A85" s="1566" t="inlineStr">
        <is>
          <t>V</t>
        </is>
      </c>
      <c r="B85" s="1382" t="inlineStr">
        <is>
          <t>Vacant</t>
        </is>
      </c>
      <c r="C85" s="1611" t="inlineStr">
        <is>
          <t>Systems Analyst</t>
        </is>
      </c>
      <c r="D85" s="1382" t="inlineStr">
        <is>
          <t>Vaishnavi Viswanathan</t>
        </is>
      </c>
      <c r="E85" s="1382" t="inlineStr">
        <is>
          <t>Technology Manager, Store Platform</t>
        </is>
      </c>
      <c r="F85" s="1382" t="inlineStr">
        <is>
          <t>Ampol Retail &amp; Z</t>
        </is>
      </c>
      <c r="G85" s="1612" t="inlineStr">
        <is>
          <t>Ampol Retail</t>
        </is>
      </c>
      <c r="H85" s="1382" t="inlineStr">
        <is>
          <t>Ampol Retail, Store Platforms</t>
        </is>
      </c>
      <c r="I85" s="1382" t="inlineStr">
        <is>
          <t>Retail</t>
        </is>
      </c>
      <c r="J85" s="1612" t="inlineStr">
        <is>
          <t>Store Operations</t>
        </is>
      </c>
      <c r="K85" s="1382" t="inlineStr">
        <is>
          <t>Payments</t>
        </is>
      </c>
      <c r="L85" s="1612" t="n"/>
      <c r="M85" s="1613" t="inlineStr">
        <is>
          <t>Australia</t>
        </is>
      </c>
      <c r="N85" s="1614" t="inlineStr">
        <is>
          <t>CIA</t>
        </is>
      </c>
      <c r="O85" s="1614" t="n">
        <v>1</v>
      </c>
      <c r="P85" s="1614" t="n"/>
      <c r="Q85" s="1634" t="inlineStr">
        <is>
          <t>v</t>
        </is>
      </c>
      <c r="R85" s="1616" t="n"/>
      <c r="S85" s="1616" t="n"/>
      <c r="T85" s="1627" t="n">
        <v>129659</v>
      </c>
      <c r="U85" s="1626" t="n">
        <v>129659</v>
      </c>
      <c r="V85" s="1619" t="n">
        <v>0.1</v>
      </c>
      <c r="W85" s="1622" t="n">
        <v>0.055</v>
      </c>
      <c r="X85" s="1622" t="n">
        <v>0.12</v>
      </c>
      <c r="Y85" s="1623" t="n"/>
      <c r="Z85" s="1622" t="n">
        <v>0.04</v>
      </c>
      <c r="AA85" s="1621">
        <f>U85*(1+V85+W85+X85+Y85+Z85)</f>
        <v>170501.585</v>
      </c>
      <c r="AC85" s="865" t="inlineStr">
        <is>
          <t>Ampol Retail</t>
        </is>
      </c>
      <c r="AD85" s="865" t="inlineStr">
        <is>
          <t>Store Operations</t>
        </is>
      </c>
      <c r="AE85" s="865" t="inlineStr">
        <is>
          <t>Payments</t>
        </is>
      </c>
      <c r="AF85" s="865" t="inlineStr">
        <is>
          <t>Squad</t>
        </is>
      </c>
      <c r="AG85" s="865" t="inlineStr">
        <is>
          <t>Vacant</t>
        </is>
      </c>
    </row>
    <row r="86" hidden="1" ht="18" customHeight="1" s="866">
      <c r="A86" s="1566" t="inlineStr">
        <is>
          <t>V</t>
        </is>
      </c>
      <c r="B86" s="1382" t="inlineStr">
        <is>
          <t>Vacant</t>
        </is>
      </c>
      <c r="C86" s="1611" t="inlineStr">
        <is>
          <t>Systems Analyst</t>
        </is>
      </c>
      <c r="D86" s="1382" t="inlineStr">
        <is>
          <t>Vaishnavi Viswanathan</t>
        </is>
      </c>
      <c r="E86" s="1382" t="inlineStr">
        <is>
          <t>Technology Manager, Store Platform</t>
        </is>
      </c>
      <c r="F86" s="1382" t="inlineStr">
        <is>
          <t>Ampol Retail &amp; Z</t>
        </is>
      </c>
      <c r="G86" s="1612" t="inlineStr">
        <is>
          <t>Ampol Retail</t>
        </is>
      </c>
      <c r="H86" s="1382" t="inlineStr">
        <is>
          <t>Ampol Retail, Store Platforms</t>
        </is>
      </c>
      <c r="I86" s="1382" t="inlineStr">
        <is>
          <t>Retail</t>
        </is>
      </c>
      <c r="J86" s="1612" t="inlineStr">
        <is>
          <t>Store Operations</t>
        </is>
      </c>
      <c r="K86" s="1382" t="inlineStr">
        <is>
          <t>POS</t>
        </is>
      </c>
      <c r="L86" s="1612" t="n"/>
      <c r="M86" s="1613" t="inlineStr">
        <is>
          <t>Australia</t>
        </is>
      </c>
      <c r="N86" s="1614" t="inlineStr">
        <is>
          <t>CIA</t>
        </is>
      </c>
      <c r="O86" s="1614" t="n">
        <v>1</v>
      </c>
      <c r="P86" s="1614" t="n"/>
      <c r="Q86" s="1634" t="inlineStr">
        <is>
          <t>v</t>
        </is>
      </c>
      <c r="R86" s="1616" t="n"/>
      <c r="S86" s="1616" t="n"/>
      <c r="T86" s="1627" t="n">
        <v>129659</v>
      </c>
      <c r="U86" s="1626" t="n">
        <v>129659</v>
      </c>
      <c r="V86" s="1619" t="n">
        <v>0.1</v>
      </c>
      <c r="W86" s="1622" t="n">
        <v>0.055</v>
      </c>
      <c r="X86" s="1622" t="n">
        <v>0.12</v>
      </c>
      <c r="Y86" s="1623" t="n"/>
      <c r="Z86" s="1622" t="n">
        <v>0.04</v>
      </c>
      <c r="AA86" s="1621">
        <f>U86*(1+V86+W86+X86+Y86+Z86)</f>
        <v>170501.585</v>
      </c>
      <c r="AC86" s="865" t="inlineStr">
        <is>
          <t>Ampol Retail</t>
        </is>
      </c>
      <c r="AD86" s="865" t="inlineStr">
        <is>
          <t>Store Operations</t>
        </is>
      </c>
      <c r="AE86" s="865" t="inlineStr">
        <is>
          <t>POS</t>
        </is>
      </c>
      <c r="AF86" s="865" t="inlineStr">
        <is>
          <t>Squad</t>
        </is>
      </c>
      <c r="AG86" s="865" t="inlineStr">
        <is>
          <t>Vacant</t>
        </is>
      </c>
    </row>
    <row r="87" hidden="1" ht="18" customHeight="1" s="866">
      <c r="A87" s="1566" t="inlineStr">
        <is>
          <t>V</t>
        </is>
      </c>
      <c r="B87" s="1382" t="inlineStr">
        <is>
          <t>Vacant</t>
        </is>
      </c>
      <c r="C87" s="1611" t="inlineStr">
        <is>
          <t>Business Analyst</t>
        </is>
      </c>
      <c r="D87" s="1382" t="inlineStr">
        <is>
          <t>Vanessa Allen</t>
        </is>
      </c>
      <c r="E87" s="1382" t="inlineStr">
        <is>
          <t>Delivery Manager, Ampol Retail</t>
        </is>
      </c>
      <c r="F87" s="1382" t="inlineStr">
        <is>
          <t>Ampol Retail &amp; Z</t>
        </is>
      </c>
      <c r="G87" s="1612" t="inlineStr">
        <is>
          <t>Ampol Retail</t>
        </is>
      </c>
      <c r="H87" s="1382" t="inlineStr">
        <is>
          <t>Ampol Retail, Delivery</t>
        </is>
      </c>
      <c r="I87" s="1382" t="inlineStr">
        <is>
          <t>Retail</t>
        </is>
      </c>
      <c r="J87" s="1612" t="inlineStr">
        <is>
          <t>Merch / Supply Chain</t>
        </is>
      </c>
      <c r="K87" s="1382" t="inlineStr">
        <is>
          <t>Merchandising &amp; Supply Chain</t>
        </is>
      </c>
      <c r="L87" s="1612" t="n"/>
      <c r="M87" s="1613" t="inlineStr">
        <is>
          <t>Australia</t>
        </is>
      </c>
      <c r="N87" s="1614" t="inlineStr">
        <is>
          <t>CIB</t>
        </is>
      </c>
      <c r="O87" s="1614" t="n">
        <v>1</v>
      </c>
      <c r="P87" s="1614" t="n"/>
      <c r="Q87" s="1634" t="inlineStr">
        <is>
          <t>V</t>
        </is>
      </c>
      <c r="R87" s="1616" t="n"/>
      <c r="S87" s="1616" t="n"/>
      <c r="T87" s="1627" t="n">
        <v>151950</v>
      </c>
      <c r="U87" s="1626" t="n">
        <v>151950</v>
      </c>
      <c r="V87" s="1619" t="n">
        <v>0.12</v>
      </c>
      <c r="W87" s="1622" t="n">
        <v>0.055</v>
      </c>
      <c r="X87" s="1622" t="n">
        <v>0.12</v>
      </c>
      <c r="Y87" s="1623" t="n"/>
      <c r="Z87" s="1622" t="n">
        <v>0.04</v>
      </c>
      <c r="AA87" s="1621">
        <f>U87*(1+V87+W87+X87+Y87+Z87)</f>
        <v>202853.25</v>
      </c>
      <c r="AC87" s="865" t="inlineStr">
        <is>
          <t>COE</t>
        </is>
      </c>
      <c r="AD87" s="865" t="inlineStr">
        <is>
          <t>COE - Strategy Architecture</t>
        </is>
      </c>
      <c r="AE87" s="865" t="inlineStr">
        <is>
          <t>COE - Strategy Architecture</t>
        </is>
      </c>
      <c r="AF87" s="865" t="inlineStr">
        <is>
          <t>COE</t>
        </is>
      </c>
      <c r="AG87" s="865" t="inlineStr">
        <is>
          <t>Vacant</t>
        </is>
      </c>
    </row>
    <row r="88" hidden="1" ht="18" customHeight="1" s="866">
      <c r="A88" s="1566" t="inlineStr">
        <is>
          <t>V</t>
        </is>
      </c>
      <c r="B88" s="1382" t="inlineStr">
        <is>
          <t>Vacant</t>
        </is>
      </c>
      <c r="C88" s="1611" t="inlineStr">
        <is>
          <t>Business Analyst</t>
        </is>
      </c>
      <c r="D88" s="1382" t="inlineStr">
        <is>
          <t>Vanessa Allen</t>
        </is>
      </c>
      <c r="E88" s="1382" t="inlineStr">
        <is>
          <t>Delivery Manager, Ampol Retail</t>
        </is>
      </c>
      <c r="F88" s="1382" t="inlineStr">
        <is>
          <t>Ampol Retail &amp; Z</t>
        </is>
      </c>
      <c r="G88" s="1612" t="inlineStr">
        <is>
          <t>Ampol Retail</t>
        </is>
      </c>
      <c r="H88" s="1382" t="inlineStr">
        <is>
          <t>Ampol Retail, Delivery</t>
        </is>
      </c>
      <c r="I88" s="1382" t="inlineStr">
        <is>
          <t>Retail</t>
        </is>
      </c>
      <c r="J88" s="1612" t="inlineStr">
        <is>
          <t>Network/QSR</t>
        </is>
      </c>
      <c r="K88" s="1382" t="inlineStr">
        <is>
          <t>Network &amp; QSR</t>
        </is>
      </c>
      <c r="L88" s="1612" t="n"/>
      <c r="M88" s="1613" t="inlineStr">
        <is>
          <t>Australia</t>
        </is>
      </c>
      <c r="N88" s="1614" t="inlineStr">
        <is>
          <t>CIB</t>
        </is>
      </c>
      <c r="O88" s="1614" t="n">
        <v>1</v>
      </c>
      <c r="P88" s="1614" t="n"/>
      <c r="Q88" s="1634" t="inlineStr">
        <is>
          <t>V</t>
        </is>
      </c>
      <c r="R88" s="1616" t="n"/>
      <c r="S88" s="1616" t="n"/>
      <c r="T88" s="1627" t="n">
        <v>151950</v>
      </c>
      <c r="U88" s="1626" t="n">
        <v>151950</v>
      </c>
      <c r="V88" s="1619" t="n">
        <v>0.12</v>
      </c>
      <c r="W88" s="1622" t="n">
        <v>0.055</v>
      </c>
      <c r="X88" s="1622" t="n">
        <v>0.12</v>
      </c>
      <c r="Y88" s="1623" t="n"/>
      <c r="Z88" s="1622" t="n">
        <v>0.04</v>
      </c>
      <c r="AA88" s="1621">
        <f>U88*(1+V88+W88+X88+Y88+Z88)</f>
        <v>202853.25</v>
      </c>
      <c r="AC88" s="865" t="inlineStr">
        <is>
          <t>COE</t>
        </is>
      </c>
      <c r="AD88" s="865" t="inlineStr">
        <is>
          <t>COE - Strategy Architecture</t>
        </is>
      </c>
      <c r="AE88" s="865" t="inlineStr">
        <is>
          <t>COE - Strategy Architecture</t>
        </is>
      </c>
      <c r="AF88" s="865" t="inlineStr">
        <is>
          <t>COE</t>
        </is>
      </c>
      <c r="AG88" s="865" t="inlineStr">
        <is>
          <t>Vacant</t>
        </is>
      </c>
    </row>
    <row r="89" hidden="1" ht="18" customHeight="1" s="866">
      <c r="A89" s="1566" t="inlineStr">
        <is>
          <t>V</t>
        </is>
      </c>
      <c r="B89" s="1382" t="inlineStr">
        <is>
          <t>Vacant</t>
        </is>
      </c>
      <c r="C89" s="1611" t="inlineStr">
        <is>
          <t>Business Analyst</t>
        </is>
      </c>
      <c r="D89" s="1382" t="inlineStr">
        <is>
          <t>Vanessa Allen</t>
        </is>
      </c>
      <c r="E89" s="1382" t="inlineStr">
        <is>
          <t>Delivery Manager, Ampol Retail</t>
        </is>
      </c>
      <c r="F89" s="1382" t="inlineStr">
        <is>
          <t>Ampol Retail &amp; Z</t>
        </is>
      </c>
      <c r="G89" s="1612" t="inlineStr">
        <is>
          <t>Ampol Retail</t>
        </is>
      </c>
      <c r="H89" s="1382" t="inlineStr">
        <is>
          <t>Ampol Retail, Delivery</t>
        </is>
      </c>
      <c r="I89" s="1382" t="inlineStr">
        <is>
          <t>Retail</t>
        </is>
      </c>
      <c r="J89" s="1612" t="inlineStr">
        <is>
          <t>Store Operations</t>
        </is>
      </c>
      <c r="K89" s="1382" t="inlineStr">
        <is>
          <t>POS</t>
        </is>
      </c>
      <c r="L89" s="1612" t="n"/>
      <c r="M89" s="1613" t="inlineStr">
        <is>
          <t>Australia</t>
        </is>
      </c>
      <c r="N89" s="1614" t="inlineStr">
        <is>
          <t>CIB</t>
        </is>
      </c>
      <c r="O89" s="1614" t="n">
        <v>1</v>
      </c>
      <c r="P89" s="1614" t="n"/>
      <c r="Q89" s="1634" t="inlineStr">
        <is>
          <t>V</t>
        </is>
      </c>
      <c r="R89" s="1616" t="n"/>
      <c r="S89" s="1616" t="n"/>
      <c r="T89" s="1627" t="n">
        <v>151950</v>
      </c>
      <c r="U89" s="1626" t="n">
        <v>151950</v>
      </c>
      <c r="V89" s="1619" t="n">
        <v>0.12</v>
      </c>
      <c r="W89" s="1622" t="n">
        <v>0.055</v>
      </c>
      <c r="X89" s="1622" t="n">
        <v>0.12</v>
      </c>
      <c r="Y89" s="1623" t="n"/>
      <c r="Z89" s="1622" t="n">
        <v>0.04</v>
      </c>
      <c r="AA89" s="1621">
        <f>U89*(1+V89+W89+X89+Y89+Z89)</f>
        <v>202853.25</v>
      </c>
      <c r="AC89" s="865" t="inlineStr">
        <is>
          <t>COE</t>
        </is>
      </c>
      <c r="AD89" s="865" t="inlineStr">
        <is>
          <t>COE - Strategy Architecture</t>
        </is>
      </c>
      <c r="AE89" s="865" t="inlineStr">
        <is>
          <t>COE - Strategy Architecture</t>
        </is>
      </c>
      <c r="AF89" s="865" t="inlineStr">
        <is>
          <t>COE</t>
        </is>
      </c>
      <c r="AG89" s="865" t="inlineStr">
        <is>
          <t>Vacant</t>
        </is>
      </c>
    </row>
    <row r="90" hidden="1" ht="18" customHeight="1" s="866">
      <c r="A90" s="1566" t="inlineStr">
        <is>
          <t>V</t>
        </is>
      </c>
      <c r="B90" s="1382" t="inlineStr">
        <is>
          <t>Vacant</t>
        </is>
      </c>
      <c r="C90" s="1611" t="inlineStr">
        <is>
          <t>Business Analyst</t>
        </is>
      </c>
      <c r="D90" s="1382" t="inlineStr">
        <is>
          <t>Vanessa Allen</t>
        </is>
      </c>
      <c r="E90" s="1382" t="inlineStr">
        <is>
          <t>Delivery Manager, Ampol Retail</t>
        </is>
      </c>
      <c r="F90" s="1382" t="inlineStr">
        <is>
          <t>Ampol Retail &amp; Z</t>
        </is>
      </c>
      <c r="G90" s="1612" t="inlineStr">
        <is>
          <t>Ampol Retail</t>
        </is>
      </c>
      <c r="H90" s="1382" t="inlineStr">
        <is>
          <t>Ampol Retail, Delivery</t>
        </is>
      </c>
      <c r="I90" s="1382" t="inlineStr">
        <is>
          <t>Retail</t>
        </is>
      </c>
      <c r="J90" s="1612" t="inlineStr">
        <is>
          <t>Pricing / WFM</t>
        </is>
      </c>
      <c r="K90" s="1382" t="inlineStr">
        <is>
          <t>Pricing &amp; WFM</t>
        </is>
      </c>
      <c r="L90" s="1612" t="n"/>
      <c r="M90" s="1613" t="inlineStr">
        <is>
          <t>Australia</t>
        </is>
      </c>
      <c r="N90" s="1614" t="inlineStr">
        <is>
          <t>CIB</t>
        </is>
      </c>
      <c r="O90" s="1614" t="n">
        <v>1</v>
      </c>
      <c r="P90" s="1614" t="n"/>
      <c r="Q90" s="1634" t="inlineStr">
        <is>
          <t>V</t>
        </is>
      </c>
      <c r="R90" s="1616" t="n"/>
      <c r="S90" s="1616" t="n"/>
      <c r="T90" s="1627" t="n">
        <v>151950</v>
      </c>
      <c r="U90" s="1626" t="n">
        <v>151950</v>
      </c>
      <c r="V90" s="1619" t="n">
        <v>0.12</v>
      </c>
      <c r="W90" s="1622" t="n">
        <v>0.055</v>
      </c>
      <c r="X90" s="1622" t="n">
        <v>0.12</v>
      </c>
      <c r="Y90" s="1623" t="n"/>
      <c r="Z90" s="1622" t="n">
        <v>0.04</v>
      </c>
      <c r="AA90" s="1621">
        <f>U90*(1+V90+W90+X90+Y90+Z90)</f>
        <v>202853.25</v>
      </c>
      <c r="AC90" s="865" t="inlineStr">
        <is>
          <t>COE</t>
        </is>
      </c>
      <c r="AD90" s="865" t="inlineStr">
        <is>
          <t>COE - Strategy Architecture</t>
        </is>
      </c>
      <c r="AE90" s="865" t="inlineStr">
        <is>
          <t>COE - Strategy Architecture</t>
        </is>
      </c>
      <c r="AF90" s="865" t="inlineStr">
        <is>
          <t>COE</t>
        </is>
      </c>
      <c r="AG90" s="865" t="inlineStr">
        <is>
          <t>Vacant</t>
        </is>
      </c>
    </row>
    <row r="91" hidden="1" ht="18" customHeight="1" s="866">
      <c r="A91" s="1566" t="inlineStr">
        <is>
          <t>V</t>
        </is>
      </c>
      <c r="B91" s="1382" t="inlineStr">
        <is>
          <t>Vacant</t>
        </is>
      </c>
      <c r="C91" s="1611" t="inlineStr">
        <is>
          <t>Delivery Lead</t>
        </is>
      </c>
      <c r="D91" s="1382" t="inlineStr">
        <is>
          <t>Vanessa Allen</t>
        </is>
      </c>
      <c r="E91" s="1382" t="inlineStr">
        <is>
          <t>Delivery Manager, Ampol Retail</t>
        </is>
      </c>
      <c r="F91" s="1382" t="inlineStr">
        <is>
          <t>Ampol Retail &amp; Z</t>
        </is>
      </c>
      <c r="G91" s="1612" t="inlineStr">
        <is>
          <t>Ampol Retail</t>
        </is>
      </c>
      <c r="H91" s="1382" t="inlineStr">
        <is>
          <t>Ampol Retail, Delivery</t>
        </is>
      </c>
      <c r="I91" s="1382" t="inlineStr">
        <is>
          <t>Retail</t>
        </is>
      </c>
      <c r="J91" s="1612" t="inlineStr">
        <is>
          <t>Pricing / WFM</t>
        </is>
      </c>
      <c r="K91" s="1382" t="inlineStr">
        <is>
          <t>Pricing &amp; WFM</t>
        </is>
      </c>
      <c r="L91" s="1612" t="n"/>
      <c r="M91" s="1613" t="inlineStr">
        <is>
          <t>Australia</t>
        </is>
      </c>
      <c r="N91" s="1614" t="inlineStr">
        <is>
          <t>CIC</t>
        </is>
      </c>
      <c r="O91" s="1614" t="n">
        <v>1</v>
      </c>
      <c r="P91" s="1614" t="n"/>
      <c r="Q91" s="1634" t="inlineStr">
        <is>
          <t>V</t>
        </is>
      </c>
      <c r="R91" s="1616" t="n"/>
      <c r="S91" s="1616" t="n"/>
      <c r="T91" s="1627" t="n">
        <v>173550</v>
      </c>
      <c r="U91" s="1626" t="n">
        <v>173550</v>
      </c>
      <c r="V91" s="1619" t="n">
        <v>0.12</v>
      </c>
      <c r="W91" s="1622" t="n">
        <v>0.055</v>
      </c>
      <c r="X91" s="1622" t="n">
        <v>0.12</v>
      </c>
      <c r="Y91" s="1623" t="n"/>
      <c r="Z91" s="1622" t="n">
        <v>0.04</v>
      </c>
      <c r="AA91" s="1621">
        <f>U91*(1+V91+W91+X91+Y91+Z91)</f>
        <v>231689.25</v>
      </c>
      <c r="AC91" s="865" t="inlineStr">
        <is>
          <t>Ampol Retail</t>
        </is>
      </c>
      <c r="AD91" s="865" t="inlineStr">
        <is>
          <t>Above Store</t>
        </is>
      </c>
      <c r="AE91" s="865" t="inlineStr">
        <is>
          <t>Above Store</t>
        </is>
      </c>
      <c r="AF91" s="865" t="inlineStr">
        <is>
          <t>Squad</t>
        </is>
      </c>
      <c r="AG91" s="865" t="inlineStr">
        <is>
          <t>Vacant</t>
        </is>
      </c>
    </row>
    <row r="92" hidden="1" ht="18" customFormat="1" customHeight="1" s="1633">
      <c r="A92" s="1566" t="inlineStr">
        <is>
          <t>V</t>
        </is>
      </c>
      <c r="B92" s="1382" t="inlineStr">
        <is>
          <t>Vacant</t>
        </is>
      </c>
      <c r="C92" s="1611" t="inlineStr">
        <is>
          <t>Engineer - Integration</t>
        </is>
      </c>
      <c r="D92" s="1382" t="inlineStr">
        <is>
          <t>Vedran Jukic</t>
        </is>
      </c>
      <c r="E92" s="1382" t="inlineStr">
        <is>
          <t>Technology Manager, Retail</t>
        </is>
      </c>
      <c r="F92" s="1382" t="inlineStr">
        <is>
          <t>Ampol Retail &amp; Z</t>
        </is>
      </c>
      <c r="G92" s="1612" t="inlineStr">
        <is>
          <t>Ampol Retail</t>
        </is>
      </c>
      <c r="H92" s="1382" t="inlineStr">
        <is>
          <t>Ampol Retail, Technology</t>
        </is>
      </c>
      <c r="I92" s="1382" t="inlineStr">
        <is>
          <t>Retail</t>
        </is>
      </c>
      <c r="J92" s="1612" t="inlineStr">
        <is>
          <t>Network/QSR</t>
        </is>
      </c>
      <c r="K92" s="1382" t="inlineStr">
        <is>
          <t>Network &amp; QSR</t>
        </is>
      </c>
      <c r="L92" s="1612" t="n"/>
      <c r="M92" s="1613" t="inlineStr">
        <is>
          <t>Australia</t>
        </is>
      </c>
      <c r="N92" s="1614" t="inlineStr">
        <is>
          <t>CIB</t>
        </is>
      </c>
      <c r="O92" s="1614" t="n">
        <v>1</v>
      </c>
      <c r="P92" s="1614" t="n"/>
      <c r="Q92" s="1634" t="inlineStr">
        <is>
          <t>V</t>
        </is>
      </c>
      <c r="R92" s="1616" t="n"/>
      <c r="S92" s="1616" t="n"/>
      <c r="T92" s="1627" t="n">
        <v>151950</v>
      </c>
      <c r="U92" s="1626" t="n">
        <v>151950</v>
      </c>
      <c r="V92" s="1619" t="n">
        <v>0.12</v>
      </c>
      <c r="W92" s="1622" t="n">
        <v>0.055</v>
      </c>
      <c r="X92" s="1622" t="n">
        <v>0.12</v>
      </c>
      <c r="Y92" s="1623" t="n"/>
      <c r="Z92" s="1622" t="n">
        <v>0.04</v>
      </c>
      <c r="AA92" s="1621">
        <f>U92*(1+V92+W92+X92+Y92+Z92)</f>
        <v>202853.25</v>
      </c>
      <c r="AB92" s="1598" t="n"/>
      <c r="AC92" s="1598" t="inlineStr">
        <is>
          <t>Ampol Retail</t>
        </is>
      </c>
      <c r="AD92" s="865" t="inlineStr">
        <is>
          <t>Network / QSR</t>
        </is>
      </c>
      <c r="AE92" s="865" t="inlineStr">
        <is>
          <t>Network / QSR</t>
        </is>
      </c>
      <c r="AF92" s="865" t="inlineStr">
        <is>
          <t>Squad</t>
        </is>
      </c>
      <c r="AG92" s="865" t="inlineStr">
        <is>
          <t>Vacant</t>
        </is>
      </c>
    </row>
    <row r="93" hidden="1" ht="18" customHeight="1" s="866">
      <c r="A93" s="1566" t="inlineStr">
        <is>
          <t>V</t>
        </is>
      </c>
      <c r="B93" s="1382" t="inlineStr">
        <is>
          <t>Vacant</t>
        </is>
      </c>
      <c r="C93" s="1611" t="inlineStr">
        <is>
          <t>Systems Analyst</t>
        </is>
      </c>
      <c r="D93" s="1382" t="inlineStr">
        <is>
          <t>Vedran Jukic</t>
        </is>
      </c>
      <c r="E93" s="1382" t="inlineStr">
        <is>
          <t>Technology Manager, Retail</t>
        </is>
      </c>
      <c r="F93" s="1382" t="inlineStr">
        <is>
          <t>Ampol Retail &amp; Z</t>
        </is>
      </c>
      <c r="G93" s="1612" t="inlineStr">
        <is>
          <t>Ampol Retail</t>
        </is>
      </c>
      <c r="H93" s="1382" t="inlineStr">
        <is>
          <t>Ampol Retail, Technology</t>
        </is>
      </c>
      <c r="I93" s="1382" t="inlineStr">
        <is>
          <t>Retail</t>
        </is>
      </c>
      <c r="J93" s="1612" t="inlineStr">
        <is>
          <t>Network/QSR</t>
        </is>
      </c>
      <c r="K93" s="1382" t="inlineStr">
        <is>
          <t>Network &amp; QSR</t>
        </is>
      </c>
      <c r="L93" s="1612" t="n"/>
      <c r="M93" s="1613" t="inlineStr">
        <is>
          <t>Australia</t>
        </is>
      </c>
      <c r="N93" s="1614" t="inlineStr">
        <is>
          <t>CIA</t>
        </is>
      </c>
      <c r="O93" s="1614" t="n">
        <v>1</v>
      </c>
      <c r="P93" s="1614" t="n"/>
      <c r="Q93" s="1634" t="inlineStr">
        <is>
          <t>v</t>
        </is>
      </c>
      <c r="R93" s="1616" t="n"/>
      <c r="S93" s="1616" t="n"/>
      <c r="T93" s="1627" t="n">
        <v>129659</v>
      </c>
      <c r="U93" s="1626" t="n">
        <v>129659</v>
      </c>
      <c r="V93" s="1619" t="n">
        <v>0.1</v>
      </c>
      <c r="W93" s="1622" t="n">
        <v>0.055</v>
      </c>
      <c r="X93" s="1622" t="n">
        <v>0.12</v>
      </c>
      <c r="Y93" s="1623" t="n"/>
      <c r="Z93" s="1622" t="n">
        <v>0.04</v>
      </c>
      <c r="AA93" s="1621">
        <f>U93*(1+V93+W93+X93+Y93+Z93)</f>
        <v>170501.585</v>
      </c>
      <c r="AC93" s="865" t="inlineStr">
        <is>
          <t>Ampol Retail</t>
        </is>
      </c>
      <c r="AD93" s="865" t="inlineStr">
        <is>
          <t>Network / QSR</t>
        </is>
      </c>
      <c r="AE93" s="865" t="inlineStr">
        <is>
          <t>Network / QSR</t>
        </is>
      </c>
      <c r="AF93" s="865" t="inlineStr">
        <is>
          <t>Squad</t>
        </is>
      </c>
      <c r="AG93" s="865" t="inlineStr">
        <is>
          <t>Vacant</t>
        </is>
      </c>
    </row>
    <row r="94" hidden="1" ht="18" customFormat="1" customHeight="1" s="1633">
      <c r="A94" s="1566" t="inlineStr">
        <is>
          <t>V</t>
        </is>
      </c>
      <c r="B94" s="1382" t="inlineStr">
        <is>
          <t>Vacant</t>
        </is>
      </c>
      <c r="C94" s="1611" t="inlineStr">
        <is>
          <t>Delivery Lead</t>
        </is>
      </c>
      <c r="D94" s="1612" t="inlineStr">
        <is>
          <t>Vacant</t>
        </is>
      </c>
      <c r="E94" s="1382" t="inlineStr">
        <is>
          <t>Delivery Manager, Z and Retail Data</t>
        </is>
      </c>
      <c r="F94" s="1382" t="inlineStr">
        <is>
          <t>Ampol Retail &amp; Z</t>
        </is>
      </c>
      <c r="G94" s="1612" t="inlineStr">
        <is>
          <t>Z &amp; Group Retail</t>
        </is>
      </c>
      <c r="H94" s="1382" t="inlineStr">
        <is>
          <t>Z &amp; Group Retail, Delivery</t>
        </is>
      </c>
      <c r="I94" s="1382" t="inlineStr">
        <is>
          <t>Z</t>
        </is>
      </c>
      <c r="J94" s="1612" t="inlineStr">
        <is>
          <t>Z Customer &amp; Z Supply</t>
        </is>
      </c>
      <c r="K94" s="1382" t="inlineStr">
        <is>
          <t>Data - NZ</t>
        </is>
      </c>
      <c r="L94" s="1612" t="n"/>
      <c r="M94" s="1613" t="inlineStr">
        <is>
          <t>Australia</t>
        </is>
      </c>
      <c r="N94" s="1614" t="inlineStr">
        <is>
          <t>CIC</t>
        </is>
      </c>
      <c r="O94" s="1614" t="n">
        <v>1</v>
      </c>
      <c r="P94" s="1614" t="n"/>
      <c r="Q94" s="1634" t="inlineStr">
        <is>
          <t>V</t>
        </is>
      </c>
      <c r="R94" s="1616" t="n"/>
      <c r="S94" s="1616" t="n"/>
      <c r="T94" s="1627" t="n">
        <v>173550</v>
      </c>
      <c r="U94" s="1626" t="n">
        <v>173550</v>
      </c>
      <c r="V94" s="1619" t="n">
        <v>0.12</v>
      </c>
      <c r="W94" s="1622" t="n">
        <v>0.055</v>
      </c>
      <c r="X94" s="1622" t="n">
        <v>0.12</v>
      </c>
      <c r="Y94" s="1623" t="n"/>
      <c r="Z94" s="1622" t="n">
        <v>0.04</v>
      </c>
      <c r="AA94" s="1621">
        <f>U94*(1+V94+W94+X94+Y94+Z94)</f>
        <v>231689.25</v>
      </c>
      <c r="AB94" s="1598" t="n"/>
      <c r="AC94" s="1598" t="inlineStr">
        <is>
          <t>Z Retail</t>
        </is>
      </c>
      <c r="AD94" s="865" t="inlineStr">
        <is>
          <t>-</t>
        </is>
      </c>
      <c r="AE94" s="865" t="inlineStr">
        <is>
          <t>Data NZ</t>
        </is>
      </c>
      <c r="AF94" s="865" t="inlineStr">
        <is>
          <t>Unmapped</t>
        </is>
      </c>
      <c r="AG94" s="865" t="inlineStr">
        <is>
          <t>Vacant</t>
        </is>
      </c>
    </row>
    <row r="95" hidden="1" ht="18" customHeight="1" s="866">
      <c r="A95" s="1566" t="inlineStr">
        <is>
          <t>V</t>
        </is>
      </c>
      <c r="B95" s="1382" t="inlineStr">
        <is>
          <t>Vacant</t>
        </is>
      </c>
      <c r="C95" s="1611" t="inlineStr">
        <is>
          <t>Delivery Manager</t>
        </is>
      </c>
      <c r="D95" s="1612" t="inlineStr">
        <is>
          <t>Vacant</t>
        </is>
      </c>
      <c r="E95" s="1382" t="inlineStr">
        <is>
          <t>Head of Technology, Z and Group Retail Platforms</t>
        </is>
      </c>
      <c r="F95" s="1382" t="inlineStr">
        <is>
          <t>Ampol Retail &amp; Z</t>
        </is>
      </c>
      <c r="G95" s="1612" t="inlineStr">
        <is>
          <t>Z &amp; Group Retail</t>
        </is>
      </c>
      <c r="H95" s="1612" t="inlineStr">
        <is>
          <t>Z &amp; Group Retail, Delivery</t>
        </is>
      </c>
      <c r="I95" s="1612" t="inlineStr">
        <is>
          <t>Z</t>
        </is>
      </c>
      <c r="J95" s="1382" t="inlineStr">
        <is>
          <t>Z Customer &amp; Z Supply</t>
        </is>
      </c>
      <c r="K95" s="1612" t="inlineStr">
        <is>
          <t>Leadership</t>
        </is>
      </c>
      <c r="L95" s="1612" t="n"/>
      <c r="M95" s="1613" t="inlineStr">
        <is>
          <t>Australia</t>
        </is>
      </c>
      <c r="N95" s="1614" t="inlineStr">
        <is>
          <t>CSB</t>
        </is>
      </c>
      <c r="O95" s="1614" t="n">
        <v>1</v>
      </c>
      <c r="P95" s="1614" t="n"/>
      <c r="Q95" s="1634" t="inlineStr">
        <is>
          <t>V</t>
        </is>
      </c>
      <c r="R95" s="1616" t="n"/>
      <c r="S95" s="1616" t="n"/>
      <c r="T95" s="1627" t="n">
        <v>203550</v>
      </c>
      <c r="U95" s="1626" t="n">
        <v>203550</v>
      </c>
      <c r="V95" s="1619" t="n">
        <v>0.14</v>
      </c>
      <c r="W95" s="1622" t="n">
        <v>0.055</v>
      </c>
      <c r="X95" s="1622" t="n">
        <v>0.12</v>
      </c>
      <c r="Y95" s="1623" t="n"/>
      <c r="Z95" s="1622" t="n">
        <v>0.04</v>
      </c>
      <c r="AA95" s="1621">
        <f>U95*(1+V95+W95+X95+Y95+Z95)</f>
        <v>275810.25</v>
      </c>
      <c r="AC95" s="865" t="inlineStr">
        <is>
          <t>Z Retail</t>
        </is>
      </c>
      <c r="AD95" s="865" t="inlineStr">
        <is>
          <t>Leadership</t>
        </is>
      </c>
      <c r="AE95" s="865" t="inlineStr">
        <is>
          <t>Leadership</t>
        </is>
      </c>
      <c r="AF95" s="865" t="inlineStr">
        <is>
          <t>Leadership</t>
        </is>
      </c>
      <c r="AG95" s="865" t="inlineStr">
        <is>
          <t>Vacant</t>
        </is>
      </c>
    </row>
    <row r="96" hidden="1" ht="18" customHeight="1" s="866">
      <c r="A96" s="1566" t="inlineStr">
        <is>
          <t>V</t>
        </is>
      </c>
      <c r="B96" s="1382" t="inlineStr">
        <is>
          <t>Vacant</t>
        </is>
      </c>
      <c r="C96" s="1611" t="inlineStr">
        <is>
          <t>Engineer - Data</t>
        </is>
      </c>
      <c r="D96" s="1612" t="inlineStr">
        <is>
          <t>Vacant</t>
        </is>
      </c>
      <c r="E96" s="1382" t="inlineStr">
        <is>
          <t>Technology Manager, Data</t>
        </is>
      </c>
      <c r="F96" s="1382" t="inlineStr">
        <is>
          <t>Ampol Retail &amp; Z</t>
        </is>
      </c>
      <c r="G96" s="1612" t="inlineStr">
        <is>
          <t>Z &amp; Group Retail</t>
        </is>
      </c>
      <c r="H96" s="1382" t="inlineStr">
        <is>
          <t>Z &amp; Group Retail, Data</t>
        </is>
      </c>
      <c r="I96" s="1382" t="inlineStr">
        <is>
          <t>Z</t>
        </is>
      </c>
      <c r="J96" s="1612" t="inlineStr">
        <is>
          <t>Z Customer &amp; Z Supply</t>
        </is>
      </c>
      <c r="K96" s="1382" t="inlineStr">
        <is>
          <t>Data - NZ</t>
        </is>
      </c>
      <c r="L96" s="1612" t="n"/>
      <c r="M96" s="1613" t="inlineStr">
        <is>
          <t>Australia</t>
        </is>
      </c>
      <c r="N96" s="1614" t="inlineStr">
        <is>
          <t>CIB</t>
        </is>
      </c>
      <c r="O96" s="1614" t="n">
        <v>1</v>
      </c>
      <c r="P96" s="1614" t="n"/>
      <c r="Q96" s="1634" t="inlineStr">
        <is>
          <t>V</t>
        </is>
      </c>
      <c r="R96" s="1616" t="n"/>
      <c r="S96" s="1616" t="n"/>
      <c r="T96" s="1627" t="n">
        <v>151950</v>
      </c>
      <c r="U96" s="1626" t="n">
        <v>151950</v>
      </c>
      <c r="V96" s="1619" t="n">
        <v>0.12</v>
      </c>
      <c r="W96" s="1622" t="n">
        <v>0.055</v>
      </c>
      <c r="X96" s="1622" t="n">
        <v>0.12</v>
      </c>
      <c r="Y96" s="1623" t="n"/>
      <c r="Z96" s="1622" t="n">
        <v>0.04</v>
      </c>
      <c r="AA96" s="1621">
        <f>U96*(1+V96+W96+X96+Y96+Z96)</f>
        <v>202853.25</v>
      </c>
      <c r="AC96" s="865" t="inlineStr">
        <is>
          <t>Z Retail</t>
        </is>
      </c>
      <c r="AD96" s="865" t="inlineStr">
        <is>
          <t>-</t>
        </is>
      </c>
      <c r="AE96" s="865" t="inlineStr">
        <is>
          <t>Data NZ</t>
        </is>
      </c>
      <c r="AF96" s="865" t="inlineStr">
        <is>
          <t>Unmapped</t>
        </is>
      </c>
      <c r="AG96" s="865" t="inlineStr">
        <is>
          <t>Vacant</t>
        </is>
      </c>
    </row>
    <row r="97" hidden="1" ht="18" customHeight="1" s="866">
      <c r="A97" s="1566" t="inlineStr">
        <is>
          <t>V</t>
        </is>
      </c>
      <c r="B97" s="1382" t="inlineStr">
        <is>
          <t>Vacant</t>
        </is>
      </c>
      <c r="C97" s="1611" t="inlineStr">
        <is>
          <t>Engineer - Software</t>
        </is>
      </c>
      <c r="D97" s="1382" t="inlineStr">
        <is>
          <t>Vacant</t>
        </is>
      </c>
      <c r="E97" s="1382" t="inlineStr">
        <is>
          <t>Technology Manager, Engineering</t>
        </is>
      </c>
      <c r="F97" s="1382" t="inlineStr">
        <is>
          <t>Ampol Retail &amp; Z</t>
        </is>
      </c>
      <c r="G97" s="1612" t="inlineStr">
        <is>
          <t>Z &amp; Group Retail</t>
        </is>
      </c>
      <c r="H97" s="1382" t="inlineStr">
        <is>
          <t>Z &amp; Group Retail, Engineering</t>
        </is>
      </c>
      <c r="I97" s="1382" t="inlineStr">
        <is>
          <t>Z</t>
        </is>
      </c>
      <c r="J97" s="1382" t="inlineStr">
        <is>
          <t>Z Customer</t>
        </is>
      </c>
      <c r="K97" s="1382" t="inlineStr">
        <is>
          <t xml:space="preserve">Z Retail Backend </t>
        </is>
      </c>
      <c r="L97" s="1612" t="n"/>
      <c r="M97" s="1613" t="inlineStr">
        <is>
          <t>australia</t>
        </is>
      </c>
      <c r="N97" s="1614" t="inlineStr">
        <is>
          <t>cib</t>
        </is>
      </c>
      <c r="O97" s="1614" t="n">
        <v>1</v>
      </c>
      <c r="P97" s="1614" t="n"/>
      <c r="Q97" s="1634" t="inlineStr">
        <is>
          <t>V</t>
        </is>
      </c>
      <c r="R97" s="1616" t="n"/>
      <c r="S97" s="1616" t="n"/>
      <c r="T97" s="1627" t="n">
        <v>151950</v>
      </c>
      <c r="U97" s="1626" t="n">
        <v>151950</v>
      </c>
      <c r="V97" s="1619" t="n">
        <v>0.12</v>
      </c>
      <c r="W97" s="1622" t="n">
        <v>0.055</v>
      </c>
      <c r="X97" s="1622" t="n">
        <v>0.12</v>
      </c>
      <c r="Y97" s="1623" t="n"/>
      <c r="Z97" s="1622" t="n">
        <v>0.04</v>
      </c>
      <c r="AA97" s="1621">
        <f>U97*(1+V97+W97+X97+Y97+Z97)</f>
        <v>202853.25</v>
      </c>
      <c r="AC97" s="865" t="inlineStr">
        <is>
          <t>Z Retail</t>
        </is>
      </c>
      <c r="AD97" s="865" t="inlineStr">
        <is>
          <t>Z Customer</t>
        </is>
      </c>
      <c r="AE97" s="865" t="inlineStr">
        <is>
          <t>Z Retail Backend</t>
        </is>
      </c>
      <c r="AF97" s="865" t="inlineStr">
        <is>
          <t>Squad</t>
        </is>
      </c>
      <c r="AG97" s="865" t="inlineStr">
        <is>
          <t>Vacant</t>
        </is>
      </c>
    </row>
    <row r="98" hidden="1" ht="18" customHeight="1" s="866">
      <c r="A98" s="1566" t="inlineStr">
        <is>
          <t>V</t>
        </is>
      </c>
      <c r="B98" s="1382" t="inlineStr">
        <is>
          <t>Vacant</t>
        </is>
      </c>
      <c r="C98" s="1611" t="inlineStr">
        <is>
          <t>Lead Quality Assurance</t>
        </is>
      </c>
      <c r="D98" s="1382" t="inlineStr">
        <is>
          <t>Vacant</t>
        </is>
      </c>
      <c r="E98" s="1382" t="inlineStr">
        <is>
          <t>Technology Manager, Engineering</t>
        </is>
      </c>
      <c r="F98" s="1382" t="inlineStr">
        <is>
          <t>Ampol Retail &amp; Z</t>
        </is>
      </c>
      <c r="G98" s="1612" t="inlineStr">
        <is>
          <t>Z &amp; Group Retail</t>
        </is>
      </c>
      <c r="H98" s="1382" t="inlineStr">
        <is>
          <t>Z &amp; Group Retail, Engineering</t>
        </is>
      </c>
      <c r="I98" s="1382" t="inlineStr">
        <is>
          <t>Z</t>
        </is>
      </c>
      <c r="J98" s="1382" t="inlineStr">
        <is>
          <t>Z Customer</t>
        </is>
      </c>
      <c r="K98" s="1382" t="inlineStr">
        <is>
          <t xml:space="preserve">Z Retail Backend </t>
        </is>
      </c>
      <c r="L98" s="1612" t="n"/>
      <c r="M98" s="1613" t="inlineStr">
        <is>
          <t>Australia</t>
        </is>
      </c>
      <c r="N98" s="1614" t="inlineStr">
        <is>
          <t>CIC</t>
        </is>
      </c>
      <c r="O98" s="1614" t="n">
        <v>1</v>
      </c>
      <c r="P98" s="1614" t="n"/>
      <c r="Q98" s="1634" t="inlineStr">
        <is>
          <t>v</t>
        </is>
      </c>
      <c r="R98" s="1616" t="n"/>
      <c r="S98" s="1616" t="n"/>
      <c r="T98" s="1627" t="n">
        <v>173550</v>
      </c>
      <c r="U98" s="1626" t="n">
        <v>173550</v>
      </c>
      <c r="V98" s="1619" t="n">
        <v>0.12</v>
      </c>
      <c r="W98" s="1622" t="n">
        <v>0.055</v>
      </c>
      <c r="X98" s="1622" t="n">
        <v>0.12</v>
      </c>
      <c r="Y98" s="1623" t="n"/>
      <c r="Z98" s="1622" t="n">
        <v>0.04</v>
      </c>
      <c r="AA98" s="1621">
        <f>U98*(1+V98+W98+X98+Y98+Z98)</f>
        <v>231689.25</v>
      </c>
      <c r="AC98" s="865" t="inlineStr">
        <is>
          <t>Z Retail</t>
        </is>
      </c>
      <c r="AD98" s="865" t="inlineStr">
        <is>
          <t>Z Customer</t>
        </is>
      </c>
      <c r="AE98" s="865" t="inlineStr">
        <is>
          <t>Z Retail Backend</t>
        </is>
      </c>
      <c r="AF98" s="865" t="inlineStr">
        <is>
          <t>Squad</t>
        </is>
      </c>
      <c r="AG98" s="865" t="inlineStr">
        <is>
          <t>Vacant</t>
        </is>
      </c>
    </row>
    <row r="99" hidden="1" ht="18" customHeight="1" s="866">
      <c r="A99" s="1566" t="inlineStr">
        <is>
          <t>V</t>
        </is>
      </c>
      <c r="B99" s="1382" t="inlineStr">
        <is>
          <t>Vacant</t>
        </is>
      </c>
      <c r="C99" s="1611" t="inlineStr">
        <is>
          <t>Quality Assurance</t>
        </is>
      </c>
      <c r="D99" s="1382" t="inlineStr">
        <is>
          <t>Vacant</t>
        </is>
      </c>
      <c r="E99" s="1382" t="inlineStr">
        <is>
          <t>Technology Manager, Engineering</t>
        </is>
      </c>
      <c r="F99" s="1382" t="inlineStr">
        <is>
          <t>Ampol Retail &amp; Z</t>
        </is>
      </c>
      <c r="G99" s="1612" t="inlineStr">
        <is>
          <t>Z &amp; Group Retail</t>
        </is>
      </c>
      <c r="H99" s="1382" t="inlineStr">
        <is>
          <t>Z &amp; Group Retail, Engineering</t>
        </is>
      </c>
      <c r="I99" s="1382" t="inlineStr">
        <is>
          <t>Z</t>
        </is>
      </c>
      <c r="J99" s="1612" t="inlineStr">
        <is>
          <t>Z Supply</t>
        </is>
      </c>
      <c r="K99" s="1382" t="inlineStr">
        <is>
          <t>Z Supply</t>
        </is>
      </c>
      <c r="L99" s="1612" t="n"/>
      <c r="M99" s="1613" t="inlineStr">
        <is>
          <t>Australia</t>
        </is>
      </c>
      <c r="N99" s="1614" t="inlineStr">
        <is>
          <t>CIA</t>
        </is>
      </c>
      <c r="O99" s="1614" t="n">
        <v>1</v>
      </c>
      <c r="P99" s="1614" t="n"/>
      <c r="Q99" s="1634" t="inlineStr">
        <is>
          <t>v</t>
        </is>
      </c>
      <c r="R99" s="1616" t="n"/>
      <c r="S99" s="1616" t="n"/>
      <c r="T99" s="1627" t="n">
        <v>129650</v>
      </c>
      <c r="U99" s="1626" t="n">
        <v>129650</v>
      </c>
      <c r="V99" s="1619" t="n">
        <v>0.1</v>
      </c>
      <c r="W99" s="1622" t="n">
        <v>0.055</v>
      </c>
      <c r="X99" s="1622" t="n">
        <v>0.12</v>
      </c>
      <c r="Y99" s="1623" t="n"/>
      <c r="Z99" s="1622" t="n">
        <v>0.04</v>
      </c>
      <c r="AA99" s="1621">
        <f>U99*(1+V99+W99+X99+Y99+Z99)</f>
        <v>170489.75</v>
      </c>
      <c r="AC99" s="865" t="inlineStr">
        <is>
          <t>Z Retail</t>
        </is>
      </c>
      <c r="AD99" s="865" t="inlineStr">
        <is>
          <t>Z Supply</t>
        </is>
      </c>
      <c r="AE99" s="865" t="inlineStr">
        <is>
          <t>Z Supply</t>
        </is>
      </c>
      <c r="AF99" s="865" t="inlineStr">
        <is>
          <t>Squad</t>
        </is>
      </c>
      <c r="AG99" s="865" t="inlineStr">
        <is>
          <t>Vacant</t>
        </is>
      </c>
    </row>
    <row r="100" hidden="1" ht="18" customHeight="1" s="866">
      <c r="A100" s="1566" t="inlineStr">
        <is>
          <t>V</t>
        </is>
      </c>
      <c r="B100" s="1382" t="inlineStr">
        <is>
          <t>Vacant</t>
        </is>
      </c>
      <c r="C100" s="1611" t="inlineStr">
        <is>
          <t>Technology Manager, Data</t>
        </is>
      </c>
      <c r="D100" s="1612" t="inlineStr">
        <is>
          <t>Vacant</t>
        </is>
      </c>
      <c r="E100" s="1382" t="inlineStr">
        <is>
          <t>Head of Technology, Z and Group Retail Platforms</t>
        </is>
      </c>
      <c r="F100" s="1382" t="inlineStr">
        <is>
          <t>Ampol Retail &amp; Z</t>
        </is>
      </c>
      <c r="G100" s="1612" t="inlineStr">
        <is>
          <t>Z &amp; Group Retail</t>
        </is>
      </c>
      <c r="H100" s="1382" t="inlineStr">
        <is>
          <t>Z &amp; Group Retail, Data</t>
        </is>
      </c>
      <c r="I100" s="1382" t="inlineStr">
        <is>
          <t>Z</t>
        </is>
      </c>
      <c r="J100" s="1382" t="inlineStr">
        <is>
          <t>Z Customer &amp; Z Supply</t>
        </is>
      </c>
      <c r="K100" s="1612" t="inlineStr">
        <is>
          <t>Leadership</t>
        </is>
      </c>
      <c r="L100" s="1612" t="n"/>
      <c r="M100" s="1613" t="inlineStr">
        <is>
          <t>Australia</t>
        </is>
      </c>
      <c r="N100" s="1614" t="inlineStr">
        <is>
          <t>CSB</t>
        </is>
      </c>
      <c r="O100" s="1614" t="n">
        <v>1</v>
      </c>
      <c r="P100" s="1614" t="n"/>
      <c r="Q100" s="1634" t="inlineStr">
        <is>
          <t>v</t>
        </is>
      </c>
      <c r="R100" s="1616" t="n"/>
      <c r="S100" s="1616" t="n"/>
      <c r="T100" s="1627" t="n">
        <v>203550</v>
      </c>
      <c r="U100" s="1626" t="n">
        <v>203550</v>
      </c>
      <c r="V100" s="1619" t="n">
        <v>0.14</v>
      </c>
      <c r="W100" s="1622" t="n">
        <v>0.055</v>
      </c>
      <c r="X100" s="1622" t="n">
        <v>0.12</v>
      </c>
      <c r="Y100" s="1623" t="n"/>
      <c r="Z100" s="1622" t="n">
        <v>0.04</v>
      </c>
      <c r="AA100" s="1621">
        <f>U100*(1+V100+W100+X100+Y100+Z100)</f>
        <v>275810.25</v>
      </c>
      <c r="AC100" s="865" t="inlineStr">
        <is>
          <t>Z Retail</t>
        </is>
      </c>
      <c r="AD100" s="865" t="inlineStr">
        <is>
          <t>Leadership</t>
        </is>
      </c>
      <c r="AE100" s="865" t="inlineStr">
        <is>
          <t>Leadership</t>
        </is>
      </c>
      <c r="AF100" s="865" t="inlineStr">
        <is>
          <t>Leadership</t>
        </is>
      </c>
      <c r="AG100" s="865" t="inlineStr">
        <is>
          <t>Vacant</t>
        </is>
      </c>
    </row>
    <row r="101" hidden="1" ht="18" customHeight="1" s="866">
      <c r="A101" s="1566" t="inlineStr">
        <is>
          <t>V</t>
        </is>
      </c>
      <c r="B101" s="1382" t="inlineStr">
        <is>
          <t>Vacant</t>
        </is>
      </c>
      <c r="C101" s="1611" t="inlineStr">
        <is>
          <t>Technology Manager, Engineering</t>
        </is>
      </c>
      <c r="D101" s="1612" t="inlineStr">
        <is>
          <t>Vacant</t>
        </is>
      </c>
      <c r="E101" s="1382" t="inlineStr">
        <is>
          <t>Head of Technology, Z and Group Retail Platforms</t>
        </is>
      </c>
      <c r="F101" s="1382" t="inlineStr">
        <is>
          <t>Ampol Retail &amp; Z</t>
        </is>
      </c>
      <c r="G101" s="1612" t="inlineStr">
        <is>
          <t>Z &amp; Group Retail</t>
        </is>
      </c>
      <c r="H101" s="1635" t="inlineStr">
        <is>
          <t>Technology, CF Engineering</t>
        </is>
      </c>
      <c r="I101" s="1382" t="inlineStr">
        <is>
          <t>Z</t>
        </is>
      </c>
      <c r="J101" s="1382" t="inlineStr">
        <is>
          <t>Leadership</t>
        </is>
      </c>
      <c r="K101" s="1612" t="inlineStr">
        <is>
          <t>Leadership</t>
        </is>
      </c>
      <c r="L101" s="1612" t="n"/>
      <c r="M101" s="1613" t="inlineStr">
        <is>
          <t>Australia</t>
        </is>
      </c>
      <c r="N101" s="1614" t="inlineStr">
        <is>
          <t>CSB</t>
        </is>
      </c>
      <c r="O101" s="1614" t="n">
        <v>1</v>
      </c>
      <c r="P101" s="1614" t="n"/>
      <c r="Q101" s="1634" t="inlineStr">
        <is>
          <t>v</t>
        </is>
      </c>
      <c r="R101" s="1616" t="n"/>
      <c r="S101" s="1616" t="n"/>
      <c r="T101" s="1627" t="n">
        <v>203550</v>
      </c>
      <c r="U101" s="1626" t="n">
        <v>203550</v>
      </c>
      <c r="V101" s="1619" t="n">
        <v>0.14</v>
      </c>
      <c r="W101" s="1622" t="n">
        <v>0.055</v>
      </c>
      <c r="X101" s="1622" t="n">
        <v>0.12</v>
      </c>
      <c r="Y101" s="1623" t="n"/>
      <c r="Z101" s="1622" t="n">
        <v>0.04</v>
      </c>
      <c r="AA101" s="1621">
        <f>U101*(1+V101+W101+X101+Y101+Z101)</f>
        <v>275810.25</v>
      </c>
      <c r="AC101" s="1633" t="inlineStr">
        <is>
          <t>Z Retail</t>
        </is>
      </c>
      <c r="AD101" s="865" t="inlineStr">
        <is>
          <t>Leadership</t>
        </is>
      </c>
      <c r="AE101" s="865" t="inlineStr">
        <is>
          <t>Leadership</t>
        </is>
      </c>
      <c r="AF101" s="865" t="inlineStr">
        <is>
          <t>Leadership</t>
        </is>
      </c>
      <c r="AG101" s="865" t="inlineStr">
        <is>
          <t>Vacant</t>
        </is>
      </c>
    </row>
    <row r="102" hidden="1" ht="18" customHeight="1" s="866">
      <c r="A102" s="1566" t="inlineStr">
        <is>
          <t>V</t>
        </is>
      </c>
      <c r="B102" s="1382" t="inlineStr">
        <is>
          <t>Vacant</t>
        </is>
      </c>
      <c r="C102" s="1611" t="inlineStr">
        <is>
          <t>Head of Technology, Z and Group Retail Platforms</t>
        </is>
      </c>
      <c r="D102" s="1382" t="inlineStr">
        <is>
          <t>Vance Anderson</t>
        </is>
      </c>
      <c r="E102" s="1612" t="inlineStr">
        <is>
          <t>GM TDD, Ampol Retail &amp; Z</t>
        </is>
      </c>
      <c r="F102" s="1382" t="inlineStr">
        <is>
          <t>Ampol Retail &amp; Z</t>
        </is>
      </c>
      <c r="G102" s="1612" t="inlineStr">
        <is>
          <t>Z &amp; Group Retail</t>
        </is>
      </c>
      <c r="H102" s="1382" t="inlineStr">
        <is>
          <t>na</t>
        </is>
      </c>
      <c r="I102" s="1382" t="inlineStr">
        <is>
          <t>Z</t>
        </is>
      </c>
      <c r="J102" s="1382" t="inlineStr">
        <is>
          <t>Z Customer &amp; Z Supply</t>
        </is>
      </c>
      <c r="K102" s="1612" t="inlineStr">
        <is>
          <t>Leadership</t>
        </is>
      </c>
      <c r="L102" s="1612" t="n"/>
      <c r="M102" s="1613" t="inlineStr">
        <is>
          <t>NZ</t>
        </is>
      </c>
      <c r="N102" s="1614" t="inlineStr">
        <is>
          <t>CSC</t>
        </is>
      </c>
      <c r="O102" s="1614" t="n">
        <v>1</v>
      </c>
      <c r="P102" s="1614" t="n"/>
      <c r="Q102" s="1634" t="inlineStr">
        <is>
          <t>v</t>
        </is>
      </c>
      <c r="R102" s="1616" t="n"/>
      <c r="S102" s="1616" t="n"/>
      <c r="T102" s="1627" t="n">
        <v>245000</v>
      </c>
      <c r="U102" s="1626" t="n">
        <v>225400</v>
      </c>
      <c r="V102" s="1618" t="n">
        <v>0.2</v>
      </c>
      <c r="W102" s="1616" t="n"/>
      <c r="X102" s="1619" t="n">
        <v>0.05</v>
      </c>
      <c r="Y102" s="1620" t="n">
        <v>2910</v>
      </c>
      <c r="Z102" s="1619" t="n">
        <v>0.03</v>
      </c>
      <c r="AA102" s="1621">
        <f>U102*(1+V102+X102+Z102)+Y102</f>
        <v>291422</v>
      </c>
      <c r="AC102" s="865" t="inlineStr">
        <is>
          <t>Z Retail</t>
        </is>
      </c>
      <c r="AD102" s="865" t="inlineStr">
        <is>
          <t>Leadership</t>
        </is>
      </c>
      <c r="AE102" s="865" t="inlineStr">
        <is>
          <t>Leadership</t>
        </is>
      </c>
      <c r="AF102" s="865" t="inlineStr">
        <is>
          <t>Leadership</t>
        </is>
      </c>
      <c r="AG102" s="865" t="inlineStr">
        <is>
          <t>Vacant</t>
        </is>
      </c>
    </row>
    <row r="103" hidden="1" ht="18" customHeight="1" s="866">
      <c r="A103" s="1566" t="n">
        <v>98379</v>
      </c>
      <c r="B103" s="1382" t="inlineStr">
        <is>
          <t>Vaishnavi Viswanathan</t>
        </is>
      </c>
      <c r="C103" s="1611" t="inlineStr">
        <is>
          <t>Technology Manager, Store Platform</t>
        </is>
      </c>
      <c r="D103" s="1612" t="inlineStr">
        <is>
          <t>Vacant</t>
        </is>
      </c>
      <c r="E103" s="1382" t="inlineStr">
        <is>
          <t>Head of Technology,  Ampol Retail</t>
        </is>
      </c>
      <c r="F103" s="1382" t="inlineStr">
        <is>
          <t>Ampol Retail &amp; Z</t>
        </is>
      </c>
      <c r="G103" s="1612" t="inlineStr">
        <is>
          <t>Ampol Retail</t>
        </is>
      </c>
      <c r="H103" s="1382" t="inlineStr">
        <is>
          <t>Ampol Retail, Store Platforms</t>
        </is>
      </c>
      <c r="I103" s="1382" t="inlineStr">
        <is>
          <t>Retail</t>
        </is>
      </c>
      <c r="J103" s="1382" t="inlineStr">
        <is>
          <t>Store Operations, Payments, POS</t>
        </is>
      </c>
      <c r="K103" s="1612" t="inlineStr">
        <is>
          <t>Leadership</t>
        </is>
      </c>
      <c r="L103" s="1612" t="n"/>
      <c r="M103" s="1613" t="inlineStr">
        <is>
          <t>Australia</t>
        </is>
      </c>
      <c r="N103" s="1614" t="inlineStr">
        <is>
          <t>CSB</t>
        </is>
      </c>
      <c r="O103" s="1614" t="n">
        <v>1</v>
      </c>
      <c r="P103" s="1614" t="n"/>
      <c r="Q103" s="1634" t="inlineStr">
        <is>
          <t>Permanent - Full Time</t>
        </is>
      </c>
      <c r="R103" s="1616" t="n"/>
      <c r="S103" s="1616" t="n"/>
      <c r="T103" s="1627" t="n">
        <v>190225</v>
      </c>
      <c r="U103" s="1626" t="n">
        <v>190225</v>
      </c>
      <c r="V103" s="1619" t="n">
        <v>0.14</v>
      </c>
      <c r="W103" s="1622" t="n">
        <v>0.055</v>
      </c>
      <c r="X103" s="1622" t="n">
        <v>0.12</v>
      </c>
      <c r="Y103" s="1623" t="n"/>
      <c r="Z103" s="1622" t="n">
        <v>0.04</v>
      </c>
      <c r="AA103" s="1621">
        <f>U103*(1+V103+W103+X103+Y103+Z103)</f>
        <v>257754.875</v>
      </c>
      <c r="AC103" s="865" t="inlineStr">
        <is>
          <t>Ampol Retail</t>
        </is>
      </c>
      <c r="AD103" s="865" t="inlineStr">
        <is>
          <t>Leadership</t>
        </is>
      </c>
      <c r="AE103" s="865" t="inlineStr">
        <is>
          <t>Leadership</t>
        </is>
      </c>
      <c r="AF103" s="865" t="inlineStr">
        <is>
          <t>Leadership</t>
        </is>
      </c>
      <c r="AG103" s="865" t="inlineStr">
        <is>
          <t>Filled</t>
        </is>
      </c>
    </row>
    <row r="104" hidden="1" ht="18" customHeight="1" s="866">
      <c r="A104" s="1566" t="n">
        <v>86604</v>
      </c>
      <c r="B104" s="1382" t="inlineStr">
        <is>
          <t>Vanessa Allen</t>
        </is>
      </c>
      <c r="C104" s="1611" t="inlineStr">
        <is>
          <t>Delivery Manager</t>
        </is>
      </c>
      <c r="D104" s="1612" t="inlineStr">
        <is>
          <t>Madan Murthy</t>
        </is>
      </c>
      <c r="E104" s="1382" t="inlineStr">
        <is>
          <t>Head of Technology,  Ampol Retail</t>
        </is>
      </c>
      <c r="F104" s="1382" t="inlineStr">
        <is>
          <t>Ampol Retail &amp; Z</t>
        </is>
      </c>
      <c r="G104" s="1612" t="inlineStr">
        <is>
          <t>Ampol Retail</t>
        </is>
      </c>
      <c r="H104" s="1382" t="inlineStr">
        <is>
          <t>Ampol Retail, Delivery</t>
        </is>
      </c>
      <c r="I104" s="1382" t="inlineStr">
        <is>
          <t>Retail</t>
        </is>
      </c>
      <c r="J104" s="1382" t="inlineStr">
        <is>
          <t>(All Retail)</t>
        </is>
      </c>
      <c r="K104" s="1612" t="inlineStr">
        <is>
          <t>Leadership</t>
        </is>
      </c>
      <c r="L104" s="1612" t="n"/>
      <c r="M104" s="1613" t="inlineStr">
        <is>
          <t>Australia</t>
        </is>
      </c>
      <c r="N104" s="1616" t="inlineStr">
        <is>
          <t>CSB</t>
        </is>
      </c>
      <c r="O104" s="1616" t="n">
        <v>0.7</v>
      </c>
      <c r="P104" s="1616" t="n"/>
      <c r="Q104" s="1600" t="inlineStr">
        <is>
          <t>Permanent - Part Time</t>
        </is>
      </c>
      <c r="R104" s="1616" t="n"/>
      <c r="S104" s="1616" t="n"/>
      <c r="T104" s="1627" t="n">
        <v>223570</v>
      </c>
      <c r="U104" s="1626" t="n">
        <v>223570</v>
      </c>
      <c r="V104" s="1619" t="n">
        <v>0.14</v>
      </c>
      <c r="W104" s="1622" t="n">
        <v>0.055</v>
      </c>
      <c r="X104" s="1622" t="n">
        <v>0.12</v>
      </c>
      <c r="Y104" s="1623" t="n"/>
      <c r="Z104" s="1622" t="n">
        <v>0.04</v>
      </c>
      <c r="AA104" s="1621">
        <f>U104*(1+V104+W104+X104+Y104+Z104)</f>
        <v>302937.35</v>
      </c>
      <c r="AC104" s="865" t="inlineStr">
        <is>
          <t>Ampol Retail</t>
        </is>
      </c>
      <c r="AD104" s="865" t="inlineStr">
        <is>
          <t>Leadership</t>
        </is>
      </c>
      <c r="AE104" s="865" t="inlineStr">
        <is>
          <t>Leadership</t>
        </is>
      </c>
      <c r="AF104" s="865" t="inlineStr">
        <is>
          <t>Leadership</t>
        </is>
      </c>
      <c r="AG104" s="865" t="inlineStr">
        <is>
          <t>Filled</t>
        </is>
      </c>
    </row>
    <row r="105" hidden="1" ht="18" customHeight="1" s="866">
      <c r="A105" s="1566" t="n">
        <v>99999100432</v>
      </c>
      <c r="B105" s="1382" t="inlineStr">
        <is>
          <t>Vanessa King</t>
        </is>
      </c>
      <c r="C105" s="1611" t="inlineStr">
        <is>
          <t>Lead Quality Assurance</t>
        </is>
      </c>
      <c r="D105" s="1382" t="inlineStr">
        <is>
          <t>Callan McLaughlin</t>
        </is>
      </c>
      <c r="E105" s="1382" t="inlineStr">
        <is>
          <t>Technology Manager,  Site Systems</t>
        </is>
      </c>
      <c r="F105" s="1382" t="inlineStr">
        <is>
          <t>Ampol Retail &amp; Z</t>
        </is>
      </c>
      <c r="G105" s="1612" t="inlineStr">
        <is>
          <t>Z &amp; Group Retail</t>
        </is>
      </c>
      <c r="H105" s="1382" t="inlineStr">
        <is>
          <t>Z &amp; Group Retail, Site Systems</t>
        </is>
      </c>
      <c r="I105" s="1382" t="inlineStr">
        <is>
          <t>Z</t>
        </is>
      </c>
      <c r="J105" s="1612" t="inlineStr">
        <is>
          <t>Z Customer</t>
        </is>
      </c>
      <c r="K105" s="1382" t="inlineStr">
        <is>
          <t>Site Systems</t>
        </is>
      </c>
      <c r="L105" s="1612" t="n"/>
      <c r="M105" s="1613" t="inlineStr">
        <is>
          <t>NZ</t>
        </is>
      </c>
      <c r="N105" s="1614" t="inlineStr">
        <is>
          <t>CIC</t>
        </is>
      </c>
      <c r="O105" s="1615" t="n">
        <v>1</v>
      </c>
      <c r="P105" s="1614" t="n"/>
      <c r="Q105" s="1636" t="inlineStr">
        <is>
          <t>Permanent - Full Time</t>
        </is>
      </c>
      <c r="R105" s="1616" t="n"/>
      <c r="S105" s="1616" t="n"/>
      <c r="T105" s="1627" t="n">
        <v>174080</v>
      </c>
      <c r="U105" s="1626" t="n">
        <v>160153.6</v>
      </c>
      <c r="V105" s="1618" t="n">
        <v>0.15</v>
      </c>
      <c r="W105" s="1616" t="n"/>
      <c r="X105" s="1619" t="n">
        <v>0.05</v>
      </c>
      <c r="Y105" s="1620" t="n">
        <v>2910</v>
      </c>
      <c r="Z105" s="1619" t="n">
        <v>0.03</v>
      </c>
      <c r="AA105" s="1621">
        <f>U105*(1+V105+X105+Z105)+Y105</f>
        <v>199898.928</v>
      </c>
      <c r="AB105" s="865" t="n">
        <v>113622</v>
      </c>
      <c r="AC105" s="865" t="inlineStr">
        <is>
          <t>Z Retail</t>
        </is>
      </c>
      <c r="AD105" s="865" t="inlineStr">
        <is>
          <t>Z Customer</t>
        </is>
      </c>
      <c r="AE105" s="865" t="inlineStr">
        <is>
          <t>Site Systems</t>
        </is>
      </c>
      <c r="AF105" s="865" t="inlineStr">
        <is>
          <t>Squad</t>
        </is>
      </c>
      <c r="AG105" s="865" t="inlineStr">
        <is>
          <t>Filled</t>
        </is>
      </c>
    </row>
    <row r="106" hidden="1" ht="18" customFormat="1" customHeight="1" s="1637">
      <c r="A106" s="1566" t="n">
        <v>98158</v>
      </c>
      <c r="B106" s="1382" t="inlineStr">
        <is>
          <t>Vanessa Trujillo Munoz</t>
        </is>
      </c>
      <c r="C106" s="1611" t="inlineStr">
        <is>
          <t>Delivery Lead</t>
        </is>
      </c>
      <c r="D106" s="1382" t="inlineStr">
        <is>
          <t>Vanessa Allen</t>
        </is>
      </c>
      <c r="E106" s="1382" t="inlineStr">
        <is>
          <t>Delivery Manager, Ampol Retail</t>
        </is>
      </c>
      <c r="F106" s="1382" t="inlineStr">
        <is>
          <t>Ampol Retail &amp; Z</t>
        </is>
      </c>
      <c r="G106" s="1612" t="inlineStr">
        <is>
          <t>Ampol Retail</t>
        </is>
      </c>
      <c r="H106" s="1382" t="inlineStr">
        <is>
          <t>Ampol Retail, Delivery</t>
        </is>
      </c>
      <c r="I106" s="1382" t="inlineStr">
        <is>
          <t>Retail</t>
        </is>
      </c>
      <c r="J106" s="1612" t="inlineStr">
        <is>
          <t>Network/QSR</t>
        </is>
      </c>
      <c r="K106" s="1382" t="inlineStr">
        <is>
          <t>Network &amp; QSR</t>
        </is>
      </c>
      <c r="L106" s="1612" t="n"/>
      <c r="M106" s="1613" t="inlineStr">
        <is>
          <t>Australia</t>
        </is>
      </c>
      <c r="N106" s="1614" t="inlineStr">
        <is>
          <t>CIB</t>
        </is>
      </c>
      <c r="O106" s="1614" t="n">
        <v>1</v>
      </c>
      <c r="P106" s="1614" t="n"/>
      <c r="Q106" s="1634" t="inlineStr">
        <is>
          <t>Permanent - Full Time</t>
        </is>
      </c>
      <c r="R106" s="1616" t="n"/>
      <c r="S106" s="1616" t="n"/>
      <c r="T106" s="1627" t="n">
        <v>136670</v>
      </c>
      <c r="U106" s="1626" t="n">
        <v>136670</v>
      </c>
      <c r="V106" s="1619" t="n">
        <v>0.12</v>
      </c>
      <c r="W106" s="1622" t="n">
        <v>0.055</v>
      </c>
      <c r="X106" s="1622" t="n">
        <v>0.12</v>
      </c>
      <c r="Y106" s="1623" t="n"/>
      <c r="Z106" s="1622" t="n">
        <v>0.04</v>
      </c>
      <c r="AA106" s="1621">
        <f>U106*(1+V106+W106+X106+Y106+Z106)</f>
        <v>182454.45</v>
      </c>
      <c r="AB106" s="1598" t="n"/>
      <c r="AC106" s="1598" t="inlineStr">
        <is>
          <t>Ampol Retail</t>
        </is>
      </c>
      <c r="AD106" s="865" t="inlineStr">
        <is>
          <t>Network / QSR</t>
        </is>
      </c>
      <c r="AE106" s="865" t="inlineStr">
        <is>
          <t>Network / QSR</t>
        </is>
      </c>
      <c r="AF106" s="865" t="inlineStr">
        <is>
          <t>Squad</t>
        </is>
      </c>
      <c r="AG106" s="865" t="inlineStr">
        <is>
          <t>Filled</t>
        </is>
      </c>
    </row>
    <row r="107" hidden="1" ht="18" customHeight="1" s="866">
      <c r="A107" s="1566" t="n">
        <v>8904</v>
      </c>
      <c r="B107" s="1382" t="inlineStr">
        <is>
          <t>Vedran Jukic</t>
        </is>
      </c>
      <c r="C107" s="1611" t="inlineStr">
        <is>
          <t>Technology Manager, Retail</t>
        </is>
      </c>
      <c r="D107" s="1612" t="inlineStr">
        <is>
          <t>Madan Murthy</t>
        </is>
      </c>
      <c r="E107" s="1382" t="inlineStr">
        <is>
          <t>Head of Technology,  Ampol Retail</t>
        </is>
      </c>
      <c r="F107" s="1382" t="inlineStr">
        <is>
          <t>Ampol Retail &amp; Z</t>
        </is>
      </c>
      <c r="G107" s="1612" t="inlineStr">
        <is>
          <t>Ampol Retail</t>
        </is>
      </c>
      <c r="H107" s="1382" t="inlineStr">
        <is>
          <t>Ampol Retail, Technology</t>
        </is>
      </c>
      <c r="I107" s="1382" t="inlineStr">
        <is>
          <t>Retail</t>
        </is>
      </c>
      <c r="J107" s="1382" t="inlineStr">
        <is>
          <t>Store Operations, Network &amp; QSR, Deployment</t>
        </is>
      </c>
      <c r="K107" s="1612" t="inlineStr">
        <is>
          <t>Leadership</t>
        </is>
      </c>
      <c r="L107" s="1612" t="n"/>
      <c r="M107" s="1613" t="inlineStr">
        <is>
          <t>Australia</t>
        </is>
      </c>
      <c r="N107" s="1616" t="inlineStr">
        <is>
          <t>CSB</t>
        </is>
      </c>
      <c r="O107" s="1616" t="n">
        <v>1</v>
      </c>
      <c r="P107" s="1616" t="n"/>
      <c r="Q107" s="1600" t="inlineStr">
        <is>
          <t>Permanent - Full Time</t>
        </is>
      </c>
      <c r="R107" s="1616" t="n"/>
      <c r="S107" s="1616" t="n"/>
      <c r="T107" s="1627" t="n">
        <v>210000</v>
      </c>
      <c r="U107" s="1626" t="n">
        <v>210000</v>
      </c>
      <c r="V107" s="1619" t="n">
        <v>0.14</v>
      </c>
      <c r="W107" s="1622" t="n">
        <v>0.055</v>
      </c>
      <c r="X107" s="1622" t="n">
        <v>0.12</v>
      </c>
      <c r="Y107" s="1623" t="n"/>
      <c r="Z107" s="1622" t="n">
        <v>0.04</v>
      </c>
      <c r="AA107" s="1621">
        <f>U107*(1+V107+W107+X107+Y107+Z107)</f>
        <v>284550</v>
      </c>
      <c r="AC107" s="865" t="inlineStr">
        <is>
          <t>Ampol Retail</t>
        </is>
      </c>
      <c r="AD107" s="865" t="inlineStr">
        <is>
          <t>Leadership</t>
        </is>
      </c>
      <c r="AE107" s="865" t="inlineStr">
        <is>
          <t>Leadership</t>
        </is>
      </c>
      <c r="AF107" s="865" t="inlineStr">
        <is>
          <t>Leadership</t>
        </is>
      </c>
      <c r="AG107" s="865" t="inlineStr">
        <is>
          <t>Filled</t>
        </is>
      </c>
    </row>
    <row r="108" hidden="1" ht="18" customHeight="1" s="866">
      <c r="A108" s="1566" t="n">
        <v>115831</v>
      </c>
      <c r="B108" s="1382" t="inlineStr">
        <is>
          <t>Venkat Kedharanathan</t>
        </is>
      </c>
      <c r="C108" s="1611" t="inlineStr">
        <is>
          <t>Senior Business Analyst</t>
        </is>
      </c>
      <c r="D108" s="1382" t="inlineStr">
        <is>
          <t>Vanessa Allen</t>
        </is>
      </c>
      <c r="E108" s="1382" t="inlineStr">
        <is>
          <t>Delivery Manager, Ampol Retail</t>
        </is>
      </c>
      <c r="F108" s="1382" t="inlineStr">
        <is>
          <t>Ampol Retail &amp; Z</t>
        </is>
      </c>
      <c r="G108" s="1612" t="inlineStr">
        <is>
          <t>Ampol Retail</t>
        </is>
      </c>
      <c r="H108" s="1382" t="inlineStr">
        <is>
          <t>Ampol Retail, Delivery</t>
        </is>
      </c>
      <c r="I108" s="1382" t="inlineStr">
        <is>
          <t>Retail</t>
        </is>
      </c>
      <c r="J108" s="1612" t="inlineStr">
        <is>
          <t>Store Operations</t>
        </is>
      </c>
      <c r="K108" s="1382" t="inlineStr">
        <is>
          <t>Payments</t>
        </is>
      </c>
      <c r="L108" s="1612" t="n"/>
      <c r="M108" s="1613" t="inlineStr">
        <is>
          <t>Australia</t>
        </is>
      </c>
      <c r="N108" s="1614" t="inlineStr">
        <is>
          <t>CIB</t>
        </is>
      </c>
      <c r="O108" s="1614" t="n">
        <v>1</v>
      </c>
      <c r="P108" s="1614" t="n"/>
      <c r="Q108" s="1634" t="inlineStr">
        <is>
          <t>Permanent - Full Time</t>
        </is>
      </c>
      <c r="R108" s="1616" t="n"/>
      <c r="S108" s="1616" t="n"/>
      <c r="T108" s="1627" t="n">
        <v>160000</v>
      </c>
      <c r="U108" s="1626" t="n">
        <v>160000</v>
      </c>
      <c r="V108" s="1619" t="n">
        <v>0.12</v>
      </c>
      <c r="W108" s="1622" t="n">
        <v>0.055</v>
      </c>
      <c r="X108" s="1622" t="n">
        <v>0.12</v>
      </c>
      <c r="Y108" s="1623" t="n"/>
      <c r="Z108" s="1622" t="n">
        <v>0.04</v>
      </c>
      <c r="AA108" s="1621">
        <f>U108*(1+V108+W108+X108+Y108+Z108)</f>
        <v>213600</v>
      </c>
      <c r="AC108" s="865" t="inlineStr">
        <is>
          <t>Ampol Retail</t>
        </is>
      </c>
      <c r="AD108" s="865" t="inlineStr">
        <is>
          <t>Store Operations</t>
        </is>
      </c>
      <c r="AE108" s="865" t="inlineStr">
        <is>
          <t>Payments</t>
        </is>
      </c>
      <c r="AF108" s="865" t="inlineStr">
        <is>
          <t>Squad</t>
        </is>
      </c>
      <c r="AG108" s="865" t="inlineStr">
        <is>
          <t>Filled</t>
        </is>
      </c>
    </row>
    <row r="109" hidden="1" ht="18" customHeight="1" s="866">
      <c r="A109" s="1566" t="n">
        <v>117167</v>
      </c>
      <c r="B109" s="1382" t="inlineStr">
        <is>
          <t>Vijay Patel</t>
        </is>
      </c>
      <c r="C109" s="1611" t="inlineStr">
        <is>
          <t>Systems Analyst</t>
        </is>
      </c>
      <c r="D109" s="1382" t="inlineStr">
        <is>
          <t>Tracy Lee Reaper</t>
        </is>
      </c>
      <c r="E109" s="1382" t="inlineStr">
        <is>
          <t>Tech Manager, Merchandising &amp; WFM</t>
        </is>
      </c>
      <c r="F109" s="1382" t="inlineStr">
        <is>
          <t>Ampol Retail &amp; Z</t>
        </is>
      </c>
      <c r="G109" s="1612" t="inlineStr">
        <is>
          <t>Ampol Retail</t>
        </is>
      </c>
      <c r="H109" s="1382" t="inlineStr">
        <is>
          <t>Ampol Retail, Merch &amp; RTA</t>
        </is>
      </c>
      <c r="I109" s="1382" t="inlineStr">
        <is>
          <t>Retail</t>
        </is>
      </c>
      <c r="J109" s="1631" t="inlineStr">
        <is>
          <t>Pricing / WFM</t>
        </is>
      </c>
      <c r="K109" s="1572" t="inlineStr">
        <is>
          <t>Pricing &amp; WFM</t>
        </is>
      </c>
      <c r="L109" s="1612" t="n"/>
      <c r="M109" s="1613" t="inlineStr">
        <is>
          <t>Australia</t>
        </is>
      </c>
      <c r="N109" s="1614" t="inlineStr">
        <is>
          <t>CIB</t>
        </is>
      </c>
      <c r="O109" s="1614" t="n">
        <v>1</v>
      </c>
      <c r="P109" s="1614" t="n"/>
      <c r="Q109" s="1634" t="inlineStr">
        <is>
          <t>Permanent - Full Time</t>
        </is>
      </c>
      <c r="R109" s="1616" t="n"/>
      <c r="S109" s="1616" t="n"/>
      <c r="T109" s="1627" t="n">
        <v>145000</v>
      </c>
      <c r="U109" s="1626" t="n">
        <v>145000</v>
      </c>
      <c r="V109" s="1619" t="n">
        <v>0.12</v>
      </c>
      <c r="W109" s="1622" t="n">
        <v>0.055</v>
      </c>
      <c r="X109" s="1622" t="n">
        <v>0.12</v>
      </c>
      <c r="Y109" s="1623" t="n"/>
      <c r="Z109" s="1622" t="n">
        <v>0.04</v>
      </c>
      <c r="AA109" s="1621">
        <f>U109*(1+V109+W109+X109+Y109+Z109)</f>
        <v>193575</v>
      </c>
      <c r="AC109" s="865" t="inlineStr">
        <is>
          <t>Ampol Retail</t>
        </is>
      </c>
      <c r="AD109" s="865" t="inlineStr">
        <is>
          <t>Above Store</t>
        </is>
      </c>
      <c r="AE109" s="865" t="inlineStr">
        <is>
          <t>Above Store</t>
        </is>
      </c>
      <c r="AF109" s="865" t="inlineStr">
        <is>
          <t>Squad</t>
        </is>
      </c>
      <c r="AG109" s="865" t="inlineStr">
        <is>
          <t>Filled</t>
        </is>
      </c>
    </row>
    <row r="110" hidden="1" ht="18" customHeight="1" s="866">
      <c r="A110" s="1566" t="n">
        <v>104050</v>
      </c>
      <c r="B110" s="1382" t="inlineStr">
        <is>
          <t>Violeta Trajkovski</t>
        </is>
      </c>
      <c r="C110" s="1611" t="inlineStr">
        <is>
          <t>Deployment Coordinator</t>
        </is>
      </c>
      <c r="D110" s="1382" t="inlineStr">
        <is>
          <t>Matthew Patane</t>
        </is>
      </c>
      <c r="E110" s="1382" t="inlineStr">
        <is>
          <t>Release &amp; Deployment Manager</t>
        </is>
      </c>
      <c r="F110" s="1382" t="inlineStr">
        <is>
          <t>Ampol Retail &amp; Z</t>
        </is>
      </c>
      <c r="G110" s="1612" t="inlineStr">
        <is>
          <t>Ampol Retail</t>
        </is>
      </c>
      <c r="H110" s="1382" t="inlineStr">
        <is>
          <t>Ampol Retail, Technology</t>
        </is>
      </c>
      <c r="I110" s="1382" t="inlineStr">
        <is>
          <t>Retail</t>
        </is>
      </c>
      <c r="J110" s="1612" t="inlineStr">
        <is>
          <t>Store Operations</t>
        </is>
      </c>
      <c r="K110" s="1572" t="inlineStr">
        <is>
          <t>Deployment</t>
        </is>
      </c>
      <c r="L110" s="1612" t="n"/>
      <c r="M110" s="1613" t="inlineStr">
        <is>
          <t>Australia</t>
        </is>
      </c>
      <c r="N110" s="1614" t="inlineStr">
        <is>
          <t>CDC</t>
        </is>
      </c>
      <c r="O110" s="1614" t="n">
        <v>1</v>
      </c>
      <c r="P110" s="1614" t="n"/>
      <c r="Q110" s="1634" t="inlineStr">
        <is>
          <t>Permanent - Full Time</t>
        </is>
      </c>
      <c r="R110" s="1616" t="n"/>
      <c r="S110" s="1616" t="n"/>
      <c r="T110" s="1627" t="n">
        <v>110700</v>
      </c>
      <c r="U110" s="1626" t="n">
        <v>110700</v>
      </c>
      <c r="V110" s="1619" t="n">
        <v>0.1</v>
      </c>
      <c r="W110" s="1622" t="n">
        <v>0.055</v>
      </c>
      <c r="X110" s="1622" t="n">
        <v>0.12</v>
      </c>
      <c r="Y110" s="1623" t="n"/>
      <c r="Z110" s="1622" t="n">
        <v>0.04</v>
      </c>
      <c r="AA110" s="1621">
        <f>U110*(1+V110+W110+X110+Y110+Z110)</f>
        <v>145570.5</v>
      </c>
      <c r="AC110" s="865" t="inlineStr">
        <is>
          <t>Ampol Retail</t>
        </is>
      </c>
      <c r="AD110" s="865" t="inlineStr">
        <is>
          <t>Store Operations</t>
        </is>
      </c>
      <c r="AE110" s="865" t="inlineStr">
        <is>
          <t>Deployment</t>
        </is>
      </c>
      <c r="AF110" s="865" t="inlineStr">
        <is>
          <t>Squad</t>
        </is>
      </c>
      <c r="AG110" s="865" t="inlineStr">
        <is>
          <t>Filled</t>
        </is>
      </c>
    </row>
    <row r="111" hidden="1" ht="18" customHeight="1" s="866">
      <c r="A111" s="1566" t="inlineStr">
        <is>
          <t>C</t>
        </is>
      </c>
      <c r="B111" s="1382" t="inlineStr">
        <is>
          <t>Viren Khatri</t>
        </is>
      </c>
      <c r="C111" s="1611" t="inlineStr">
        <is>
          <t>Data Migration Lead</t>
        </is>
      </c>
      <c r="D111" s="1612" t="inlineStr">
        <is>
          <t>Vacant</t>
        </is>
      </c>
      <c r="E111" s="1382" t="inlineStr">
        <is>
          <t>Technology Manager, Data</t>
        </is>
      </c>
      <c r="F111" s="1382" t="inlineStr">
        <is>
          <t>Ampol Retail &amp; Z</t>
        </is>
      </c>
      <c r="G111" s="1612" t="inlineStr">
        <is>
          <t>Z &amp; Group Retail</t>
        </is>
      </c>
      <c r="H111" s="1382" t="inlineStr">
        <is>
          <t>Z &amp; Group Retail, Data</t>
        </is>
      </c>
      <c r="I111" s="1382" t="inlineStr">
        <is>
          <t>EGI Integration</t>
        </is>
      </c>
      <c r="J111" s="1612" t="inlineStr">
        <is>
          <t>EGI</t>
        </is>
      </c>
      <c r="K111" s="1382" t="inlineStr">
        <is>
          <t>EGI TDD</t>
        </is>
      </c>
      <c r="L111" s="1612" t="n"/>
      <c r="M111" s="1613" t="inlineStr">
        <is>
          <t>Australia</t>
        </is>
      </c>
      <c r="N111" s="1616" t="inlineStr">
        <is>
          <t>NA</t>
        </is>
      </c>
      <c r="O111" s="1614" t="n">
        <v>1</v>
      </c>
      <c r="P111" s="1616" t="n"/>
      <c r="Q111" s="1600" t="inlineStr">
        <is>
          <t>cxc</t>
        </is>
      </c>
      <c r="R111" s="1624" t="inlineStr">
        <is>
          <t>Daily</t>
        </is>
      </c>
      <c r="S111" s="1616" t="n">
        <v>1350</v>
      </c>
      <c r="T111" s="1627" t="n">
        <v>0</v>
      </c>
      <c r="U111" s="1627" t="n"/>
      <c r="V111" s="1612" t="n"/>
      <c r="W111" s="1612" t="n"/>
      <c r="X111" s="1612" t="n"/>
      <c r="Y111" s="1612" t="n"/>
      <c r="Z111" s="1612" t="n"/>
      <c r="AA111" s="1625">
        <f>S111*222</f>
        <v>299700</v>
      </c>
      <c r="AC111" s="865" t="inlineStr">
        <is>
          <t>TDD Group Functions</t>
        </is>
      </c>
      <c r="AD111" s="865" t="inlineStr">
        <is>
          <t>EGI TDD</t>
        </is>
      </c>
      <c r="AE111" s="865" t="inlineStr">
        <is>
          <t>EGI TDD</t>
        </is>
      </c>
      <c r="AF111" s="865" t="inlineStr">
        <is>
          <t>Strategic Program</t>
        </is>
      </c>
      <c r="AG111" s="865" t="inlineStr">
        <is>
          <t>Filled</t>
        </is>
      </c>
    </row>
    <row r="112" hidden="1" ht="18" customHeight="1" s="866">
      <c r="A112" s="1566" t="n">
        <v>99999100977</v>
      </c>
      <c r="B112" s="1382" t="inlineStr">
        <is>
          <t>Warren Grieve</t>
        </is>
      </c>
      <c r="C112" s="1611" t="inlineStr">
        <is>
          <t>Senior Site Systems Analyst</t>
        </is>
      </c>
      <c r="D112" s="1382" t="inlineStr">
        <is>
          <t>Callan McLaughlin</t>
        </is>
      </c>
      <c r="E112" s="1382" t="inlineStr">
        <is>
          <t>Technology Manager,  Site Systems</t>
        </is>
      </c>
      <c r="F112" s="1382" t="inlineStr">
        <is>
          <t>Ampol Retail &amp; Z</t>
        </is>
      </c>
      <c r="G112" s="1612" t="inlineStr">
        <is>
          <t>Z &amp; Group Retail</t>
        </is>
      </c>
      <c r="H112" s="1382" t="inlineStr">
        <is>
          <t>Z &amp; Group Retail, Site Systems</t>
        </is>
      </c>
      <c r="I112" s="1382" t="inlineStr">
        <is>
          <t>Z</t>
        </is>
      </c>
      <c r="J112" s="1612" t="inlineStr">
        <is>
          <t>Z Customer</t>
        </is>
      </c>
      <c r="K112" s="1382" t="inlineStr">
        <is>
          <t>Site Systems</t>
        </is>
      </c>
      <c r="L112" s="1612" t="n"/>
      <c r="M112" s="1613" t="inlineStr">
        <is>
          <t>NZ</t>
        </is>
      </c>
      <c r="N112" s="1614" t="inlineStr">
        <is>
          <t>CIA</t>
        </is>
      </c>
      <c r="O112" s="1615" t="n">
        <v>1</v>
      </c>
      <c r="P112" s="1614" t="n"/>
      <c r="Q112" s="1636" t="inlineStr">
        <is>
          <t>Permanent - Full Time</t>
        </is>
      </c>
      <c r="R112" s="1616" t="n"/>
      <c r="S112" s="1616" t="n"/>
      <c r="T112" s="1627" t="n">
        <v>116710</v>
      </c>
      <c r="U112" s="1626" t="n">
        <v>107373.2</v>
      </c>
      <c r="V112" s="1618" t="n">
        <v>0.15</v>
      </c>
      <c r="W112" s="1616" t="n"/>
      <c r="X112" s="1619" t="n">
        <v>0.05</v>
      </c>
      <c r="Y112" s="1620" t="n">
        <v>2910</v>
      </c>
      <c r="Z112" s="1619" t="n">
        <v>0.03</v>
      </c>
      <c r="AA112" s="1621">
        <f>U112*(1+V112+X112+Z112)+Y112</f>
        <v>134979.036</v>
      </c>
      <c r="AB112" s="865" t="n">
        <v>113624</v>
      </c>
      <c r="AC112" s="865" t="inlineStr">
        <is>
          <t>Z Retail</t>
        </is>
      </c>
      <c r="AD112" s="865" t="inlineStr">
        <is>
          <t>Z Customer</t>
        </is>
      </c>
      <c r="AE112" s="865" t="inlineStr">
        <is>
          <t>Site Systems</t>
        </is>
      </c>
      <c r="AF112" s="865" t="inlineStr">
        <is>
          <t>Squad</t>
        </is>
      </c>
      <c r="AG112" s="865" t="inlineStr">
        <is>
          <t>Filled</t>
        </is>
      </c>
    </row>
    <row r="113" hidden="1" ht="18" customHeight="1" s="866">
      <c r="A113" s="1566" t="n">
        <v>114990</v>
      </c>
      <c r="B113" s="1382" t="inlineStr">
        <is>
          <t>Zhan Zhang</t>
        </is>
      </c>
      <c r="C113" s="1611" t="inlineStr">
        <is>
          <t>Solution Architect</t>
        </is>
      </c>
      <c r="D113" s="1382" t="inlineStr">
        <is>
          <t>Vedran Jukic</t>
        </is>
      </c>
      <c r="E113" s="1382" t="inlineStr">
        <is>
          <t>Technology Manager, Retail</t>
        </is>
      </c>
      <c r="F113" s="1382" t="inlineStr">
        <is>
          <t>Ampol Retail &amp; Z</t>
        </is>
      </c>
      <c r="G113" s="1612" t="inlineStr">
        <is>
          <t>Ampol Retail</t>
        </is>
      </c>
      <c r="H113" s="1382" t="inlineStr">
        <is>
          <t>Ampol Retail, Technology</t>
        </is>
      </c>
      <c r="I113" s="1382" t="inlineStr">
        <is>
          <t>Retail</t>
        </is>
      </c>
      <c r="J113" s="1612" t="inlineStr">
        <is>
          <t>Merch / Supply Chain</t>
        </is>
      </c>
      <c r="K113" s="1382" t="inlineStr">
        <is>
          <t>Merchandising &amp; Supply Chain</t>
        </is>
      </c>
      <c r="L113" s="1612" t="n"/>
      <c r="M113" s="1613" t="inlineStr">
        <is>
          <t>Australia</t>
        </is>
      </c>
      <c r="N113" s="1614" t="inlineStr">
        <is>
          <t>CIC</t>
        </is>
      </c>
      <c r="O113" s="1614" t="n">
        <v>1</v>
      </c>
      <c r="P113" s="1614" t="n"/>
      <c r="Q113" s="1634" t="inlineStr">
        <is>
          <t>Permanent - Full Time</t>
        </is>
      </c>
      <c r="R113" s="1616" t="n"/>
      <c r="S113" s="1616" t="n"/>
      <c r="T113" s="1627" t="n">
        <v>182500</v>
      </c>
      <c r="U113" s="1626" t="n">
        <v>182500</v>
      </c>
      <c r="V113" s="1619" t="n">
        <v>0.12</v>
      </c>
      <c r="W113" s="1622" t="n">
        <v>0.055</v>
      </c>
      <c r="X113" s="1622" t="n">
        <v>0.12</v>
      </c>
      <c r="Y113" s="1623" t="n"/>
      <c r="Z113" s="1622" t="n">
        <v>0.04</v>
      </c>
      <c r="AA113" s="1621">
        <f>U113*(1+V113+W113+X113+Y113+Z113)</f>
        <v>243637.5</v>
      </c>
      <c r="AC113" s="865" t="inlineStr">
        <is>
          <t>Ampol Retail</t>
        </is>
      </c>
      <c r="AD113" s="865" t="inlineStr">
        <is>
          <t>Above Store</t>
        </is>
      </c>
      <c r="AE113" s="865" t="inlineStr">
        <is>
          <t>Above Store</t>
        </is>
      </c>
      <c r="AF113" s="865" t="inlineStr">
        <is>
          <t>Squad</t>
        </is>
      </c>
      <c r="AG113" s="865" t="inlineStr">
        <is>
          <t>Filled</t>
        </is>
      </c>
    </row>
    <row r="114" hidden="1" ht="18" customHeight="1" s="866">
      <c r="A114" s="1566" t="n">
        <v>114829</v>
      </c>
      <c r="B114" s="1382" t="inlineStr">
        <is>
          <t>Zuan Zheng</t>
        </is>
      </c>
      <c r="C114" s="1611" t="inlineStr">
        <is>
          <t>Systems Analyst</t>
        </is>
      </c>
      <c r="D114" s="1382" t="inlineStr">
        <is>
          <t>Tracy Lee Reaper</t>
        </is>
      </c>
      <c r="E114" s="1382" t="inlineStr">
        <is>
          <t>Tech Manager, Merchandising &amp; WFM</t>
        </is>
      </c>
      <c r="F114" s="1382" t="inlineStr">
        <is>
          <t>Ampol Retail &amp; Z</t>
        </is>
      </c>
      <c r="G114" s="1612" t="inlineStr">
        <is>
          <t>Ampol Retail</t>
        </is>
      </c>
      <c r="H114" s="1382" t="inlineStr">
        <is>
          <t>Ampol Retail, Merch &amp; RTA</t>
        </is>
      </c>
      <c r="I114" s="1382" t="inlineStr">
        <is>
          <t>Retail</t>
        </is>
      </c>
      <c r="J114" s="1612" t="inlineStr">
        <is>
          <t>Merch / Supply Chain</t>
        </is>
      </c>
      <c r="K114" s="1382" t="inlineStr">
        <is>
          <t>Merchandising &amp; Supply Chain</t>
        </is>
      </c>
      <c r="L114" s="1612" t="n"/>
      <c r="M114" s="1613" t="inlineStr">
        <is>
          <t>Singapore</t>
        </is>
      </c>
      <c r="N114" s="1614" t="inlineStr">
        <is>
          <t>CIB</t>
        </is>
      </c>
      <c r="O114" s="1614" t="n">
        <v>1</v>
      </c>
      <c r="P114" s="1614" t="n"/>
      <c r="Q114" s="1634" t="inlineStr">
        <is>
          <t>Permanent - Full Time</t>
        </is>
      </c>
      <c r="R114" s="1616" t="n"/>
      <c r="S114" s="1616" t="n"/>
      <c r="T114" s="1627" t="n">
        <v>133000</v>
      </c>
      <c r="U114" s="1626" t="n">
        <v>160930</v>
      </c>
      <c r="V114" s="1619" t="n">
        <v>0.25</v>
      </c>
      <c r="W114" s="1616" t="n"/>
      <c r="X114" s="1619" t="n">
        <v>0.17</v>
      </c>
      <c r="Y114" s="1620" t="n">
        <v>3310</v>
      </c>
      <c r="Z114" s="1638" t="n">
        <v>0.045</v>
      </c>
      <c r="AA114" s="1621">
        <f>U114*(1+V114+X114+Z114)+Y114</f>
        <v>239072.45</v>
      </c>
      <c r="AC114" s="865" t="inlineStr">
        <is>
          <t>Ampol Retail</t>
        </is>
      </c>
      <c r="AD114" s="865" t="inlineStr">
        <is>
          <t>Above Store</t>
        </is>
      </c>
      <c r="AE114" s="865" t="inlineStr">
        <is>
          <t>Above Store</t>
        </is>
      </c>
      <c r="AF114" s="865" t="inlineStr">
        <is>
          <t>Squad</t>
        </is>
      </c>
      <c r="AG114" s="865" t="inlineStr">
        <is>
          <t>Filled</t>
        </is>
      </c>
    </row>
    <row r="115" hidden="1" ht="18" customHeight="1" s="866">
      <c r="A115" s="1566" t="n">
        <v>113463</v>
      </c>
      <c r="B115" s="1382" t="inlineStr">
        <is>
          <t>Alisha Allport</t>
        </is>
      </c>
      <c r="C115" s="1611" t="inlineStr">
        <is>
          <t>Principal Experience Designer</t>
        </is>
      </c>
      <c r="D115" s="1382" t="inlineStr">
        <is>
          <t>Byron Thornhill</t>
        </is>
      </c>
      <c r="E115" s="1382" t="inlineStr">
        <is>
          <t>Design Manager</t>
        </is>
      </c>
      <c r="F115" s="1382" t="inlineStr">
        <is>
          <t>Customer</t>
        </is>
      </c>
      <c r="G115" s="1612" t="inlineStr">
        <is>
          <t>Digital</t>
        </is>
      </c>
      <c r="H115" s="1612" t="inlineStr">
        <is>
          <t>Digital, Design</t>
        </is>
      </c>
      <c r="I115" s="1612" t="inlineStr">
        <is>
          <t>Customer</t>
        </is>
      </c>
      <c r="J115" s="1382" t="inlineStr">
        <is>
          <t>Ampol Digital</t>
        </is>
      </c>
      <c r="K115" s="1382" t="inlineStr">
        <is>
          <t>Ampol App</t>
        </is>
      </c>
      <c r="L115" s="1612" t="n"/>
      <c r="M115" s="1613" t="inlineStr">
        <is>
          <t>Australia</t>
        </is>
      </c>
      <c r="N115" s="1614" t="inlineStr">
        <is>
          <t>CIC</t>
        </is>
      </c>
      <c r="O115" s="1614" t="n">
        <v>1</v>
      </c>
      <c r="P115" s="1614" t="n"/>
      <c r="Q115" s="1634" t="inlineStr">
        <is>
          <t>Permanent - Full Time</t>
        </is>
      </c>
      <c r="R115" s="1616" t="n"/>
      <c r="S115" s="1616" t="n"/>
      <c r="T115" s="1627" t="n">
        <v>176280</v>
      </c>
      <c r="U115" s="1626" t="n">
        <v>176280</v>
      </c>
      <c r="V115" s="1619" t="n">
        <v>0.12</v>
      </c>
      <c r="W115" s="1622" t="n">
        <v>0.055</v>
      </c>
      <c r="X115" s="1622" t="n">
        <v>0.12</v>
      </c>
      <c r="Y115" s="1623" t="n"/>
      <c r="Z115" s="1622" t="n">
        <v>0.04</v>
      </c>
      <c r="AA115" s="1621">
        <f>U115*(1+V115+W115+X115+Y115+Z115)</f>
        <v>235333.8</v>
      </c>
      <c r="AC115" s="865" t="inlineStr">
        <is>
          <t>Customer</t>
        </is>
      </c>
      <c r="AD115" s="865" t="inlineStr">
        <is>
          <t>Ampol Digital</t>
        </is>
      </c>
      <c r="AE115" s="865" t="inlineStr">
        <is>
          <t>Ampol App</t>
        </is>
      </c>
      <c r="AF115" s="865" t="inlineStr">
        <is>
          <t>Squad</t>
        </is>
      </c>
      <c r="AG115" s="865" t="inlineStr">
        <is>
          <t>Filled</t>
        </is>
      </c>
    </row>
    <row r="116" hidden="1" ht="18" customHeight="1" s="866">
      <c r="A116" s="1566" t="inlineStr">
        <is>
          <t>C</t>
        </is>
      </c>
      <c r="B116" s="1382" t="inlineStr">
        <is>
          <t>Annabel Phu</t>
        </is>
      </c>
      <c r="C116" s="1611" t="inlineStr">
        <is>
          <t>Engineer - Mobile</t>
        </is>
      </c>
      <c r="D116" s="1382" t="inlineStr">
        <is>
          <t>Mitesh Shah</t>
        </is>
      </c>
      <c r="E116" s="1382" t="inlineStr">
        <is>
          <t>Technology Manager, Digitial</t>
        </is>
      </c>
      <c r="F116" s="1382" t="inlineStr">
        <is>
          <t>Customer</t>
        </is>
      </c>
      <c r="G116" s="1612" t="inlineStr">
        <is>
          <t>Digital</t>
        </is>
      </c>
      <c r="H116" s="1382" t="inlineStr">
        <is>
          <t>Digital, Tech</t>
        </is>
      </c>
      <c r="I116" s="1612" t="inlineStr">
        <is>
          <t>Customer</t>
        </is>
      </c>
      <c r="J116" s="1382" t="inlineStr">
        <is>
          <t>Ampol Digital</t>
        </is>
      </c>
      <c r="K116" s="1382" t="inlineStr">
        <is>
          <t>Ampol App</t>
        </is>
      </c>
      <c r="L116" s="1612" t="n"/>
      <c r="M116" s="1613" t="inlineStr">
        <is>
          <t>Australia</t>
        </is>
      </c>
      <c r="N116" s="1616" t="inlineStr">
        <is>
          <t>NA</t>
        </is>
      </c>
      <c r="O116" s="1614" t="n">
        <v>1</v>
      </c>
      <c r="P116" s="1616" t="n"/>
      <c r="Q116" s="1639" t="inlineStr">
        <is>
          <t>Contractor</t>
        </is>
      </c>
      <c r="R116" s="1624" t="inlineStr">
        <is>
          <t>?</t>
        </is>
      </c>
      <c r="S116" s="1640" t="n">
        <v>1200</v>
      </c>
      <c r="T116" s="1627" t="n">
        <v>0</v>
      </c>
      <c r="U116" s="1627" t="n"/>
      <c r="V116" s="1612" t="n"/>
      <c r="W116" s="1612" t="n"/>
      <c r="X116" s="1612" t="n"/>
      <c r="Y116" s="1612" t="n"/>
      <c r="Z116" s="1612" t="n"/>
      <c r="AA116" s="1625">
        <f>S116*222</f>
        <v>266400</v>
      </c>
      <c r="AC116" s="865" t="inlineStr">
        <is>
          <t>Customer</t>
        </is>
      </c>
      <c r="AD116" s="865" t="inlineStr">
        <is>
          <t>Ampol Digital</t>
        </is>
      </c>
      <c r="AE116" s="865" t="inlineStr">
        <is>
          <t>Ampol App</t>
        </is>
      </c>
      <c r="AF116" s="865" t="inlineStr">
        <is>
          <t>Squad</t>
        </is>
      </c>
      <c r="AG116" s="865" t="inlineStr">
        <is>
          <t>Filled</t>
        </is>
      </c>
    </row>
    <row r="117" hidden="1" ht="18" customHeight="1" s="866">
      <c r="A117" s="1566" t="inlineStr">
        <is>
          <t>C</t>
        </is>
      </c>
      <c r="B117" s="1382" t="inlineStr">
        <is>
          <t>Anup Antony</t>
        </is>
      </c>
      <c r="C117" s="1611" t="inlineStr">
        <is>
          <t>Engineer - BE</t>
        </is>
      </c>
      <c r="D117" s="1382" t="inlineStr">
        <is>
          <t>Vacant</t>
        </is>
      </c>
      <c r="E117" s="1382" t="inlineStr">
        <is>
          <t>Technology Manager, Digital Engineering</t>
        </is>
      </c>
      <c r="F117" s="1382" t="inlineStr">
        <is>
          <t>Customer</t>
        </is>
      </c>
      <c r="G117" s="1612" t="inlineStr">
        <is>
          <t>Digital</t>
        </is>
      </c>
      <c r="H117" s="1612" t="inlineStr">
        <is>
          <t>Tech, Digital Engineering</t>
        </is>
      </c>
      <c r="I117" s="1612" t="inlineStr">
        <is>
          <t>Customer</t>
        </is>
      </c>
      <c r="J117" s="1382" t="inlineStr">
        <is>
          <t>Ampol Digital</t>
        </is>
      </c>
      <c r="K117" s="1382" t="inlineStr">
        <is>
          <t>Ampol App</t>
        </is>
      </c>
      <c r="L117" s="1612" t="n"/>
      <c r="M117" s="1613" t="inlineStr">
        <is>
          <t>Australia</t>
        </is>
      </c>
      <c r="N117" s="1616" t="inlineStr">
        <is>
          <t>NA</t>
        </is>
      </c>
      <c r="O117" s="1614" t="n">
        <v>1</v>
      </c>
      <c r="P117" s="1616" t="n"/>
      <c r="Q117" s="1600" t="inlineStr">
        <is>
          <t>cxc</t>
        </is>
      </c>
      <c r="R117" s="1624" t="inlineStr">
        <is>
          <t>Daily</t>
        </is>
      </c>
      <c r="S117" s="1616" t="n">
        <v>1064.26</v>
      </c>
      <c r="T117" s="1627" t="n">
        <v>0</v>
      </c>
      <c r="U117" s="1627" t="n"/>
      <c r="V117" s="1612" t="n"/>
      <c r="W117" s="1612" t="n"/>
      <c r="X117" s="1612" t="n"/>
      <c r="Y117" s="1612" t="n"/>
      <c r="Z117" s="1612" t="n"/>
      <c r="AA117" s="1625">
        <f>S117*222</f>
        <v>236265.72</v>
      </c>
      <c r="AC117" s="865" t="inlineStr">
        <is>
          <t>Customer</t>
        </is>
      </c>
      <c r="AD117" s="865" t="inlineStr">
        <is>
          <t>Ampol Digital</t>
        </is>
      </c>
      <c r="AE117" s="865" t="inlineStr">
        <is>
          <t>Ampol App</t>
        </is>
      </c>
      <c r="AF117" s="865" t="inlineStr">
        <is>
          <t>Squad</t>
        </is>
      </c>
      <c r="AG117" s="865" t="inlineStr">
        <is>
          <t>Filled</t>
        </is>
      </c>
    </row>
    <row r="118" hidden="1" ht="18" customHeight="1" s="866">
      <c r="A118" s="1566" t="n">
        <v>108287</v>
      </c>
      <c r="B118" s="1382" t="inlineStr">
        <is>
          <t>Binumon Mathai</t>
        </is>
      </c>
      <c r="C118" s="1611" t="inlineStr">
        <is>
          <t>Senior Quality Assurance</t>
        </is>
      </c>
      <c r="D118" s="1382" t="inlineStr">
        <is>
          <t>Mitesh Shah</t>
        </is>
      </c>
      <c r="E118" s="1382" t="inlineStr">
        <is>
          <t>Technology Manager, Digitial</t>
        </is>
      </c>
      <c r="F118" s="1382" t="inlineStr">
        <is>
          <t>Customer</t>
        </is>
      </c>
      <c r="G118" s="1612" t="inlineStr">
        <is>
          <t>Digital</t>
        </is>
      </c>
      <c r="H118" s="1382" t="inlineStr">
        <is>
          <t>Digital, Tech</t>
        </is>
      </c>
      <c r="I118" s="1612" t="inlineStr">
        <is>
          <t>Customer</t>
        </is>
      </c>
      <c r="J118" s="1382" t="inlineStr">
        <is>
          <t>Ampol Digital</t>
        </is>
      </c>
      <c r="K118" s="1382" t="inlineStr">
        <is>
          <t>Ampol App</t>
        </is>
      </c>
      <c r="L118" s="1612" t="n"/>
      <c r="M118" s="1613" t="inlineStr">
        <is>
          <t>Australia</t>
        </is>
      </c>
      <c r="N118" s="1614" t="inlineStr">
        <is>
          <t>CIB</t>
        </is>
      </c>
      <c r="O118" s="1614" t="n">
        <v>1</v>
      </c>
      <c r="P118" s="1614" t="n"/>
      <c r="Q118" s="1634" t="inlineStr">
        <is>
          <t>Permanent - Full Time</t>
        </is>
      </c>
      <c r="R118" s="1616" t="n"/>
      <c r="S118" s="1616" t="n"/>
      <c r="T118" s="1627" t="n">
        <v>163310</v>
      </c>
      <c r="U118" s="1626" t="n">
        <v>163310</v>
      </c>
      <c r="V118" s="1619" t="n">
        <v>0.12</v>
      </c>
      <c r="W118" s="1622" t="n">
        <v>0.055</v>
      </c>
      <c r="X118" s="1622" t="n">
        <v>0.12</v>
      </c>
      <c r="Y118" s="1623" t="n"/>
      <c r="Z118" s="1622" t="n">
        <v>0.04</v>
      </c>
      <c r="AA118" s="1621">
        <f>U118*(1+V118+W118+X118+Y118+Z118)</f>
        <v>218018.85</v>
      </c>
      <c r="AC118" s="865" t="inlineStr">
        <is>
          <t>Customer</t>
        </is>
      </c>
      <c r="AD118" s="865" t="inlineStr">
        <is>
          <t>Ampol Digital</t>
        </is>
      </c>
      <c r="AE118" s="865" t="inlineStr">
        <is>
          <t>Ampol App</t>
        </is>
      </c>
      <c r="AF118" s="865" t="inlineStr">
        <is>
          <t>Squad</t>
        </is>
      </c>
      <c r="AG118" s="865" t="inlineStr">
        <is>
          <t>Filled</t>
        </is>
      </c>
    </row>
    <row r="119" hidden="1" ht="18" customHeight="1" s="866">
      <c r="A119" s="1566" t="n">
        <v>114411</v>
      </c>
      <c r="B119" s="1382" t="inlineStr">
        <is>
          <t>Edwin Justin</t>
        </is>
      </c>
      <c r="C119" s="1611" t="inlineStr">
        <is>
          <t>Senior Engineer - BE</t>
        </is>
      </c>
      <c r="D119" s="1382" t="inlineStr">
        <is>
          <t>Khalid Mahmud</t>
        </is>
      </c>
      <c r="E119" s="1382" t="inlineStr">
        <is>
          <t>Lead Engineer - BE</t>
        </is>
      </c>
      <c r="F119" s="1382" t="inlineStr">
        <is>
          <t>Customer</t>
        </is>
      </c>
      <c r="G119" s="1612" t="inlineStr">
        <is>
          <t>Digital</t>
        </is>
      </c>
      <c r="H119" s="1612" t="inlineStr">
        <is>
          <t>Tech, Digital Engineering</t>
        </is>
      </c>
      <c r="I119" s="1612" t="inlineStr">
        <is>
          <t>Customer</t>
        </is>
      </c>
      <c r="J119" s="1382" t="inlineStr">
        <is>
          <t>Ampol Digital</t>
        </is>
      </c>
      <c r="K119" s="1382" t="inlineStr">
        <is>
          <t>Ampol App</t>
        </is>
      </c>
      <c r="L119" s="1612" t="n"/>
      <c r="M119" s="1613" t="inlineStr">
        <is>
          <t>Australia</t>
        </is>
      </c>
      <c r="N119" s="1614" t="inlineStr">
        <is>
          <t>CIB</t>
        </is>
      </c>
      <c r="O119" s="1614" t="n">
        <v>1</v>
      </c>
      <c r="P119" s="1614" t="n"/>
      <c r="Q119" s="1634" t="inlineStr">
        <is>
          <t>Permanent - Full Time</t>
        </is>
      </c>
      <c r="R119" s="1616" t="n"/>
      <c r="S119" s="1616" t="n"/>
      <c r="T119" s="1627" t="n">
        <v>161830</v>
      </c>
      <c r="U119" s="1626" t="n">
        <v>161830</v>
      </c>
      <c r="V119" s="1619" t="n">
        <v>0.12</v>
      </c>
      <c r="W119" s="1622" t="n">
        <v>0.055</v>
      </c>
      <c r="X119" s="1622" t="n">
        <v>0.12</v>
      </c>
      <c r="Y119" s="1623" t="n"/>
      <c r="Z119" s="1622" t="n">
        <v>0.04</v>
      </c>
      <c r="AA119" s="1621">
        <f>U119*(1+V119+W119+X119+Y119+Z119)</f>
        <v>216043.05</v>
      </c>
      <c r="AC119" s="865" t="inlineStr">
        <is>
          <t>Customer</t>
        </is>
      </c>
      <c r="AD119" s="865" t="inlineStr">
        <is>
          <t>Ampol Digital</t>
        </is>
      </c>
      <c r="AE119" s="865" t="inlineStr">
        <is>
          <t>Ampol App</t>
        </is>
      </c>
      <c r="AF119" s="865" t="inlineStr">
        <is>
          <t>Squad</t>
        </is>
      </c>
      <c r="AG119" s="865" t="inlineStr">
        <is>
          <t>Filled</t>
        </is>
      </c>
    </row>
    <row r="120" hidden="1" ht="18" customHeight="1" s="866">
      <c r="A120" s="1566" t="n">
        <v>98015</v>
      </c>
      <c r="B120" s="1382" t="inlineStr">
        <is>
          <t>Ethan Laffan</t>
        </is>
      </c>
      <c r="C120" s="1611" t="inlineStr">
        <is>
          <t>Associate Experience Designer</t>
        </is>
      </c>
      <c r="D120" s="1382" t="inlineStr">
        <is>
          <t>Byron Thornhill</t>
        </is>
      </c>
      <c r="E120" s="1382" t="inlineStr">
        <is>
          <t>Design Manager</t>
        </is>
      </c>
      <c r="F120" s="1382" t="inlineStr">
        <is>
          <t>Customer</t>
        </is>
      </c>
      <c r="G120" s="1612" t="inlineStr">
        <is>
          <t>Digital</t>
        </is>
      </c>
      <c r="H120" s="1612" t="inlineStr">
        <is>
          <t>Digital, Design</t>
        </is>
      </c>
      <c r="I120" s="1382" t="inlineStr">
        <is>
          <t>Customer</t>
        </is>
      </c>
      <c r="J120" s="1382" t="inlineStr">
        <is>
          <t>Ampol Digital</t>
        </is>
      </c>
      <c r="K120" s="1382" t="inlineStr">
        <is>
          <t>Ampol App</t>
        </is>
      </c>
      <c r="L120" s="1612" t="n"/>
      <c r="M120" s="1613" t="inlineStr">
        <is>
          <t>Australia</t>
        </is>
      </c>
      <c r="N120" s="1614" t="inlineStr">
        <is>
          <t>CDC</t>
        </is>
      </c>
      <c r="O120" s="1614" t="n">
        <v>1</v>
      </c>
      <c r="P120" s="1614" t="n"/>
      <c r="Q120" s="1634" t="inlineStr">
        <is>
          <t>Permanent - Full Time</t>
        </is>
      </c>
      <c r="R120" s="1616" t="n"/>
      <c r="S120" s="1616" t="n"/>
      <c r="T120" s="1627" t="n">
        <v>111380</v>
      </c>
      <c r="U120" s="1626" t="n">
        <v>111380</v>
      </c>
      <c r="V120" s="1619" t="n">
        <v>0.1</v>
      </c>
      <c r="W120" s="1622" t="n">
        <v>0.055</v>
      </c>
      <c r="X120" s="1622" t="n">
        <v>0.12</v>
      </c>
      <c r="Y120" s="1623" t="n"/>
      <c r="Z120" s="1622" t="n">
        <v>0.04</v>
      </c>
      <c r="AA120" s="1621">
        <f>U120*(1+V120+W120+X120+Y120+Z120)</f>
        <v>146464.7</v>
      </c>
      <c r="AC120" s="865" t="inlineStr">
        <is>
          <t>Customer</t>
        </is>
      </c>
      <c r="AD120" s="865" t="inlineStr">
        <is>
          <t>Ampol Digital</t>
        </is>
      </c>
      <c r="AE120" s="865" t="inlineStr">
        <is>
          <t>Ampol App</t>
        </is>
      </c>
      <c r="AF120" s="865" t="inlineStr">
        <is>
          <t>Squad</t>
        </is>
      </c>
      <c r="AG120" s="865" t="inlineStr">
        <is>
          <t>Filled</t>
        </is>
      </c>
    </row>
    <row r="121" hidden="1" ht="18" customHeight="1" s="866">
      <c r="A121" s="1566" t="n">
        <v>97634</v>
      </c>
      <c r="B121" s="1382" t="inlineStr">
        <is>
          <t>Khalid Mahmud</t>
        </is>
      </c>
      <c r="C121" s="1611" t="inlineStr">
        <is>
          <t>Lead Engineer - BE</t>
        </is>
      </c>
      <c r="D121" s="1382" t="inlineStr">
        <is>
          <t>Vacant</t>
        </is>
      </c>
      <c r="E121" s="1382" t="inlineStr">
        <is>
          <t>Technology Manager, Digital Engineering</t>
        </is>
      </c>
      <c r="F121" s="1382" t="inlineStr">
        <is>
          <t>Customer</t>
        </is>
      </c>
      <c r="G121" s="1612" t="inlineStr">
        <is>
          <t>Digital</t>
        </is>
      </c>
      <c r="H121" s="1612" t="inlineStr">
        <is>
          <t>Tech, Digital Engineering</t>
        </is>
      </c>
      <c r="I121" s="1612" t="inlineStr">
        <is>
          <t>Customer</t>
        </is>
      </c>
      <c r="J121" s="1382" t="inlineStr">
        <is>
          <t>Ampol Digital</t>
        </is>
      </c>
      <c r="K121" s="1382" t="inlineStr">
        <is>
          <t>Ampol App</t>
        </is>
      </c>
      <c r="L121" s="1612" t="n"/>
      <c r="M121" s="1613" t="inlineStr">
        <is>
          <t>Australia</t>
        </is>
      </c>
      <c r="N121" s="1614" t="inlineStr">
        <is>
          <t>CIC</t>
        </is>
      </c>
      <c r="O121" s="1614" t="n">
        <v>1</v>
      </c>
      <c r="P121" s="1614" t="n"/>
      <c r="Q121" s="1634" t="inlineStr">
        <is>
          <t>Permanent - Full Time</t>
        </is>
      </c>
      <c r="R121" s="1616" t="n"/>
      <c r="S121" s="1616" t="n"/>
      <c r="T121" s="1627" t="n">
        <v>194910</v>
      </c>
      <c r="U121" s="1626" t="n">
        <v>194910</v>
      </c>
      <c r="V121" s="1619" t="n">
        <v>0.12</v>
      </c>
      <c r="W121" s="1622" t="n">
        <v>0.055</v>
      </c>
      <c r="X121" s="1622" t="n">
        <v>0.12</v>
      </c>
      <c r="Y121" s="1623" t="n"/>
      <c r="Z121" s="1622" t="n">
        <v>0.04</v>
      </c>
      <c r="AA121" s="1621">
        <f>U121*(1+V121+W121+X121+Y121+Z121)</f>
        <v>260204.85</v>
      </c>
      <c r="AC121" s="865" t="inlineStr">
        <is>
          <t>Customer</t>
        </is>
      </c>
      <c r="AD121" s="865" t="inlineStr">
        <is>
          <t>Ampol Digital</t>
        </is>
      </c>
      <c r="AE121" s="865" t="inlineStr">
        <is>
          <t>Ampol App</t>
        </is>
      </c>
      <c r="AF121" s="865" t="inlineStr">
        <is>
          <t>Squad</t>
        </is>
      </c>
      <c r="AG121" s="865" t="inlineStr">
        <is>
          <t>Filled</t>
        </is>
      </c>
    </row>
    <row r="122" hidden="1" ht="18" customHeight="1" s="866">
      <c r="A122" s="1566" t="n">
        <v>116714</v>
      </c>
      <c r="B122" s="1382" t="inlineStr">
        <is>
          <t>Maria Salman</t>
        </is>
      </c>
      <c r="C122" s="1611" t="inlineStr">
        <is>
          <t>Experience Designer</t>
        </is>
      </c>
      <c r="D122" s="1382" t="inlineStr">
        <is>
          <t>Byron Thornhill</t>
        </is>
      </c>
      <c r="E122" s="1382" t="inlineStr">
        <is>
          <t>Design Manager</t>
        </is>
      </c>
      <c r="F122" s="1382" t="inlineStr">
        <is>
          <t>Customer</t>
        </is>
      </c>
      <c r="G122" s="1612" t="inlineStr">
        <is>
          <t>Digital</t>
        </is>
      </c>
      <c r="H122" s="1612" t="inlineStr">
        <is>
          <t>Digital, Design</t>
        </is>
      </c>
      <c r="I122" s="1612" t="inlineStr">
        <is>
          <t>Customer</t>
        </is>
      </c>
      <c r="J122" s="1382" t="inlineStr">
        <is>
          <t>Ampol Digital</t>
        </is>
      </c>
      <c r="K122" s="1382" t="inlineStr">
        <is>
          <t>Ampol App</t>
        </is>
      </c>
      <c r="L122" s="1612" t="n"/>
      <c r="M122" s="1613" t="inlineStr">
        <is>
          <t>Australia</t>
        </is>
      </c>
      <c r="N122" s="1614" t="inlineStr">
        <is>
          <t>CIC</t>
        </is>
      </c>
      <c r="O122" s="1614" t="n">
        <v>1</v>
      </c>
      <c r="P122" s="1614" t="n"/>
      <c r="Q122" s="1634" t="inlineStr">
        <is>
          <t>Temporary - Full Time</t>
        </is>
      </c>
      <c r="R122" s="1616" t="n"/>
      <c r="S122" s="1616" t="n"/>
      <c r="T122" s="1627" t="n">
        <v>150000</v>
      </c>
      <c r="U122" s="1626" t="n">
        <v>150000</v>
      </c>
      <c r="V122" s="1619" t="n">
        <v>0.12</v>
      </c>
      <c r="W122" s="1622" t="n">
        <v>0.055</v>
      </c>
      <c r="X122" s="1622" t="n">
        <v>0.12</v>
      </c>
      <c r="Y122" s="1623" t="n"/>
      <c r="Z122" s="1622" t="n">
        <v>0.04</v>
      </c>
      <c r="AA122" s="1621">
        <f>U122*(1+V122+W122+X122+Y122+Z122)</f>
        <v>200250</v>
      </c>
      <c r="AC122" s="865" t="inlineStr">
        <is>
          <t>Customer</t>
        </is>
      </c>
      <c r="AD122" s="865" t="inlineStr">
        <is>
          <t>Ampol Digital</t>
        </is>
      </c>
      <c r="AE122" s="865" t="inlineStr">
        <is>
          <t>Ampol App</t>
        </is>
      </c>
      <c r="AF122" s="865" t="inlineStr">
        <is>
          <t>Squad</t>
        </is>
      </c>
      <c r="AG122" s="865" t="inlineStr">
        <is>
          <t>Filled</t>
        </is>
      </c>
    </row>
    <row r="123" hidden="1" ht="18" customHeight="1" s="866">
      <c r="A123" s="1566" t="n">
        <v>94663</v>
      </c>
      <c r="B123" s="1382" t="inlineStr">
        <is>
          <t>Penny Pennisi</t>
        </is>
      </c>
      <c r="C123" s="1611" t="inlineStr">
        <is>
          <t>Delivery Lead</t>
        </is>
      </c>
      <c r="D123" s="1612" t="inlineStr">
        <is>
          <t>Vacant</t>
        </is>
      </c>
      <c r="E123" s="1382" t="inlineStr">
        <is>
          <t>Delivery Manager, Digital</t>
        </is>
      </c>
      <c r="F123" s="1382" t="inlineStr">
        <is>
          <t>Customer</t>
        </is>
      </c>
      <c r="G123" s="1612" t="inlineStr">
        <is>
          <t>Digital</t>
        </is>
      </c>
      <c r="H123" s="1612" t="inlineStr">
        <is>
          <t>Digital, Delivery</t>
        </is>
      </c>
      <c r="I123" s="1612" t="inlineStr">
        <is>
          <t>Customer</t>
        </is>
      </c>
      <c r="J123" s="1382" t="inlineStr">
        <is>
          <t>Ampol Digital</t>
        </is>
      </c>
      <c r="K123" s="1382" t="inlineStr">
        <is>
          <t>Ampol App</t>
        </is>
      </c>
      <c r="L123" s="1612" t="n"/>
      <c r="M123" s="1613" t="inlineStr">
        <is>
          <t>Australia</t>
        </is>
      </c>
      <c r="N123" s="1614" t="inlineStr">
        <is>
          <t>CIC</t>
        </is>
      </c>
      <c r="O123" s="1614" t="n">
        <v>1</v>
      </c>
      <c r="P123" s="1614" t="n"/>
      <c r="Q123" s="1634" t="inlineStr">
        <is>
          <t>Permanent - Full Time</t>
        </is>
      </c>
      <c r="R123" s="1616" t="n"/>
      <c r="S123" s="1616" t="n"/>
      <c r="T123" s="1627" t="n">
        <v>190980</v>
      </c>
      <c r="U123" s="1626" t="n">
        <v>190980</v>
      </c>
      <c r="V123" s="1619" t="n">
        <v>0.12</v>
      </c>
      <c r="W123" s="1622" t="n">
        <v>0.055</v>
      </c>
      <c r="X123" s="1622" t="n">
        <v>0.12</v>
      </c>
      <c r="Y123" s="1623" t="n"/>
      <c r="Z123" s="1622" t="n">
        <v>0.04</v>
      </c>
      <c r="AA123" s="1621">
        <f>U123*(1+V123+W123+X123+Y123+Z123)</f>
        <v>254958.3</v>
      </c>
      <c r="AC123" s="865" t="inlineStr">
        <is>
          <t>Customer</t>
        </is>
      </c>
      <c r="AD123" s="865" t="inlineStr">
        <is>
          <t>Ampol Digital</t>
        </is>
      </c>
      <c r="AE123" s="865" t="inlineStr">
        <is>
          <t>Ampol App</t>
        </is>
      </c>
      <c r="AF123" s="865" t="inlineStr">
        <is>
          <t>Squad</t>
        </is>
      </c>
      <c r="AG123" s="865" t="inlineStr">
        <is>
          <t>Filled</t>
        </is>
      </c>
    </row>
    <row r="124" hidden="1" ht="18" customHeight="1" s="866">
      <c r="A124" s="1566" t="inlineStr">
        <is>
          <t>C</t>
        </is>
      </c>
      <c r="B124" s="1382" t="inlineStr">
        <is>
          <t>Peter Lee</t>
        </is>
      </c>
      <c r="C124" s="1611" t="inlineStr">
        <is>
          <t>Snr Business Analyst</t>
        </is>
      </c>
      <c r="D124" s="1612" t="inlineStr">
        <is>
          <t>Vacant</t>
        </is>
      </c>
      <c r="E124" s="1382" t="inlineStr">
        <is>
          <t>Delivery Manager, Digital</t>
        </is>
      </c>
      <c r="F124" s="1382" t="inlineStr">
        <is>
          <t>Customer</t>
        </is>
      </c>
      <c r="G124" s="1612" t="inlineStr">
        <is>
          <t>Digital</t>
        </is>
      </c>
      <c r="H124" s="1612" t="inlineStr">
        <is>
          <t>Digital, Delivery</t>
        </is>
      </c>
      <c r="I124" s="1612" t="inlineStr">
        <is>
          <t>Customer</t>
        </is>
      </c>
      <c r="J124" s="1382" t="inlineStr">
        <is>
          <t>Ampol Digital</t>
        </is>
      </c>
      <c r="K124" s="1382" t="inlineStr">
        <is>
          <t>Ampol App</t>
        </is>
      </c>
      <c r="L124" s="1612" t="n"/>
      <c r="M124" s="1613" t="inlineStr">
        <is>
          <t>Australia</t>
        </is>
      </c>
      <c r="N124" s="1616" t="inlineStr">
        <is>
          <t>NA</t>
        </is>
      </c>
      <c r="O124" s="1614" t="n">
        <v>1</v>
      </c>
      <c r="P124" s="1616" t="n"/>
      <c r="Q124" s="1639" t="inlineStr">
        <is>
          <t>Contractor</t>
        </is>
      </c>
      <c r="R124" s="1624" t="inlineStr">
        <is>
          <t>?</t>
        </is>
      </c>
      <c r="S124" s="1640" t="n">
        <v>1200</v>
      </c>
      <c r="T124" s="1627" t="n">
        <v>0</v>
      </c>
      <c r="U124" s="1627" t="n"/>
      <c r="V124" s="1612" t="n"/>
      <c r="W124" s="1612" t="n"/>
      <c r="X124" s="1612" t="n"/>
      <c r="Y124" s="1612" t="n"/>
      <c r="Z124" s="1612" t="n"/>
      <c r="AA124" s="1625">
        <f>S124*222</f>
        <v>266400</v>
      </c>
      <c r="AC124" s="865" t="inlineStr">
        <is>
          <t>Customer</t>
        </is>
      </c>
      <c r="AD124" s="865" t="inlineStr">
        <is>
          <t>Ampol Digital</t>
        </is>
      </c>
      <c r="AE124" s="865" t="inlineStr">
        <is>
          <t>Ampol App</t>
        </is>
      </c>
      <c r="AF124" s="865" t="inlineStr">
        <is>
          <t>Squad</t>
        </is>
      </c>
      <c r="AG124" s="865" t="inlineStr">
        <is>
          <t>Filled</t>
        </is>
      </c>
    </row>
    <row r="125" hidden="1" ht="18" customHeight="1" s="866">
      <c r="A125" s="1566" t="inlineStr">
        <is>
          <t>C</t>
        </is>
      </c>
      <c r="B125" s="1382" t="inlineStr">
        <is>
          <t>Phillip Kewley</t>
        </is>
      </c>
      <c r="C125" s="1611" t="inlineStr">
        <is>
          <t>Quality Assurance</t>
        </is>
      </c>
      <c r="D125" s="1382" t="inlineStr">
        <is>
          <t>Mitesh Shah</t>
        </is>
      </c>
      <c r="E125" s="1382" t="inlineStr">
        <is>
          <t>Technology Manager, Digitial</t>
        </is>
      </c>
      <c r="F125" s="1382" t="inlineStr">
        <is>
          <t>Customer</t>
        </is>
      </c>
      <c r="G125" s="1612" t="inlineStr">
        <is>
          <t>Digital</t>
        </is>
      </c>
      <c r="H125" s="1382" t="inlineStr">
        <is>
          <t>Digital, Tech</t>
        </is>
      </c>
      <c r="I125" s="1612" t="inlineStr">
        <is>
          <t>Customer</t>
        </is>
      </c>
      <c r="J125" s="1382" t="inlineStr">
        <is>
          <t>Ampol Digital</t>
        </is>
      </c>
      <c r="K125" s="1382" t="inlineStr">
        <is>
          <t>Ampol App</t>
        </is>
      </c>
      <c r="L125" s="1612" t="n"/>
      <c r="M125" s="1613" t="inlineStr">
        <is>
          <t>Australia</t>
        </is>
      </c>
      <c r="N125" s="1616" t="inlineStr">
        <is>
          <t>NA</t>
        </is>
      </c>
      <c r="O125" s="1614" t="n">
        <v>1</v>
      </c>
      <c r="P125" s="1616" t="n"/>
      <c r="Q125" s="1600" t="inlineStr">
        <is>
          <t>cxc</t>
        </is>
      </c>
      <c r="R125" s="1624" t="inlineStr">
        <is>
          <t>Daily</t>
        </is>
      </c>
      <c r="S125" s="1616" t="n">
        <v>807.2</v>
      </c>
      <c r="T125" s="1627" t="n">
        <v>0</v>
      </c>
      <c r="U125" s="1627" t="n"/>
      <c r="V125" s="1612" t="n"/>
      <c r="W125" s="1612" t="n"/>
      <c r="X125" s="1612" t="n"/>
      <c r="Y125" s="1612" t="n"/>
      <c r="Z125" s="1612" t="n"/>
      <c r="AA125" s="1625">
        <f>S125*222</f>
        <v>179198.4</v>
      </c>
      <c r="AC125" s="865" t="inlineStr">
        <is>
          <t>Customer</t>
        </is>
      </c>
      <c r="AD125" s="865" t="inlineStr">
        <is>
          <t>Ampol Digital</t>
        </is>
      </c>
      <c r="AE125" s="865" t="inlineStr">
        <is>
          <t>Ampol App</t>
        </is>
      </c>
      <c r="AF125" s="865" t="inlineStr">
        <is>
          <t>Squad</t>
        </is>
      </c>
      <c r="AG125" s="865" t="inlineStr">
        <is>
          <t>Filled</t>
        </is>
      </c>
    </row>
    <row r="126" hidden="1" ht="18" customHeight="1" s="866">
      <c r="A126" s="1566" t="n">
        <v>116957</v>
      </c>
      <c r="B126" s="1628" t="inlineStr">
        <is>
          <t>Raj Ganesan</t>
        </is>
      </c>
      <c r="C126" s="1629" t="inlineStr">
        <is>
          <t>Engineer - Mobile (ios)</t>
        </is>
      </c>
      <c r="D126" s="1612" t="inlineStr">
        <is>
          <t>Mitesh Shah</t>
        </is>
      </c>
      <c r="E126" s="1382" t="inlineStr">
        <is>
          <t>Technology Manager, Digitial</t>
        </is>
      </c>
      <c r="F126" s="1382" t="inlineStr">
        <is>
          <t>Customer</t>
        </is>
      </c>
      <c r="G126" s="1612" t="inlineStr">
        <is>
          <t>Digital</t>
        </is>
      </c>
      <c r="H126" s="1612" t="inlineStr">
        <is>
          <t>Tech, Digital</t>
        </is>
      </c>
      <c r="I126" s="1612" t="inlineStr">
        <is>
          <t>Customer</t>
        </is>
      </c>
      <c r="J126" s="1382" t="inlineStr">
        <is>
          <t>Ampol Digital</t>
        </is>
      </c>
      <c r="K126" s="1382" t="inlineStr">
        <is>
          <t>Ampol App</t>
        </is>
      </c>
      <c r="L126" s="1612" t="n"/>
      <c r="M126" s="1613" t="inlineStr">
        <is>
          <t>Australia</t>
        </is>
      </c>
      <c r="N126" s="1614" t="inlineStr">
        <is>
          <t>CIB</t>
        </is>
      </c>
      <c r="O126" s="1641" t="n">
        <v>1</v>
      </c>
      <c r="P126" s="1641" t="n"/>
      <c r="Q126" s="1634" t="inlineStr">
        <is>
          <t>Temporary - Full Time</t>
        </is>
      </c>
      <c r="R126" s="1642" t="n"/>
      <c r="S126" s="1642" t="n"/>
      <c r="T126" s="1627" t="n">
        <v>165000</v>
      </c>
      <c r="U126" s="1626" t="n">
        <v>165000</v>
      </c>
      <c r="V126" s="1619" t="n">
        <v>0.12</v>
      </c>
      <c r="W126" s="1622" t="n">
        <v>0.055</v>
      </c>
      <c r="X126" s="1622" t="n">
        <v>0.12</v>
      </c>
      <c r="Y126" s="1623" t="n"/>
      <c r="Z126" s="1622" t="n">
        <v>0.04</v>
      </c>
      <c r="AA126" s="1621">
        <f>U126*(1+V126+W126+X126+Y126+Z126)</f>
        <v>220275</v>
      </c>
      <c r="AC126" s="865" t="inlineStr">
        <is>
          <t>Customer</t>
        </is>
      </c>
      <c r="AD126" s="865" t="inlineStr">
        <is>
          <t>Ampol Digital</t>
        </is>
      </c>
      <c r="AE126" s="865" t="inlineStr">
        <is>
          <t>Ampol App</t>
        </is>
      </c>
      <c r="AF126" s="865" t="inlineStr">
        <is>
          <t>Squad</t>
        </is>
      </c>
      <c r="AG126" s="865" t="inlineStr">
        <is>
          <t>Filled</t>
        </is>
      </c>
    </row>
    <row r="127" hidden="1" ht="18" customHeight="1" s="866">
      <c r="A127" s="1566" t="inlineStr">
        <is>
          <t>C</t>
        </is>
      </c>
      <c r="B127" s="1382" t="inlineStr">
        <is>
          <t>Sheetal Karkera</t>
        </is>
      </c>
      <c r="C127" s="1611" t="inlineStr">
        <is>
          <t>Lead Engineer - Mobile</t>
        </is>
      </c>
      <c r="D127" s="1382" t="inlineStr">
        <is>
          <t>Mitesh Shah</t>
        </is>
      </c>
      <c r="E127" s="1382" t="inlineStr">
        <is>
          <t>Technology Manager, Digitial</t>
        </is>
      </c>
      <c r="F127" s="1382" t="inlineStr">
        <is>
          <t>Customer</t>
        </is>
      </c>
      <c r="G127" s="1612" t="inlineStr">
        <is>
          <t>Digital</t>
        </is>
      </c>
      <c r="H127" s="1382" t="inlineStr">
        <is>
          <t>Digital, Tech</t>
        </is>
      </c>
      <c r="I127" s="1612" t="inlineStr">
        <is>
          <t>Customer</t>
        </is>
      </c>
      <c r="J127" s="1382" t="inlineStr">
        <is>
          <t>Ampol Digital</t>
        </is>
      </c>
      <c r="K127" s="1382" t="inlineStr">
        <is>
          <t>Ampol App</t>
        </is>
      </c>
      <c r="L127" s="1612" t="n"/>
      <c r="M127" s="1613" t="inlineStr">
        <is>
          <t>Australia</t>
        </is>
      </c>
      <c r="N127" s="1616" t="inlineStr">
        <is>
          <t>NA</t>
        </is>
      </c>
      <c r="O127" s="1614" t="n">
        <v>1</v>
      </c>
      <c r="P127" s="1616" t="n"/>
      <c r="Q127" s="1616" t="inlineStr">
        <is>
          <t>cxc</t>
        </is>
      </c>
      <c r="R127" s="1624" t="inlineStr">
        <is>
          <t>Daily</t>
        </is>
      </c>
      <c r="S127" s="1616" t="n">
        <v>1150</v>
      </c>
      <c r="T127" s="1627" t="n">
        <v>0</v>
      </c>
      <c r="U127" s="1627" t="n"/>
      <c r="V127" s="1612" t="n"/>
      <c r="W127" s="1612" t="n"/>
      <c r="X127" s="1612" t="n"/>
      <c r="Y127" s="1612" t="n"/>
      <c r="Z127" s="1612" t="n"/>
      <c r="AA127" s="1625">
        <f>S127*222</f>
        <v>255300</v>
      </c>
      <c r="AC127" s="865" t="inlineStr">
        <is>
          <t>Customer</t>
        </is>
      </c>
      <c r="AD127" s="865" t="inlineStr">
        <is>
          <t>Ampol Digital</t>
        </is>
      </c>
      <c r="AE127" s="865" t="inlineStr">
        <is>
          <t>Ampol App</t>
        </is>
      </c>
      <c r="AF127" s="865" t="inlineStr">
        <is>
          <t>Squad</t>
        </is>
      </c>
      <c r="AG127" s="865" t="inlineStr">
        <is>
          <t>Filled</t>
        </is>
      </c>
    </row>
    <row r="128" hidden="1" ht="18" customHeight="1" s="866">
      <c r="A128" s="1566" t="n">
        <v>115964</v>
      </c>
      <c r="B128" s="1382" t="inlineStr">
        <is>
          <t>Toby Clark</t>
        </is>
      </c>
      <c r="C128" s="1611" t="inlineStr">
        <is>
          <t>Engineer - Mobile (iOS)</t>
        </is>
      </c>
      <c r="D128" s="1382" t="inlineStr">
        <is>
          <t>Mitesh Shah</t>
        </is>
      </c>
      <c r="E128" s="1382" t="inlineStr">
        <is>
          <t>Technology Manager, Digitial</t>
        </is>
      </c>
      <c r="F128" s="1382" t="inlineStr">
        <is>
          <t>Customer</t>
        </is>
      </c>
      <c r="G128" s="1612" t="inlineStr">
        <is>
          <t>Digital</t>
        </is>
      </c>
      <c r="H128" s="1382" t="inlineStr">
        <is>
          <t>Digital, Tech</t>
        </is>
      </c>
      <c r="I128" s="1612" t="inlineStr">
        <is>
          <t>Customer</t>
        </is>
      </c>
      <c r="J128" s="1382" t="inlineStr">
        <is>
          <t>Ampol Digital</t>
        </is>
      </c>
      <c r="K128" s="1382" t="inlineStr">
        <is>
          <t>Ampol App</t>
        </is>
      </c>
      <c r="L128" s="1612" t="n"/>
      <c r="M128" s="1613" t="inlineStr">
        <is>
          <t>Australia</t>
        </is>
      </c>
      <c r="N128" s="1614" t="inlineStr">
        <is>
          <t>CIB</t>
        </is>
      </c>
      <c r="O128" s="1614" t="n">
        <v>1</v>
      </c>
      <c r="P128" s="1614" t="n"/>
      <c r="Q128" s="1614" t="inlineStr">
        <is>
          <t>Permanent - Full Time</t>
        </is>
      </c>
      <c r="R128" s="1616" t="n"/>
      <c r="S128" s="1616" t="n"/>
      <c r="T128" s="1627" t="n">
        <v>126350</v>
      </c>
      <c r="U128" s="1626" t="n">
        <v>126350</v>
      </c>
      <c r="V128" s="1619" t="n">
        <v>0.12</v>
      </c>
      <c r="W128" s="1622" t="n">
        <v>0.055</v>
      </c>
      <c r="X128" s="1622" t="n">
        <v>0.12</v>
      </c>
      <c r="Y128" s="1623" t="n"/>
      <c r="Z128" s="1622" t="n">
        <v>0.04</v>
      </c>
      <c r="AA128" s="1621">
        <f>U128*(1+V128+W128+X128+Y128+Z128)</f>
        <v>168677.25</v>
      </c>
      <c r="AC128" s="865" t="inlineStr">
        <is>
          <t>Customer</t>
        </is>
      </c>
      <c r="AD128" s="865" t="inlineStr">
        <is>
          <t>Ampol Digital</t>
        </is>
      </c>
      <c r="AE128" s="865" t="inlineStr">
        <is>
          <t>Ampol App</t>
        </is>
      </c>
      <c r="AF128" s="865" t="inlineStr">
        <is>
          <t>Squad</t>
        </is>
      </c>
      <c r="AG128" s="865" t="inlineStr">
        <is>
          <t>Filled</t>
        </is>
      </c>
    </row>
    <row r="129" hidden="1" ht="18" customHeight="1" s="866">
      <c r="A129" s="1566" t="inlineStr">
        <is>
          <t>C</t>
        </is>
      </c>
      <c r="B129" s="1382" t="inlineStr">
        <is>
          <t>Aaron Lu</t>
        </is>
      </c>
      <c r="C129" s="1611" t="inlineStr">
        <is>
          <t>Engineer - BE</t>
        </is>
      </c>
      <c r="D129" s="1382" t="inlineStr">
        <is>
          <t>Vacant</t>
        </is>
      </c>
      <c r="E129" s="1382" t="inlineStr">
        <is>
          <t>Technology Manager, Digital Engineering</t>
        </is>
      </c>
      <c r="F129" s="1382" t="inlineStr">
        <is>
          <t>Customer</t>
        </is>
      </c>
      <c r="G129" s="1612" t="inlineStr">
        <is>
          <t>Digital</t>
        </is>
      </c>
      <c r="H129" s="1612" t="inlineStr">
        <is>
          <t>Tech, Digital Engineering</t>
        </is>
      </c>
      <c r="I129" s="1612" t="inlineStr">
        <is>
          <t>Customer</t>
        </is>
      </c>
      <c r="J129" s="1382" t="inlineStr">
        <is>
          <t>Ampol Digital</t>
        </is>
      </c>
      <c r="K129" s="1382" t="inlineStr">
        <is>
          <t>Ampol Web</t>
        </is>
      </c>
      <c r="L129" s="1612" t="n"/>
      <c r="M129" s="1613" t="inlineStr">
        <is>
          <t>Australia</t>
        </is>
      </c>
      <c r="N129" s="1616" t="inlineStr">
        <is>
          <t>NA</t>
        </is>
      </c>
      <c r="O129" s="1643" t="n">
        <v>1</v>
      </c>
      <c r="P129" s="1644" t="n"/>
      <c r="Q129" s="1639" t="inlineStr">
        <is>
          <t>Contractor</t>
        </is>
      </c>
      <c r="R129" s="1645" t="inlineStr">
        <is>
          <t>?</t>
        </is>
      </c>
      <c r="S129" s="1646" t="n">
        <v>1200</v>
      </c>
      <c r="T129" s="1627" t="n">
        <v>0</v>
      </c>
      <c r="U129" s="1627" t="n"/>
      <c r="V129" s="1612" t="n"/>
      <c r="W129" s="1612" t="n"/>
      <c r="X129" s="1612" t="n"/>
      <c r="Y129" s="1612" t="n"/>
      <c r="Z129" s="1612" t="n"/>
      <c r="AA129" s="1625">
        <f>S129*222</f>
        <v>266400</v>
      </c>
      <c r="AC129" s="865" t="inlineStr">
        <is>
          <t>Customer</t>
        </is>
      </c>
      <c r="AD129" s="865" t="inlineStr">
        <is>
          <t>Ampol Digital</t>
        </is>
      </c>
      <c r="AE129" s="865" t="inlineStr">
        <is>
          <t>Ampol Web</t>
        </is>
      </c>
      <c r="AF129" s="865" t="inlineStr">
        <is>
          <t>Squad</t>
        </is>
      </c>
      <c r="AG129" s="865" t="inlineStr">
        <is>
          <t>Filled</t>
        </is>
      </c>
    </row>
    <row r="130" hidden="1" ht="18" customHeight="1" s="866">
      <c r="A130" s="1566" t="inlineStr">
        <is>
          <t>C</t>
        </is>
      </c>
      <c r="B130" s="1382" t="inlineStr">
        <is>
          <t>Adam Anticaglia</t>
        </is>
      </c>
      <c r="C130" s="1611" t="inlineStr">
        <is>
          <t>Experience Designer (CMS)</t>
        </is>
      </c>
      <c r="D130" s="1382" t="inlineStr">
        <is>
          <t>Byron Thornhill</t>
        </is>
      </c>
      <c r="E130" s="1382" t="inlineStr">
        <is>
          <t>Design Manager</t>
        </is>
      </c>
      <c r="F130" s="1382" t="inlineStr">
        <is>
          <t>Customer</t>
        </is>
      </c>
      <c r="G130" s="1612" t="inlineStr">
        <is>
          <t>Digital</t>
        </is>
      </c>
      <c r="H130" s="1612" t="inlineStr">
        <is>
          <t>Digital, Design</t>
        </is>
      </c>
      <c r="I130" s="1382" t="inlineStr">
        <is>
          <t>Customer</t>
        </is>
      </c>
      <c r="J130" s="1382" t="inlineStr">
        <is>
          <t>Ampol Digital</t>
        </is>
      </c>
      <c r="K130" s="1382" t="inlineStr">
        <is>
          <t>Ampol Web</t>
        </is>
      </c>
      <c r="L130" s="1612" t="n"/>
      <c r="M130" s="1613" t="inlineStr">
        <is>
          <t>Australia</t>
        </is>
      </c>
      <c r="N130" s="1616" t="inlineStr">
        <is>
          <t>NA</t>
        </is>
      </c>
      <c r="O130" s="1614" t="n">
        <v>1</v>
      </c>
      <c r="P130" s="1616" t="n"/>
      <c r="Q130" s="1600" t="inlineStr">
        <is>
          <t>cxc</t>
        </is>
      </c>
      <c r="R130" s="1624" t="inlineStr">
        <is>
          <t>Daily</t>
        </is>
      </c>
      <c r="S130" s="1616" t="n">
        <v>1008</v>
      </c>
      <c r="T130" s="1627" t="n">
        <v>0</v>
      </c>
      <c r="U130" s="1627" t="n"/>
      <c r="V130" s="1612" t="n"/>
      <c r="W130" s="1612" t="n"/>
      <c r="X130" s="1612" t="n"/>
      <c r="Y130" s="1612" t="n"/>
      <c r="Z130" s="1612" t="n"/>
      <c r="AA130" s="1625">
        <f>S130*222</f>
        <v>223776</v>
      </c>
      <c r="AC130" s="865" t="inlineStr">
        <is>
          <t>Customer</t>
        </is>
      </c>
      <c r="AD130" s="865" t="inlineStr">
        <is>
          <t>Ampol Digital</t>
        </is>
      </c>
      <c r="AE130" s="865" t="inlineStr">
        <is>
          <t>Ampol Web</t>
        </is>
      </c>
      <c r="AF130" s="865" t="inlineStr">
        <is>
          <t>Squad</t>
        </is>
      </c>
      <c r="AG130" s="865" t="inlineStr">
        <is>
          <t>Filled</t>
        </is>
      </c>
    </row>
    <row r="131" hidden="1" ht="18" customHeight="1" s="866">
      <c r="A131" s="1566" t="n">
        <v>117173</v>
      </c>
      <c r="B131" s="1382" t="inlineStr">
        <is>
          <t>Ashwini Gaikwad</t>
        </is>
      </c>
      <c r="C131" s="1611" t="inlineStr">
        <is>
          <t>Quality Assurance</t>
        </is>
      </c>
      <c r="D131" s="1382" t="inlineStr">
        <is>
          <t>Mitesh Shah</t>
        </is>
      </c>
      <c r="E131" s="1382" t="inlineStr">
        <is>
          <t>Technology Manager, Digitial</t>
        </is>
      </c>
      <c r="F131" s="1382" t="inlineStr">
        <is>
          <t>Customer</t>
        </is>
      </c>
      <c r="G131" s="1612" t="inlineStr">
        <is>
          <t>Digital</t>
        </is>
      </c>
      <c r="H131" s="1382" t="inlineStr">
        <is>
          <t>Digital, Tech</t>
        </is>
      </c>
      <c r="I131" s="1612" t="inlineStr">
        <is>
          <t>Customer</t>
        </is>
      </c>
      <c r="J131" s="1382" t="inlineStr">
        <is>
          <t>Ampol Digital</t>
        </is>
      </c>
      <c r="K131" s="1382" t="inlineStr">
        <is>
          <t>Ampol Web</t>
        </is>
      </c>
      <c r="L131" s="1612" t="n"/>
      <c r="M131" s="1613" t="inlineStr">
        <is>
          <t>Australia</t>
        </is>
      </c>
      <c r="N131" s="1614" t="inlineStr">
        <is>
          <t>CDC</t>
        </is>
      </c>
      <c r="O131" s="1614" t="n">
        <v>1</v>
      </c>
      <c r="P131" s="1614" t="n"/>
      <c r="Q131" s="1634" t="inlineStr">
        <is>
          <t>Permanent - Full Time</t>
        </is>
      </c>
      <c r="R131" s="1616" t="n"/>
      <c r="S131" s="1616" t="n"/>
      <c r="T131" s="1627" t="n">
        <v>119900</v>
      </c>
      <c r="U131" s="1626" t="n">
        <v>119900</v>
      </c>
      <c r="V131" s="1619" t="n">
        <v>0.1</v>
      </c>
      <c r="W131" s="1622" t="n">
        <v>0.055</v>
      </c>
      <c r="X131" s="1622" t="n">
        <v>0.12</v>
      </c>
      <c r="Y131" s="1623" t="n"/>
      <c r="Z131" s="1622" t="n">
        <v>0.04</v>
      </c>
      <c r="AA131" s="1621">
        <f>U131*(1+V131+W131+X131+Y131+Z131)</f>
        <v>157668.5</v>
      </c>
      <c r="AC131" s="865" t="inlineStr">
        <is>
          <t>Customer</t>
        </is>
      </c>
      <c r="AD131" s="865" t="inlineStr">
        <is>
          <t>Ampol Digital</t>
        </is>
      </c>
      <c r="AE131" s="865" t="inlineStr">
        <is>
          <t>Ampol Web</t>
        </is>
      </c>
      <c r="AF131" s="865" t="inlineStr">
        <is>
          <t>Squad</t>
        </is>
      </c>
      <c r="AG131" s="865" t="inlineStr">
        <is>
          <t>Filled</t>
        </is>
      </c>
    </row>
    <row r="132" hidden="1" ht="18" customHeight="1" s="866">
      <c r="A132" s="1566" t="n">
        <v>109041</v>
      </c>
      <c r="B132" s="1382" t="inlineStr">
        <is>
          <t>Darwin Morales</t>
        </is>
      </c>
      <c r="C132" s="1611" t="inlineStr">
        <is>
          <t>Snr Engineer - FE</t>
        </is>
      </c>
      <c r="D132" s="1382" t="inlineStr">
        <is>
          <t>Mitesh Shah</t>
        </is>
      </c>
      <c r="E132" s="1382" t="inlineStr">
        <is>
          <t>Technology Manager, Digitial</t>
        </is>
      </c>
      <c r="F132" s="1382" t="inlineStr">
        <is>
          <t>Customer</t>
        </is>
      </c>
      <c r="G132" s="1612" t="inlineStr">
        <is>
          <t>Digital</t>
        </is>
      </c>
      <c r="H132" s="1382" t="inlineStr">
        <is>
          <t>Digital, Tech</t>
        </is>
      </c>
      <c r="I132" s="1612" t="inlineStr">
        <is>
          <t>Customer</t>
        </is>
      </c>
      <c r="J132" s="1382" t="inlineStr">
        <is>
          <t>Ampol Digital</t>
        </is>
      </c>
      <c r="K132" s="1382" t="inlineStr">
        <is>
          <t>Ampol Web</t>
        </is>
      </c>
      <c r="L132" s="1612" t="n"/>
      <c r="M132" s="1613" t="inlineStr">
        <is>
          <t>Australia</t>
        </is>
      </c>
      <c r="N132" s="1614" t="inlineStr">
        <is>
          <t>CIB</t>
        </is>
      </c>
      <c r="O132" s="1614" t="n">
        <v>1</v>
      </c>
      <c r="P132" s="1614" t="n"/>
      <c r="Q132" s="1634" t="inlineStr">
        <is>
          <t>Permanent - Full Time</t>
        </is>
      </c>
      <c r="R132" s="1616" t="n"/>
      <c r="S132" s="1616" t="n"/>
      <c r="T132" s="1627" t="n">
        <v>155320</v>
      </c>
      <c r="U132" s="1626" t="n">
        <v>155320</v>
      </c>
      <c r="V132" s="1619" t="n">
        <v>0.12</v>
      </c>
      <c r="W132" s="1622" t="n">
        <v>0.055</v>
      </c>
      <c r="X132" s="1622" t="n">
        <v>0.12</v>
      </c>
      <c r="Y132" s="1623" t="n"/>
      <c r="Z132" s="1622" t="n">
        <v>0.04</v>
      </c>
      <c r="AA132" s="1621">
        <f>U132*(1+V132+W132+X132+Y132+Z132)</f>
        <v>207352.2</v>
      </c>
      <c r="AC132" s="865" t="inlineStr">
        <is>
          <t>Customer</t>
        </is>
      </c>
      <c r="AD132" s="865" t="inlineStr">
        <is>
          <t>Ampol Digital</t>
        </is>
      </c>
      <c r="AE132" s="865" t="inlineStr">
        <is>
          <t>Ampol Web</t>
        </is>
      </c>
      <c r="AF132" s="865" t="inlineStr">
        <is>
          <t>Squad</t>
        </is>
      </c>
      <c r="AG132" s="865" t="inlineStr">
        <is>
          <t>Filled</t>
        </is>
      </c>
    </row>
    <row r="133" hidden="1" ht="18" customHeight="1" s="866">
      <c r="A133" s="1566" t="n">
        <v>114650</v>
      </c>
      <c r="B133" s="1382" t="inlineStr">
        <is>
          <t>Jin Zhong</t>
        </is>
      </c>
      <c r="C133" s="1611" t="inlineStr">
        <is>
          <t>Lead Engineer - BE</t>
        </is>
      </c>
      <c r="D133" s="1382" t="inlineStr">
        <is>
          <t>Vacant</t>
        </is>
      </c>
      <c r="E133" s="1382" t="inlineStr">
        <is>
          <t>Technology Manager, Digital Engineering</t>
        </is>
      </c>
      <c r="F133" s="1382" t="inlineStr">
        <is>
          <t>Customer</t>
        </is>
      </c>
      <c r="G133" s="1612" t="inlineStr">
        <is>
          <t>Digital</t>
        </is>
      </c>
      <c r="H133" s="1612" t="inlineStr">
        <is>
          <t>Tech, Digital Engineering</t>
        </is>
      </c>
      <c r="I133" s="1612" t="inlineStr">
        <is>
          <t>Customer</t>
        </is>
      </c>
      <c r="J133" s="1382" t="inlineStr">
        <is>
          <t>Ampol Digital</t>
        </is>
      </c>
      <c r="K133" s="1382" t="inlineStr">
        <is>
          <t>Ampol Web</t>
        </is>
      </c>
      <c r="L133" s="1612" t="n"/>
      <c r="M133" s="1613" t="inlineStr">
        <is>
          <t>Australia</t>
        </is>
      </c>
      <c r="N133" s="1614" t="inlineStr">
        <is>
          <t>CIC</t>
        </is>
      </c>
      <c r="O133" s="1614" t="n">
        <v>1</v>
      </c>
      <c r="P133" s="1614" t="n"/>
      <c r="Q133" s="1634" t="inlineStr">
        <is>
          <t>Permanent - Full Time</t>
        </is>
      </c>
      <c r="R133" s="1616" t="n"/>
      <c r="S133" s="1616" t="n"/>
      <c r="T133" s="1627" t="n">
        <v>180000</v>
      </c>
      <c r="U133" s="1626" t="n">
        <v>180000</v>
      </c>
      <c r="V133" s="1619" t="n">
        <v>0.12</v>
      </c>
      <c r="W133" s="1622" t="n">
        <v>0.055</v>
      </c>
      <c r="X133" s="1622" t="n">
        <v>0.12</v>
      </c>
      <c r="Y133" s="1623" t="n"/>
      <c r="Z133" s="1622" t="n">
        <v>0.04</v>
      </c>
      <c r="AA133" s="1621">
        <f>U133*(1+V133+W133+X133+Y133+Z133)</f>
        <v>240300</v>
      </c>
      <c r="AC133" s="865" t="inlineStr">
        <is>
          <t>Customer</t>
        </is>
      </c>
      <c r="AD133" s="865" t="inlineStr">
        <is>
          <t>Ampol Digital</t>
        </is>
      </c>
      <c r="AE133" s="865" t="inlineStr">
        <is>
          <t>Ampol Web</t>
        </is>
      </c>
      <c r="AF133" s="865" t="inlineStr">
        <is>
          <t>Squad</t>
        </is>
      </c>
      <c r="AG133" s="865" t="inlineStr">
        <is>
          <t>Filled</t>
        </is>
      </c>
    </row>
    <row r="134" hidden="1" ht="18" customHeight="1" s="866">
      <c r="A134" s="1566" t="inlineStr">
        <is>
          <t>C</t>
        </is>
      </c>
      <c r="B134" s="1382" t="inlineStr">
        <is>
          <t>Jordan Askwith</t>
        </is>
      </c>
      <c r="C134" s="1611" t="inlineStr">
        <is>
          <t>Solution Architect</t>
        </is>
      </c>
      <c r="D134" s="1382" t="inlineStr">
        <is>
          <t>Mitesh Shah</t>
        </is>
      </c>
      <c r="E134" s="1382" t="inlineStr">
        <is>
          <t>Technology Manager, Digitial</t>
        </is>
      </c>
      <c r="F134" s="1382" t="inlineStr">
        <is>
          <t>Customer</t>
        </is>
      </c>
      <c r="G134" s="1612" t="inlineStr">
        <is>
          <t>Digital</t>
        </is>
      </c>
      <c r="H134" s="1382" t="inlineStr">
        <is>
          <t>Digital, Tech</t>
        </is>
      </c>
      <c r="I134" s="1612" t="inlineStr">
        <is>
          <t>Customer</t>
        </is>
      </c>
      <c r="J134" s="1382" t="inlineStr">
        <is>
          <t>Ampol Digital</t>
        </is>
      </c>
      <c r="K134" s="1382" t="inlineStr">
        <is>
          <t>Ampol Web</t>
        </is>
      </c>
      <c r="L134" s="1612" t="n"/>
      <c r="M134" s="1613" t="inlineStr">
        <is>
          <t>Australia</t>
        </is>
      </c>
      <c r="N134" s="1616" t="inlineStr">
        <is>
          <t>NA</t>
        </is>
      </c>
      <c r="O134" s="1614" t="n">
        <v>1</v>
      </c>
      <c r="P134" s="1616" t="n"/>
      <c r="Q134" s="1639" t="inlineStr">
        <is>
          <t>Contractor</t>
        </is>
      </c>
      <c r="R134" s="1624" t="inlineStr">
        <is>
          <t>?</t>
        </is>
      </c>
      <c r="S134" s="1640" t="n">
        <v>1200</v>
      </c>
      <c r="T134" s="1627" t="n">
        <v>0</v>
      </c>
      <c r="U134" s="1627" t="n"/>
      <c r="V134" s="1612" t="n"/>
      <c r="W134" s="1612" t="n"/>
      <c r="X134" s="1612" t="n"/>
      <c r="Y134" s="1612" t="n"/>
      <c r="Z134" s="1612" t="n"/>
      <c r="AA134" s="1625">
        <f>S134*222</f>
        <v>266400</v>
      </c>
      <c r="AC134" s="865" t="inlineStr">
        <is>
          <t>Customer</t>
        </is>
      </c>
      <c r="AD134" s="865" t="inlineStr">
        <is>
          <t>Ampol Digital</t>
        </is>
      </c>
      <c r="AE134" s="865" t="inlineStr">
        <is>
          <t>Ampol Web</t>
        </is>
      </c>
      <c r="AF134" s="865" t="inlineStr">
        <is>
          <t>Squad</t>
        </is>
      </c>
      <c r="AG134" s="865" t="inlineStr">
        <is>
          <t>Filled</t>
        </is>
      </c>
    </row>
    <row r="135" hidden="1" ht="18" customHeight="1" s="866">
      <c r="A135" s="1566" t="inlineStr">
        <is>
          <t>C</t>
        </is>
      </c>
      <c r="B135" s="1382" t="inlineStr">
        <is>
          <t>Lily Fong</t>
        </is>
      </c>
      <c r="C135" s="1611" t="inlineStr">
        <is>
          <t>Snr Business Analyst</t>
        </is>
      </c>
      <c r="D135" s="1612" t="inlineStr">
        <is>
          <t>Vacant</t>
        </is>
      </c>
      <c r="E135" s="1382" t="inlineStr">
        <is>
          <t>Delivery Manager, Digital</t>
        </is>
      </c>
      <c r="F135" s="1382" t="inlineStr">
        <is>
          <t>Customer</t>
        </is>
      </c>
      <c r="G135" s="1612" t="inlineStr">
        <is>
          <t>Digital</t>
        </is>
      </c>
      <c r="H135" s="1612" t="inlineStr">
        <is>
          <t>Digital, Delivery</t>
        </is>
      </c>
      <c r="I135" s="1612" t="inlineStr">
        <is>
          <t>Customer</t>
        </is>
      </c>
      <c r="J135" s="1382" t="inlineStr">
        <is>
          <t>Ampol Digital</t>
        </is>
      </c>
      <c r="K135" s="1382" t="inlineStr">
        <is>
          <t>Ampol Web</t>
        </is>
      </c>
      <c r="L135" s="1612" t="n"/>
      <c r="M135" s="1613" t="inlineStr">
        <is>
          <t>Australia</t>
        </is>
      </c>
      <c r="N135" s="1616" t="inlineStr">
        <is>
          <t>NA</t>
        </is>
      </c>
      <c r="O135" s="1614" t="n">
        <v>1</v>
      </c>
      <c r="P135" s="1616" t="n"/>
      <c r="Q135" s="1600" t="inlineStr">
        <is>
          <t>cxc</t>
        </is>
      </c>
      <c r="R135" s="1624" t="inlineStr">
        <is>
          <t>Daily</t>
        </is>
      </c>
      <c r="S135" s="1616" t="n">
        <v>1120</v>
      </c>
      <c r="T135" s="1627" t="n">
        <v>0</v>
      </c>
      <c r="U135" s="1627" t="n"/>
      <c r="V135" s="1612" t="n"/>
      <c r="W135" s="1612" t="n"/>
      <c r="X135" s="1612" t="n"/>
      <c r="Y135" s="1612" t="n"/>
      <c r="Z135" s="1612" t="n"/>
      <c r="AA135" s="1625">
        <f>S135*222</f>
        <v>248640</v>
      </c>
      <c r="AC135" s="865" t="inlineStr">
        <is>
          <t>Customer</t>
        </is>
      </c>
      <c r="AD135" s="865" t="inlineStr">
        <is>
          <t>Ampol Digital</t>
        </is>
      </c>
      <c r="AE135" s="865" t="inlineStr">
        <is>
          <t>Ampol Web</t>
        </is>
      </c>
      <c r="AF135" s="865" t="inlineStr">
        <is>
          <t>Squad</t>
        </is>
      </c>
      <c r="AG135" s="865" t="inlineStr">
        <is>
          <t>Filled</t>
        </is>
      </c>
    </row>
    <row r="136" hidden="1" ht="18" customHeight="1" s="866">
      <c r="A136" s="1566" t="n">
        <v>108384</v>
      </c>
      <c r="B136" s="1382" t="inlineStr">
        <is>
          <t>Saugata Acharya</t>
        </is>
      </c>
      <c r="C136" s="1611" t="inlineStr">
        <is>
          <t>Delivery Lead</t>
        </is>
      </c>
      <c r="D136" s="1612" t="inlineStr">
        <is>
          <t>Vacant</t>
        </is>
      </c>
      <c r="E136" s="1382" t="inlineStr">
        <is>
          <t>Delivery Manager, Digital</t>
        </is>
      </c>
      <c r="F136" s="1382" t="inlineStr">
        <is>
          <t>Customer</t>
        </is>
      </c>
      <c r="G136" s="1612" t="inlineStr">
        <is>
          <t>Digital</t>
        </is>
      </c>
      <c r="H136" s="1612" t="inlineStr">
        <is>
          <t>Digital, Delivery</t>
        </is>
      </c>
      <c r="I136" s="1612" t="inlineStr">
        <is>
          <t>Customer</t>
        </is>
      </c>
      <c r="J136" s="1382" t="inlineStr">
        <is>
          <t>Ampol Digital</t>
        </is>
      </c>
      <c r="K136" s="1382" t="inlineStr">
        <is>
          <t>Ampol Web</t>
        </is>
      </c>
      <c r="L136" s="1612" t="n"/>
      <c r="M136" s="1613" t="inlineStr">
        <is>
          <t>Australia</t>
        </is>
      </c>
      <c r="N136" s="1614" t="inlineStr">
        <is>
          <t>CIC</t>
        </is>
      </c>
      <c r="O136" s="1614" t="n">
        <v>1</v>
      </c>
      <c r="P136" s="1614" t="n"/>
      <c r="Q136" s="1634" t="inlineStr">
        <is>
          <t>Permanent - Full Time</t>
        </is>
      </c>
      <c r="R136" s="1616" t="n"/>
      <c r="S136" s="1616" t="n"/>
      <c r="T136" s="1627" t="n">
        <v>182090</v>
      </c>
      <c r="U136" s="1626" t="n">
        <v>182090</v>
      </c>
      <c r="V136" s="1619" t="n">
        <v>0.12</v>
      </c>
      <c r="W136" s="1622" t="n">
        <v>0.055</v>
      </c>
      <c r="X136" s="1622" t="n">
        <v>0.12</v>
      </c>
      <c r="Y136" s="1623" t="n"/>
      <c r="Z136" s="1622" t="n">
        <v>0.04</v>
      </c>
      <c r="AA136" s="1621">
        <f>U136*(1+V136+W136+X136+Y136+Z136)</f>
        <v>243090.15</v>
      </c>
      <c r="AC136" s="865" t="inlineStr">
        <is>
          <t>Customer</t>
        </is>
      </c>
      <c r="AD136" s="865" t="inlineStr">
        <is>
          <t>Ampol Digital</t>
        </is>
      </c>
      <c r="AE136" s="865" t="inlineStr">
        <is>
          <t>Ampol Web</t>
        </is>
      </c>
      <c r="AF136" s="865" t="inlineStr">
        <is>
          <t>Squad</t>
        </is>
      </c>
      <c r="AG136" s="865" t="inlineStr">
        <is>
          <t>Filled</t>
        </is>
      </c>
    </row>
    <row r="137" hidden="1" ht="18" customHeight="1" s="866">
      <c r="A137" s="1647" t="inlineStr">
        <is>
          <t>V</t>
        </is>
      </c>
      <c r="B137" s="1648" t="inlineStr">
        <is>
          <t>Vacant</t>
        </is>
      </c>
      <c r="C137" s="1649" t="inlineStr">
        <is>
          <t>Snr Engineer - BE</t>
        </is>
      </c>
      <c r="D137" s="1648" t="inlineStr">
        <is>
          <t>Jin Zhong</t>
        </is>
      </c>
      <c r="E137" s="1648" t="inlineStr">
        <is>
          <t>Lead Engineer - BE</t>
        </is>
      </c>
      <c r="F137" s="1648" t="inlineStr">
        <is>
          <t>Customer</t>
        </is>
      </c>
      <c r="G137" s="1650" t="inlineStr">
        <is>
          <t>Digital</t>
        </is>
      </c>
      <c r="H137" s="1650" t="inlineStr">
        <is>
          <t>Tech, Digital Engineering</t>
        </is>
      </c>
      <c r="I137" s="1650" t="inlineStr">
        <is>
          <t>Customer</t>
        </is>
      </c>
      <c r="J137" s="1648" t="inlineStr">
        <is>
          <t>Ampol Digital</t>
        </is>
      </c>
      <c r="K137" s="865" t="inlineStr">
        <is>
          <t>Ampol Web</t>
        </is>
      </c>
      <c r="L137" s="1650" t="n"/>
      <c r="M137" s="1651" t="inlineStr">
        <is>
          <t>NZ</t>
        </is>
      </c>
      <c r="N137" s="1641" t="inlineStr">
        <is>
          <t>CIB</t>
        </is>
      </c>
      <c r="O137" s="1641" t="n">
        <v>1</v>
      </c>
      <c r="P137" s="1641" t="n"/>
      <c r="Q137" s="1634" t="inlineStr">
        <is>
          <t>v</t>
        </is>
      </c>
      <c r="R137" s="1642" t="n"/>
      <c r="S137" s="1642" t="n"/>
      <c r="T137" s="1627" t="n">
        <v>164000</v>
      </c>
      <c r="U137" s="1626" t="n">
        <v>150880</v>
      </c>
      <c r="V137" s="1619" t="n">
        <v>0.15</v>
      </c>
      <c r="W137" s="1616" t="n"/>
      <c r="X137" s="1619" t="n">
        <v>0.05</v>
      </c>
      <c r="Y137" s="1620" t="n">
        <v>2910</v>
      </c>
      <c r="Z137" s="1619" t="n">
        <v>0.03</v>
      </c>
      <c r="AA137" s="1621">
        <f>U137*(1+V137+X137+Z137)+Y137</f>
        <v>188492.4</v>
      </c>
      <c r="AC137" s="865" t="inlineStr">
        <is>
          <t>Customer</t>
        </is>
      </c>
      <c r="AD137" s="865" t="inlineStr">
        <is>
          <t>Ampol Digital</t>
        </is>
      </c>
      <c r="AE137" s="865" t="inlineStr">
        <is>
          <t>Ampol Web</t>
        </is>
      </c>
      <c r="AF137" s="865" t="inlineStr">
        <is>
          <t>Squad</t>
        </is>
      </c>
      <c r="AG137" s="865" t="inlineStr">
        <is>
          <t>Vacant</t>
        </is>
      </c>
    </row>
    <row r="138" hidden="1" ht="18" customHeight="1" s="866">
      <c r="A138" s="1566" t="n">
        <v>115607</v>
      </c>
      <c r="B138" s="1382" t="inlineStr">
        <is>
          <t>Zohan Sim</t>
        </is>
      </c>
      <c r="C138" s="1611" t="inlineStr">
        <is>
          <t>Engineer - BE</t>
        </is>
      </c>
      <c r="D138" s="1382" t="inlineStr">
        <is>
          <t>Jin Zhong</t>
        </is>
      </c>
      <c r="E138" s="1382" t="inlineStr">
        <is>
          <t>Lead Engineer - BE</t>
        </is>
      </c>
      <c r="F138" s="1382" t="inlineStr">
        <is>
          <t>Customer</t>
        </is>
      </c>
      <c r="G138" s="1612" t="inlineStr">
        <is>
          <t>Digital</t>
        </is>
      </c>
      <c r="H138" s="1612" t="inlineStr">
        <is>
          <t>Tech, Digital Engineering</t>
        </is>
      </c>
      <c r="I138" s="1612" t="inlineStr">
        <is>
          <t>Customer</t>
        </is>
      </c>
      <c r="J138" s="1382" t="inlineStr">
        <is>
          <t>Ampol Digital</t>
        </is>
      </c>
      <c r="K138" s="1382" t="inlineStr">
        <is>
          <t>Ampol Web</t>
        </is>
      </c>
      <c r="L138" s="1612" t="n"/>
      <c r="M138" s="1568" t="inlineStr">
        <is>
          <t>Australia</t>
        </is>
      </c>
      <c r="N138" s="1614" t="inlineStr">
        <is>
          <t>CIA</t>
        </is>
      </c>
      <c r="O138" s="1614" t="n">
        <v>1</v>
      </c>
      <c r="P138" s="1614" t="n"/>
      <c r="Q138" s="1614" t="inlineStr">
        <is>
          <t>Permanent - Full Time</t>
        </is>
      </c>
      <c r="R138" s="1616" t="n"/>
      <c r="S138" s="1616" t="n"/>
      <c r="T138" s="1627" t="n">
        <v>135000</v>
      </c>
      <c r="U138" s="1617" t="n">
        <v>135000</v>
      </c>
      <c r="V138" s="1652" t="n">
        <v>0.1</v>
      </c>
      <c r="W138" s="1653" t="n">
        <v>0.055</v>
      </c>
      <c r="X138" s="1653" t="n">
        <v>0.12</v>
      </c>
      <c r="Y138" s="1654" t="n"/>
      <c r="Z138" s="1653" t="n">
        <v>0.04</v>
      </c>
      <c r="AA138" s="1655">
        <f>U138*(1+V138+W138+X138+Y138+Z138)</f>
        <v>177525</v>
      </c>
      <c r="AC138" s="865" t="inlineStr">
        <is>
          <t>Customer</t>
        </is>
      </c>
      <c r="AD138" s="865" t="inlineStr">
        <is>
          <t>Ampol Digital</t>
        </is>
      </c>
      <c r="AE138" s="865" t="inlineStr">
        <is>
          <t>Ampol Web</t>
        </is>
      </c>
      <c r="AF138" s="865" t="inlineStr">
        <is>
          <t>Squad</t>
        </is>
      </c>
      <c r="AG138" s="865" t="inlineStr">
        <is>
          <t>Filled</t>
        </is>
      </c>
    </row>
    <row r="139" hidden="1" ht="18" customHeight="1" s="866">
      <c r="A139" s="1566" t="n">
        <v>99999101324</v>
      </c>
      <c r="B139" s="1628" t="inlineStr">
        <is>
          <t>Angela Gilbert</t>
        </is>
      </c>
      <c r="C139" s="1629" t="inlineStr">
        <is>
          <t>Martech Lead - Dynamics</t>
        </is>
      </c>
      <c r="D139" s="1612" t="inlineStr">
        <is>
          <t>Vacant</t>
        </is>
      </c>
      <c r="E139" s="1612" t="inlineStr">
        <is>
          <t>Delivery Manager, Loyalty</t>
        </is>
      </c>
      <c r="F139" s="1382" t="inlineStr">
        <is>
          <t>Customer</t>
        </is>
      </c>
      <c r="G139" s="1612" t="inlineStr">
        <is>
          <t>Loyalty &amp; Martech</t>
        </is>
      </c>
      <c r="H139" s="1382" t="inlineStr">
        <is>
          <t xml:space="preserve">Loyalty, Delivery </t>
        </is>
      </c>
      <c r="I139" s="1382" t="inlineStr">
        <is>
          <t>Customer</t>
        </is>
      </c>
      <c r="J139" s="1612" t="inlineStr">
        <is>
          <t>Group Customer</t>
        </is>
      </c>
      <c r="K139" s="1612" t="inlineStr">
        <is>
          <t>AU CRM &amp; Martech</t>
        </is>
      </c>
      <c r="L139" s="1612" t="n"/>
      <c r="M139" s="1568" t="inlineStr">
        <is>
          <t>NZ</t>
        </is>
      </c>
      <c r="N139" s="1614" t="inlineStr">
        <is>
          <t>CIC</t>
        </is>
      </c>
      <c r="O139" s="1615" t="n">
        <v>0.8</v>
      </c>
      <c r="P139" s="1614" t="n"/>
      <c r="Q139" s="1615" t="inlineStr">
        <is>
          <t>Permanent - Part Time</t>
        </is>
      </c>
      <c r="R139" s="1616" t="n"/>
      <c r="S139" s="1616" t="n"/>
      <c r="T139" s="1627" t="n">
        <v>169030</v>
      </c>
      <c r="U139" s="1626" t="n">
        <v>155507.6</v>
      </c>
      <c r="V139" s="1656" t="n">
        <v>0.15</v>
      </c>
      <c r="W139" s="1636" t="n"/>
      <c r="X139" s="1652" t="n">
        <v>0.05</v>
      </c>
      <c r="Y139" s="1657" t="n">
        <v>2910</v>
      </c>
      <c r="Z139" s="1652" t="n">
        <v>0.03</v>
      </c>
      <c r="AA139" s="1655">
        <f>U139*(1+V139+X139+Z139)+Y139</f>
        <v>194184.348</v>
      </c>
      <c r="AB139" s="865" t="n">
        <v>113508</v>
      </c>
      <c r="AC139" s="865" t="inlineStr">
        <is>
          <t>Customer</t>
        </is>
      </c>
      <c r="AD139" s="865" t="inlineStr">
        <is>
          <t>Group Customer Platforms</t>
        </is>
      </c>
      <c r="AE139" s="865" t="inlineStr">
        <is>
          <t>AU CRM &amp; Martech</t>
        </is>
      </c>
      <c r="AF139" s="865" t="inlineStr">
        <is>
          <t>Squad</t>
        </is>
      </c>
      <c r="AG139" s="865" t="inlineStr">
        <is>
          <t>Filled</t>
        </is>
      </c>
    </row>
    <row r="140" hidden="1" ht="18" customHeight="1" s="866">
      <c r="A140" s="1566" t="n">
        <v>111777</v>
      </c>
      <c r="B140" s="1628" t="inlineStr">
        <is>
          <t>Jeremy Xu</t>
        </is>
      </c>
      <c r="C140" s="1629" t="inlineStr">
        <is>
          <t>Data Analyst</t>
        </is>
      </c>
      <c r="D140" s="1612" t="inlineStr">
        <is>
          <t>Vacant</t>
        </is>
      </c>
      <c r="E140" s="1612" t="inlineStr">
        <is>
          <t>Technology Manager, Data &amp; Engineering</t>
        </is>
      </c>
      <c r="F140" s="1382" t="inlineStr">
        <is>
          <t>Customer</t>
        </is>
      </c>
      <c r="G140" s="1612" t="inlineStr">
        <is>
          <t>Loyalty &amp; Martech</t>
        </is>
      </c>
      <c r="H140" s="1382" t="inlineStr">
        <is>
          <t>Loyalty, Data &amp; Engineering</t>
        </is>
      </c>
      <c r="I140" s="1382" t="inlineStr">
        <is>
          <t>Customer</t>
        </is>
      </c>
      <c r="J140" s="1612" t="inlineStr">
        <is>
          <t>Group Customer</t>
        </is>
      </c>
      <c r="K140" s="1382" t="inlineStr">
        <is>
          <t>AU CRM &amp; Martech</t>
        </is>
      </c>
      <c r="L140" s="1612" t="n"/>
      <c r="M140" s="1568" t="inlineStr">
        <is>
          <t>Australia</t>
        </is>
      </c>
      <c r="N140" s="1614" t="inlineStr">
        <is>
          <t>CIB</t>
        </is>
      </c>
      <c r="O140" s="1614" t="n">
        <v>1</v>
      </c>
      <c r="P140" s="1614" t="n"/>
      <c r="Q140" s="1614" t="inlineStr">
        <is>
          <t>Permanent - Full Time</t>
        </is>
      </c>
      <c r="R140" s="1616" t="n"/>
      <c r="S140" s="1616" t="n"/>
      <c r="T140" s="1627" t="n">
        <v>145910</v>
      </c>
      <c r="U140" s="1626" t="n">
        <v>145910</v>
      </c>
      <c r="V140" s="1619" t="n">
        <v>0.12</v>
      </c>
      <c r="W140" s="1622" t="n">
        <v>0.055</v>
      </c>
      <c r="X140" s="1622" t="n">
        <v>0.12</v>
      </c>
      <c r="Y140" s="1623" t="n"/>
      <c r="Z140" s="1622" t="n">
        <v>0.04</v>
      </c>
      <c r="AA140" s="1621">
        <f>U140*(1+V140+W140+X140+Y140+Z140)</f>
        <v>194789.85</v>
      </c>
      <c r="AC140" s="865" t="inlineStr">
        <is>
          <t>Customer</t>
        </is>
      </c>
      <c r="AD140" s="865" t="inlineStr">
        <is>
          <t>Group Customer Platforms</t>
        </is>
      </c>
      <c r="AE140" s="865" t="inlineStr">
        <is>
          <t>AU CRM &amp; Martech</t>
        </is>
      </c>
      <c r="AF140" s="865" t="inlineStr">
        <is>
          <t>Squad</t>
        </is>
      </c>
      <c r="AG140" s="865" t="inlineStr">
        <is>
          <t>Filled</t>
        </is>
      </c>
    </row>
    <row r="141" hidden="1" ht="18" customHeight="1" s="866">
      <c r="A141" s="1566" t="n">
        <v>99999101891</v>
      </c>
      <c r="B141" s="1628" t="inlineStr">
        <is>
          <t>Shinal Chamberlain</t>
        </is>
      </c>
      <c r="C141" s="1629" t="inlineStr">
        <is>
          <t>Business Analyst</t>
        </is>
      </c>
      <c r="D141" s="1612" t="inlineStr">
        <is>
          <t>Vacant</t>
        </is>
      </c>
      <c r="E141" s="1612" t="inlineStr">
        <is>
          <t>Delivery Manager, Loyalty</t>
        </is>
      </c>
      <c r="F141" s="1382" t="inlineStr">
        <is>
          <t>Customer</t>
        </is>
      </c>
      <c r="G141" s="1612" t="inlineStr">
        <is>
          <t>Loyalty &amp; Martech</t>
        </is>
      </c>
      <c r="H141" s="1382" t="inlineStr">
        <is>
          <t xml:space="preserve">Loyalty, Delivery </t>
        </is>
      </c>
      <c r="I141" s="1382" t="inlineStr">
        <is>
          <t>Customer</t>
        </is>
      </c>
      <c r="J141" s="1612" t="inlineStr">
        <is>
          <t>Group Customer</t>
        </is>
      </c>
      <c r="K141" s="1612" t="inlineStr">
        <is>
          <t>AU CRM &amp; Martech</t>
        </is>
      </c>
      <c r="L141" s="1612" t="n"/>
      <c r="M141" s="1568" t="inlineStr">
        <is>
          <t>NZ</t>
        </is>
      </c>
      <c r="N141" s="1614" t="inlineStr">
        <is>
          <t>CIA</t>
        </is>
      </c>
      <c r="O141" s="1615" t="n">
        <v>1</v>
      </c>
      <c r="P141" s="1614" t="n"/>
      <c r="Q141" s="1615" t="inlineStr">
        <is>
          <t>Permanent - Full Time</t>
        </is>
      </c>
      <c r="R141" s="1616" t="n"/>
      <c r="S141" s="1616" t="n"/>
      <c r="T141" s="1627" t="n">
        <v>133930</v>
      </c>
      <c r="U141" s="1626" t="n">
        <v>123215.6</v>
      </c>
      <c r="V141" s="1618" t="n">
        <v>0.15</v>
      </c>
      <c r="W141" s="1616" t="n"/>
      <c r="X141" s="1619" t="n">
        <v>0.05</v>
      </c>
      <c r="Y141" s="1620" t="n">
        <v>2910</v>
      </c>
      <c r="Z141" s="1619" t="n">
        <v>0.03</v>
      </c>
      <c r="AA141" s="1621">
        <f>U141*(1+V141+X141+Z141)+Y141</f>
        <v>154465.188</v>
      </c>
      <c r="AB141" s="865" t="n">
        <v>113614</v>
      </c>
      <c r="AC141" s="865" t="inlineStr">
        <is>
          <t>Customer</t>
        </is>
      </c>
      <c r="AD141" s="865" t="inlineStr">
        <is>
          <t>Group Customer Platforms</t>
        </is>
      </c>
      <c r="AE141" s="865" t="inlineStr">
        <is>
          <t>AU CRM &amp; Martech</t>
        </is>
      </c>
      <c r="AF141" s="865" t="inlineStr">
        <is>
          <t>Squad</t>
        </is>
      </c>
      <c r="AG141" s="865" t="inlineStr">
        <is>
          <t>Filled</t>
        </is>
      </c>
    </row>
    <row r="142" hidden="1" ht="18" customHeight="1" s="866">
      <c r="A142" s="1566" t="inlineStr">
        <is>
          <t>V</t>
        </is>
      </c>
      <c r="B142" s="1658" t="inlineStr">
        <is>
          <t>Vacant</t>
        </is>
      </c>
      <c r="C142" s="1629" t="inlineStr">
        <is>
          <t>Data Analyst</t>
        </is>
      </c>
      <c r="D142" s="1612" t="inlineStr">
        <is>
          <t>Vacant</t>
        </is>
      </c>
      <c r="E142" s="1612" t="inlineStr">
        <is>
          <t>Technology Manager, Data &amp; Engineering</t>
        </is>
      </c>
      <c r="F142" s="1382" t="inlineStr">
        <is>
          <t>Customer</t>
        </is>
      </c>
      <c r="G142" s="1612" t="inlineStr">
        <is>
          <t>Loyalty &amp; Martech</t>
        </is>
      </c>
      <c r="H142" s="1382" t="inlineStr">
        <is>
          <t>Loyalty, Data &amp; Engineering</t>
        </is>
      </c>
      <c r="I142" s="1382" t="inlineStr">
        <is>
          <t>Customer</t>
        </is>
      </c>
      <c r="J142" s="1612" t="inlineStr">
        <is>
          <t>Group Customer</t>
        </is>
      </c>
      <c r="K142" s="1382" t="inlineStr">
        <is>
          <t>AU CRM &amp; Martech</t>
        </is>
      </c>
      <c r="L142" s="1612" t="n"/>
      <c r="M142" s="1568" t="inlineStr">
        <is>
          <t>Australia</t>
        </is>
      </c>
      <c r="N142" s="1614" t="inlineStr">
        <is>
          <t>CIB</t>
        </is>
      </c>
      <c r="O142" s="1614" t="n">
        <v>1</v>
      </c>
      <c r="P142" s="1614" t="n"/>
      <c r="Q142" s="1614" t="inlineStr">
        <is>
          <t>V</t>
        </is>
      </c>
      <c r="R142" s="1616" t="n"/>
      <c r="S142" s="1616" t="n"/>
      <c r="T142" s="1627" t="n">
        <v>151000</v>
      </c>
      <c r="U142" s="1626" t="n">
        <v>151000</v>
      </c>
      <c r="V142" s="1619" t="n">
        <v>0.12</v>
      </c>
      <c r="W142" s="1622" t="n">
        <v>0.055</v>
      </c>
      <c r="X142" s="1622" t="n">
        <v>0.12</v>
      </c>
      <c r="Y142" s="1623" t="n"/>
      <c r="Z142" s="1622" t="n">
        <v>0.04</v>
      </c>
      <c r="AA142" s="1621">
        <f>U142*(1+V142+W142+X142+Y142+Z142)</f>
        <v>201585</v>
      </c>
      <c r="AC142" s="865" t="inlineStr">
        <is>
          <t>Customer</t>
        </is>
      </c>
      <c r="AD142" s="865" t="inlineStr">
        <is>
          <t>Group Customer Platforms</t>
        </is>
      </c>
      <c r="AE142" s="865" t="inlineStr">
        <is>
          <t>AU CRM &amp; Martech</t>
        </is>
      </c>
      <c r="AF142" s="865" t="inlineStr">
        <is>
          <t>Squad</t>
        </is>
      </c>
      <c r="AG142" s="865" t="inlineStr">
        <is>
          <t>Vacant</t>
        </is>
      </c>
    </row>
    <row r="143" hidden="1" ht="18" customHeight="1" s="866">
      <c r="A143" s="1659" t="inlineStr">
        <is>
          <t>V</t>
        </is>
      </c>
      <c r="B143" s="1660" t="inlineStr">
        <is>
          <t>Vacant</t>
        </is>
      </c>
      <c r="C143" s="1661" t="inlineStr">
        <is>
          <t>Engineer Data (Snowflake)</t>
        </is>
      </c>
      <c r="D143" s="1662" t="inlineStr">
        <is>
          <t>Vacant</t>
        </is>
      </c>
      <c r="E143" s="1662" t="inlineStr">
        <is>
          <t>Technology Manager, Data &amp; Engineering</t>
        </is>
      </c>
      <c r="F143" s="1663" t="inlineStr">
        <is>
          <t>Customer</t>
        </is>
      </c>
      <c r="G143" s="1662" t="inlineStr">
        <is>
          <t>Loyalty &amp; Martech</t>
        </is>
      </c>
      <c r="H143" s="1663" t="inlineStr">
        <is>
          <t>Loyalty, Data &amp; Engineering</t>
        </is>
      </c>
      <c r="I143" s="1663" t="inlineStr">
        <is>
          <t>Customer</t>
        </is>
      </c>
      <c r="J143" s="1662" t="inlineStr">
        <is>
          <t>Group Customer</t>
        </is>
      </c>
      <c r="K143" s="1663" t="inlineStr">
        <is>
          <t>AU CRM &amp; Martech</t>
        </is>
      </c>
      <c r="L143" s="1662" t="n"/>
      <c r="M143" s="1664" t="inlineStr">
        <is>
          <t>Australia</t>
        </is>
      </c>
      <c r="N143" s="1665" t="inlineStr">
        <is>
          <t>CIB</t>
        </is>
      </c>
      <c r="O143" s="1665" t="n">
        <v>1</v>
      </c>
      <c r="P143" s="1665" t="n"/>
      <c r="Q143" s="1634" t="inlineStr">
        <is>
          <t>V</t>
        </is>
      </c>
      <c r="R143" s="1666" t="n"/>
      <c r="S143" s="1666" t="n"/>
      <c r="T143" s="1667" t="n">
        <v>151950</v>
      </c>
      <c r="U143" s="1668" t="n">
        <v>151950</v>
      </c>
      <c r="V143" s="1669" t="n">
        <v>0.12</v>
      </c>
      <c r="W143" s="1670" t="n">
        <v>0.055</v>
      </c>
      <c r="X143" s="1670" t="n">
        <v>0.12</v>
      </c>
      <c r="Y143" s="1671" t="n"/>
      <c r="Z143" s="1670" t="n">
        <v>0.04</v>
      </c>
      <c r="AA143" s="1672">
        <f>U143*(1+V143+W143+X143+Y143+Z143)</f>
        <v>202853.25</v>
      </c>
      <c r="AC143" s="865" t="inlineStr">
        <is>
          <t>Customer</t>
        </is>
      </c>
      <c r="AD143" s="865" t="inlineStr">
        <is>
          <t>Group Customer Platforms</t>
        </is>
      </c>
      <c r="AE143" s="865" t="inlineStr">
        <is>
          <t>AU CRM &amp; Martech</t>
        </is>
      </c>
      <c r="AF143" s="865" t="inlineStr">
        <is>
          <t>Squad</t>
        </is>
      </c>
      <c r="AG143" s="865" t="inlineStr">
        <is>
          <t>Vacant</t>
        </is>
      </c>
    </row>
    <row r="144" hidden="1" ht="18" customHeight="1" s="866">
      <c r="A144" s="1659" t="inlineStr">
        <is>
          <t>V</t>
        </is>
      </c>
      <c r="B144" s="1660" t="inlineStr">
        <is>
          <t>Vacant</t>
        </is>
      </c>
      <c r="C144" s="1661" t="inlineStr">
        <is>
          <t>Quality Assurance</t>
        </is>
      </c>
      <c r="D144" s="1662" t="inlineStr">
        <is>
          <t>Vacant</t>
        </is>
      </c>
      <c r="E144" s="1662" t="inlineStr">
        <is>
          <t>Delivery Manager, Loyalty</t>
        </is>
      </c>
      <c r="F144" s="1663" t="inlineStr">
        <is>
          <t>Customer</t>
        </is>
      </c>
      <c r="G144" s="1662" t="inlineStr">
        <is>
          <t>Loyalty &amp; Martech</t>
        </is>
      </c>
      <c r="H144" s="1663" t="inlineStr">
        <is>
          <t xml:space="preserve">Loyalty, Delivery </t>
        </is>
      </c>
      <c r="I144" s="1663" t="inlineStr">
        <is>
          <t>Customer</t>
        </is>
      </c>
      <c r="J144" s="1662" t="inlineStr">
        <is>
          <t>Group Customer</t>
        </is>
      </c>
      <c r="K144" s="1662" t="inlineStr">
        <is>
          <t>AU CRM &amp; Martech</t>
        </is>
      </c>
      <c r="L144" s="1662" t="n"/>
      <c r="M144" s="1568" t="inlineStr">
        <is>
          <t>Australia</t>
        </is>
      </c>
      <c r="N144" s="1614" t="inlineStr">
        <is>
          <t>CIA</t>
        </is>
      </c>
      <c r="O144" s="1614" t="n">
        <v>1</v>
      </c>
      <c r="P144" s="1614" t="n"/>
      <c r="Q144" s="1614" t="inlineStr">
        <is>
          <t>v</t>
        </is>
      </c>
      <c r="R144" s="1616" t="n"/>
      <c r="S144" s="1616" t="n"/>
      <c r="T144" s="1616" t="n">
        <v>129650</v>
      </c>
      <c r="U144" s="1617" t="n">
        <v>129650</v>
      </c>
      <c r="V144" s="1619" t="n">
        <v>0.1</v>
      </c>
      <c r="W144" s="1622" t="n">
        <v>0.055</v>
      </c>
      <c r="X144" s="1622" t="n">
        <v>0.12</v>
      </c>
      <c r="Y144" s="1623" t="n"/>
      <c r="Z144" s="1622" t="n">
        <v>0.04</v>
      </c>
      <c r="AA144" s="1621">
        <f>U144*(1+V144+W144+X144+Y144+Z144)</f>
        <v>170489.75</v>
      </c>
      <c r="AC144" s="865" t="inlineStr">
        <is>
          <t>Customer</t>
        </is>
      </c>
      <c r="AD144" s="865" t="inlineStr">
        <is>
          <t>Group Customer Platforms</t>
        </is>
      </c>
      <c r="AE144" s="865" t="inlineStr">
        <is>
          <t>AU CRM &amp; Martech</t>
        </is>
      </c>
      <c r="AF144" s="865" t="inlineStr">
        <is>
          <t>Squad</t>
        </is>
      </c>
      <c r="AG144" s="865" t="inlineStr">
        <is>
          <t>Vacant</t>
        </is>
      </c>
    </row>
    <row r="145" hidden="1" ht="18" customHeight="1" s="866">
      <c r="A145" s="1659" t="inlineStr">
        <is>
          <t>V</t>
        </is>
      </c>
      <c r="B145" s="1660" t="inlineStr">
        <is>
          <t>Vacant</t>
        </is>
      </c>
      <c r="C145" s="1661" t="inlineStr">
        <is>
          <t>System Specialist</t>
        </is>
      </c>
      <c r="D145" s="1662" t="inlineStr">
        <is>
          <t>Vacant</t>
        </is>
      </c>
      <c r="E145" s="1662" t="inlineStr">
        <is>
          <t>Delivery Manager, Loyalty</t>
        </is>
      </c>
      <c r="F145" s="1663" t="inlineStr">
        <is>
          <t>Customer</t>
        </is>
      </c>
      <c r="G145" s="1662" t="inlineStr">
        <is>
          <t>Loyalty &amp; Martech</t>
        </is>
      </c>
      <c r="H145" s="1663" t="inlineStr">
        <is>
          <t xml:space="preserve">Loyalty, Delivery </t>
        </is>
      </c>
      <c r="I145" s="1663" t="inlineStr">
        <is>
          <t>Customer</t>
        </is>
      </c>
      <c r="J145" s="1662" t="inlineStr">
        <is>
          <t>Group Customer</t>
        </is>
      </c>
      <c r="K145" s="1612" t="inlineStr">
        <is>
          <t>AU CRM &amp; Martech</t>
        </is>
      </c>
      <c r="L145" s="1662" t="n"/>
      <c r="M145" s="1568" t="inlineStr">
        <is>
          <t>Australia</t>
        </is>
      </c>
      <c r="N145" s="1614" t="inlineStr">
        <is>
          <t>CIB</t>
        </is>
      </c>
      <c r="O145" s="1614" t="n">
        <v>1</v>
      </c>
      <c r="P145" s="1614" t="n"/>
      <c r="Q145" s="1614" t="inlineStr">
        <is>
          <t>v</t>
        </is>
      </c>
      <c r="R145" s="1616" t="n"/>
      <c r="S145" s="1616" t="n"/>
      <c r="T145" s="1616" t="n">
        <v>151950</v>
      </c>
      <c r="U145" s="1617" t="n">
        <v>151950</v>
      </c>
      <c r="V145" s="1619" t="n">
        <v>0.12</v>
      </c>
      <c r="W145" s="1622" t="n">
        <v>0.055</v>
      </c>
      <c r="X145" s="1622" t="n">
        <v>0.12</v>
      </c>
      <c r="Y145" s="1623" t="n"/>
      <c r="Z145" s="1622" t="n">
        <v>0.04</v>
      </c>
      <c r="AA145" s="1621">
        <f>U145*(1+V145+W145+X145+Y145+Z145)</f>
        <v>202853.25</v>
      </c>
      <c r="AC145" s="865" t="inlineStr">
        <is>
          <t>Customer</t>
        </is>
      </c>
      <c r="AD145" s="865" t="inlineStr">
        <is>
          <t>Group Customer Platforms</t>
        </is>
      </c>
      <c r="AE145" s="865" t="inlineStr">
        <is>
          <t>AU CRM &amp; Martech</t>
        </is>
      </c>
      <c r="AF145" s="865" t="inlineStr">
        <is>
          <t>Squad</t>
        </is>
      </c>
      <c r="AG145" s="865" t="inlineStr">
        <is>
          <t>Vacant</t>
        </is>
      </c>
    </row>
    <row r="146" hidden="1" ht="18" customHeight="1" s="866">
      <c r="A146" s="1566" t="inlineStr">
        <is>
          <t>V</t>
        </is>
      </c>
      <c r="B146" s="1382" t="inlineStr">
        <is>
          <t>Vacant (B2B)</t>
        </is>
      </c>
      <c r="C146" s="1611" t="inlineStr">
        <is>
          <t>Engineer - BE</t>
        </is>
      </c>
      <c r="D146" s="1382" t="inlineStr">
        <is>
          <t>Vacant</t>
        </is>
      </c>
      <c r="E146" s="1382" t="inlineStr">
        <is>
          <t>Technology Manager, Digital Engineering</t>
        </is>
      </c>
      <c r="F146" s="1382" t="inlineStr">
        <is>
          <t>Customer</t>
        </is>
      </c>
      <c r="G146" s="1612" t="inlineStr">
        <is>
          <t>Digital</t>
        </is>
      </c>
      <c r="H146" s="1612" t="inlineStr">
        <is>
          <t>Tech, Digital Engineering</t>
        </is>
      </c>
      <c r="I146" s="1612" t="inlineStr">
        <is>
          <t>Customer</t>
        </is>
      </c>
      <c r="J146" s="1382" t="inlineStr">
        <is>
          <t>Ampol Digital</t>
        </is>
      </c>
      <c r="K146" s="1382" t="inlineStr">
        <is>
          <t>B2B</t>
        </is>
      </c>
      <c r="L146" s="1612" t="n"/>
      <c r="M146" s="1568" t="inlineStr">
        <is>
          <t>Australia</t>
        </is>
      </c>
      <c r="N146" s="1614" t="inlineStr">
        <is>
          <t>CIB</t>
        </is>
      </c>
      <c r="O146" s="1614" t="n">
        <v>1</v>
      </c>
      <c r="P146" s="1616" t="n"/>
      <c r="Q146" s="1614" t="inlineStr">
        <is>
          <t>V</t>
        </is>
      </c>
      <c r="R146" s="1616" t="n"/>
      <c r="S146" s="1616" t="n"/>
      <c r="T146" s="1616" t="n">
        <v>151950</v>
      </c>
      <c r="U146" s="1617" t="n">
        <v>151950</v>
      </c>
      <c r="V146" s="1619" t="n">
        <v>0.12</v>
      </c>
      <c r="W146" s="1622" t="n">
        <v>0.055</v>
      </c>
      <c r="X146" s="1622" t="n">
        <v>0.12</v>
      </c>
      <c r="Y146" s="1623" t="n"/>
      <c r="Z146" s="1622" t="n">
        <v>0.04</v>
      </c>
      <c r="AA146" s="1621">
        <f>U146*(1+V146+W146+X146+Y146+Z146)</f>
        <v>202853.25</v>
      </c>
      <c r="AC146" s="865" t="inlineStr">
        <is>
          <t>Energy Solutions &amp; B2B</t>
        </is>
      </c>
      <c r="AD146" s="865" t="inlineStr">
        <is>
          <t>B2B</t>
        </is>
      </c>
      <c r="AE146" s="865" t="inlineStr">
        <is>
          <t>B2B</t>
        </is>
      </c>
      <c r="AF146" s="865" t="inlineStr">
        <is>
          <t>Squad</t>
        </is>
      </c>
      <c r="AG146" s="865" t="inlineStr">
        <is>
          <t>Filled</t>
        </is>
      </c>
    </row>
    <row r="147" hidden="1" ht="18" customHeight="1" s="866">
      <c r="A147" s="1566" t="inlineStr">
        <is>
          <t>V</t>
        </is>
      </c>
      <c r="B147" s="1658" t="inlineStr">
        <is>
          <t>Vacant (B2B)</t>
        </is>
      </c>
      <c r="C147" s="1611" t="inlineStr">
        <is>
          <t>Engineer - BE</t>
        </is>
      </c>
      <c r="D147" s="1382" t="inlineStr">
        <is>
          <t>Vacant</t>
        </is>
      </c>
      <c r="E147" s="1382" t="inlineStr">
        <is>
          <t>Technology Manager, Digital Engineering</t>
        </is>
      </c>
      <c r="F147" s="1382" t="inlineStr">
        <is>
          <t>Customer</t>
        </is>
      </c>
      <c r="G147" s="1612" t="inlineStr">
        <is>
          <t>Digital</t>
        </is>
      </c>
      <c r="H147" s="1612" t="inlineStr">
        <is>
          <t>Tech, Digital Engineering</t>
        </is>
      </c>
      <c r="I147" s="1612" t="inlineStr">
        <is>
          <t>Customer</t>
        </is>
      </c>
      <c r="J147" s="1382" t="inlineStr">
        <is>
          <t>Ampol Digital</t>
        </is>
      </c>
      <c r="K147" s="1382" t="inlineStr">
        <is>
          <t>B2B</t>
        </is>
      </c>
      <c r="L147" s="1612" t="n"/>
      <c r="M147" s="1673" t="inlineStr">
        <is>
          <t>Australia</t>
        </is>
      </c>
      <c r="N147" s="1643" t="inlineStr">
        <is>
          <t>CIB</t>
        </is>
      </c>
      <c r="O147" s="1643" t="n">
        <v>1</v>
      </c>
      <c r="P147" s="1644" t="n"/>
      <c r="Q147" s="1634" t="inlineStr">
        <is>
          <t>V</t>
        </is>
      </c>
      <c r="R147" s="1644" t="n"/>
      <c r="S147" s="1644" t="n"/>
      <c r="T147" s="1674" t="n">
        <v>151950</v>
      </c>
      <c r="U147" s="1675" t="n">
        <v>151950</v>
      </c>
      <c r="V147" s="1676" t="n">
        <v>0.12</v>
      </c>
      <c r="W147" s="1677" t="n">
        <v>0.055</v>
      </c>
      <c r="X147" s="1677" t="n">
        <v>0.12</v>
      </c>
      <c r="Y147" s="1678" t="n"/>
      <c r="Z147" s="1677" t="n">
        <v>0.04</v>
      </c>
      <c r="AA147" s="1679">
        <f>U147*(1+V147+W147+X147+Y147+Z147)</f>
        <v>202853.25</v>
      </c>
      <c r="AC147" s="865" t="inlineStr">
        <is>
          <t>Energy Solutions &amp; B2B</t>
        </is>
      </c>
      <c r="AD147" s="865" t="inlineStr">
        <is>
          <t>B2B</t>
        </is>
      </c>
      <c r="AE147" s="865" t="inlineStr">
        <is>
          <t>B2B</t>
        </is>
      </c>
      <c r="AF147" s="865" t="inlineStr">
        <is>
          <t>Squad</t>
        </is>
      </c>
      <c r="AG147" s="865" t="inlineStr">
        <is>
          <t>Filled</t>
        </is>
      </c>
    </row>
    <row r="148" hidden="1" ht="18" customHeight="1" s="866">
      <c r="A148" s="1566" t="inlineStr">
        <is>
          <t>V</t>
        </is>
      </c>
      <c r="B148" s="1382" t="inlineStr">
        <is>
          <t>Vacant</t>
        </is>
      </c>
      <c r="C148" s="1629" t="inlineStr">
        <is>
          <t>Engineer, (TBD)</t>
        </is>
      </c>
      <c r="D148" s="1612" t="inlineStr">
        <is>
          <t>Vacant</t>
        </is>
      </c>
      <c r="E148" s="1612" t="inlineStr">
        <is>
          <t>AI Enablement Lead</t>
        </is>
      </c>
      <c r="F148" s="1382" t="inlineStr">
        <is>
          <t>Customer</t>
        </is>
      </c>
      <c r="G148" s="1612" t="inlineStr">
        <is>
          <t>Customer, AI Enablement</t>
        </is>
      </c>
      <c r="H148" s="1612" t="n"/>
      <c r="I148" s="1612" t="inlineStr">
        <is>
          <t>Customer</t>
        </is>
      </c>
      <c r="J148" s="1612" t="inlineStr">
        <is>
          <t>(All Customer)</t>
        </is>
      </c>
      <c r="K148" s="1382" t="inlineStr">
        <is>
          <t>Customer, AI</t>
        </is>
      </c>
      <c r="L148" s="1612" t="n"/>
      <c r="M148" s="1613" t="inlineStr">
        <is>
          <t>Australia</t>
        </is>
      </c>
      <c r="N148" s="1614" t="inlineStr">
        <is>
          <t>CIB</t>
        </is>
      </c>
      <c r="O148" s="1614" t="n">
        <v>1</v>
      </c>
      <c r="P148" s="1614" t="n"/>
      <c r="Q148" s="1634" t="inlineStr">
        <is>
          <t>V</t>
        </is>
      </c>
      <c r="R148" s="1616" t="n"/>
      <c r="S148" s="1616" t="n"/>
      <c r="T148" s="1627" t="n">
        <v>151950</v>
      </c>
      <c r="U148" s="1626" t="n">
        <v>151950</v>
      </c>
      <c r="V148" s="1619" t="n">
        <v>0.12</v>
      </c>
      <c r="W148" s="1622" t="n">
        <v>0.055</v>
      </c>
      <c r="X148" s="1622" t="n">
        <v>0.12</v>
      </c>
      <c r="Y148" s="1623" t="n"/>
      <c r="Z148" s="1622" t="n">
        <v>0.04</v>
      </c>
      <c r="AA148" s="1621">
        <f>U148*(1+V148+W148+X148+Y148+Z148)</f>
        <v>202853.25</v>
      </c>
      <c r="AC148" s="865" t="inlineStr">
        <is>
          <t>Customer</t>
        </is>
      </c>
      <c r="AD148" s="865" t="inlineStr">
        <is>
          <t>-</t>
        </is>
      </c>
      <c r="AE148" s="865" t="inlineStr">
        <is>
          <t>Customer AI</t>
        </is>
      </c>
      <c r="AF148" s="865" t="inlineStr">
        <is>
          <t>Squad</t>
        </is>
      </c>
      <c r="AG148" s="865" t="inlineStr">
        <is>
          <t>Vacant</t>
        </is>
      </c>
    </row>
    <row r="149" hidden="1" ht="18" customHeight="1" s="866">
      <c r="A149" s="1566" t="inlineStr">
        <is>
          <t>V</t>
        </is>
      </c>
      <c r="B149" s="1382" t="inlineStr">
        <is>
          <t>Vacant</t>
        </is>
      </c>
      <c r="C149" s="1629" t="inlineStr">
        <is>
          <t>Snr Engineer, (TBD</t>
        </is>
      </c>
      <c r="D149" s="1612" t="inlineStr">
        <is>
          <t>Vacant</t>
        </is>
      </c>
      <c r="E149" s="1612" t="inlineStr">
        <is>
          <t>AI Enablement Lead</t>
        </is>
      </c>
      <c r="F149" s="1382" t="inlineStr">
        <is>
          <t>Customer</t>
        </is>
      </c>
      <c r="G149" s="1612" t="inlineStr">
        <is>
          <t>Customer, AI Enablement</t>
        </is>
      </c>
      <c r="H149" s="1612" t="n"/>
      <c r="I149" s="1612" t="inlineStr">
        <is>
          <t>Customer</t>
        </is>
      </c>
      <c r="J149" s="1612" t="inlineStr">
        <is>
          <t>(All Customer)</t>
        </is>
      </c>
      <c r="K149" s="1382" t="inlineStr">
        <is>
          <t>Customer, AI</t>
        </is>
      </c>
      <c r="L149" s="1612" t="n"/>
      <c r="M149" s="1613" t="inlineStr">
        <is>
          <t>Australia</t>
        </is>
      </c>
      <c r="N149" s="1614" t="inlineStr">
        <is>
          <t>CIB</t>
        </is>
      </c>
      <c r="O149" s="1614" t="n">
        <v>1</v>
      </c>
      <c r="P149" s="1614" t="n"/>
      <c r="Q149" s="1634" t="inlineStr">
        <is>
          <t>v</t>
        </is>
      </c>
      <c r="R149" s="1616" t="n"/>
      <c r="S149" s="1616" t="n"/>
      <c r="T149" s="1627" t="n">
        <v>151950</v>
      </c>
      <c r="U149" s="1626" t="n">
        <v>151950</v>
      </c>
      <c r="V149" s="1619" t="n">
        <v>0.12</v>
      </c>
      <c r="W149" s="1622" t="n">
        <v>0.055</v>
      </c>
      <c r="X149" s="1622" t="n">
        <v>0.12</v>
      </c>
      <c r="Y149" s="1623" t="n"/>
      <c r="Z149" s="1622" t="n">
        <v>0.04</v>
      </c>
      <c r="AA149" s="1621">
        <f>U149*(1+V149+W149+X149+Y149+Z149)</f>
        <v>202853.25</v>
      </c>
      <c r="AC149" s="865" t="inlineStr">
        <is>
          <t>Customer</t>
        </is>
      </c>
      <c r="AD149" s="865" t="inlineStr">
        <is>
          <t>-</t>
        </is>
      </c>
      <c r="AE149" s="865" t="inlineStr">
        <is>
          <t>Customer AI</t>
        </is>
      </c>
      <c r="AF149" s="865" t="inlineStr">
        <is>
          <t>Squad</t>
        </is>
      </c>
      <c r="AG149" s="865" t="inlineStr">
        <is>
          <t>Vacant</t>
        </is>
      </c>
    </row>
    <row r="150" hidden="1" ht="18" customHeight="1" s="866">
      <c r="A150" s="1566" t="n">
        <v>97357</v>
      </c>
      <c r="B150" s="1382" t="inlineStr">
        <is>
          <t>Daniel Arban</t>
        </is>
      </c>
      <c r="C150" s="1611" t="inlineStr">
        <is>
          <t>Service Delivery Lead</t>
        </is>
      </c>
      <c r="D150" s="1382" t="inlineStr">
        <is>
          <t>Mark Wilson</t>
        </is>
      </c>
      <c r="E150" s="1382" t="inlineStr">
        <is>
          <t>Digital Support Manager(AU)</t>
        </is>
      </c>
      <c r="F150" s="1382" t="inlineStr">
        <is>
          <t>Customer</t>
        </is>
      </c>
      <c r="G150" s="1612" t="inlineStr">
        <is>
          <t>Digital</t>
        </is>
      </c>
      <c r="H150" s="1382" t="inlineStr">
        <is>
          <t>Digital Support (AU)</t>
        </is>
      </c>
      <c r="I150" s="1612" t="inlineStr">
        <is>
          <t>Customer</t>
        </is>
      </c>
      <c r="J150" s="1382" t="inlineStr">
        <is>
          <t>Ampol Digital</t>
        </is>
      </c>
      <c r="K150" s="1382" t="inlineStr">
        <is>
          <t>Digital Ops Support</t>
        </is>
      </c>
      <c r="L150" s="1612" t="n"/>
      <c r="M150" s="1613" t="inlineStr">
        <is>
          <t>Australia</t>
        </is>
      </c>
      <c r="N150" s="1614" t="inlineStr">
        <is>
          <t>CIA</t>
        </is>
      </c>
      <c r="O150" s="1614" t="n">
        <v>1</v>
      </c>
      <c r="P150" s="1614" t="n"/>
      <c r="Q150" s="1634" t="inlineStr">
        <is>
          <t>Permanent - Full Time</t>
        </is>
      </c>
      <c r="R150" s="1616" t="n"/>
      <c r="S150" s="1616" t="n"/>
      <c r="T150" s="1627" t="n">
        <v>126130</v>
      </c>
      <c r="U150" s="1626" t="n">
        <v>126130</v>
      </c>
      <c r="V150" s="1619" t="n">
        <v>0.1</v>
      </c>
      <c r="W150" s="1622" t="n">
        <v>0.055</v>
      </c>
      <c r="X150" s="1622" t="n">
        <v>0.12</v>
      </c>
      <c r="Y150" s="1623" t="n"/>
      <c r="Z150" s="1622" t="n">
        <v>0.04</v>
      </c>
      <c r="AA150" s="1621">
        <f>U150*(1+V150+W150+X150+Y150+Z150)</f>
        <v>165860.95</v>
      </c>
      <c r="AC150" s="865" t="inlineStr">
        <is>
          <t>Customer</t>
        </is>
      </c>
      <c r="AD150" s="865" t="inlineStr">
        <is>
          <t>Ampol Digital</t>
        </is>
      </c>
      <c r="AE150" s="865" t="inlineStr">
        <is>
          <t>Digital Operations</t>
        </is>
      </c>
      <c r="AF150" s="865" t="inlineStr">
        <is>
          <t>Squad</t>
        </is>
      </c>
      <c r="AG150" s="865" t="inlineStr">
        <is>
          <t>Filled</t>
        </is>
      </c>
    </row>
    <row r="151" hidden="1" ht="18" customHeight="1" s="866">
      <c r="A151" s="1566" t="n">
        <v>106200</v>
      </c>
      <c r="B151" s="1382" t="inlineStr">
        <is>
          <t>Emile Violi</t>
        </is>
      </c>
      <c r="C151" s="1611" t="inlineStr">
        <is>
          <t>Engineer - BE</t>
        </is>
      </c>
      <c r="D151" s="1382" t="inlineStr">
        <is>
          <t>Mark Wilson</t>
        </is>
      </c>
      <c r="E151" s="1382" t="inlineStr">
        <is>
          <t>Digital Support Manager(AU)</t>
        </is>
      </c>
      <c r="F151" s="1382" t="inlineStr">
        <is>
          <t>Customer</t>
        </is>
      </c>
      <c r="G151" s="1612" t="inlineStr">
        <is>
          <t>Digital</t>
        </is>
      </c>
      <c r="H151" s="1382" t="inlineStr">
        <is>
          <t>Digital Support (AU)</t>
        </is>
      </c>
      <c r="I151" s="1612" t="inlineStr">
        <is>
          <t>Customer</t>
        </is>
      </c>
      <c r="J151" s="1382" t="inlineStr">
        <is>
          <t>Ampol Digital</t>
        </is>
      </c>
      <c r="K151" s="1382" t="inlineStr">
        <is>
          <t>Digital Ops Support</t>
        </is>
      </c>
      <c r="L151" s="1612" t="n"/>
      <c r="M151" s="1613" t="inlineStr">
        <is>
          <t>Australia</t>
        </is>
      </c>
      <c r="N151" s="1614" t="inlineStr">
        <is>
          <t>CIB</t>
        </is>
      </c>
      <c r="O151" s="1614" t="n">
        <v>1</v>
      </c>
      <c r="P151" s="1614" t="n"/>
      <c r="Q151" s="1634" t="inlineStr">
        <is>
          <t>Permanent - Full Time</t>
        </is>
      </c>
      <c r="R151" s="1616" t="n"/>
      <c r="S151" s="1616" t="n"/>
      <c r="T151" s="1627" t="n">
        <v>160740</v>
      </c>
      <c r="U151" s="1626" t="n">
        <v>160740</v>
      </c>
      <c r="V151" s="1619" t="n">
        <v>0.12</v>
      </c>
      <c r="W151" s="1622" t="n">
        <v>0.055</v>
      </c>
      <c r="X151" s="1622" t="n">
        <v>0.12</v>
      </c>
      <c r="Y151" s="1623" t="n"/>
      <c r="Z151" s="1622" t="n">
        <v>0.04</v>
      </c>
      <c r="AA151" s="1621">
        <f>U151*(1+V151+W151+X151+Y151+Z151)</f>
        <v>214587.9</v>
      </c>
      <c r="AC151" s="865" t="inlineStr">
        <is>
          <t>Customer</t>
        </is>
      </c>
      <c r="AD151" s="865" t="inlineStr">
        <is>
          <t>Ampol Digital</t>
        </is>
      </c>
      <c r="AE151" s="865" t="inlineStr">
        <is>
          <t>Digital Operations</t>
        </is>
      </c>
      <c r="AF151" s="865" t="inlineStr">
        <is>
          <t>Squad</t>
        </is>
      </c>
      <c r="AG151" s="865" t="inlineStr">
        <is>
          <t>Filled</t>
        </is>
      </c>
    </row>
    <row r="152" hidden="1" ht="18" customHeight="1" s="866">
      <c r="A152" s="1566" t="n">
        <v>4781</v>
      </c>
      <c r="B152" s="1382" t="inlineStr">
        <is>
          <t>Mark Wilson</t>
        </is>
      </c>
      <c r="C152" s="1611" t="inlineStr">
        <is>
          <t>Digital Support Manager (AU)</t>
        </is>
      </c>
      <c r="D152" s="1382" t="inlineStr">
        <is>
          <t>Shona Paul</t>
        </is>
      </c>
      <c r="E152" s="1382" t="inlineStr">
        <is>
          <t>Head of Technology, Digital</t>
        </is>
      </c>
      <c r="F152" s="1382" t="inlineStr">
        <is>
          <t>Customer</t>
        </is>
      </c>
      <c r="G152" s="1612" t="inlineStr">
        <is>
          <t>Digital</t>
        </is>
      </c>
      <c r="H152" s="1612" t="inlineStr">
        <is>
          <t>Digital Support (AU)</t>
        </is>
      </c>
      <c r="I152" s="1612" t="inlineStr">
        <is>
          <t>Customer</t>
        </is>
      </c>
      <c r="J152" s="1382" t="inlineStr">
        <is>
          <t>Ampol Digital</t>
        </is>
      </c>
      <c r="K152" s="1382" t="inlineStr">
        <is>
          <t>Digital Ops Support</t>
        </is>
      </c>
      <c r="L152" s="1612" t="n"/>
      <c r="M152" s="1613" t="inlineStr">
        <is>
          <t>Australia</t>
        </is>
      </c>
      <c r="N152" s="1616" t="inlineStr">
        <is>
          <t>CIC</t>
        </is>
      </c>
      <c r="O152" s="1616" t="n">
        <v>1</v>
      </c>
      <c r="P152" s="1616" t="n"/>
      <c r="Q152" s="1600" t="inlineStr">
        <is>
          <t>Permanent - Full Time</t>
        </is>
      </c>
      <c r="R152" s="1616" t="n"/>
      <c r="S152" s="1616" t="n"/>
      <c r="T152" s="1627" t="n">
        <v>193100</v>
      </c>
      <c r="U152" s="1626" t="n">
        <v>193100</v>
      </c>
      <c r="V152" s="1619" t="n">
        <v>0.12</v>
      </c>
      <c r="W152" s="1622" t="n">
        <v>0.055</v>
      </c>
      <c r="X152" s="1622" t="n">
        <v>0.12</v>
      </c>
      <c r="Y152" s="1623" t="n"/>
      <c r="Z152" s="1622" t="n">
        <v>0.04</v>
      </c>
      <c r="AA152" s="1621">
        <f>U152*(1+V152+W152+X152+Y152+Z152)</f>
        <v>257788.5</v>
      </c>
      <c r="AC152" s="865" t="inlineStr">
        <is>
          <t>Customer</t>
        </is>
      </c>
      <c r="AD152" s="865" t="inlineStr">
        <is>
          <t>Ampol Digital</t>
        </is>
      </c>
      <c r="AE152" s="865" t="inlineStr">
        <is>
          <t>Digital Operations</t>
        </is>
      </c>
      <c r="AF152" s="865" t="inlineStr">
        <is>
          <t>Squad</t>
        </is>
      </c>
      <c r="AG152" s="865" t="inlineStr">
        <is>
          <t>Filled</t>
        </is>
      </c>
    </row>
    <row r="153" hidden="1" ht="18" customHeight="1" s="866">
      <c r="A153" s="1566" t="inlineStr">
        <is>
          <t>c</t>
        </is>
      </c>
      <c r="B153" s="1572" t="inlineStr">
        <is>
          <t>Shreema Das</t>
        </is>
      </c>
      <c r="C153" s="1611" t="inlineStr">
        <is>
          <t>Solution Architect</t>
        </is>
      </c>
      <c r="D153" s="1382" t="inlineStr">
        <is>
          <t>Mitesh Shah</t>
        </is>
      </c>
      <c r="E153" s="1382" t="inlineStr">
        <is>
          <t>Technology Manager, Digitial</t>
        </is>
      </c>
      <c r="F153" s="1382" t="inlineStr">
        <is>
          <t>Customer</t>
        </is>
      </c>
      <c r="G153" s="1612" t="inlineStr">
        <is>
          <t>Digital</t>
        </is>
      </c>
      <c r="H153" s="1382" t="inlineStr">
        <is>
          <t>Digital, Tech</t>
        </is>
      </c>
      <c r="I153" s="1612" t="inlineStr">
        <is>
          <t>Customer</t>
        </is>
      </c>
      <c r="J153" s="1382" t="inlineStr">
        <is>
          <t>Ampol Digital</t>
        </is>
      </c>
      <c r="K153" s="1382" t="inlineStr">
        <is>
          <t>Digital Ops Support</t>
        </is>
      </c>
      <c r="L153" s="1612" t="n"/>
      <c r="M153" s="1613" t="inlineStr">
        <is>
          <t>Australia</t>
        </is>
      </c>
      <c r="N153" s="1616" t="inlineStr">
        <is>
          <t>NA</t>
        </is>
      </c>
      <c r="O153" s="1614" t="n">
        <v>1</v>
      </c>
      <c r="P153" s="1614" t="n"/>
      <c r="Q153" s="1634" t="inlineStr">
        <is>
          <t>?</t>
        </is>
      </c>
      <c r="R153" s="1624" t="inlineStr">
        <is>
          <t>?</t>
        </is>
      </c>
      <c r="S153" s="1640" t="n">
        <v>1200</v>
      </c>
      <c r="T153" s="1627" t="n">
        <v>0</v>
      </c>
      <c r="U153" s="1627" t="n"/>
      <c r="V153" s="1612" t="n"/>
      <c r="W153" s="1612" t="n"/>
      <c r="X153" s="1612" t="n"/>
      <c r="Y153" s="1612" t="n"/>
      <c r="Z153" s="1612" t="n"/>
      <c r="AA153" s="1625">
        <f>S153*222</f>
        <v>266400</v>
      </c>
      <c r="AC153" s="865" t="inlineStr">
        <is>
          <t>Customer</t>
        </is>
      </c>
      <c r="AD153" s="865" t="inlineStr">
        <is>
          <t>Ampol Digital</t>
        </is>
      </c>
      <c r="AE153" s="865" t="inlineStr">
        <is>
          <t>Digital Operations</t>
        </is>
      </c>
      <c r="AF153" s="865" t="inlineStr">
        <is>
          <t>Squad</t>
        </is>
      </c>
      <c r="AG153" s="865" t="inlineStr">
        <is>
          <t>Filled</t>
        </is>
      </c>
    </row>
    <row r="154" hidden="1" ht="18" customHeight="1" s="866">
      <c r="A154" s="1566" t="inlineStr">
        <is>
          <t>V</t>
        </is>
      </c>
      <c r="B154" s="1382" t="inlineStr">
        <is>
          <t>Vacant</t>
        </is>
      </c>
      <c r="C154" s="1611" t="inlineStr">
        <is>
          <t>Engineer - BE</t>
        </is>
      </c>
      <c r="D154" s="1382" t="inlineStr">
        <is>
          <t>Mark Wilson</t>
        </is>
      </c>
      <c r="E154" s="1382" t="inlineStr">
        <is>
          <t>Digital Support Manager(AU)</t>
        </is>
      </c>
      <c r="F154" s="1382" t="inlineStr">
        <is>
          <t>Customer</t>
        </is>
      </c>
      <c r="G154" s="1612" t="inlineStr">
        <is>
          <t>Digital</t>
        </is>
      </c>
      <c r="H154" s="1382" t="inlineStr">
        <is>
          <t>Digital Support (AU)</t>
        </is>
      </c>
      <c r="I154" s="1612" t="inlineStr">
        <is>
          <t>Customer</t>
        </is>
      </c>
      <c r="J154" s="1382" t="inlineStr">
        <is>
          <t>Ampol Digital</t>
        </is>
      </c>
      <c r="K154" s="1382" t="inlineStr">
        <is>
          <t>Digital Ops Support</t>
        </is>
      </c>
      <c r="L154" s="1612" t="n"/>
      <c r="M154" s="1613" t="inlineStr">
        <is>
          <t>Australia</t>
        </is>
      </c>
      <c r="N154" s="1614" t="inlineStr">
        <is>
          <t>CIB</t>
        </is>
      </c>
      <c r="O154" s="1614" t="n">
        <v>1</v>
      </c>
      <c r="P154" s="1614" t="n"/>
      <c r="Q154" s="1634" t="inlineStr">
        <is>
          <t>V</t>
        </is>
      </c>
      <c r="R154" s="1616" t="n"/>
      <c r="S154" s="1616" t="n"/>
      <c r="T154" s="1627" t="n">
        <v>151950</v>
      </c>
      <c r="U154" s="1626" t="n">
        <v>151950</v>
      </c>
      <c r="V154" s="1619" t="n">
        <v>0.12</v>
      </c>
      <c r="W154" s="1622" t="n">
        <v>0.055</v>
      </c>
      <c r="X154" s="1622" t="n">
        <v>0.12</v>
      </c>
      <c r="Y154" s="1623" t="n"/>
      <c r="Z154" s="1622" t="n">
        <v>0.04</v>
      </c>
      <c r="AA154" s="1621">
        <f>U154*(1+V154+W154+X154+Y154+Z154)</f>
        <v>202853.25</v>
      </c>
      <c r="AC154" s="865" t="inlineStr">
        <is>
          <t>Customer</t>
        </is>
      </c>
      <c r="AD154" s="865" t="inlineStr">
        <is>
          <t>Ampol Digital</t>
        </is>
      </c>
      <c r="AE154" s="865" t="inlineStr">
        <is>
          <t>Digital Operations</t>
        </is>
      </c>
      <c r="AF154" s="865" t="inlineStr">
        <is>
          <t>Squad</t>
        </is>
      </c>
      <c r="AG154" s="865" t="inlineStr">
        <is>
          <t>Vacant</t>
        </is>
      </c>
    </row>
    <row r="155" hidden="1" ht="18" customHeight="1" s="866">
      <c r="A155" s="1566" t="inlineStr">
        <is>
          <t>V</t>
        </is>
      </c>
      <c r="B155" s="1382" t="inlineStr">
        <is>
          <t>Vacant</t>
        </is>
      </c>
      <c r="C155" s="1611" t="inlineStr">
        <is>
          <t>Engineer - BE</t>
        </is>
      </c>
      <c r="D155" s="1382" t="inlineStr">
        <is>
          <t>Mark Wilson</t>
        </is>
      </c>
      <c r="E155" s="1382" t="inlineStr">
        <is>
          <t>Digital Support Manager(AU)</t>
        </is>
      </c>
      <c r="F155" s="1382" t="inlineStr">
        <is>
          <t>Customer</t>
        </is>
      </c>
      <c r="G155" s="1612" t="inlineStr">
        <is>
          <t>Digital</t>
        </is>
      </c>
      <c r="H155" s="1382" t="inlineStr">
        <is>
          <t>Digital Support (AU)</t>
        </is>
      </c>
      <c r="I155" s="1612" t="inlineStr">
        <is>
          <t>Customer</t>
        </is>
      </c>
      <c r="J155" s="1382" t="inlineStr">
        <is>
          <t>Ampol Digital</t>
        </is>
      </c>
      <c r="K155" s="1382" t="inlineStr">
        <is>
          <t>Digital Ops Support</t>
        </is>
      </c>
      <c r="L155" s="1612" t="n"/>
      <c r="M155" s="1613" t="inlineStr">
        <is>
          <t>Australia</t>
        </is>
      </c>
      <c r="N155" s="1614" t="inlineStr">
        <is>
          <t>CIB</t>
        </is>
      </c>
      <c r="O155" s="1614" t="n">
        <v>1</v>
      </c>
      <c r="P155" s="1641" t="n"/>
      <c r="Q155" s="1634" t="inlineStr">
        <is>
          <t>V</t>
        </is>
      </c>
      <c r="R155" s="1642" t="n"/>
      <c r="S155" s="1616" t="n"/>
      <c r="T155" s="1627" t="n">
        <v>151950</v>
      </c>
      <c r="U155" s="1626" t="n">
        <v>151950</v>
      </c>
      <c r="V155" s="1619" t="n">
        <v>0.12</v>
      </c>
      <c r="W155" s="1622" t="n">
        <v>0.055</v>
      </c>
      <c r="X155" s="1622" t="n">
        <v>0.12</v>
      </c>
      <c r="Y155" s="1623" t="n"/>
      <c r="Z155" s="1622" t="n">
        <v>0.04</v>
      </c>
      <c r="AA155" s="1621">
        <f>U155*(1+V155+W155+X155+Y155+Z155)</f>
        <v>202853.25</v>
      </c>
      <c r="AC155" s="865" t="inlineStr">
        <is>
          <t>Customer</t>
        </is>
      </c>
      <c r="AD155" s="865" t="inlineStr">
        <is>
          <t>Ampol Digital</t>
        </is>
      </c>
      <c r="AE155" s="865" t="inlineStr">
        <is>
          <t>Digital Operations</t>
        </is>
      </c>
      <c r="AF155" s="865" t="inlineStr">
        <is>
          <t>Squad</t>
        </is>
      </c>
      <c r="AG155" s="865" t="inlineStr">
        <is>
          <t>Vacant</t>
        </is>
      </c>
    </row>
    <row r="156" hidden="1" ht="18" customHeight="1" s="866">
      <c r="A156" s="1566" t="inlineStr">
        <is>
          <t>V</t>
        </is>
      </c>
      <c r="B156" s="1382" t="inlineStr">
        <is>
          <t>Vacant</t>
        </is>
      </c>
      <c r="C156" s="1611" t="inlineStr">
        <is>
          <t>Quality Assurance</t>
        </is>
      </c>
      <c r="D156" s="1382" t="inlineStr">
        <is>
          <t>Mark Wilson</t>
        </is>
      </c>
      <c r="E156" s="1382" t="inlineStr">
        <is>
          <t>Digital Support Manager(AU)</t>
        </is>
      </c>
      <c r="F156" s="1382" t="inlineStr">
        <is>
          <t>Customer</t>
        </is>
      </c>
      <c r="G156" s="1612" t="inlineStr">
        <is>
          <t>Digital</t>
        </is>
      </c>
      <c r="H156" s="1382" t="inlineStr">
        <is>
          <t>Digital Support (AU)</t>
        </is>
      </c>
      <c r="I156" s="1612" t="inlineStr">
        <is>
          <t>Customer</t>
        </is>
      </c>
      <c r="J156" s="1382" t="inlineStr">
        <is>
          <t>Ampol Digital</t>
        </is>
      </c>
      <c r="K156" s="1382" t="inlineStr">
        <is>
          <t>Digital Ops Support</t>
        </is>
      </c>
      <c r="L156" s="1612" t="n"/>
      <c r="M156" s="1613" t="inlineStr">
        <is>
          <t>Australia</t>
        </is>
      </c>
      <c r="N156" s="1614" t="inlineStr">
        <is>
          <t>CIA</t>
        </is>
      </c>
      <c r="O156" s="1614" t="n">
        <v>1</v>
      </c>
      <c r="P156" s="1614" t="n"/>
      <c r="Q156" s="1614" t="inlineStr">
        <is>
          <t>v</t>
        </is>
      </c>
      <c r="R156" s="1616" t="n"/>
      <c r="S156" s="1616" t="n"/>
      <c r="T156" s="1627" t="n">
        <v>129650</v>
      </c>
      <c r="U156" s="1626" t="n">
        <v>129650</v>
      </c>
      <c r="V156" s="1619" t="n">
        <v>0.1</v>
      </c>
      <c r="W156" s="1622" t="n">
        <v>0.055</v>
      </c>
      <c r="X156" s="1622" t="n">
        <v>0.12</v>
      </c>
      <c r="Y156" s="1623" t="n"/>
      <c r="Z156" s="1622" t="n">
        <v>0.04</v>
      </c>
      <c r="AA156" s="1621">
        <f>U156*(1+V156+W156+X156+Y156+Z156)</f>
        <v>170489.75</v>
      </c>
      <c r="AC156" s="865" t="inlineStr">
        <is>
          <t>Customer</t>
        </is>
      </c>
      <c r="AD156" s="865" t="inlineStr">
        <is>
          <t>Ampol Digital</t>
        </is>
      </c>
      <c r="AE156" s="865" t="inlineStr">
        <is>
          <t>Digital Operations</t>
        </is>
      </c>
      <c r="AF156" s="865" t="inlineStr">
        <is>
          <t>Squad</t>
        </is>
      </c>
      <c r="AG156" s="865" t="inlineStr">
        <is>
          <t>Vacant</t>
        </is>
      </c>
    </row>
    <row r="157" hidden="1" ht="18" customHeight="1" s="866">
      <c r="A157" s="1566" t="inlineStr">
        <is>
          <t>C</t>
        </is>
      </c>
      <c r="B157" s="1382" t="inlineStr">
        <is>
          <t>Alan Peng</t>
        </is>
      </c>
      <c r="C157" s="1611" t="inlineStr">
        <is>
          <t>Delivery Lead</t>
        </is>
      </c>
      <c r="D157" s="1612" t="inlineStr">
        <is>
          <t>Vacant</t>
        </is>
      </c>
      <c r="E157" s="1382" t="inlineStr">
        <is>
          <t>Delivery Manager, Digital</t>
        </is>
      </c>
      <c r="F157" s="1382" t="inlineStr">
        <is>
          <t>Customer</t>
        </is>
      </c>
      <c r="G157" s="1612" t="inlineStr">
        <is>
          <t>Digital</t>
        </is>
      </c>
      <c r="H157" s="1612" t="inlineStr">
        <is>
          <t>Digital, Delivery</t>
        </is>
      </c>
      <c r="I157" s="1612" t="inlineStr">
        <is>
          <t>EGI Integration</t>
        </is>
      </c>
      <c r="J157" s="1382" t="inlineStr">
        <is>
          <t>EGI</t>
        </is>
      </c>
      <c r="K157" s="1382" t="inlineStr">
        <is>
          <t>EGI Customer</t>
        </is>
      </c>
      <c r="L157" s="1612" t="n"/>
      <c r="M157" s="1613" t="inlineStr">
        <is>
          <t>Australia</t>
        </is>
      </c>
      <c r="N157" s="1616" t="inlineStr">
        <is>
          <t>NA</t>
        </is>
      </c>
      <c r="O157" s="1614" t="n">
        <v>1</v>
      </c>
      <c r="P157" s="1616" t="n"/>
      <c r="Q157" s="1616" t="inlineStr">
        <is>
          <t>cxc</t>
        </is>
      </c>
      <c r="R157" s="1624" t="inlineStr">
        <is>
          <t>Daily</t>
        </is>
      </c>
      <c r="S157" s="1616" t="n">
        <v>1084.84</v>
      </c>
      <c r="T157" s="1627" t="n">
        <v>0</v>
      </c>
      <c r="U157" s="1627" t="n"/>
      <c r="V157" s="1612" t="n"/>
      <c r="W157" s="1612" t="n"/>
      <c r="X157" s="1612" t="n"/>
      <c r="Y157" s="1612" t="n"/>
      <c r="Z157" s="1612" t="n"/>
      <c r="AA157" s="1625">
        <f>S157*222</f>
        <v>240834.48</v>
      </c>
      <c r="AC157" s="865" t="inlineStr">
        <is>
          <t>Customer</t>
        </is>
      </c>
      <c r="AD157" s="865" t="inlineStr">
        <is>
          <t>EGI Customer</t>
        </is>
      </c>
      <c r="AE157" s="865" t="inlineStr">
        <is>
          <t>EGI Customer</t>
        </is>
      </c>
      <c r="AF157" s="865" t="inlineStr">
        <is>
          <t>Strategic Program</t>
        </is>
      </c>
      <c r="AG157" s="865" t="inlineStr">
        <is>
          <t>Filled</t>
        </is>
      </c>
    </row>
    <row r="158" hidden="1" ht="18" customHeight="1" s="866">
      <c r="A158" s="1566" t="n">
        <v>98144</v>
      </c>
      <c r="B158" s="1382" t="inlineStr">
        <is>
          <t>Angie Ng</t>
        </is>
      </c>
      <c r="C158" s="1611" t="inlineStr">
        <is>
          <t>Snr Engineer - BE</t>
        </is>
      </c>
      <c r="D158" s="1382" t="inlineStr">
        <is>
          <t>Khalid Mahmud</t>
        </is>
      </c>
      <c r="E158" s="1382" t="inlineStr">
        <is>
          <t>Lead Engineer - BE</t>
        </is>
      </c>
      <c r="F158" s="1382" t="inlineStr">
        <is>
          <t>Customer</t>
        </is>
      </c>
      <c r="G158" s="1612" t="inlineStr">
        <is>
          <t>Digital</t>
        </is>
      </c>
      <c r="H158" s="1612" t="inlineStr">
        <is>
          <t>Tech, Digital Engineering</t>
        </is>
      </c>
      <c r="I158" s="1612" t="inlineStr">
        <is>
          <t>EGI Integration</t>
        </is>
      </c>
      <c r="J158" s="1382" t="inlineStr">
        <is>
          <t>EGI</t>
        </is>
      </c>
      <c r="K158" s="1382" t="inlineStr">
        <is>
          <t>EGI Customer</t>
        </is>
      </c>
      <c r="L158" s="1612" t="n"/>
      <c r="M158" s="1613" t="inlineStr">
        <is>
          <t>Australia</t>
        </is>
      </c>
      <c r="N158" s="1614" t="inlineStr">
        <is>
          <t>CIB</t>
        </is>
      </c>
      <c r="O158" s="1614" t="n">
        <v>1</v>
      </c>
      <c r="P158" s="1614" t="n"/>
      <c r="Q158" s="1614" t="inlineStr">
        <is>
          <t>Permanent - Full Time</t>
        </is>
      </c>
      <c r="R158" s="1616" t="n"/>
      <c r="S158" s="1616" t="n"/>
      <c r="T158" s="1627" t="n">
        <v>163990</v>
      </c>
      <c r="U158" s="1626" t="n">
        <v>163990</v>
      </c>
      <c r="V158" s="1619" t="n">
        <v>0.12</v>
      </c>
      <c r="W158" s="1622" t="n">
        <v>0.055</v>
      </c>
      <c r="X158" s="1622" t="n">
        <v>0.12</v>
      </c>
      <c r="Y158" s="1623" t="n"/>
      <c r="Z158" s="1622" t="n">
        <v>0.04</v>
      </c>
      <c r="AA158" s="1621">
        <f>U158*(1+V158+W158+X158+Y158+Z158)</f>
        <v>218926.65</v>
      </c>
      <c r="AC158" s="865" t="inlineStr">
        <is>
          <t>Customer</t>
        </is>
      </c>
      <c r="AD158" s="865" t="inlineStr">
        <is>
          <t>EGI Customer</t>
        </is>
      </c>
      <c r="AE158" s="865" t="inlineStr">
        <is>
          <t>EGI Customer</t>
        </is>
      </c>
      <c r="AF158" s="865" t="inlineStr">
        <is>
          <t>Strategic Program</t>
        </is>
      </c>
      <c r="AG158" s="865" t="inlineStr">
        <is>
          <t>Filled</t>
        </is>
      </c>
    </row>
    <row r="159" hidden="1" ht="18" customHeight="1" s="866">
      <c r="A159" s="1566" t="n"/>
      <c r="B159" s="1382" t="inlineStr">
        <is>
          <t>Dasha Fothergill</t>
        </is>
      </c>
      <c r="C159" s="1611" t="inlineStr">
        <is>
          <t>Data Analyst</t>
        </is>
      </c>
      <c r="D159" s="1382" t="inlineStr">
        <is>
          <t>Vacant</t>
        </is>
      </c>
      <c r="E159" s="1382" t="inlineStr">
        <is>
          <t>Technology Manager, Data &amp; Engineering</t>
        </is>
      </c>
      <c r="F159" s="1628" t="inlineStr">
        <is>
          <t>Customer</t>
        </is>
      </c>
      <c r="G159" s="1612" t="inlineStr">
        <is>
          <t>Loyalty &amp; Martech</t>
        </is>
      </c>
      <c r="H159" s="1628" t="inlineStr">
        <is>
          <t>Loyalty, Data &amp; Engineering</t>
        </is>
      </c>
      <c r="I159" s="1612" t="inlineStr">
        <is>
          <t>EGI Integration</t>
        </is>
      </c>
      <c r="J159" s="1612" t="inlineStr">
        <is>
          <t>EGI</t>
        </is>
      </c>
      <c r="K159" s="1382" t="inlineStr">
        <is>
          <t>EGI Customer</t>
        </is>
      </c>
      <c r="L159" s="1612" t="n"/>
      <c r="M159" s="1613" t="inlineStr">
        <is>
          <t>NZ</t>
        </is>
      </c>
      <c r="N159" s="1616" t="inlineStr">
        <is>
          <t>CIA</t>
        </is>
      </c>
      <c r="O159" s="1615" t="n">
        <v>1</v>
      </c>
      <c r="P159" s="1616" t="n"/>
      <c r="Q159" s="1615" t="inlineStr">
        <is>
          <t>Permanent - Full Time</t>
        </is>
      </c>
      <c r="R159" s="1624" t="n"/>
      <c r="S159" s="1616" t="n"/>
      <c r="T159" s="1680" t="n">
        <v>120000</v>
      </c>
      <c r="U159" s="1626" t="n">
        <v>110400</v>
      </c>
      <c r="V159" s="1618" t="n">
        <v>0.15</v>
      </c>
      <c r="W159" s="1616" t="n"/>
      <c r="X159" s="1619" t="n">
        <v>0.05</v>
      </c>
      <c r="Y159" s="1620" t="n">
        <v>2910</v>
      </c>
      <c r="Z159" s="1619" t="n">
        <v>0.03</v>
      </c>
      <c r="AA159" s="1681">
        <f>U159*(1+V159+X159+Z159)+Y159</f>
        <v>138702</v>
      </c>
      <c r="AB159" s="865" t="n">
        <v>115809</v>
      </c>
      <c r="AC159" s="865" t="inlineStr">
        <is>
          <t>Customer</t>
        </is>
      </c>
      <c r="AD159" s="865" t="inlineStr">
        <is>
          <t>EGI Customer</t>
        </is>
      </c>
      <c r="AE159" s="865" t="inlineStr">
        <is>
          <t>EGI Customer</t>
        </is>
      </c>
      <c r="AF159" s="865" t="inlineStr">
        <is>
          <t>Strategic Program</t>
        </is>
      </c>
      <c r="AG159" s="865" t="inlineStr">
        <is>
          <t>Filled</t>
        </is>
      </c>
    </row>
    <row r="160" hidden="1" ht="18" customHeight="1" s="866">
      <c r="A160" s="1566" t="n">
        <v>107781</v>
      </c>
      <c r="B160" s="1382" t="inlineStr">
        <is>
          <t>Ramez Haider</t>
        </is>
      </c>
      <c r="C160" s="1611" t="inlineStr">
        <is>
          <t>Solution Architect</t>
        </is>
      </c>
      <c r="D160" s="1382" t="inlineStr">
        <is>
          <t>Mitesh Shah</t>
        </is>
      </c>
      <c r="E160" s="1382" t="inlineStr">
        <is>
          <t>Technology Manager, Digitial</t>
        </is>
      </c>
      <c r="F160" s="1382" t="inlineStr">
        <is>
          <t>Customer</t>
        </is>
      </c>
      <c r="G160" s="1612" t="inlineStr">
        <is>
          <t>Digital</t>
        </is>
      </c>
      <c r="H160" s="1382" t="inlineStr">
        <is>
          <t>Digital, Tech</t>
        </is>
      </c>
      <c r="I160" s="1612" t="inlineStr">
        <is>
          <t>EGI Integration</t>
        </is>
      </c>
      <c r="J160" s="1382" t="inlineStr">
        <is>
          <t>EGI</t>
        </is>
      </c>
      <c r="K160" s="1382" t="inlineStr">
        <is>
          <t>EGI Customer</t>
        </is>
      </c>
      <c r="L160" s="1612" t="n"/>
      <c r="M160" s="1613" t="inlineStr">
        <is>
          <t>Australia</t>
        </is>
      </c>
      <c r="N160" s="1614" t="inlineStr">
        <is>
          <t>CIB</t>
        </is>
      </c>
      <c r="O160" s="1614" t="n">
        <v>1</v>
      </c>
      <c r="P160" s="1614" t="n"/>
      <c r="Q160" s="1614" t="inlineStr">
        <is>
          <t>Permanent - Full Time</t>
        </is>
      </c>
      <c r="R160" s="1616" t="n"/>
      <c r="S160" s="1616" t="n"/>
      <c r="T160" s="1627" t="n">
        <v>167750</v>
      </c>
      <c r="U160" s="1626" t="n">
        <v>167750</v>
      </c>
      <c r="V160" s="1619" t="n">
        <v>0.12</v>
      </c>
      <c r="W160" s="1622" t="n">
        <v>0.055</v>
      </c>
      <c r="X160" s="1622" t="n">
        <v>0.12</v>
      </c>
      <c r="Y160" s="1623" t="n"/>
      <c r="Z160" s="1622" t="n">
        <v>0.04</v>
      </c>
      <c r="AA160" s="1621">
        <f>U160*(1+V160+W160+X160+Y160+Z160)</f>
        <v>223946.25</v>
      </c>
      <c r="AC160" s="865" t="inlineStr">
        <is>
          <t>Customer</t>
        </is>
      </c>
      <c r="AD160" s="865" t="inlineStr">
        <is>
          <t>EGI Customer</t>
        </is>
      </c>
      <c r="AE160" s="865" t="inlineStr">
        <is>
          <t>EGI Customer</t>
        </is>
      </c>
      <c r="AF160" s="865" t="inlineStr">
        <is>
          <t>Strategic Program</t>
        </is>
      </c>
      <c r="AG160" s="865" t="inlineStr">
        <is>
          <t>Filled</t>
        </is>
      </c>
    </row>
    <row r="161" hidden="1" ht="18" customHeight="1" s="866">
      <c r="A161" s="1566" t="n">
        <v>114395</v>
      </c>
      <c r="B161" s="1382" t="inlineStr">
        <is>
          <t>Rishabh Bhatia</t>
        </is>
      </c>
      <c r="C161" s="1611" t="inlineStr">
        <is>
          <t>Engineer - Mobile (Android)</t>
        </is>
      </c>
      <c r="D161" s="1382" t="inlineStr">
        <is>
          <t>Mitesh Shah</t>
        </is>
      </c>
      <c r="E161" s="1382" t="inlineStr">
        <is>
          <t>Technology Manager, Digitial</t>
        </is>
      </c>
      <c r="F161" s="1382" t="inlineStr">
        <is>
          <t>Customer</t>
        </is>
      </c>
      <c r="G161" s="1612" t="inlineStr">
        <is>
          <t>Digital</t>
        </is>
      </c>
      <c r="H161" s="1382" t="inlineStr">
        <is>
          <t>Digital, Tech</t>
        </is>
      </c>
      <c r="I161" s="1612" t="inlineStr">
        <is>
          <t>EGI Integration</t>
        </is>
      </c>
      <c r="J161" s="1382" t="inlineStr">
        <is>
          <t>EGI</t>
        </is>
      </c>
      <c r="K161" s="1382" t="inlineStr">
        <is>
          <t>EGI Customer</t>
        </is>
      </c>
      <c r="L161" s="1612" t="n"/>
      <c r="M161" s="1613" t="inlineStr">
        <is>
          <t>Australia</t>
        </is>
      </c>
      <c r="N161" s="1614" t="inlineStr">
        <is>
          <t>CIB</t>
        </is>
      </c>
      <c r="O161" s="1614" t="n">
        <v>1</v>
      </c>
      <c r="P161" s="1614" t="n"/>
      <c r="Q161" s="1614" t="inlineStr">
        <is>
          <t>Permanent - Full Time</t>
        </is>
      </c>
      <c r="R161" s="1616" t="n"/>
      <c r="S161" s="1616" t="n"/>
      <c r="T161" s="1627" t="n">
        <v>148310</v>
      </c>
      <c r="U161" s="1626" t="n">
        <v>148310</v>
      </c>
      <c r="V161" s="1619" t="n">
        <v>0.12</v>
      </c>
      <c r="W161" s="1622" t="n">
        <v>0.055</v>
      </c>
      <c r="X161" s="1622" t="n">
        <v>0.12</v>
      </c>
      <c r="Y161" s="1623" t="n"/>
      <c r="Z161" s="1622" t="n">
        <v>0.04</v>
      </c>
      <c r="AA161" s="1621">
        <f>U161*(1+V161+W161+X161+Y161+Z161)</f>
        <v>197993.85</v>
      </c>
      <c r="AC161" s="865" t="inlineStr">
        <is>
          <t>Customer</t>
        </is>
      </c>
      <c r="AD161" s="865" t="inlineStr">
        <is>
          <t>EGI Customer</t>
        </is>
      </c>
      <c r="AE161" s="865" t="inlineStr">
        <is>
          <t>EGI Customer</t>
        </is>
      </c>
      <c r="AF161" s="865" t="inlineStr">
        <is>
          <t>Strategic Program</t>
        </is>
      </c>
      <c r="AG161" s="865" t="inlineStr">
        <is>
          <t>Filled</t>
        </is>
      </c>
    </row>
    <row r="162" hidden="1" ht="18" customHeight="1" s="866">
      <c r="A162" s="1566" t="inlineStr">
        <is>
          <t>C</t>
        </is>
      </c>
      <c r="B162" s="1382" t="inlineStr">
        <is>
          <t>Rob Jadrjevic</t>
        </is>
      </c>
      <c r="C162" s="1611" t="inlineStr">
        <is>
          <t>Engineer - BE</t>
        </is>
      </c>
      <c r="D162" s="1382" t="inlineStr">
        <is>
          <t>Vacant</t>
        </is>
      </c>
      <c r="E162" s="1382" t="inlineStr">
        <is>
          <t>Technology Manager, Digital Engineering</t>
        </is>
      </c>
      <c r="F162" s="1382" t="inlineStr">
        <is>
          <t>Customer</t>
        </is>
      </c>
      <c r="G162" s="1612" t="inlineStr">
        <is>
          <t>Digital</t>
        </is>
      </c>
      <c r="H162" s="1612" t="inlineStr">
        <is>
          <t>Tech, Digital Engineering</t>
        </is>
      </c>
      <c r="I162" s="1612" t="inlineStr">
        <is>
          <t>EGI Integration</t>
        </is>
      </c>
      <c r="J162" s="1382" t="inlineStr">
        <is>
          <t>EGI</t>
        </is>
      </c>
      <c r="K162" s="1382" t="inlineStr">
        <is>
          <t>EGI Customer</t>
        </is>
      </c>
      <c r="L162" s="1612" t="n"/>
      <c r="M162" s="1613" t="inlineStr">
        <is>
          <t>Australia</t>
        </is>
      </c>
      <c r="N162" s="1616" t="inlineStr">
        <is>
          <t>NA</t>
        </is>
      </c>
      <c r="O162" s="1614" t="n">
        <v>1</v>
      </c>
      <c r="P162" s="1616" t="n"/>
      <c r="Q162" s="1616" t="inlineStr">
        <is>
          <t>cxc</t>
        </is>
      </c>
      <c r="R162" s="1624" t="inlineStr">
        <is>
          <t>Daily</t>
        </is>
      </c>
      <c r="S162" s="1616" t="n">
        <v>1350</v>
      </c>
      <c r="T162" s="1627" t="n">
        <v>0</v>
      </c>
      <c r="U162" s="1627" t="n"/>
      <c r="V162" s="1612" t="n"/>
      <c r="W162" s="1612" t="n"/>
      <c r="X162" s="1612" t="n"/>
      <c r="Y162" s="1612" t="n"/>
      <c r="Z162" s="1612" t="n"/>
      <c r="AA162" s="1625">
        <f>S162*222</f>
        <v>299700</v>
      </c>
      <c r="AC162" s="865" t="inlineStr">
        <is>
          <t>Customer</t>
        </is>
      </c>
      <c r="AD162" s="865" t="inlineStr">
        <is>
          <t>EGI Customer</t>
        </is>
      </c>
      <c r="AE162" s="865" t="inlineStr">
        <is>
          <t>EGI Customer</t>
        </is>
      </c>
      <c r="AF162" s="865" t="inlineStr">
        <is>
          <t>Strategic Program</t>
        </is>
      </c>
      <c r="AG162" s="865" t="inlineStr">
        <is>
          <t>Filled</t>
        </is>
      </c>
    </row>
    <row r="163" hidden="1" ht="18" customHeight="1" s="866">
      <c r="A163" s="1682" t="n">
        <v>88332</v>
      </c>
      <c r="B163" s="1382" t="inlineStr">
        <is>
          <t>Safiq Iqbal</t>
        </is>
      </c>
      <c r="C163" s="1611" t="inlineStr">
        <is>
          <t>Principal Engineer</t>
        </is>
      </c>
      <c r="D163" s="1382" t="inlineStr">
        <is>
          <t>Shona Paul</t>
        </is>
      </c>
      <c r="E163" s="1382" t="inlineStr">
        <is>
          <t>Head of Technology, Digital</t>
        </is>
      </c>
      <c r="F163" s="1382" t="inlineStr">
        <is>
          <t>Customer</t>
        </is>
      </c>
      <c r="G163" s="1612" t="inlineStr">
        <is>
          <t>Digital</t>
        </is>
      </c>
      <c r="H163" s="1612" t="inlineStr">
        <is>
          <t>EGI</t>
        </is>
      </c>
      <c r="I163" s="1612" t="inlineStr">
        <is>
          <t>EGI Integration</t>
        </is>
      </c>
      <c r="J163" s="1382" t="inlineStr">
        <is>
          <t>EGI</t>
        </is>
      </c>
      <c r="K163" s="1382" t="inlineStr">
        <is>
          <t>EGI Customer</t>
        </is>
      </c>
      <c r="L163" s="1612" t="n"/>
      <c r="M163" s="1613" t="inlineStr">
        <is>
          <t>Australia</t>
        </is>
      </c>
      <c r="N163" s="1683" t="inlineStr">
        <is>
          <t xml:space="preserve">CIC </t>
        </is>
      </c>
      <c r="O163" s="1683" t="n">
        <v>1</v>
      </c>
      <c r="P163" s="1683" t="n"/>
      <c r="Q163" s="1683" t="inlineStr">
        <is>
          <t>Permanent - Full Time</t>
        </is>
      </c>
      <c r="R163" s="1382" t="n"/>
      <c r="S163" s="1382" t="n"/>
      <c r="T163" s="1680" t="n">
        <v>182760</v>
      </c>
      <c r="U163" s="1626" t="n">
        <v>182760</v>
      </c>
      <c r="V163" s="1619" t="n">
        <v>0.12</v>
      </c>
      <c r="W163" s="1622" t="n">
        <v>0.055</v>
      </c>
      <c r="X163" s="1622" t="n">
        <v>0.12</v>
      </c>
      <c r="Y163" s="1623" t="n"/>
      <c r="Z163" s="1622" t="n">
        <v>0.04</v>
      </c>
      <c r="AA163" s="1621">
        <f>U163*(1+V163+W163+X163+Y163+Z163)</f>
        <v>243984.6</v>
      </c>
      <c r="AC163" s="865" t="inlineStr">
        <is>
          <t>Customer</t>
        </is>
      </c>
      <c r="AD163" s="865" t="inlineStr">
        <is>
          <t>EGI Customer</t>
        </is>
      </c>
      <c r="AE163" s="865" t="inlineStr">
        <is>
          <t>EGI Customer</t>
        </is>
      </c>
      <c r="AF163" s="865" t="inlineStr">
        <is>
          <t>Strategic Program</t>
        </is>
      </c>
      <c r="AG163" s="865" t="inlineStr">
        <is>
          <t>Filled</t>
        </is>
      </c>
    </row>
    <row r="164" hidden="1" ht="18" customHeight="1" s="866">
      <c r="A164" s="1566" t="n">
        <v>117595</v>
      </c>
      <c r="B164" s="1382" t="inlineStr">
        <is>
          <t>Sri Balan Raj</t>
        </is>
      </c>
      <c r="C164" s="1611" t="inlineStr">
        <is>
          <t>Business Analyst</t>
        </is>
      </c>
      <c r="D164" s="1612" t="inlineStr">
        <is>
          <t>Vacant</t>
        </is>
      </c>
      <c r="E164" s="1382" t="inlineStr">
        <is>
          <t>Delivery Manager, Digital</t>
        </is>
      </c>
      <c r="F164" s="1382" t="inlineStr">
        <is>
          <t>Customer</t>
        </is>
      </c>
      <c r="G164" s="1612" t="inlineStr">
        <is>
          <t>Digital</t>
        </is>
      </c>
      <c r="H164" s="1612" t="inlineStr">
        <is>
          <t>Digital, Delivery</t>
        </is>
      </c>
      <c r="I164" s="1612" t="inlineStr">
        <is>
          <t>EGI Integration</t>
        </is>
      </c>
      <c r="J164" s="1382" t="inlineStr">
        <is>
          <t>EGI</t>
        </is>
      </c>
      <c r="K164" s="1382" t="inlineStr">
        <is>
          <t>EGI Customer</t>
        </is>
      </c>
      <c r="L164" s="1612" t="n"/>
      <c r="M164" s="1613" t="inlineStr">
        <is>
          <t>Australia</t>
        </is>
      </c>
      <c r="N164" s="1614" t="inlineStr">
        <is>
          <t>CIB</t>
        </is>
      </c>
      <c r="O164" s="1614" t="n">
        <v>1</v>
      </c>
      <c r="P164" s="1614" t="n"/>
      <c r="Q164" s="1614" t="inlineStr">
        <is>
          <t>Permanent - Full Time</t>
        </is>
      </c>
      <c r="R164" s="1624" t="n"/>
      <c r="S164" s="1616" t="n"/>
      <c r="T164" s="1627" t="n">
        <v>160000</v>
      </c>
      <c r="U164" s="1626" t="n">
        <v>160000</v>
      </c>
      <c r="V164" s="1619" t="n">
        <v>0.12</v>
      </c>
      <c r="W164" s="1622" t="n">
        <v>0.055</v>
      </c>
      <c r="X164" s="1622" t="n">
        <v>0.12</v>
      </c>
      <c r="Y164" s="1623" t="n"/>
      <c r="Z164" s="1622" t="n">
        <v>0.04</v>
      </c>
      <c r="AA164" s="1621">
        <f>U164*(1+V164+W164+X164+Y164+Z164)</f>
        <v>213600</v>
      </c>
      <c r="AC164" s="865" t="inlineStr">
        <is>
          <t>Customer</t>
        </is>
      </c>
      <c r="AD164" s="865" t="inlineStr">
        <is>
          <t>EGI Customer</t>
        </is>
      </c>
      <c r="AE164" s="865" t="inlineStr">
        <is>
          <t>EGI Customer</t>
        </is>
      </c>
      <c r="AF164" s="865" t="inlineStr">
        <is>
          <t>Strategic Program</t>
        </is>
      </c>
      <c r="AG164" s="865" t="inlineStr">
        <is>
          <t>Filled</t>
        </is>
      </c>
    </row>
    <row r="165" hidden="1" ht="18" customHeight="1" s="866">
      <c r="A165" s="1566" t="inlineStr">
        <is>
          <t>C</t>
        </is>
      </c>
      <c r="B165" s="1382" t="inlineStr">
        <is>
          <t>Swapnil Pithwa</t>
        </is>
      </c>
      <c r="C165" s="1611" t="inlineStr">
        <is>
          <t>Engineer - BE</t>
        </is>
      </c>
      <c r="D165" s="1382" t="inlineStr">
        <is>
          <t>Vacant</t>
        </is>
      </c>
      <c r="E165" s="1382" t="inlineStr">
        <is>
          <t>Technology Manager, Digital Engineering</t>
        </is>
      </c>
      <c r="F165" s="1382" t="inlineStr">
        <is>
          <t>Customer</t>
        </is>
      </c>
      <c r="G165" s="1612" t="inlineStr">
        <is>
          <t>Digital</t>
        </is>
      </c>
      <c r="H165" s="1612" t="inlineStr">
        <is>
          <t>Tech, Digital Engineering</t>
        </is>
      </c>
      <c r="I165" s="1612" t="inlineStr">
        <is>
          <t>EGI Integration</t>
        </is>
      </c>
      <c r="J165" s="1382" t="inlineStr">
        <is>
          <t>EGI</t>
        </is>
      </c>
      <c r="K165" s="1382" t="inlineStr">
        <is>
          <t>EGI Customer</t>
        </is>
      </c>
      <c r="L165" s="1612" t="n"/>
      <c r="M165" s="1613" t="inlineStr">
        <is>
          <t>Australia</t>
        </is>
      </c>
      <c r="N165" s="1616" t="inlineStr">
        <is>
          <t>NA</t>
        </is>
      </c>
      <c r="O165" s="1614" t="n">
        <v>1</v>
      </c>
      <c r="P165" s="1616" t="n"/>
      <c r="Q165" s="1624" t="inlineStr">
        <is>
          <t>Contractor</t>
        </is>
      </c>
      <c r="R165" s="1624" t="inlineStr">
        <is>
          <t>Daily</t>
        </is>
      </c>
      <c r="S165" s="1616" t="n">
        <v>1040</v>
      </c>
      <c r="T165" s="1627" t="n">
        <v>0</v>
      </c>
      <c r="U165" s="1627" t="n"/>
      <c r="V165" s="1612" t="n"/>
      <c r="W165" s="1612" t="n"/>
      <c r="X165" s="1612" t="n"/>
      <c r="Y165" s="1612" t="n"/>
      <c r="Z165" s="1612" t="n"/>
      <c r="AA165" s="1625">
        <f>S165*222</f>
        <v>230880</v>
      </c>
      <c r="AC165" s="865" t="inlineStr">
        <is>
          <t>Customer</t>
        </is>
      </c>
      <c r="AD165" s="865" t="inlineStr">
        <is>
          <t>EGI Customer</t>
        </is>
      </c>
      <c r="AE165" s="865" t="inlineStr">
        <is>
          <t>EGI Customer</t>
        </is>
      </c>
      <c r="AF165" s="865" t="inlineStr">
        <is>
          <t>Strategic Program</t>
        </is>
      </c>
      <c r="AG165" s="865" t="inlineStr">
        <is>
          <t>Filled</t>
        </is>
      </c>
    </row>
    <row r="166" hidden="1" ht="18" customHeight="1" s="866">
      <c r="A166" s="1566" t="inlineStr">
        <is>
          <t>C</t>
        </is>
      </c>
      <c r="B166" s="1382" t="inlineStr">
        <is>
          <t>Waheed Malek</t>
        </is>
      </c>
      <c r="C166" s="1611" t="inlineStr">
        <is>
          <t>Quality Assurance</t>
        </is>
      </c>
      <c r="D166" s="1382" t="inlineStr">
        <is>
          <t>Mitesh Shah</t>
        </is>
      </c>
      <c r="E166" s="1382" t="inlineStr">
        <is>
          <t>Technology Manager, Digitial</t>
        </is>
      </c>
      <c r="F166" s="1382" t="inlineStr">
        <is>
          <t>Customer</t>
        </is>
      </c>
      <c r="G166" s="1612" t="inlineStr">
        <is>
          <t>Digital</t>
        </is>
      </c>
      <c r="H166" s="1382" t="inlineStr">
        <is>
          <t>Digital, Tech</t>
        </is>
      </c>
      <c r="I166" s="1612" t="inlineStr">
        <is>
          <t>EGI Integration</t>
        </is>
      </c>
      <c r="J166" s="1382" t="inlineStr">
        <is>
          <t>EGI</t>
        </is>
      </c>
      <c r="K166" s="1382" t="inlineStr">
        <is>
          <t>EGI Customer</t>
        </is>
      </c>
      <c r="L166" s="1612" t="n"/>
      <c r="M166" s="1613" t="inlineStr">
        <is>
          <t>Australia</t>
        </is>
      </c>
      <c r="N166" s="1616" t="inlineStr">
        <is>
          <t>NA</t>
        </is>
      </c>
      <c r="O166" s="1614" t="n">
        <v>1</v>
      </c>
      <c r="P166" s="1616" t="n"/>
      <c r="Q166" s="1616" t="inlineStr">
        <is>
          <t>cxc</t>
        </is>
      </c>
      <c r="R166" s="1624" t="inlineStr">
        <is>
          <t>Daily</t>
        </is>
      </c>
      <c r="S166" s="1616" t="n">
        <v>1115</v>
      </c>
      <c r="T166" s="1627" t="n">
        <v>0</v>
      </c>
      <c r="U166" s="1627" t="n"/>
      <c r="V166" s="1612" t="n"/>
      <c r="W166" s="1612" t="n"/>
      <c r="X166" s="1612" t="n"/>
      <c r="Y166" s="1612" t="n"/>
      <c r="Z166" s="1612" t="n"/>
      <c r="AA166" s="1625">
        <f>S166*222</f>
        <v>247530</v>
      </c>
      <c r="AC166" s="865" t="inlineStr">
        <is>
          <t>Customer</t>
        </is>
      </c>
      <c r="AD166" s="865" t="inlineStr">
        <is>
          <t>EGI Customer</t>
        </is>
      </c>
      <c r="AE166" s="865" t="inlineStr">
        <is>
          <t>EGI Customer</t>
        </is>
      </c>
      <c r="AF166" s="865" t="inlineStr">
        <is>
          <t>Strategic Program</t>
        </is>
      </c>
      <c r="AG166" s="865" t="inlineStr">
        <is>
          <t>Filled</t>
        </is>
      </c>
    </row>
    <row r="167" hidden="1" ht="18" customHeight="1" s="866">
      <c r="A167" s="1566" t="n">
        <v>107144</v>
      </c>
      <c r="B167" s="1382" t="inlineStr">
        <is>
          <t>Jasper Na</t>
        </is>
      </c>
      <c r="C167" s="1611" t="inlineStr">
        <is>
          <t>Associate Engineer - BE</t>
        </is>
      </c>
      <c r="D167" s="1382" t="inlineStr">
        <is>
          <t>Jin Zhong</t>
        </is>
      </c>
      <c r="E167" s="1382" t="inlineStr">
        <is>
          <t>Lead Engineer - BE</t>
        </is>
      </c>
      <c r="F167" s="1382" t="inlineStr">
        <is>
          <t>Customer</t>
        </is>
      </c>
      <c r="G167" s="1612" t="inlineStr">
        <is>
          <t>Digital</t>
        </is>
      </c>
      <c r="H167" s="1612" t="inlineStr">
        <is>
          <t>Tech, Digital Engineering</t>
        </is>
      </c>
      <c r="I167" s="1612" t="inlineStr">
        <is>
          <t>Customer</t>
        </is>
      </c>
      <c r="J167" s="1382" t="inlineStr">
        <is>
          <t>Ampol Digital</t>
        </is>
      </c>
      <c r="K167" s="1382" t="inlineStr">
        <is>
          <t>Energy</t>
        </is>
      </c>
      <c r="L167" s="1612" t="n"/>
      <c r="M167" s="1613" t="inlineStr">
        <is>
          <t>Australia</t>
        </is>
      </c>
      <c r="N167" s="1614" t="inlineStr">
        <is>
          <t>CIA</t>
        </is>
      </c>
      <c r="O167" s="1614" t="n">
        <v>1</v>
      </c>
      <c r="P167" s="1614" t="n"/>
      <c r="Q167" s="1614" t="inlineStr">
        <is>
          <t>Permanent - Full Time</t>
        </is>
      </c>
      <c r="R167" s="1616" t="n"/>
      <c r="S167" s="1616" t="n"/>
      <c r="T167" s="1627" t="n">
        <v>104000</v>
      </c>
      <c r="U167" s="1626" t="n">
        <v>104000</v>
      </c>
      <c r="V167" s="1619" t="n">
        <v>0.1</v>
      </c>
      <c r="W167" s="1622" t="n">
        <v>0.055</v>
      </c>
      <c r="X167" s="1622" t="n">
        <v>0.12</v>
      </c>
      <c r="Y167" s="1623" t="n"/>
      <c r="Z167" s="1622" t="n">
        <v>0.04</v>
      </c>
      <c r="AA167" s="1621">
        <f>U167*(1+V167+W167+X167+Y167+Z167)</f>
        <v>136760</v>
      </c>
      <c r="AC167" s="865" t="inlineStr">
        <is>
          <t>Energy Solutions &amp; B2B</t>
        </is>
      </c>
      <c r="AD167" s="865" t="inlineStr">
        <is>
          <t>Energy Solutions</t>
        </is>
      </c>
      <c r="AE167" s="865" t="inlineStr">
        <is>
          <t>Energy</t>
        </is>
      </c>
      <c r="AF167" s="865" t="inlineStr">
        <is>
          <t>Squad</t>
        </is>
      </c>
      <c r="AG167" s="865" t="inlineStr">
        <is>
          <t>Filled</t>
        </is>
      </c>
    </row>
    <row r="168" hidden="1" ht="18" customHeight="1" s="866">
      <c r="A168" s="1566" t="inlineStr">
        <is>
          <t>V</t>
        </is>
      </c>
      <c r="B168" s="1382" t="inlineStr">
        <is>
          <t>vacant</t>
        </is>
      </c>
      <c r="C168" s="1611" t="inlineStr">
        <is>
          <t>engineer - BE</t>
        </is>
      </c>
      <c r="D168" s="1382" t="inlineStr">
        <is>
          <t>Khalid Mahmud</t>
        </is>
      </c>
      <c r="E168" s="1382" t="inlineStr">
        <is>
          <t>Lead Engineer - BE</t>
        </is>
      </c>
      <c r="F168" s="1382" t="inlineStr">
        <is>
          <t>Customer</t>
        </is>
      </c>
      <c r="G168" s="1612" t="inlineStr">
        <is>
          <t>Digital</t>
        </is>
      </c>
      <c r="H168" s="1612" t="inlineStr">
        <is>
          <t>Tech, Digital Engineering</t>
        </is>
      </c>
      <c r="I168" s="1612" t="inlineStr">
        <is>
          <t>Customer</t>
        </is>
      </c>
      <c r="J168" s="1382" t="inlineStr">
        <is>
          <t>Ampol Digital</t>
        </is>
      </c>
      <c r="K168" s="1382" t="inlineStr">
        <is>
          <t>Energy</t>
        </is>
      </c>
      <c r="L168" s="1612" t="n"/>
      <c r="M168" s="1613" t="inlineStr">
        <is>
          <t>Australia</t>
        </is>
      </c>
      <c r="N168" s="1614" t="inlineStr">
        <is>
          <t>CIB</t>
        </is>
      </c>
      <c r="O168" s="1614" t="n">
        <v>1</v>
      </c>
      <c r="P168" s="1614" t="n"/>
      <c r="Q168" s="1614" t="inlineStr">
        <is>
          <t>V</t>
        </is>
      </c>
      <c r="R168" s="1616" t="n"/>
      <c r="S168" s="1616" t="n"/>
      <c r="T168" s="1627" t="n">
        <v>151950</v>
      </c>
      <c r="U168" s="1626" t="n">
        <v>151950</v>
      </c>
      <c r="V168" s="1619" t="n">
        <v>0.12</v>
      </c>
      <c r="W168" s="1622" t="n">
        <v>0.055</v>
      </c>
      <c r="X168" s="1622" t="n">
        <v>0.12</v>
      </c>
      <c r="Y168" s="1623" t="n"/>
      <c r="Z168" s="1622" t="n">
        <v>0.04</v>
      </c>
      <c r="AA168" s="1621">
        <f>U168*(1+V168+W168+X168+Y168+Z168)</f>
        <v>202853.25</v>
      </c>
      <c r="AC168" s="865" t="inlineStr">
        <is>
          <t>Energy Solutions &amp; B2B</t>
        </is>
      </c>
      <c r="AD168" s="865" t="inlineStr">
        <is>
          <t>Energy Solutions</t>
        </is>
      </c>
      <c r="AE168" s="865" t="inlineStr">
        <is>
          <t>Energy</t>
        </is>
      </c>
      <c r="AF168" s="865" t="inlineStr">
        <is>
          <t>Squad</t>
        </is>
      </c>
      <c r="AG168" s="865" t="inlineStr">
        <is>
          <t>Vacant</t>
        </is>
      </c>
    </row>
    <row r="169" hidden="1" ht="18" customHeight="1" s="866">
      <c r="A169" s="1566" t="n">
        <v>116408</v>
      </c>
      <c r="B169" s="1382" t="inlineStr">
        <is>
          <t>Abhilash Reddy</t>
        </is>
      </c>
      <c r="C169" s="1611" t="inlineStr">
        <is>
          <t>Project Manager</t>
        </is>
      </c>
      <c r="D169" s="1382" t="inlineStr">
        <is>
          <t>Vacant</t>
        </is>
      </c>
      <c r="E169" s="1382" t="inlineStr">
        <is>
          <t>Program Manager</t>
        </is>
      </c>
      <c r="F169" s="1382" t="inlineStr">
        <is>
          <t>Customer</t>
        </is>
      </c>
      <c r="G169" s="1612" t="inlineStr">
        <is>
          <t>Customer, PMO</t>
        </is>
      </c>
      <c r="H169" s="1382" t="n"/>
      <c r="I169" s="1382" t="inlineStr">
        <is>
          <t>Customer</t>
        </is>
      </c>
      <c r="J169" s="1382" t="inlineStr">
        <is>
          <t>Ampol Digital</t>
        </is>
      </c>
      <c r="K169" s="1382" t="inlineStr">
        <is>
          <t>Leadership</t>
        </is>
      </c>
      <c r="L169" s="1612" t="n"/>
      <c r="M169" s="1613" t="inlineStr">
        <is>
          <t>Australia</t>
        </is>
      </c>
      <c r="N169" s="1614" t="inlineStr">
        <is>
          <t>CIC</t>
        </is>
      </c>
      <c r="O169" s="1614" t="n">
        <v>1</v>
      </c>
      <c r="P169" s="1614" t="n"/>
      <c r="Q169" s="1614" t="inlineStr">
        <is>
          <t>Temporary - Full Time</t>
        </is>
      </c>
      <c r="R169" s="1616" t="n"/>
      <c r="S169" s="1616" t="n"/>
      <c r="T169" s="1627" t="n">
        <v>160000</v>
      </c>
      <c r="U169" s="1626" t="n">
        <v>160000</v>
      </c>
      <c r="V169" s="1619" t="n">
        <v>0.12</v>
      </c>
      <c r="W169" s="1622" t="n">
        <v>0.055</v>
      </c>
      <c r="X169" s="1622" t="n">
        <v>0.12</v>
      </c>
      <c r="Y169" s="1623" t="n"/>
      <c r="Z169" s="1622" t="n">
        <v>0.04</v>
      </c>
      <c r="AA169" s="1621">
        <f>U169*(1+V169+W169+X169+Y169+Z169)</f>
        <v>213600</v>
      </c>
      <c r="AC169" s="865" t="inlineStr">
        <is>
          <t>Customer</t>
        </is>
      </c>
      <c r="AD169" s="865" t="inlineStr">
        <is>
          <t>Leadership</t>
        </is>
      </c>
      <c r="AE169" s="865" t="inlineStr">
        <is>
          <t>Leadership</t>
        </is>
      </c>
      <c r="AF169" s="865" t="inlineStr">
        <is>
          <t>Leadership</t>
        </is>
      </c>
      <c r="AG169" s="865" t="inlineStr">
        <is>
          <t>Filled</t>
        </is>
      </c>
    </row>
    <row r="170" hidden="1" ht="18" customHeight="1" s="866">
      <c r="A170" s="1682" t="n">
        <v>99999113507</v>
      </c>
      <c r="B170" s="1382" t="inlineStr">
        <is>
          <t>Andy Stewart</t>
        </is>
      </c>
      <c r="C170" s="1611" t="inlineStr">
        <is>
          <t>Head of Technology, Loyalty &amp; Martech</t>
        </is>
      </c>
      <c r="D170" s="1382" t="inlineStr">
        <is>
          <t>Harley Giles</t>
        </is>
      </c>
      <c r="E170" s="1382" t="inlineStr">
        <is>
          <t>GM TDD, Customer</t>
        </is>
      </c>
      <c r="F170" s="1382" t="inlineStr">
        <is>
          <t>Customer</t>
        </is>
      </c>
      <c r="G170" s="1612" t="inlineStr">
        <is>
          <t>Loyalty &amp; Martech</t>
        </is>
      </c>
      <c r="H170" s="1382" t="n"/>
      <c r="I170" s="1382" t="inlineStr">
        <is>
          <t>Customer</t>
        </is>
      </c>
      <c r="J170" s="1382" t="inlineStr">
        <is>
          <t>Customer Z, Group Customer Platforms</t>
        </is>
      </c>
      <c r="K170" s="1382" t="inlineStr">
        <is>
          <t>Leadership</t>
        </is>
      </c>
      <c r="L170" s="1612" t="n"/>
      <c r="M170" s="1613" t="inlineStr">
        <is>
          <t>NZ</t>
        </is>
      </c>
      <c r="N170" s="1683" t="inlineStr">
        <is>
          <t xml:space="preserve">CSC </t>
        </is>
      </c>
      <c r="O170" s="1615" t="n">
        <v>1</v>
      </c>
      <c r="P170" s="1683" t="n"/>
      <c r="Q170" s="1615" t="inlineStr">
        <is>
          <t>Permanent - Full Time</t>
        </is>
      </c>
      <c r="R170" s="1382" t="n"/>
      <c r="S170" s="1382" t="n"/>
      <c r="T170" s="1680" t="n">
        <v>253260</v>
      </c>
      <c r="U170" s="1626" t="n">
        <v>232999.2</v>
      </c>
      <c r="V170" s="1618" t="n">
        <v>0.2</v>
      </c>
      <c r="W170" s="1615" t="n"/>
      <c r="X170" s="1619" t="n">
        <v>0.05</v>
      </c>
      <c r="Y170" s="1620" t="n">
        <v>2910</v>
      </c>
      <c r="Z170" s="1619" t="n">
        <v>0.03</v>
      </c>
      <c r="AA170" s="1621">
        <f>U170*(1+V170+X170+Z170)+Y170</f>
        <v>301148.976</v>
      </c>
      <c r="AB170" s="865" t="n">
        <v>113507</v>
      </c>
      <c r="AC170" s="865" t="inlineStr">
        <is>
          <t>Customer</t>
        </is>
      </c>
      <c r="AD170" s="865" t="inlineStr">
        <is>
          <t>Leadership</t>
        </is>
      </c>
      <c r="AE170" s="865" t="inlineStr">
        <is>
          <t>Leadership</t>
        </is>
      </c>
      <c r="AF170" s="865" t="inlineStr">
        <is>
          <t>Leadership</t>
        </is>
      </c>
      <c r="AG170" s="865" t="inlineStr">
        <is>
          <t>Filled</t>
        </is>
      </c>
    </row>
    <row r="171" hidden="1" ht="18" customHeight="1" s="866">
      <c r="A171" s="1566" t="n">
        <v>99999101220</v>
      </c>
      <c r="B171" s="1382" t="inlineStr">
        <is>
          <t>Byron Thornhill</t>
        </is>
      </c>
      <c r="C171" s="1611" t="inlineStr">
        <is>
          <t>Design Manager</t>
        </is>
      </c>
      <c r="D171" s="1382" t="inlineStr">
        <is>
          <t>Shona Paul</t>
        </is>
      </c>
      <c r="E171" s="1382" t="inlineStr">
        <is>
          <t>Head of Technology, Digital</t>
        </is>
      </c>
      <c r="F171" s="1382" t="inlineStr">
        <is>
          <t>Customer</t>
        </is>
      </c>
      <c r="G171" s="1612" t="inlineStr">
        <is>
          <t>Digital</t>
        </is>
      </c>
      <c r="H171" s="1612" t="inlineStr">
        <is>
          <t>Digital, Design</t>
        </is>
      </c>
      <c r="I171" s="1382" t="inlineStr">
        <is>
          <t>Customer</t>
        </is>
      </c>
      <c r="J171" s="1382" t="inlineStr">
        <is>
          <t>Customer Z, Ampol Digital</t>
        </is>
      </c>
      <c r="K171" s="1382" t="inlineStr">
        <is>
          <t>Leadership</t>
        </is>
      </c>
      <c r="L171" s="1612" t="n"/>
      <c r="M171" s="1613" t="inlineStr">
        <is>
          <t>NZ</t>
        </is>
      </c>
      <c r="N171" s="1614" t="inlineStr">
        <is>
          <t>CSB</t>
        </is>
      </c>
      <c r="O171" s="1615" t="n">
        <v>1</v>
      </c>
      <c r="P171" s="1614" t="n"/>
      <c r="Q171" s="1615" t="inlineStr">
        <is>
          <t>Permanent - Full Time</t>
        </is>
      </c>
      <c r="R171" s="1616" t="n"/>
      <c r="S171" s="1616" t="n"/>
      <c r="T171" s="1616" t="n">
        <v>190000</v>
      </c>
      <c r="U171" s="1617" t="n">
        <v>174800</v>
      </c>
      <c r="V171" s="1618" t="n">
        <v>0.15</v>
      </c>
      <c r="W171" s="1615" t="n"/>
      <c r="X171" s="1619" t="n">
        <v>0.05</v>
      </c>
      <c r="Y171" s="1620" t="n">
        <v>2910</v>
      </c>
      <c r="Z171" s="1619" t="n">
        <v>0.03</v>
      </c>
      <c r="AA171" s="1621">
        <f>U171*(1+V171+X171+Z171)+Y171</f>
        <v>217914</v>
      </c>
      <c r="AB171" s="865" t="n">
        <v>15184</v>
      </c>
      <c r="AC171" s="865" t="inlineStr">
        <is>
          <t>Customer</t>
        </is>
      </c>
      <c r="AD171" s="865" t="inlineStr">
        <is>
          <t>Leadership</t>
        </is>
      </c>
      <c r="AE171" s="865" t="inlineStr">
        <is>
          <t>Leadership</t>
        </is>
      </c>
      <c r="AF171" s="865" t="inlineStr">
        <is>
          <t>Leadership</t>
        </is>
      </c>
      <c r="AG171" s="865" t="inlineStr">
        <is>
          <t>Filled</t>
        </is>
      </c>
    </row>
    <row r="172" hidden="1" ht="18" customHeight="1" s="866">
      <c r="A172" s="1566" t="n">
        <v>116387</v>
      </c>
      <c r="B172" s="1382" t="inlineStr">
        <is>
          <t>Christian Lazano</t>
        </is>
      </c>
      <c r="C172" s="1611" t="inlineStr">
        <is>
          <t>Business Analyst</t>
        </is>
      </c>
      <c r="D172" s="1382" t="inlineStr">
        <is>
          <t>Vacant</t>
        </is>
      </c>
      <c r="E172" s="1382" t="inlineStr">
        <is>
          <t>customer, program manager</t>
        </is>
      </c>
      <c r="F172" s="1382" t="inlineStr">
        <is>
          <t>Customer</t>
        </is>
      </c>
      <c r="G172" s="1612" t="inlineStr">
        <is>
          <t>Customer, PMO</t>
        </is>
      </c>
      <c r="H172" s="1382" t="n"/>
      <c r="I172" s="1382" t="inlineStr">
        <is>
          <t>Customer</t>
        </is>
      </c>
      <c r="J172" s="1612" t="inlineStr">
        <is>
          <t>(All Customer)</t>
        </is>
      </c>
      <c r="K172" s="1382" t="inlineStr">
        <is>
          <t>Leadership</t>
        </is>
      </c>
      <c r="L172" s="1612" t="n"/>
      <c r="M172" s="1613" t="inlineStr">
        <is>
          <t>Australia</t>
        </is>
      </c>
      <c r="N172" s="1614" t="inlineStr">
        <is>
          <t>CIB</t>
        </is>
      </c>
      <c r="O172" s="1614" t="n">
        <v>1</v>
      </c>
      <c r="P172" s="1614" t="n"/>
      <c r="Q172" s="1614" t="inlineStr">
        <is>
          <t>Temporary - Full Time</t>
        </is>
      </c>
      <c r="R172" s="1616" t="n"/>
      <c r="S172" s="1616" t="n"/>
      <c r="T172" s="1616" t="n">
        <v>165000</v>
      </c>
      <c r="U172" s="1617" t="n">
        <v>165000</v>
      </c>
      <c r="V172" s="1619" t="n">
        <v>0.12</v>
      </c>
      <c r="W172" s="1622" t="n">
        <v>0.055</v>
      </c>
      <c r="X172" s="1622" t="n">
        <v>0.12</v>
      </c>
      <c r="Y172" s="1623" t="n"/>
      <c r="Z172" s="1622" t="n">
        <v>0.04</v>
      </c>
      <c r="AA172" s="1621">
        <f>U172*(1+V172+W172+X172+Y172+Z172)</f>
        <v>220275</v>
      </c>
      <c r="AC172" s="865" t="inlineStr">
        <is>
          <t>Customer</t>
        </is>
      </c>
      <c r="AD172" s="865" t="inlineStr">
        <is>
          <t>Leadership</t>
        </is>
      </c>
      <c r="AE172" s="865" t="inlineStr">
        <is>
          <t>Leadership</t>
        </is>
      </c>
      <c r="AF172" s="865" t="inlineStr">
        <is>
          <t>Leadership</t>
        </is>
      </c>
      <c r="AG172" s="865" t="inlineStr">
        <is>
          <t>Filled</t>
        </is>
      </c>
    </row>
    <row r="173" hidden="1" ht="18" customHeight="1" s="866">
      <c r="A173" s="1566" t="n">
        <v>99999100279</v>
      </c>
      <c r="B173" s="1382" t="inlineStr">
        <is>
          <t>Kris Hamilton</t>
        </is>
      </c>
      <c r="C173" s="1611" t="inlineStr">
        <is>
          <t>Technology Manager - Loyalty &amp; Martech</t>
        </is>
      </c>
      <c r="D173" s="1382" t="inlineStr">
        <is>
          <t>Andy Stewart</t>
        </is>
      </c>
      <c r="E173" s="1382" t="inlineStr">
        <is>
          <t>Head of Technology, Loyalty &amp; Martech</t>
        </is>
      </c>
      <c r="F173" s="1382" t="inlineStr">
        <is>
          <t>Customer</t>
        </is>
      </c>
      <c r="G173" s="1612" t="inlineStr">
        <is>
          <t>Loyalty &amp; Martech</t>
        </is>
      </c>
      <c r="H173" s="1382" t="inlineStr">
        <is>
          <t>Loyalty, Tech</t>
        </is>
      </c>
      <c r="I173" s="1382" t="inlineStr">
        <is>
          <t>Customer</t>
        </is>
      </c>
      <c r="J173" s="1382" t="inlineStr">
        <is>
          <t>Customer Z, Group Customer Platforms</t>
        </is>
      </c>
      <c r="K173" s="1382" t="inlineStr">
        <is>
          <t>Leadership</t>
        </is>
      </c>
      <c r="L173" s="1612" t="n"/>
      <c r="M173" s="1613" t="inlineStr">
        <is>
          <t>NZ</t>
        </is>
      </c>
      <c r="N173" s="1614" t="inlineStr">
        <is>
          <t>CSB</t>
        </is>
      </c>
      <c r="O173" s="1615" t="n">
        <v>1</v>
      </c>
      <c r="P173" s="1614" t="n"/>
      <c r="Q173" s="1615" t="inlineStr">
        <is>
          <t>Permanent - Full Time</t>
        </is>
      </c>
      <c r="R173" s="1616" t="n"/>
      <c r="S173" s="1616" t="n"/>
      <c r="T173" s="1616" t="n">
        <v>194670</v>
      </c>
      <c r="U173" s="1617" t="n">
        <v>179096.4</v>
      </c>
      <c r="V173" s="1618" t="n">
        <v>0.15</v>
      </c>
      <c r="W173" s="1615" t="n"/>
      <c r="X173" s="1619" t="n">
        <v>0.05</v>
      </c>
      <c r="Y173" s="1620" t="n">
        <v>2910</v>
      </c>
      <c r="Z173" s="1619" t="n">
        <v>0.03</v>
      </c>
      <c r="AA173" s="1621">
        <f>U173*(1+V173+X173+Z173)+Y173</f>
        <v>223198.572</v>
      </c>
      <c r="AB173" s="865" t="n">
        <v>113568</v>
      </c>
      <c r="AC173" s="865" t="inlineStr">
        <is>
          <t>Customer</t>
        </is>
      </c>
      <c r="AD173" s="865" t="inlineStr">
        <is>
          <t>Leadership</t>
        </is>
      </c>
      <c r="AE173" s="865" t="inlineStr">
        <is>
          <t>Leadership</t>
        </is>
      </c>
      <c r="AF173" s="865" t="inlineStr">
        <is>
          <t>Leadership</t>
        </is>
      </c>
      <c r="AG173" s="865" t="inlineStr">
        <is>
          <t>Filled</t>
        </is>
      </c>
    </row>
    <row r="174" hidden="1" ht="18" customHeight="1" s="866">
      <c r="A174" s="1566" t="n">
        <v>97200</v>
      </c>
      <c r="B174" s="1382" t="inlineStr">
        <is>
          <t>Mitesh Shah</t>
        </is>
      </c>
      <c r="C174" s="1611" t="inlineStr">
        <is>
          <t>Technology Manager - Digital</t>
        </is>
      </c>
      <c r="D174" s="1382" t="inlineStr">
        <is>
          <t>Shona Paul</t>
        </is>
      </c>
      <c r="E174" s="1382" t="inlineStr">
        <is>
          <t>Head of Technology, Digital</t>
        </is>
      </c>
      <c r="F174" s="1382" t="inlineStr">
        <is>
          <t>Customer</t>
        </is>
      </c>
      <c r="G174" s="1612" t="inlineStr">
        <is>
          <t>Digital</t>
        </is>
      </c>
      <c r="H174" s="1612" t="inlineStr">
        <is>
          <t>Tech, Digital</t>
        </is>
      </c>
      <c r="I174" s="1382" t="inlineStr">
        <is>
          <t>Customer</t>
        </is>
      </c>
      <c r="J174" s="1382" t="inlineStr">
        <is>
          <t>Ampol Digital</t>
        </is>
      </c>
      <c r="K174" s="1382" t="inlineStr">
        <is>
          <t>Leadership</t>
        </is>
      </c>
      <c r="L174" s="1612" t="n"/>
      <c r="M174" s="1613" t="inlineStr">
        <is>
          <t>Australia</t>
        </is>
      </c>
      <c r="N174" s="1614" t="inlineStr">
        <is>
          <t>CSB</t>
        </is>
      </c>
      <c r="O174" s="1614" t="n">
        <v>1</v>
      </c>
      <c r="P174" s="1614" t="n"/>
      <c r="Q174" s="1614" t="inlineStr">
        <is>
          <t>Permanent - Full Time</t>
        </is>
      </c>
      <c r="R174" s="1616" t="n"/>
      <c r="S174" s="1616" t="n"/>
      <c r="T174" s="1627" t="n">
        <v>222190</v>
      </c>
      <c r="U174" s="1626" t="n">
        <v>222190</v>
      </c>
      <c r="V174" s="1619" t="n">
        <v>0.14</v>
      </c>
      <c r="W174" s="1622" t="n">
        <v>0.055</v>
      </c>
      <c r="X174" s="1622" t="n">
        <v>0.12</v>
      </c>
      <c r="Y174" s="1623" t="n"/>
      <c r="Z174" s="1622" t="n">
        <v>0.04</v>
      </c>
      <c r="AA174" s="1621">
        <f>U174*(1+V174+W174+X174+Y174+Z174)</f>
        <v>301067.45</v>
      </c>
      <c r="AC174" s="865" t="inlineStr">
        <is>
          <t>Customer</t>
        </is>
      </c>
      <c r="AD174" s="865" t="inlineStr">
        <is>
          <t>Leadership</t>
        </is>
      </c>
      <c r="AE174" s="865" t="inlineStr">
        <is>
          <t>Leadership</t>
        </is>
      </c>
      <c r="AF174" s="865" t="inlineStr">
        <is>
          <t>Leadership</t>
        </is>
      </c>
      <c r="AG174" s="865" t="inlineStr">
        <is>
          <t>Filled</t>
        </is>
      </c>
    </row>
    <row r="175" hidden="1" ht="18" customHeight="1" s="866">
      <c r="A175" s="1566" t="n">
        <v>99999101543</v>
      </c>
      <c r="B175" s="1382" t="inlineStr">
        <is>
          <t>Shona Paul</t>
        </is>
      </c>
      <c r="C175" s="1611" t="inlineStr">
        <is>
          <t>Head of Technology - Digital</t>
        </is>
      </c>
      <c r="D175" s="1382" t="inlineStr">
        <is>
          <t>Harley Giles</t>
        </is>
      </c>
      <c r="E175" s="1382" t="inlineStr">
        <is>
          <t>GM TDD, Customer</t>
        </is>
      </c>
      <c r="F175" s="1382" t="inlineStr">
        <is>
          <t>Customer</t>
        </is>
      </c>
      <c r="G175" s="1612" t="inlineStr">
        <is>
          <t>Digital</t>
        </is>
      </c>
      <c r="H175" s="1382" t="n"/>
      <c r="I175" s="1382" t="inlineStr">
        <is>
          <t>Customer</t>
        </is>
      </c>
      <c r="J175" s="1382" t="inlineStr">
        <is>
          <t>(All Customer)</t>
        </is>
      </c>
      <c r="K175" s="1382" t="inlineStr">
        <is>
          <t>Leadership</t>
        </is>
      </c>
      <c r="L175" s="1612" t="n"/>
      <c r="M175" s="1613" t="inlineStr">
        <is>
          <t>NZ</t>
        </is>
      </c>
      <c r="N175" s="1614" t="inlineStr">
        <is>
          <t>CSC</t>
        </is>
      </c>
      <c r="O175" s="1615" t="n">
        <v>1</v>
      </c>
      <c r="P175" s="1614" t="n"/>
      <c r="Q175" s="1615" t="inlineStr">
        <is>
          <t>Permanent - Full Time</t>
        </is>
      </c>
      <c r="R175" s="1616" t="n"/>
      <c r="S175" s="1616" t="n"/>
      <c r="T175" s="1627" t="n">
        <v>230470</v>
      </c>
      <c r="U175" s="1626" t="n">
        <v>212032.4</v>
      </c>
      <c r="V175" s="1618" t="n">
        <v>0.2</v>
      </c>
      <c r="W175" s="1616" t="n"/>
      <c r="X175" s="1619" t="n">
        <v>0.05</v>
      </c>
      <c r="Y175" s="1620" t="n">
        <v>2910</v>
      </c>
      <c r="Z175" s="1619" t="n">
        <v>0.03</v>
      </c>
      <c r="AA175" s="1621">
        <f>U175*(1+V175+X175+Z175)+Y175</f>
        <v>274311.472</v>
      </c>
      <c r="AB175" s="865" t="n">
        <v>113616</v>
      </c>
      <c r="AC175" s="865" t="inlineStr">
        <is>
          <t>Customer</t>
        </is>
      </c>
      <c r="AD175" s="865" t="inlineStr">
        <is>
          <t>Leadership</t>
        </is>
      </c>
      <c r="AE175" s="865" t="inlineStr">
        <is>
          <t>Leadership</t>
        </is>
      </c>
      <c r="AF175" s="865" t="inlineStr">
        <is>
          <t>Leadership</t>
        </is>
      </c>
      <c r="AG175" s="865" t="inlineStr">
        <is>
          <t>Filled</t>
        </is>
      </c>
    </row>
    <row r="176" hidden="1" ht="18" customHeight="1" s="866">
      <c r="A176" s="1566" t="inlineStr">
        <is>
          <t>V</t>
        </is>
      </c>
      <c r="B176" s="1382" t="inlineStr">
        <is>
          <t>Vacant</t>
        </is>
      </c>
      <c r="C176" s="1611" t="inlineStr">
        <is>
          <t>AI Enablement Lead</t>
        </is>
      </c>
      <c r="D176" s="1382" t="inlineStr">
        <is>
          <t>Harley Giles</t>
        </is>
      </c>
      <c r="E176" s="1382" t="inlineStr">
        <is>
          <t>GM TDD, Customer</t>
        </is>
      </c>
      <c r="F176" s="1382" t="inlineStr">
        <is>
          <t>Customer</t>
        </is>
      </c>
      <c r="G176" s="1612" t="inlineStr">
        <is>
          <t>Customer, AI Enablement</t>
        </is>
      </c>
      <c r="H176" s="1382" t="n"/>
      <c r="I176" s="1382" t="inlineStr">
        <is>
          <t>Customer</t>
        </is>
      </c>
      <c r="J176" s="1382" t="inlineStr">
        <is>
          <t>(All Customer)</t>
        </is>
      </c>
      <c r="K176" s="1382" t="inlineStr">
        <is>
          <t>Leadership</t>
        </is>
      </c>
      <c r="L176" s="1612" t="n"/>
      <c r="M176" s="1613" t="inlineStr">
        <is>
          <t>Australia</t>
        </is>
      </c>
      <c r="N176" s="1614" t="inlineStr">
        <is>
          <t>CSB</t>
        </is>
      </c>
      <c r="O176" s="1614" t="n">
        <v>1</v>
      </c>
      <c r="P176" s="1614" t="n"/>
      <c r="Q176" s="1614" t="inlineStr">
        <is>
          <t>V</t>
        </is>
      </c>
      <c r="R176" s="1616" t="n"/>
      <c r="S176" s="1616" t="n"/>
      <c r="T176" s="1627" t="n">
        <v>203550</v>
      </c>
      <c r="U176" s="1626" t="n">
        <v>203550</v>
      </c>
      <c r="V176" s="1619" t="n">
        <v>0.14</v>
      </c>
      <c r="W176" s="1622" t="n">
        <v>0.055</v>
      </c>
      <c r="X176" s="1622" t="n">
        <v>0.12</v>
      </c>
      <c r="Y176" s="1623" t="n"/>
      <c r="Z176" s="1622" t="n">
        <v>0.04</v>
      </c>
      <c r="AA176" s="1621">
        <f>U176*(1+V176+W176+X176+Y176+Z176)</f>
        <v>275810.25</v>
      </c>
      <c r="AC176" s="865" t="inlineStr">
        <is>
          <t>Customer</t>
        </is>
      </c>
      <c r="AD176" s="865" t="inlineStr">
        <is>
          <t>Leadership</t>
        </is>
      </c>
      <c r="AE176" s="865" t="inlineStr">
        <is>
          <t>Leadership</t>
        </is>
      </c>
      <c r="AF176" s="865" t="inlineStr">
        <is>
          <t>Leadership</t>
        </is>
      </c>
      <c r="AG176" s="865" t="inlineStr">
        <is>
          <t>Vacant</t>
        </is>
      </c>
    </row>
    <row r="177" hidden="1" ht="18" customHeight="1" s="866">
      <c r="A177" s="1566" t="inlineStr">
        <is>
          <t>V</t>
        </is>
      </c>
      <c r="B177" s="1382" t="inlineStr">
        <is>
          <t>Vacant</t>
        </is>
      </c>
      <c r="C177" s="1611" t="inlineStr">
        <is>
          <t>Delivery Manager</t>
        </is>
      </c>
      <c r="D177" s="1382" t="inlineStr">
        <is>
          <t>Shona Paul</t>
        </is>
      </c>
      <c r="E177" s="1382" t="inlineStr">
        <is>
          <t>Head of Technology, Digital</t>
        </is>
      </c>
      <c r="F177" s="1382" t="inlineStr">
        <is>
          <t>Customer</t>
        </is>
      </c>
      <c r="G177" s="1612" t="inlineStr">
        <is>
          <t>Digital</t>
        </is>
      </c>
      <c r="H177" s="1382" t="inlineStr">
        <is>
          <t>Digital, Delivery</t>
        </is>
      </c>
      <c r="I177" s="1382" t="inlineStr">
        <is>
          <t>Customer</t>
        </is>
      </c>
      <c r="J177" s="1382" t="inlineStr">
        <is>
          <t>Ampol Digital</t>
        </is>
      </c>
      <c r="K177" s="1382" t="inlineStr">
        <is>
          <t>Leadership</t>
        </is>
      </c>
      <c r="L177" s="1612" t="n"/>
      <c r="M177" s="1613" t="inlineStr">
        <is>
          <t>Australia</t>
        </is>
      </c>
      <c r="N177" s="1614" t="inlineStr">
        <is>
          <t>CSB</t>
        </is>
      </c>
      <c r="O177" s="1614" t="n">
        <v>1</v>
      </c>
      <c r="P177" s="1614" t="n"/>
      <c r="Q177" s="1614" t="inlineStr">
        <is>
          <t>V</t>
        </is>
      </c>
      <c r="R177" s="1616" t="n"/>
      <c r="S177" s="1616" t="n"/>
      <c r="T177" s="1627" t="n">
        <v>203550</v>
      </c>
      <c r="U177" s="1626" t="n">
        <v>203550</v>
      </c>
      <c r="V177" s="1619" t="n">
        <v>0.14</v>
      </c>
      <c r="W177" s="1622" t="n">
        <v>0.055</v>
      </c>
      <c r="X177" s="1622" t="n">
        <v>0.12</v>
      </c>
      <c r="Y177" s="1623" t="n"/>
      <c r="Z177" s="1622" t="n">
        <v>0.04</v>
      </c>
      <c r="AA177" s="1621">
        <f>U177*(1+V177+W177+X177+Y177+Z177)</f>
        <v>275810.25</v>
      </c>
      <c r="AC177" s="865" t="inlineStr">
        <is>
          <t>Customer</t>
        </is>
      </c>
      <c r="AD177" s="865" t="inlineStr">
        <is>
          <t>Leadership</t>
        </is>
      </c>
      <c r="AE177" s="865" t="inlineStr">
        <is>
          <t>Leadership</t>
        </is>
      </c>
      <c r="AF177" s="865" t="inlineStr">
        <is>
          <t>Leadership</t>
        </is>
      </c>
      <c r="AG177" s="865" t="inlineStr">
        <is>
          <t>Vacant</t>
        </is>
      </c>
    </row>
    <row r="178" hidden="1" ht="18" customHeight="1" s="866">
      <c r="A178" s="1566" t="inlineStr">
        <is>
          <t>V</t>
        </is>
      </c>
      <c r="B178" s="1382" t="inlineStr">
        <is>
          <t>Vacant</t>
        </is>
      </c>
      <c r="C178" s="1611" t="inlineStr">
        <is>
          <t>Technology Manager, Engineering</t>
        </is>
      </c>
      <c r="D178" s="1382" t="inlineStr">
        <is>
          <t>Shona Paul</t>
        </is>
      </c>
      <c r="E178" s="1382" t="inlineStr">
        <is>
          <t>Head of Technology, Digital</t>
        </is>
      </c>
      <c r="F178" s="1382" t="inlineStr">
        <is>
          <t>Customer</t>
        </is>
      </c>
      <c r="G178" s="1612" t="inlineStr">
        <is>
          <t>Digital</t>
        </is>
      </c>
      <c r="H178" s="1612" t="inlineStr">
        <is>
          <t>Tech, Digital Engineering</t>
        </is>
      </c>
      <c r="I178" s="1612" t="inlineStr">
        <is>
          <t>Customer</t>
        </is>
      </c>
      <c r="J178" s="1382" t="inlineStr">
        <is>
          <t>Ampol Digital</t>
        </is>
      </c>
      <c r="K178" s="1382" t="inlineStr">
        <is>
          <t>Leadership</t>
        </is>
      </c>
      <c r="L178" s="1612" t="n"/>
      <c r="M178" s="1613" t="inlineStr">
        <is>
          <t>Australia</t>
        </is>
      </c>
      <c r="N178" s="1614" t="inlineStr">
        <is>
          <t>CSB</t>
        </is>
      </c>
      <c r="O178" s="1614" t="n">
        <v>1</v>
      </c>
      <c r="P178" s="1614" t="n"/>
      <c r="Q178" s="1614" t="inlineStr">
        <is>
          <t>v</t>
        </is>
      </c>
      <c r="R178" s="1616" t="n"/>
      <c r="S178" s="1616" t="n"/>
      <c r="T178" s="1627" t="n">
        <v>203550</v>
      </c>
      <c r="U178" s="1617" t="n">
        <v>203550</v>
      </c>
      <c r="V178" s="1619" t="n">
        <v>0.14</v>
      </c>
      <c r="W178" s="1622" t="n">
        <v>0.055</v>
      </c>
      <c r="X178" s="1622" t="n">
        <v>0.12</v>
      </c>
      <c r="Y178" s="1623" t="n"/>
      <c r="Z178" s="1622" t="n">
        <v>0.04</v>
      </c>
      <c r="AA178" s="1621">
        <f>U178*(1+V178+W178+X178+Y178+Z178)</f>
        <v>275810.25</v>
      </c>
      <c r="AC178" s="865" t="inlineStr">
        <is>
          <t>Customer</t>
        </is>
      </c>
      <c r="AD178" s="865" t="inlineStr">
        <is>
          <t>Leadership</t>
        </is>
      </c>
      <c r="AE178" s="865" t="inlineStr">
        <is>
          <t>Leadership</t>
        </is>
      </c>
      <c r="AF178" s="865" t="inlineStr">
        <is>
          <t>Leadership</t>
        </is>
      </c>
      <c r="AG178" s="865" t="inlineStr">
        <is>
          <t>Vacant</t>
        </is>
      </c>
    </row>
    <row r="179" hidden="1" ht="18" customHeight="1" s="866">
      <c r="A179" s="1566" t="inlineStr">
        <is>
          <t>V</t>
        </is>
      </c>
      <c r="B179" s="1382" t="inlineStr">
        <is>
          <t>Vacant</t>
        </is>
      </c>
      <c r="C179" s="1611" t="inlineStr">
        <is>
          <t>Program Manager</t>
        </is>
      </c>
      <c r="D179" s="1382" t="inlineStr">
        <is>
          <t>Harley Giles</t>
        </is>
      </c>
      <c r="E179" s="1382" t="inlineStr">
        <is>
          <t>GM TDD, Customer</t>
        </is>
      </c>
      <c r="F179" s="1382" t="inlineStr">
        <is>
          <t>Customer</t>
        </is>
      </c>
      <c r="G179" s="1612" t="inlineStr">
        <is>
          <t>Customer, PMO</t>
        </is>
      </c>
      <c r="H179" s="1382" t="n"/>
      <c r="I179" s="1382" t="inlineStr">
        <is>
          <t>Customer</t>
        </is>
      </c>
      <c r="J179" s="1382" t="inlineStr">
        <is>
          <t>Ampol Digital, Group Customer Platforms</t>
        </is>
      </c>
      <c r="K179" s="1382" t="inlineStr">
        <is>
          <t>Leadership</t>
        </is>
      </c>
      <c r="L179" s="1612" t="n"/>
      <c r="M179" s="1613" t="inlineStr">
        <is>
          <t>Australia</t>
        </is>
      </c>
      <c r="N179" s="1614" t="inlineStr">
        <is>
          <t>CSB</t>
        </is>
      </c>
      <c r="O179" s="1614" t="n">
        <v>1</v>
      </c>
      <c r="P179" s="1614" t="n"/>
      <c r="Q179" s="1614" t="inlineStr">
        <is>
          <t>v</t>
        </is>
      </c>
      <c r="R179" s="1616" t="n"/>
      <c r="S179" s="1616" t="n"/>
      <c r="T179" s="1627" t="n">
        <v>203550</v>
      </c>
      <c r="U179" s="1617" t="n">
        <v>203550</v>
      </c>
      <c r="V179" s="1619" t="n">
        <v>0.14</v>
      </c>
      <c r="W179" s="1622" t="n">
        <v>0.055</v>
      </c>
      <c r="X179" s="1622" t="n">
        <v>0.12</v>
      </c>
      <c r="Y179" s="1623" t="n"/>
      <c r="Z179" s="1622" t="n">
        <v>0.04</v>
      </c>
      <c r="AA179" s="1621">
        <f>U179*(1+V179+W179+X179+Y179+Z179)</f>
        <v>275810.25</v>
      </c>
      <c r="AC179" s="865" t="inlineStr">
        <is>
          <t>Customer</t>
        </is>
      </c>
      <c r="AD179" s="865" t="inlineStr">
        <is>
          <t>Leadership</t>
        </is>
      </c>
      <c r="AE179" s="865" t="inlineStr">
        <is>
          <t>Leadership</t>
        </is>
      </c>
      <c r="AF179" s="865" t="inlineStr">
        <is>
          <t>Leadership</t>
        </is>
      </c>
      <c r="AG179" s="865" t="inlineStr">
        <is>
          <t>Vacant</t>
        </is>
      </c>
    </row>
    <row r="180" hidden="1" ht="18" customHeight="1" s="866">
      <c r="A180" s="1566" t="inlineStr">
        <is>
          <t>V</t>
        </is>
      </c>
      <c r="B180" s="1382" t="inlineStr">
        <is>
          <t>Vacant</t>
        </is>
      </c>
      <c r="C180" s="1611" t="inlineStr">
        <is>
          <t>Delivery Manager</t>
        </is>
      </c>
      <c r="D180" s="1382" t="inlineStr">
        <is>
          <t>Andy Stewart</t>
        </is>
      </c>
      <c r="E180" s="1382" t="inlineStr">
        <is>
          <t>Head of Technology, Loyalty &amp; Martech</t>
        </is>
      </c>
      <c r="F180" s="1382" t="inlineStr">
        <is>
          <t>Customer</t>
        </is>
      </c>
      <c r="G180" s="1612" t="inlineStr">
        <is>
          <t>Loyalty &amp; Martech</t>
        </is>
      </c>
      <c r="H180" s="1382" t="inlineStr">
        <is>
          <t xml:space="preserve">Loyalty, Delivery </t>
        </is>
      </c>
      <c r="I180" s="1382" t="inlineStr">
        <is>
          <t>Customer</t>
        </is>
      </c>
      <c r="J180" s="1382" t="inlineStr">
        <is>
          <t>Customer Z, Group Customer Platforms</t>
        </is>
      </c>
      <c r="K180" s="1382" t="inlineStr">
        <is>
          <t>Leadership</t>
        </is>
      </c>
      <c r="L180" s="1612" t="n"/>
      <c r="M180" s="1613" t="inlineStr">
        <is>
          <t>Australia</t>
        </is>
      </c>
      <c r="N180" s="1614" t="inlineStr">
        <is>
          <t>CSB</t>
        </is>
      </c>
      <c r="O180" s="1614" t="n">
        <v>1</v>
      </c>
      <c r="P180" s="1614" t="n"/>
      <c r="Q180" s="1614" t="inlineStr">
        <is>
          <t>V</t>
        </is>
      </c>
      <c r="R180" s="1616" t="n"/>
      <c r="S180" s="1616" t="n"/>
      <c r="T180" s="1627" t="n">
        <v>203550</v>
      </c>
      <c r="U180" s="1617" t="n">
        <v>203550</v>
      </c>
      <c r="V180" s="1619" t="n">
        <v>0.14</v>
      </c>
      <c r="W180" s="1622" t="n">
        <v>0.055</v>
      </c>
      <c r="X180" s="1622" t="n">
        <v>0.12</v>
      </c>
      <c r="Y180" s="1623" t="n"/>
      <c r="Z180" s="1622" t="n">
        <v>0.04</v>
      </c>
      <c r="AA180" s="1621">
        <f>U180*(1+V180+W180+X180+Y180+Z180)</f>
        <v>275810.25</v>
      </c>
      <c r="AC180" s="865" t="inlineStr">
        <is>
          <t>Customer</t>
        </is>
      </c>
      <c r="AD180" s="865" t="inlineStr">
        <is>
          <t>Leadership</t>
        </is>
      </c>
      <c r="AE180" s="865" t="inlineStr">
        <is>
          <t>Leadership</t>
        </is>
      </c>
      <c r="AF180" s="865" t="inlineStr">
        <is>
          <t>Leadership</t>
        </is>
      </c>
      <c r="AG180" s="865" t="inlineStr">
        <is>
          <t>Vacant</t>
        </is>
      </c>
    </row>
    <row r="181" hidden="1" ht="18" customHeight="1" s="866">
      <c r="A181" s="1566" t="inlineStr">
        <is>
          <t>V</t>
        </is>
      </c>
      <c r="B181" s="1382" t="inlineStr">
        <is>
          <t>Vacant</t>
        </is>
      </c>
      <c r="C181" s="1611" t="inlineStr">
        <is>
          <t>Technology Manager - Data &amp; Engineering</t>
        </is>
      </c>
      <c r="D181" s="1382" t="inlineStr">
        <is>
          <t>Andy Stewart</t>
        </is>
      </c>
      <c r="E181" s="1382" t="inlineStr">
        <is>
          <t>Head of Technology, Loyalty &amp; Martech</t>
        </is>
      </c>
      <c r="F181" s="1382" t="inlineStr">
        <is>
          <t>Customer</t>
        </is>
      </c>
      <c r="G181" s="1612" t="inlineStr">
        <is>
          <t>Loyalty &amp; Martech</t>
        </is>
      </c>
      <c r="H181" s="1382" t="inlineStr">
        <is>
          <t>Loyalty, Data &amp; Engineering</t>
        </is>
      </c>
      <c r="I181" s="1382" t="inlineStr">
        <is>
          <t>Customer</t>
        </is>
      </c>
      <c r="J181" s="1382" t="inlineStr">
        <is>
          <t>Customer Z, Group Customer Platforms</t>
        </is>
      </c>
      <c r="K181" s="1382" t="inlineStr">
        <is>
          <t>Leadership</t>
        </is>
      </c>
      <c r="L181" s="1612" t="n"/>
      <c r="M181" s="1613" t="inlineStr">
        <is>
          <t>Australia</t>
        </is>
      </c>
      <c r="N181" s="1614" t="inlineStr">
        <is>
          <t>CSB</t>
        </is>
      </c>
      <c r="O181" s="1614" t="n">
        <v>1</v>
      </c>
      <c r="P181" s="1614" t="n"/>
      <c r="Q181" s="1614" t="inlineStr">
        <is>
          <t>v</t>
        </is>
      </c>
      <c r="R181" s="1616" t="n"/>
      <c r="S181" s="1616" t="n"/>
      <c r="T181" s="1627" t="n">
        <v>203550</v>
      </c>
      <c r="U181" s="1617" t="n">
        <v>203550</v>
      </c>
      <c r="V181" s="1619" t="n">
        <v>0.14</v>
      </c>
      <c r="W181" s="1622" t="n">
        <v>0.055</v>
      </c>
      <c r="X181" s="1622" t="n">
        <v>0.12</v>
      </c>
      <c r="Y181" s="1623" t="n"/>
      <c r="Z181" s="1622" t="n">
        <v>0.04</v>
      </c>
      <c r="AA181" s="1621">
        <f>U181*(1+V181+W181+X181+Y181+Z181)</f>
        <v>275810.25</v>
      </c>
      <c r="AC181" s="865" t="inlineStr">
        <is>
          <t>Customer</t>
        </is>
      </c>
      <c r="AD181" s="865" t="inlineStr">
        <is>
          <t>Leadership</t>
        </is>
      </c>
      <c r="AE181" s="865" t="inlineStr">
        <is>
          <t>Leadership</t>
        </is>
      </c>
      <c r="AF181" s="865" t="inlineStr">
        <is>
          <t>Leadership</t>
        </is>
      </c>
      <c r="AG181" s="865" t="inlineStr">
        <is>
          <t>Vacant</t>
        </is>
      </c>
    </row>
    <row r="182" hidden="1" ht="18" customHeight="1" s="866">
      <c r="A182" s="1566" t="n">
        <v>99999101676</v>
      </c>
      <c r="B182" s="1382" t="inlineStr">
        <is>
          <t>Ants Jackson</t>
        </is>
      </c>
      <c r="C182" s="1611" t="inlineStr">
        <is>
          <t>Experience Designer</t>
        </is>
      </c>
      <c r="D182" s="1382" t="inlineStr">
        <is>
          <t>Byron Thornhill</t>
        </is>
      </c>
      <c r="E182" s="1382" t="inlineStr">
        <is>
          <t>Design Manager</t>
        </is>
      </c>
      <c r="F182" s="1382" t="inlineStr">
        <is>
          <t>Customer</t>
        </is>
      </c>
      <c r="G182" s="1612" t="inlineStr">
        <is>
          <t>Digital</t>
        </is>
      </c>
      <c r="H182" s="1612" t="inlineStr">
        <is>
          <t>Digital, Design</t>
        </is>
      </c>
      <c r="I182" s="1382" t="inlineStr">
        <is>
          <t>Customer</t>
        </is>
      </c>
      <c r="J182" s="1382" t="inlineStr">
        <is>
          <t>Customer Z</t>
        </is>
      </c>
      <c r="K182" s="1382" t="inlineStr">
        <is>
          <t>Z Energy Apps</t>
        </is>
      </c>
      <c r="L182" s="1612" t="n"/>
      <c r="M182" s="1613" t="inlineStr">
        <is>
          <t>NZ</t>
        </is>
      </c>
      <c r="N182" s="1614" t="inlineStr">
        <is>
          <t>CIC</t>
        </is>
      </c>
      <c r="O182" s="1615" t="n">
        <v>1</v>
      </c>
      <c r="P182" s="1614" t="n"/>
      <c r="Q182" s="1615" t="inlineStr">
        <is>
          <t>Permanent - Full Time</t>
        </is>
      </c>
      <c r="R182" s="1616" t="n"/>
      <c r="S182" s="1616" t="n"/>
      <c r="T182" s="1627" t="n">
        <v>157460</v>
      </c>
      <c r="U182" s="1617" t="n">
        <v>144863.2</v>
      </c>
      <c r="V182" s="1618" t="n">
        <v>0.15</v>
      </c>
      <c r="W182" s="1615" t="n"/>
      <c r="X182" s="1619" t="n">
        <v>0.05</v>
      </c>
      <c r="Y182" s="1620" t="n">
        <v>2910</v>
      </c>
      <c r="Z182" s="1619" t="n">
        <v>0.03</v>
      </c>
      <c r="AA182" s="1621">
        <f>U182*(1+V182+X182+Z182)+Y182</f>
        <v>181091.736</v>
      </c>
      <c r="AB182" s="865" t="n">
        <v>113514</v>
      </c>
      <c r="AC182" s="865" t="inlineStr">
        <is>
          <t>Customer</t>
        </is>
      </c>
      <c r="AD182" s="865" t="inlineStr">
        <is>
          <t>Customer Z</t>
        </is>
      </c>
      <c r="AE182" s="865" t="inlineStr">
        <is>
          <t>Z Energy Apps</t>
        </is>
      </c>
      <c r="AF182" s="865" t="inlineStr">
        <is>
          <t>Squad</t>
        </is>
      </c>
      <c r="AG182" s="865" t="inlineStr">
        <is>
          <t>Filled</t>
        </is>
      </c>
    </row>
    <row r="183" hidden="1" ht="18" customHeight="1" s="866">
      <c r="A183" s="1566" t="n">
        <v>99999101540</v>
      </c>
      <c r="B183" s="1382" t="inlineStr">
        <is>
          <t>James Nicolle</t>
        </is>
      </c>
      <c r="C183" s="1611" t="inlineStr">
        <is>
          <t>Delivery Lead</t>
        </is>
      </c>
      <c r="D183" s="1612" t="inlineStr">
        <is>
          <t>Vacant</t>
        </is>
      </c>
      <c r="E183" s="1382" t="inlineStr">
        <is>
          <t>Delivery Manager, Digital</t>
        </is>
      </c>
      <c r="F183" s="1382" t="inlineStr">
        <is>
          <t>Customer</t>
        </is>
      </c>
      <c r="G183" s="1612" t="inlineStr">
        <is>
          <t>Digital</t>
        </is>
      </c>
      <c r="H183" s="1612" t="inlineStr">
        <is>
          <t>Digital, Delivery</t>
        </is>
      </c>
      <c r="I183" s="1382" t="inlineStr">
        <is>
          <t>Customer</t>
        </is>
      </c>
      <c r="J183" s="1382" t="inlineStr">
        <is>
          <t>Customer Z</t>
        </is>
      </c>
      <c r="K183" s="1382" t="inlineStr">
        <is>
          <t>Z Energy Apps</t>
        </is>
      </c>
      <c r="L183" s="1612" t="n"/>
      <c r="M183" s="1613" t="inlineStr">
        <is>
          <t>NZ</t>
        </is>
      </c>
      <c r="N183" s="1614" t="inlineStr">
        <is>
          <t>CIC</t>
        </is>
      </c>
      <c r="O183" s="1615" t="n">
        <v>1</v>
      </c>
      <c r="P183" s="1614" t="n"/>
      <c r="Q183" s="1615" t="inlineStr">
        <is>
          <t>Permanent - Full Time</t>
        </is>
      </c>
      <c r="R183" s="1616" t="n"/>
      <c r="S183" s="1616" t="n"/>
      <c r="T183" s="1627" t="n">
        <v>154980</v>
      </c>
      <c r="U183" s="1617" t="n">
        <v>142581.6</v>
      </c>
      <c r="V183" s="1618" t="n">
        <v>0.15</v>
      </c>
      <c r="W183" s="1615" t="n"/>
      <c r="X183" s="1619" t="n">
        <v>0.05</v>
      </c>
      <c r="Y183" s="1620" t="n">
        <v>2910</v>
      </c>
      <c r="Z183" s="1619" t="n">
        <v>0.03</v>
      </c>
      <c r="AA183" s="1621">
        <f>U183*(1+V183+X183+Z183)+Y183</f>
        <v>178285.368</v>
      </c>
      <c r="AB183" s="865" t="n">
        <v>113552</v>
      </c>
      <c r="AC183" s="865" t="inlineStr">
        <is>
          <t>Customer</t>
        </is>
      </c>
      <c r="AD183" s="865" t="inlineStr">
        <is>
          <t>Customer Z</t>
        </is>
      </c>
      <c r="AE183" s="865" t="inlineStr">
        <is>
          <t>Z Energy Apps</t>
        </is>
      </c>
      <c r="AF183" s="865" t="inlineStr">
        <is>
          <t>Squad</t>
        </is>
      </c>
      <c r="AG183" s="865" t="inlineStr">
        <is>
          <t>Filled</t>
        </is>
      </c>
    </row>
    <row r="184" hidden="1" ht="18" customHeight="1" s="866">
      <c r="A184" s="1566" t="n">
        <v>99999102079</v>
      </c>
      <c r="B184" s="1382" t="inlineStr">
        <is>
          <t>Sam Turnball</t>
        </is>
      </c>
      <c r="C184" s="1611" t="inlineStr">
        <is>
          <t>Associate Experience Designer</t>
        </is>
      </c>
      <c r="D184" s="1382" t="inlineStr">
        <is>
          <t>Byron Thornhill</t>
        </is>
      </c>
      <c r="E184" s="1382" t="inlineStr">
        <is>
          <t>Design Manager</t>
        </is>
      </c>
      <c r="F184" s="1382" t="inlineStr">
        <is>
          <t>Customer</t>
        </is>
      </c>
      <c r="G184" s="1612" t="inlineStr">
        <is>
          <t>Digital</t>
        </is>
      </c>
      <c r="H184" s="1612" t="inlineStr">
        <is>
          <t>Digital, Design</t>
        </is>
      </c>
      <c r="I184" s="1382" t="inlineStr">
        <is>
          <t>Customer</t>
        </is>
      </c>
      <c r="J184" s="1382" t="inlineStr">
        <is>
          <t>Customer Z</t>
        </is>
      </c>
      <c r="K184" s="1382" t="inlineStr">
        <is>
          <t>Z Energy Apps</t>
        </is>
      </c>
      <c r="L184" s="1612" t="n"/>
      <c r="M184" s="1613" t="inlineStr">
        <is>
          <t>NZ</t>
        </is>
      </c>
      <c r="N184" s="1614" t="inlineStr">
        <is>
          <t>CIA</t>
        </is>
      </c>
      <c r="O184" s="1615" t="n">
        <v>1</v>
      </c>
      <c r="P184" s="1614" t="n"/>
      <c r="Q184" s="1615" t="inlineStr">
        <is>
          <t>Permanent - Full Time</t>
        </is>
      </c>
      <c r="R184" s="1616" t="n"/>
      <c r="S184" s="1616" t="n"/>
      <c r="T184" s="1627" t="n">
        <v>98480</v>
      </c>
      <c r="U184" s="1617" t="n">
        <v>90601.60000000001</v>
      </c>
      <c r="V184" s="1618" t="n">
        <v>0.15</v>
      </c>
      <c r="W184" s="1616" t="n"/>
      <c r="X184" s="1619" t="n">
        <v>0.05</v>
      </c>
      <c r="Y184" s="1620" t="n">
        <v>2910</v>
      </c>
      <c r="Z184" s="1619" t="n">
        <v>0.03</v>
      </c>
      <c r="AA184" s="1621">
        <f>U184*(1+V184+X184+Z184)+Y184</f>
        <v>114349.968</v>
      </c>
      <c r="AB184" s="865" t="n">
        <v>113904</v>
      </c>
      <c r="AC184" s="865" t="inlineStr">
        <is>
          <t>Customer</t>
        </is>
      </c>
      <c r="AD184" s="865" t="inlineStr">
        <is>
          <t>Customer Z</t>
        </is>
      </c>
      <c r="AE184" s="865" t="inlineStr">
        <is>
          <t>Z Energy Apps</t>
        </is>
      </c>
      <c r="AF184" s="865" t="inlineStr">
        <is>
          <t>Squad</t>
        </is>
      </c>
      <c r="AG184" s="865" t="inlineStr">
        <is>
          <t>Filled</t>
        </is>
      </c>
    </row>
    <row r="185" hidden="1" ht="18" customFormat="1" customHeight="1" s="1637">
      <c r="A185" s="1566" t="n">
        <v>99999101612</v>
      </c>
      <c r="B185" s="1382" t="inlineStr">
        <is>
          <t>Shane Abrahams</t>
        </is>
      </c>
      <c r="C185" s="1611" t="inlineStr">
        <is>
          <t>Digital Support Manager - NZ</t>
        </is>
      </c>
      <c r="D185" s="1382" t="inlineStr">
        <is>
          <t>Shona Paul</t>
        </is>
      </c>
      <c r="E185" s="1382" t="inlineStr">
        <is>
          <t>Head of Technology, Digital</t>
        </is>
      </c>
      <c r="F185" s="1382" t="inlineStr">
        <is>
          <t>Customer</t>
        </is>
      </c>
      <c r="G185" s="1612" t="inlineStr">
        <is>
          <t>Digital</t>
        </is>
      </c>
      <c r="H185" s="1612" t="inlineStr">
        <is>
          <t>Digital Support (NZ)</t>
        </is>
      </c>
      <c r="I185" s="1382" t="inlineStr">
        <is>
          <t>Customer</t>
        </is>
      </c>
      <c r="J185" s="1382" t="inlineStr">
        <is>
          <t>Customer Z</t>
        </is>
      </c>
      <c r="K185" s="1382" t="inlineStr">
        <is>
          <t>Z Energy Apps</t>
        </is>
      </c>
      <c r="L185" s="1612" t="n"/>
      <c r="M185" s="1613" t="inlineStr">
        <is>
          <t>NZ</t>
        </is>
      </c>
      <c r="N185" s="1614" t="inlineStr">
        <is>
          <t>CIC</t>
        </is>
      </c>
      <c r="O185" s="1615" t="n">
        <v>1</v>
      </c>
      <c r="P185" s="1614" t="n"/>
      <c r="Q185" s="1615" t="inlineStr">
        <is>
          <t>Permanent - Full Time</t>
        </is>
      </c>
      <c r="R185" s="1616" t="n"/>
      <c r="S185" s="1616" t="n"/>
      <c r="T185" s="1627" t="n">
        <v>162180</v>
      </c>
      <c r="U185" s="1617" t="n">
        <v>149205.6</v>
      </c>
      <c r="V185" s="1618" t="n">
        <v>0.15</v>
      </c>
      <c r="W185" s="1616" t="n"/>
      <c r="X185" s="1619" t="n">
        <v>0.05</v>
      </c>
      <c r="Y185" s="1620" t="n">
        <v>2910</v>
      </c>
      <c r="Z185" s="1619" t="n">
        <v>0.03</v>
      </c>
      <c r="AA185" s="1621">
        <f>U185*(1+V185+X185+Z185)+Y185</f>
        <v>186432.888</v>
      </c>
      <c r="AB185" s="865" t="n">
        <v>113612</v>
      </c>
      <c r="AC185" s="1598" t="inlineStr">
        <is>
          <t>Customer</t>
        </is>
      </c>
      <c r="AD185" s="865" t="inlineStr">
        <is>
          <t>Customer Z</t>
        </is>
      </c>
      <c r="AE185" s="865" t="inlineStr">
        <is>
          <t>Z Energy Apps</t>
        </is>
      </c>
      <c r="AF185" s="865" t="inlineStr">
        <is>
          <t>Squad</t>
        </is>
      </c>
      <c r="AG185" s="865" t="inlineStr">
        <is>
          <t>Filled</t>
        </is>
      </c>
    </row>
    <row r="186" hidden="1" ht="18" customHeight="1" s="866">
      <c r="A186" s="1566" t="n">
        <v>99999101757</v>
      </c>
      <c r="B186" s="1382" t="inlineStr">
        <is>
          <t>Tim Corin</t>
        </is>
      </c>
      <c r="C186" s="1611" t="inlineStr">
        <is>
          <t>Experience Designer</t>
        </is>
      </c>
      <c r="D186" s="1382" t="inlineStr">
        <is>
          <t>Byron Thornhill</t>
        </is>
      </c>
      <c r="E186" s="1382" t="inlineStr">
        <is>
          <t>Design Manager</t>
        </is>
      </c>
      <c r="F186" s="1382" t="inlineStr">
        <is>
          <t>Customer</t>
        </is>
      </c>
      <c r="G186" s="1612" t="inlineStr">
        <is>
          <t>Digital</t>
        </is>
      </c>
      <c r="H186" s="1612" t="inlineStr">
        <is>
          <t>Digital, Design</t>
        </is>
      </c>
      <c r="I186" s="1382" t="inlineStr">
        <is>
          <t>Customer</t>
        </is>
      </c>
      <c r="J186" s="1382" t="inlineStr">
        <is>
          <t>Customer Z</t>
        </is>
      </c>
      <c r="K186" s="1382" t="inlineStr">
        <is>
          <t>Z Energy Apps</t>
        </is>
      </c>
      <c r="L186" s="1612" t="n"/>
      <c r="M186" s="1613" t="inlineStr">
        <is>
          <t>NZ</t>
        </is>
      </c>
      <c r="N186" s="1614" t="inlineStr">
        <is>
          <t>CIC</t>
        </is>
      </c>
      <c r="O186" s="1615" t="n">
        <v>1</v>
      </c>
      <c r="P186" s="1614" t="n"/>
      <c r="Q186" s="1615" t="inlineStr">
        <is>
          <t>Permanent - Full Time</t>
        </is>
      </c>
      <c r="R186" s="1616" t="n"/>
      <c r="S186" s="1616" t="n"/>
      <c r="T186" s="1627" t="n">
        <v>142000</v>
      </c>
      <c r="U186" s="1617" t="n">
        <v>130640</v>
      </c>
      <c r="V186" s="1618" t="n">
        <v>0.15</v>
      </c>
      <c r="W186" s="1616" t="n"/>
      <c r="X186" s="1619" t="n">
        <v>0.05</v>
      </c>
      <c r="Y186" s="1620" t="n">
        <v>2910</v>
      </c>
      <c r="Z186" s="1619" t="n">
        <v>0.03</v>
      </c>
      <c r="AA186" s="1621">
        <f>U186*(1+V186+X186+Z186)+Y186</f>
        <v>163597.2</v>
      </c>
      <c r="AB186" s="865" t="n">
        <v>113618</v>
      </c>
      <c r="AC186" s="865" t="inlineStr">
        <is>
          <t>Customer</t>
        </is>
      </c>
      <c r="AD186" s="865" t="inlineStr">
        <is>
          <t>Customer Z</t>
        </is>
      </c>
      <c r="AE186" s="865" t="inlineStr">
        <is>
          <t>Z Energy Apps</t>
        </is>
      </c>
      <c r="AF186" s="865" t="inlineStr">
        <is>
          <t>Squad</t>
        </is>
      </c>
      <c r="AG186" s="865" t="inlineStr">
        <is>
          <t>Filled</t>
        </is>
      </c>
    </row>
    <row r="187" hidden="1" ht="18" customHeight="1" s="866">
      <c r="A187" s="1566" t="n">
        <v>99999102164</v>
      </c>
      <c r="B187" s="1658" t="inlineStr">
        <is>
          <t>anthonty gen</t>
        </is>
      </c>
      <c r="C187" s="1629" t="inlineStr">
        <is>
          <t>Data Analyst</t>
        </is>
      </c>
      <c r="D187" s="1612" t="inlineStr">
        <is>
          <t>Vacant</t>
        </is>
      </c>
      <c r="E187" s="1612" t="inlineStr">
        <is>
          <t>Technology Manager, Data &amp; Engineering</t>
        </is>
      </c>
      <c r="F187" s="1382" t="inlineStr">
        <is>
          <t>Customer</t>
        </is>
      </c>
      <c r="G187" s="1612" t="inlineStr">
        <is>
          <t>Loyalty &amp; Martech</t>
        </is>
      </c>
      <c r="H187" s="1382" t="inlineStr">
        <is>
          <t>Loyalty, Data &amp; Engineering</t>
        </is>
      </c>
      <c r="I187" s="1382" t="inlineStr">
        <is>
          <t>Customer</t>
        </is>
      </c>
      <c r="J187" s="1612" t="inlineStr">
        <is>
          <t>Group Customer</t>
        </is>
      </c>
      <c r="K187" s="1382" t="inlineStr">
        <is>
          <t>Z Energy Martech</t>
        </is>
      </c>
      <c r="L187" s="1612" t="n"/>
      <c r="M187" s="1613" t="inlineStr">
        <is>
          <t>NZ</t>
        </is>
      </c>
      <c r="N187" s="1614" t="inlineStr">
        <is>
          <t>CIA</t>
        </is>
      </c>
      <c r="O187" s="1615" t="n">
        <v>1</v>
      </c>
      <c r="P187" s="1614" t="n"/>
      <c r="Q187" s="1615" t="inlineStr">
        <is>
          <t>Temporary - Full Time</t>
        </is>
      </c>
      <c r="R187" s="1616" t="n"/>
      <c r="S187" s="1616" t="n"/>
      <c r="T187" s="1627" t="n">
        <v>135000</v>
      </c>
      <c r="U187" s="1617" t="n">
        <v>124200</v>
      </c>
      <c r="V187" s="1618" t="n">
        <v>0.15</v>
      </c>
      <c r="W187" s="1615" t="n"/>
      <c r="X187" s="1619" t="n">
        <v>0.05</v>
      </c>
      <c r="Y187" s="1620" t="n">
        <v>2910</v>
      </c>
      <c r="Z187" s="1619" t="n">
        <v>0.03</v>
      </c>
      <c r="AA187" s="1621">
        <f>U187*(1+V187+X187+Z187)+Y187</f>
        <v>155676</v>
      </c>
      <c r="AB187" s="865" t="n">
        <v>117426</v>
      </c>
      <c r="AC187" s="865" t="inlineStr">
        <is>
          <t>Customer</t>
        </is>
      </c>
      <c r="AD187" s="865" t="inlineStr">
        <is>
          <t>Customer Z</t>
        </is>
      </c>
      <c r="AE187" s="865" t="inlineStr">
        <is>
          <t>Z Energy Martech</t>
        </is>
      </c>
      <c r="AF187" s="865" t="inlineStr">
        <is>
          <t>Squad</t>
        </is>
      </c>
      <c r="AG187" s="865" t="inlineStr">
        <is>
          <t>Filled</t>
        </is>
      </c>
    </row>
    <row r="188" hidden="1" ht="18" customHeight="1" s="866">
      <c r="A188" s="1566" t="n">
        <v>99999101500</v>
      </c>
      <c r="B188" s="1628" t="inlineStr">
        <is>
          <t>Bharat Talreja</t>
        </is>
      </c>
      <c r="C188" s="1629" t="inlineStr">
        <is>
          <t>Marketing Technology Lead</t>
        </is>
      </c>
      <c r="D188" s="1612" t="inlineStr">
        <is>
          <t>Kris Hamilton</t>
        </is>
      </c>
      <c r="E188" s="1612" t="inlineStr">
        <is>
          <t>Technology Manager, Loyalty &amp; Martech</t>
        </is>
      </c>
      <c r="F188" s="1382" t="inlineStr">
        <is>
          <t>Customer</t>
        </is>
      </c>
      <c r="G188" s="1612" t="inlineStr">
        <is>
          <t>Loyalty &amp; Martech</t>
        </is>
      </c>
      <c r="H188" s="1612" t="inlineStr">
        <is>
          <t>Loyalty, Tech</t>
        </is>
      </c>
      <c r="I188" s="1382" t="inlineStr">
        <is>
          <t>Customer</t>
        </is>
      </c>
      <c r="J188" s="1612" t="inlineStr">
        <is>
          <t>Customer Z</t>
        </is>
      </c>
      <c r="K188" s="1612" t="inlineStr">
        <is>
          <t>Z Energy Martech</t>
        </is>
      </c>
      <c r="L188" s="1612" t="n"/>
      <c r="M188" s="1613" t="inlineStr">
        <is>
          <t>NZ</t>
        </is>
      </c>
      <c r="N188" s="1614" t="inlineStr">
        <is>
          <t>CIC</t>
        </is>
      </c>
      <c r="O188" s="1615" t="n">
        <v>1</v>
      </c>
      <c r="P188" s="1614" t="n"/>
      <c r="Q188" s="1615" t="inlineStr">
        <is>
          <t>Permanent - Full Time</t>
        </is>
      </c>
      <c r="R188" s="1616" t="n"/>
      <c r="S188" s="1616" t="n"/>
      <c r="T188" s="1627" t="n">
        <v>151850</v>
      </c>
      <c r="U188" s="1617" t="n">
        <v>139702</v>
      </c>
      <c r="V188" s="1618" t="n">
        <v>0.15</v>
      </c>
      <c r="W188" s="1615" t="n"/>
      <c r="X188" s="1619" t="n">
        <v>0.05</v>
      </c>
      <c r="Y188" s="1620" t="n">
        <v>2910</v>
      </c>
      <c r="Z188" s="1619" t="n">
        <v>0.03</v>
      </c>
      <c r="AA188" s="1621">
        <f>U188*(1+V188+X188+Z188)+Y188</f>
        <v>174743.46</v>
      </c>
      <c r="AB188" s="865" t="n">
        <v>113519</v>
      </c>
      <c r="AC188" s="865" t="inlineStr">
        <is>
          <t>Customer</t>
        </is>
      </c>
      <c r="AD188" s="865" t="inlineStr">
        <is>
          <t>Customer Z</t>
        </is>
      </c>
      <c r="AE188" s="865" t="inlineStr">
        <is>
          <t>Z Energy Martech</t>
        </is>
      </c>
      <c r="AF188" s="865" t="inlineStr">
        <is>
          <t>Squad</t>
        </is>
      </c>
      <c r="AG188" s="865" t="inlineStr">
        <is>
          <t>Filled</t>
        </is>
      </c>
    </row>
    <row r="189" hidden="1" ht="18" customHeight="1" s="866">
      <c r="A189" s="1566" t="n">
        <v>99999101656</v>
      </c>
      <c r="B189" s="1628" t="inlineStr">
        <is>
          <t>Carianne Monast</t>
        </is>
      </c>
      <c r="C189" s="1629" t="inlineStr">
        <is>
          <t>Martech Specialist</t>
        </is>
      </c>
      <c r="D189" s="1612" t="inlineStr">
        <is>
          <t>Kris Hamilton</t>
        </is>
      </c>
      <c r="E189" s="1612" t="inlineStr">
        <is>
          <t>Technology Manager, Loyalty &amp; Martech</t>
        </is>
      </c>
      <c r="F189" s="1382" t="inlineStr">
        <is>
          <t>Customer</t>
        </is>
      </c>
      <c r="G189" s="1612" t="inlineStr">
        <is>
          <t>Loyalty &amp; Martech</t>
        </is>
      </c>
      <c r="H189" s="1612" t="inlineStr">
        <is>
          <t>Loyalty, Tech</t>
        </is>
      </c>
      <c r="I189" s="1382" t="inlineStr">
        <is>
          <t>Customer</t>
        </is>
      </c>
      <c r="J189" s="1612" t="inlineStr">
        <is>
          <t>Customer Z</t>
        </is>
      </c>
      <c r="K189" s="1612" t="inlineStr">
        <is>
          <t>Z Energy Martech</t>
        </is>
      </c>
      <c r="L189" s="1612" t="n"/>
      <c r="M189" s="1613" t="inlineStr">
        <is>
          <t>NZ</t>
        </is>
      </c>
      <c r="N189" s="1614" t="inlineStr">
        <is>
          <t>CIA</t>
        </is>
      </c>
      <c r="O189" s="1615" t="n">
        <v>1</v>
      </c>
      <c r="P189" s="1614" t="n"/>
      <c r="Q189" s="1615" t="inlineStr">
        <is>
          <t>Permanent - Full Time</t>
        </is>
      </c>
      <c r="R189" s="1616" t="n"/>
      <c r="S189" s="1616" t="n"/>
      <c r="T189" s="1627" t="n">
        <v>137040</v>
      </c>
      <c r="U189" s="1617" t="n">
        <v>126076.8</v>
      </c>
      <c r="V189" s="1618" t="n">
        <v>0.15</v>
      </c>
      <c r="W189" s="1615" t="n"/>
      <c r="X189" s="1619" t="n">
        <v>0.05</v>
      </c>
      <c r="Y189" s="1620" t="n">
        <v>2910</v>
      </c>
      <c r="Z189" s="1619" t="n">
        <v>0.03</v>
      </c>
      <c r="AA189" s="1621">
        <f>U189*(1+V189+X189+Z189)+Y189</f>
        <v>157984.464</v>
      </c>
      <c r="AB189" s="865" t="n">
        <v>113526</v>
      </c>
      <c r="AC189" s="865" t="inlineStr">
        <is>
          <t>Customer</t>
        </is>
      </c>
      <c r="AD189" s="865" t="inlineStr">
        <is>
          <t>Customer Z</t>
        </is>
      </c>
      <c r="AE189" s="865" t="inlineStr">
        <is>
          <t>Z Energy Martech</t>
        </is>
      </c>
      <c r="AF189" s="865" t="inlineStr">
        <is>
          <t>Squad</t>
        </is>
      </c>
      <c r="AG189" s="865" t="inlineStr">
        <is>
          <t>Filled</t>
        </is>
      </c>
    </row>
    <row r="190" hidden="1" ht="18" customHeight="1" s="866">
      <c r="A190" s="1566" t="n">
        <v>99999101454</v>
      </c>
      <c r="B190" s="1628" t="inlineStr">
        <is>
          <t>Celia Voysey</t>
        </is>
      </c>
      <c r="C190" s="1629" t="inlineStr">
        <is>
          <t>Delivery Lead</t>
        </is>
      </c>
      <c r="D190" s="1612" t="inlineStr">
        <is>
          <t>Vacant</t>
        </is>
      </c>
      <c r="E190" s="1612" t="inlineStr">
        <is>
          <t>Delivery Manager, Loyalty</t>
        </is>
      </c>
      <c r="F190" s="1382" t="inlineStr">
        <is>
          <t>Customer</t>
        </is>
      </c>
      <c r="G190" s="1612" t="inlineStr">
        <is>
          <t>Loyalty &amp; Martech</t>
        </is>
      </c>
      <c r="H190" s="1382" t="inlineStr">
        <is>
          <t xml:space="preserve">Loyalty, Delivery </t>
        </is>
      </c>
      <c r="I190" s="1382" t="inlineStr">
        <is>
          <t>Customer</t>
        </is>
      </c>
      <c r="J190" s="1612" t="inlineStr">
        <is>
          <t>Customer Z</t>
        </is>
      </c>
      <c r="K190" s="1612" t="inlineStr">
        <is>
          <t>Z Energy Martech</t>
        </is>
      </c>
      <c r="L190" s="1612" t="n"/>
      <c r="M190" s="1613" t="inlineStr">
        <is>
          <t>NZ</t>
        </is>
      </c>
      <c r="N190" s="1614" t="inlineStr">
        <is>
          <t>CIC</t>
        </is>
      </c>
      <c r="O190" s="1615" t="n">
        <v>1</v>
      </c>
      <c r="P190" s="1614" t="n"/>
      <c r="Q190" s="1615" t="inlineStr">
        <is>
          <t>Permanent - Full Time</t>
        </is>
      </c>
      <c r="R190" s="1616" t="n"/>
      <c r="S190" s="1616" t="n"/>
      <c r="T190" s="1627" t="n">
        <v>171670</v>
      </c>
      <c r="U190" s="1617" t="n">
        <v>157936.4</v>
      </c>
      <c r="V190" s="1618" t="n">
        <v>0.15</v>
      </c>
      <c r="W190" s="1615" t="n"/>
      <c r="X190" s="1619" t="n">
        <v>0.05</v>
      </c>
      <c r="Y190" s="1620" t="n">
        <v>2910</v>
      </c>
      <c r="Z190" s="1619" t="n">
        <v>0.03</v>
      </c>
      <c r="AA190" s="1621">
        <f>U190*(1+V190+X190+Z190)+Y190</f>
        <v>197171.772</v>
      </c>
      <c r="AB190" s="865" t="n">
        <v>113528</v>
      </c>
      <c r="AC190" s="865" t="inlineStr">
        <is>
          <t>Customer</t>
        </is>
      </c>
      <c r="AD190" s="865" t="inlineStr">
        <is>
          <t>Customer Z</t>
        </is>
      </c>
      <c r="AE190" s="865" t="inlineStr">
        <is>
          <t>Z Energy Martech</t>
        </is>
      </c>
      <c r="AF190" s="865" t="inlineStr">
        <is>
          <t>Squad</t>
        </is>
      </c>
      <c r="AG190" s="865" t="inlineStr">
        <is>
          <t>Filled</t>
        </is>
      </c>
    </row>
    <row r="191" hidden="1" ht="18" customHeight="1" s="866">
      <c r="A191" s="1566" t="n">
        <v>99999101370</v>
      </c>
      <c r="B191" s="1628" t="inlineStr">
        <is>
          <t>Denise Esguerra</t>
        </is>
      </c>
      <c r="C191" s="1629" t="inlineStr">
        <is>
          <t>Martech Specialist</t>
        </is>
      </c>
      <c r="D191" s="1612" t="inlineStr">
        <is>
          <t>Kris Hamilton</t>
        </is>
      </c>
      <c r="E191" s="1598" t="inlineStr">
        <is>
          <t>Technology Manager, Loyalty &amp; Martech</t>
        </is>
      </c>
      <c r="F191" s="1382" t="inlineStr">
        <is>
          <t>Customer</t>
        </is>
      </c>
      <c r="G191" s="1612" t="inlineStr">
        <is>
          <t>Loyalty &amp; Martech</t>
        </is>
      </c>
      <c r="H191" s="1612" t="inlineStr">
        <is>
          <t>Loyalty, Tech</t>
        </is>
      </c>
      <c r="I191" s="1382" t="inlineStr">
        <is>
          <t>Customer</t>
        </is>
      </c>
      <c r="J191" s="1612" t="inlineStr">
        <is>
          <t>(All Customer)</t>
        </is>
      </c>
      <c r="K191" s="1612" t="inlineStr">
        <is>
          <t>Z Energy Martech</t>
        </is>
      </c>
      <c r="L191" s="1612" t="n"/>
      <c r="M191" s="1613" t="inlineStr">
        <is>
          <t>NZ</t>
        </is>
      </c>
      <c r="N191" s="1614" t="inlineStr">
        <is>
          <t>CIA</t>
        </is>
      </c>
      <c r="O191" s="1615" t="n">
        <v>1</v>
      </c>
      <c r="P191" s="1614" t="n"/>
      <c r="Q191" s="1615" t="inlineStr">
        <is>
          <t>Permanent - Full Time</t>
        </is>
      </c>
      <c r="R191" s="1616" t="n"/>
      <c r="S191" s="1616" t="n"/>
      <c r="T191" s="1627" t="n">
        <v>119630</v>
      </c>
      <c r="U191" s="1617" t="n">
        <v>110059.6</v>
      </c>
      <c r="V191" s="1618" t="n">
        <v>0.15</v>
      </c>
      <c r="W191" s="1615" t="n"/>
      <c r="X191" s="1619" t="n">
        <v>0.05</v>
      </c>
      <c r="Y191" s="1620" t="n">
        <v>2910</v>
      </c>
      <c r="Z191" s="1619" t="n">
        <v>0.03</v>
      </c>
      <c r="AA191" s="1621">
        <f>U191*(1+V191+X191+Z191)+Y191</f>
        <v>138283.308</v>
      </c>
      <c r="AB191" s="865" t="n">
        <v>115807</v>
      </c>
      <c r="AC191" s="865" t="inlineStr">
        <is>
          <t>Customer</t>
        </is>
      </c>
      <c r="AD191" s="865" t="inlineStr">
        <is>
          <t>Customer Z</t>
        </is>
      </c>
      <c r="AE191" s="865" t="inlineStr">
        <is>
          <t>Z Energy Martech</t>
        </is>
      </c>
      <c r="AF191" s="865" t="inlineStr">
        <is>
          <t>Squad</t>
        </is>
      </c>
      <c r="AG191" s="865" t="inlineStr">
        <is>
          <t>Filled</t>
        </is>
      </c>
    </row>
    <row r="192" hidden="1" ht="18" customHeight="1" s="866">
      <c r="A192" s="1566" t="n">
        <v>99999101601</v>
      </c>
      <c r="B192" s="1628" t="inlineStr">
        <is>
          <t>Jordan Kettles</t>
        </is>
      </c>
      <c r="C192" s="1629" t="inlineStr">
        <is>
          <t>Engineer, Sotware</t>
        </is>
      </c>
      <c r="D192" s="1612" t="inlineStr">
        <is>
          <t>Vacant</t>
        </is>
      </c>
      <c r="E192" s="1612" t="inlineStr">
        <is>
          <t>Technology Manager, Data &amp; Engineering</t>
        </is>
      </c>
      <c r="F192" s="1382" t="inlineStr">
        <is>
          <t>Customer</t>
        </is>
      </c>
      <c r="G192" s="1612" t="inlineStr">
        <is>
          <t>Loyalty &amp; Martech</t>
        </is>
      </c>
      <c r="H192" s="1382" t="inlineStr">
        <is>
          <t>Loyalty, Data &amp; Engineering</t>
        </is>
      </c>
      <c r="I192" s="1382" t="inlineStr">
        <is>
          <t>Customer</t>
        </is>
      </c>
      <c r="J192" s="1612" t="inlineStr">
        <is>
          <t>Customer Z</t>
        </is>
      </c>
      <c r="K192" s="1612" t="inlineStr">
        <is>
          <t>Z Energy Martech</t>
        </is>
      </c>
      <c r="L192" s="1612" t="n"/>
      <c r="M192" s="1613" t="inlineStr">
        <is>
          <t>NZ</t>
        </is>
      </c>
      <c r="N192" s="1614" t="inlineStr">
        <is>
          <t>CDB</t>
        </is>
      </c>
      <c r="O192" s="1615" t="n">
        <v>1</v>
      </c>
      <c r="P192" s="1614" t="n"/>
      <c r="Q192" s="1615" t="inlineStr">
        <is>
          <t>Permanent - Full Time</t>
        </is>
      </c>
      <c r="R192" s="1616" t="n"/>
      <c r="S192" s="1616" t="n"/>
      <c r="T192" s="1627" t="n">
        <v>95440</v>
      </c>
      <c r="U192" s="1617" t="n">
        <v>87804.8</v>
      </c>
      <c r="V192" s="1618" t="n">
        <v>0.1</v>
      </c>
      <c r="W192" s="1615" t="n"/>
      <c r="X192" s="1619" t="n">
        <v>0.05</v>
      </c>
      <c r="Y192" s="1620" t="n">
        <v>2910</v>
      </c>
      <c r="Z192" s="1619" t="n">
        <v>0.03</v>
      </c>
      <c r="AA192" s="1621">
        <f>U192*(1+V192+X192+Z192)+Y192</f>
        <v>106519.664</v>
      </c>
      <c r="AB192" s="865" t="n">
        <v>113560</v>
      </c>
      <c r="AC192" s="865" t="inlineStr">
        <is>
          <t>Customer</t>
        </is>
      </c>
      <c r="AD192" s="865" t="inlineStr">
        <is>
          <t>Customer Z</t>
        </is>
      </c>
      <c r="AE192" s="865" t="inlineStr">
        <is>
          <t>Z Energy Martech</t>
        </is>
      </c>
      <c r="AF192" s="865" t="inlineStr">
        <is>
          <t>Squad</t>
        </is>
      </c>
      <c r="AG192" s="865" t="inlineStr">
        <is>
          <t>Filled</t>
        </is>
      </c>
    </row>
    <row r="193" hidden="1" ht="18" customHeight="1" s="866">
      <c r="A193" s="1566" t="n">
        <v>99999101672</v>
      </c>
      <c r="B193" s="1628" t="inlineStr">
        <is>
          <t>Kaye Javier</t>
        </is>
      </c>
      <c r="C193" s="1629" t="inlineStr">
        <is>
          <t>QA Analyst</t>
        </is>
      </c>
      <c r="D193" s="1612" t="inlineStr">
        <is>
          <t>Kris Hamilton</t>
        </is>
      </c>
      <c r="E193" s="1612" t="inlineStr">
        <is>
          <t>Technology Manager, Loyalty &amp; Martech</t>
        </is>
      </c>
      <c r="F193" s="1382" t="inlineStr">
        <is>
          <t>Customer</t>
        </is>
      </c>
      <c r="G193" s="1612" t="inlineStr">
        <is>
          <t>Loyalty &amp; Martech</t>
        </is>
      </c>
      <c r="H193" s="1612" t="inlineStr">
        <is>
          <t>Loyalty, Tech</t>
        </is>
      </c>
      <c r="I193" s="1382" t="inlineStr">
        <is>
          <t>Customer</t>
        </is>
      </c>
      <c r="J193" s="1612" t="inlineStr">
        <is>
          <t>Customer Z</t>
        </is>
      </c>
      <c r="K193" s="1612" t="inlineStr">
        <is>
          <t>Z Energy Martech</t>
        </is>
      </c>
      <c r="L193" s="1612" t="n"/>
      <c r="M193" s="1613" t="inlineStr">
        <is>
          <t>NZ</t>
        </is>
      </c>
      <c r="N193" s="1614" t="inlineStr">
        <is>
          <t>CDB</t>
        </is>
      </c>
      <c r="O193" s="1615" t="n">
        <v>1</v>
      </c>
      <c r="P193" s="1614" t="n"/>
      <c r="Q193" s="1615" t="inlineStr">
        <is>
          <t>Permanent - Full Time</t>
        </is>
      </c>
      <c r="R193" s="1616" t="n"/>
      <c r="S193" s="1616" t="n"/>
      <c r="T193" s="1627" t="n">
        <v>94080</v>
      </c>
      <c r="U193" s="1617" t="n">
        <v>86553.60000000001</v>
      </c>
      <c r="V193" s="1618" t="n">
        <v>0.1</v>
      </c>
      <c r="W193" s="1615" t="n"/>
      <c r="X193" s="1619" t="n">
        <v>0.05</v>
      </c>
      <c r="Y193" s="1620" t="n">
        <v>2910</v>
      </c>
      <c r="Z193" s="1619" t="n">
        <v>0.03</v>
      </c>
      <c r="AA193" s="1621">
        <f>U193*(1+V193+X193+Z193)+Y193</f>
        <v>105043.248</v>
      </c>
      <c r="AB193" s="865" t="n">
        <v>113564</v>
      </c>
      <c r="AC193" s="865" t="inlineStr">
        <is>
          <t>Customer</t>
        </is>
      </c>
      <c r="AD193" s="865" t="inlineStr">
        <is>
          <t>Customer Z</t>
        </is>
      </c>
      <c r="AE193" s="865" t="inlineStr">
        <is>
          <t>Z Energy Martech</t>
        </is>
      </c>
      <c r="AF193" s="865" t="inlineStr">
        <is>
          <t>Squad</t>
        </is>
      </c>
      <c r="AG193" s="865" t="inlineStr">
        <is>
          <t>Filled</t>
        </is>
      </c>
    </row>
    <row r="194" hidden="1" ht="18" customHeight="1" s="866">
      <c r="A194" s="1566" t="n">
        <v>99999100621</v>
      </c>
      <c r="B194" s="1628" t="inlineStr">
        <is>
          <t>Kellie Gathergood</t>
        </is>
      </c>
      <c r="C194" s="1629" t="inlineStr">
        <is>
          <t>Lead Quality Assurance</t>
        </is>
      </c>
      <c r="D194" s="1612" t="inlineStr">
        <is>
          <t>Kris Hamilton</t>
        </is>
      </c>
      <c r="E194" s="1598" t="inlineStr">
        <is>
          <t>Technology Manager, Loyalty &amp; Martech</t>
        </is>
      </c>
      <c r="F194" s="1382" t="inlineStr">
        <is>
          <t>Customer</t>
        </is>
      </c>
      <c r="G194" s="1612" t="inlineStr">
        <is>
          <t>Loyalty &amp; Martech</t>
        </is>
      </c>
      <c r="H194" s="1612" t="inlineStr">
        <is>
          <t>Loyalty, Tech</t>
        </is>
      </c>
      <c r="I194" s="1382" t="inlineStr">
        <is>
          <t>Customer</t>
        </is>
      </c>
      <c r="J194" s="1612" t="inlineStr">
        <is>
          <t>Customer Z</t>
        </is>
      </c>
      <c r="K194" s="1612" t="inlineStr">
        <is>
          <t>Z Energy Martech</t>
        </is>
      </c>
      <c r="L194" s="1612" t="n"/>
      <c r="M194" s="1613" t="inlineStr">
        <is>
          <t>NZ</t>
        </is>
      </c>
      <c r="N194" s="1614" t="inlineStr">
        <is>
          <t>CIC</t>
        </is>
      </c>
      <c r="O194" s="1615" t="n">
        <v>0.8</v>
      </c>
      <c r="P194" s="1614" t="n"/>
      <c r="Q194" s="1615" t="inlineStr">
        <is>
          <t>Permanent - Part Time</t>
        </is>
      </c>
      <c r="R194" s="1616" t="n"/>
      <c r="S194" s="1616" t="n"/>
      <c r="T194" s="1627" t="n">
        <v>169080</v>
      </c>
      <c r="U194" s="1617" t="n">
        <v>155553.6</v>
      </c>
      <c r="V194" s="1618" t="n">
        <v>0.15</v>
      </c>
      <c r="W194" s="1615" t="n"/>
      <c r="X194" s="1619" t="n">
        <v>0.05</v>
      </c>
      <c r="Y194" s="1620" t="n">
        <v>2910</v>
      </c>
      <c r="Z194" s="1619" t="n">
        <v>0.03</v>
      </c>
      <c r="AA194" s="1621">
        <f>U194*(1+V194+X194+Z194)+Y194</f>
        <v>194240.928</v>
      </c>
      <c r="AB194" s="865" t="n">
        <v>113565</v>
      </c>
      <c r="AC194" s="865" t="inlineStr">
        <is>
          <t>Customer</t>
        </is>
      </c>
      <c r="AD194" s="865" t="inlineStr">
        <is>
          <t>Customer Z</t>
        </is>
      </c>
      <c r="AE194" s="865" t="inlineStr">
        <is>
          <t>Z Energy Martech</t>
        </is>
      </c>
      <c r="AF194" s="865" t="inlineStr">
        <is>
          <t>Squad</t>
        </is>
      </c>
      <c r="AG194" s="865" t="inlineStr">
        <is>
          <t>Filled</t>
        </is>
      </c>
    </row>
    <row r="195" hidden="1" ht="18" customHeight="1" s="866">
      <c r="A195" s="1566" t="n">
        <v>99999101633</v>
      </c>
      <c r="B195" s="1628" t="inlineStr">
        <is>
          <t>Kishore Ganesan</t>
        </is>
      </c>
      <c r="C195" s="1629" t="inlineStr">
        <is>
          <t>Intermediate Quality Assurance</t>
        </is>
      </c>
      <c r="D195" s="1612" t="inlineStr">
        <is>
          <t>Kris Hamilton</t>
        </is>
      </c>
      <c r="E195" s="1612" t="inlineStr">
        <is>
          <t>Technology Manager, Loyalty &amp; Martech</t>
        </is>
      </c>
      <c r="F195" s="1382" t="inlineStr">
        <is>
          <t>Customer</t>
        </is>
      </c>
      <c r="G195" s="1612" t="inlineStr">
        <is>
          <t>Loyalty &amp; Martech</t>
        </is>
      </c>
      <c r="H195" s="1612" t="inlineStr">
        <is>
          <t>Loyalty, Tech</t>
        </is>
      </c>
      <c r="I195" s="1382" t="inlineStr">
        <is>
          <t>Customer</t>
        </is>
      </c>
      <c r="J195" s="1612" t="inlineStr">
        <is>
          <t>Customer Z</t>
        </is>
      </c>
      <c r="K195" s="1612" t="inlineStr">
        <is>
          <t>Z Energy Martech</t>
        </is>
      </c>
      <c r="L195" s="1612" t="n"/>
      <c r="M195" s="1613" t="inlineStr">
        <is>
          <t>NZ</t>
        </is>
      </c>
      <c r="N195" s="1614" t="inlineStr">
        <is>
          <t>CDC</t>
        </is>
      </c>
      <c r="O195" s="1615" t="n">
        <v>1</v>
      </c>
      <c r="P195" s="1614" t="n"/>
      <c r="Q195" s="1615" t="inlineStr">
        <is>
          <t>Permanent - Full Time</t>
        </is>
      </c>
      <c r="R195" s="1616" t="n"/>
      <c r="S195" s="1616" t="n"/>
      <c r="T195" s="1627" t="n">
        <v>96140</v>
      </c>
      <c r="U195" s="1617" t="n">
        <v>88448.8</v>
      </c>
      <c r="V195" s="1618" t="n">
        <v>0.1</v>
      </c>
      <c r="W195" s="1615" t="n"/>
      <c r="X195" s="1619" t="n">
        <v>0.05</v>
      </c>
      <c r="Y195" s="1620" t="n">
        <v>2910</v>
      </c>
      <c r="Z195" s="1619" t="n">
        <v>0.03</v>
      </c>
      <c r="AA195" s="1621">
        <f>U195*(1+V195+X195+Z195)+Y195</f>
        <v>107279.584</v>
      </c>
      <c r="AB195" s="865" t="n">
        <v>113567</v>
      </c>
      <c r="AC195" s="865" t="inlineStr">
        <is>
          <t>Customer</t>
        </is>
      </c>
      <c r="AD195" s="865" t="inlineStr">
        <is>
          <t>Customer Z</t>
        </is>
      </c>
      <c r="AE195" s="865" t="inlineStr">
        <is>
          <t>Z Energy Martech</t>
        </is>
      </c>
      <c r="AF195" s="865" t="inlineStr">
        <is>
          <t>Squad</t>
        </is>
      </c>
      <c r="AG195" s="865" t="inlineStr">
        <is>
          <t>Filled</t>
        </is>
      </c>
    </row>
    <row r="196" hidden="1" ht="18" customHeight="1" s="866">
      <c r="A196" s="1566" t="n">
        <v>99999101312</v>
      </c>
      <c r="B196" s="1628" t="inlineStr">
        <is>
          <t>Megan Rodgers</t>
        </is>
      </c>
      <c r="C196" s="1629" t="inlineStr">
        <is>
          <t>Business Analyst</t>
        </is>
      </c>
      <c r="D196" s="1612" t="inlineStr">
        <is>
          <t>Vacant</t>
        </is>
      </c>
      <c r="E196" s="1612" t="inlineStr">
        <is>
          <t>Delivery Manager, Loyalty</t>
        </is>
      </c>
      <c r="F196" s="1382" t="inlineStr">
        <is>
          <t>Customer</t>
        </is>
      </c>
      <c r="G196" s="1612" t="inlineStr">
        <is>
          <t>Loyalty &amp; Martech</t>
        </is>
      </c>
      <c r="H196" s="1382" t="inlineStr">
        <is>
          <t xml:space="preserve">Loyalty, Delivery </t>
        </is>
      </c>
      <c r="I196" s="1382" t="inlineStr">
        <is>
          <t>Customer</t>
        </is>
      </c>
      <c r="J196" s="1612" t="inlineStr">
        <is>
          <t>Customer Z</t>
        </is>
      </c>
      <c r="K196" s="1612" t="inlineStr">
        <is>
          <t>Z Energy Martech</t>
        </is>
      </c>
      <c r="L196" s="1612" t="n"/>
      <c r="M196" s="1613" t="inlineStr">
        <is>
          <t>NZ</t>
        </is>
      </c>
      <c r="N196" s="1614" t="inlineStr">
        <is>
          <t>CIA</t>
        </is>
      </c>
      <c r="O196" s="1615" t="n">
        <v>0.8</v>
      </c>
      <c r="P196" s="1614" t="n"/>
      <c r="Q196" s="1615" t="inlineStr">
        <is>
          <t>Permanent - Part Time</t>
        </is>
      </c>
      <c r="R196" s="1616" t="n"/>
      <c r="S196" s="1616" t="n"/>
      <c r="T196" s="1627" t="n">
        <v>128530</v>
      </c>
      <c r="U196" s="1617" t="n">
        <v>118247.6</v>
      </c>
      <c r="V196" s="1618" t="n">
        <v>0.15</v>
      </c>
      <c r="W196" s="1616" t="n"/>
      <c r="X196" s="1619" t="n">
        <v>0.05</v>
      </c>
      <c r="Y196" s="1620" t="n">
        <v>2910</v>
      </c>
      <c r="Z196" s="1619" t="n">
        <v>0.03</v>
      </c>
      <c r="AA196" s="1621">
        <f>U196*(1+V196+X196+Z196)+Y196</f>
        <v>148354.548</v>
      </c>
      <c r="AB196" s="865" t="n">
        <v>113590</v>
      </c>
      <c r="AC196" s="865" t="inlineStr">
        <is>
          <t>Customer</t>
        </is>
      </c>
      <c r="AD196" s="865" t="inlineStr">
        <is>
          <t>Customer Z</t>
        </is>
      </c>
      <c r="AE196" s="865" t="inlineStr">
        <is>
          <t>Z Energy Martech</t>
        </is>
      </c>
      <c r="AF196" s="865" t="inlineStr">
        <is>
          <t>Squad</t>
        </is>
      </c>
      <c r="AG196" s="865" t="inlineStr">
        <is>
          <t>Filled</t>
        </is>
      </c>
    </row>
    <row r="197" hidden="1" ht="18" customHeight="1" s="866">
      <c r="A197" s="1566" t="n">
        <v>99999100847</v>
      </c>
      <c r="B197" s="1628" t="inlineStr">
        <is>
          <t>Nimi Rose</t>
        </is>
      </c>
      <c r="C197" s="1629" t="inlineStr">
        <is>
          <t>Marketing Technology Lead</t>
        </is>
      </c>
      <c r="D197" s="1612" t="inlineStr">
        <is>
          <t>Kris Hamilton</t>
        </is>
      </c>
      <c r="E197" s="1612" t="inlineStr">
        <is>
          <t>Technology Manager, Loyalty &amp; Martech</t>
        </is>
      </c>
      <c r="F197" s="1382" t="inlineStr">
        <is>
          <t>Customer</t>
        </is>
      </c>
      <c r="G197" s="1612" t="inlineStr">
        <is>
          <t>Loyalty &amp; Martech</t>
        </is>
      </c>
      <c r="H197" s="1612" t="inlineStr">
        <is>
          <t>Loyalty, Tech</t>
        </is>
      </c>
      <c r="I197" s="1382" t="inlineStr">
        <is>
          <t>Customer</t>
        </is>
      </c>
      <c r="J197" s="1612" t="inlineStr">
        <is>
          <t>Customer Z</t>
        </is>
      </c>
      <c r="K197" s="1612" t="inlineStr">
        <is>
          <t>Z Energy Martech</t>
        </is>
      </c>
      <c r="L197" s="1612" t="n"/>
      <c r="M197" s="1613" t="inlineStr">
        <is>
          <t>NZ</t>
        </is>
      </c>
      <c r="N197" s="1614" t="inlineStr">
        <is>
          <t>CIC</t>
        </is>
      </c>
      <c r="O197" s="1615" t="n">
        <v>1</v>
      </c>
      <c r="P197" s="1614" t="n"/>
      <c r="Q197" s="1615" t="inlineStr">
        <is>
          <t>Permanent - Full Time</t>
        </is>
      </c>
      <c r="R197" s="1616" t="n"/>
      <c r="S197" s="1616" t="n"/>
      <c r="T197" s="1627" t="n">
        <v>170880</v>
      </c>
      <c r="U197" s="1617" t="n">
        <v>157209.6</v>
      </c>
      <c r="V197" s="1618" t="n">
        <v>0.15</v>
      </c>
      <c r="W197" s="1616" t="n"/>
      <c r="X197" s="1619" t="n">
        <v>0.05</v>
      </c>
      <c r="Y197" s="1620" t="n">
        <v>2910</v>
      </c>
      <c r="Z197" s="1619" t="n">
        <v>0.03</v>
      </c>
      <c r="AA197" s="1621">
        <f>U197*(1+V197+X197+Z197)+Y197</f>
        <v>196277.808</v>
      </c>
      <c r="AB197" s="865" t="n">
        <v>113601</v>
      </c>
      <c r="AC197" s="865" t="inlineStr">
        <is>
          <t>Customer</t>
        </is>
      </c>
      <c r="AD197" s="865" t="inlineStr">
        <is>
          <t>Customer Z</t>
        </is>
      </c>
      <c r="AE197" s="865" t="inlineStr">
        <is>
          <t>Z Energy Martech</t>
        </is>
      </c>
      <c r="AF197" s="865" t="inlineStr">
        <is>
          <t>Squad</t>
        </is>
      </c>
      <c r="AG197" s="865" t="inlineStr">
        <is>
          <t>Filled</t>
        </is>
      </c>
    </row>
    <row r="198" hidden="1" ht="18" customHeight="1" s="866">
      <c r="A198" s="1566" t="n">
        <v>99999101730</v>
      </c>
      <c r="B198" s="1628" t="inlineStr">
        <is>
          <t>Scott Cullen</t>
        </is>
      </c>
      <c r="C198" s="1629" t="inlineStr">
        <is>
          <t>Engineer, Dev Ops</t>
        </is>
      </c>
      <c r="D198" s="1612" t="inlineStr">
        <is>
          <t>Vacant</t>
        </is>
      </c>
      <c r="E198" s="1612" t="inlineStr">
        <is>
          <t>Technology Manager, Data &amp; Engineering</t>
        </is>
      </c>
      <c r="F198" s="1382" t="inlineStr">
        <is>
          <t>Customer</t>
        </is>
      </c>
      <c r="G198" s="1612" t="inlineStr">
        <is>
          <t>Loyalty &amp; Martech</t>
        </is>
      </c>
      <c r="H198" s="1382" t="inlineStr">
        <is>
          <t>Loyalty, Data &amp; Engineering</t>
        </is>
      </c>
      <c r="I198" s="1382" t="inlineStr">
        <is>
          <t>Customer</t>
        </is>
      </c>
      <c r="J198" s="1612" t="inlineStr">
        <is>
          <t>Customer Z</t>
        </is>
      </c>
      <c r="K198" s="1612" t="inlineStr">
        <is>
          <t>Z Energy Martech</t>
        </is>
      </c>
      <c r="L198" s="1612" t="n"/>
      <c r="M198" s="1613" t="inlineStr">
        <is>
          <t>NZ</t>
        </is>
      </c>
      <c r="N198" s="1614" t="inlineStr">
        <is>
          <t>CDB</t>
        </is>
      </c>
      <c r="O198" s="1615" t="n">
        <v>1</v>
      </c>
      <c r="P198" s="1614" t="n"/>
      <c r="Q198" s="1615" t="inlineStr">
        <is>
          <t>Permanent - Full Time</t>
        </is>
      </c>
      <c r="R198" s="1616" t="n"/>
      <c r="S198" s="1616" t="n"/>
      <c r="T198" s="1627" t="n">
        <v>93900</v>
      </c>
      <c r="U198" s="1617" t="n">
        <v>86388</v>
      </c>
      <c r="V198" s="1618" t="n">
        <v>0.1</v>
      </c>
      <c r="W198" s="1616" t="n"/>
      <c r="X198" s="1619" t="n">
        <v>0.05</v>
      </c>
      <c r="Y198" s="1620" t="n">
        <v>2910</v>
      </c>
      <c r="Z198" s="1619" t="n">
        <v>0.03</v>
      </c>
      <c r="AA198" s="1621">
        <f>U198*(1+V198+X198+Z198)+Y198</f>
        <v>104847.84</v>
      </c>
      <c r="AB198" s="865" t="n">
        <v>113611</v>
      </c>
      <c r="AC198" s="865" t="inlineStr">
        <is>
          <t>Customer</t>
        </is>
      </c>
      <c r="AD198" s="865" t="inlineStr">
        <is>
          <t>Customer Z</t>
        </is>
      </c>
      <c r="AE198" s="865" t="inlineStr">
        <is>
          <t>Z Energy Martech</t>
        </is>
      </c>
      <c r="AF198" s="865" t="inlineStr">
        <is>
          <t>Squad</t>
        </is>
      </c>
      <c r="AG198" s="865" t="inlineStr">
        <is>
          <t>Filled</t>
        </is>
      </c>
    </row>
    <row r="199" hidden="1" ht="18" customHeight="1" s="866">
      <c r="A199" s="1566" t="inlineStr">
        <is>
          <t>V</t>
        </is>
      </c>
      <c r="B199" s="1658" t="inlineStr">
        <is>
          <t>Vacant</t>
        </is>
      </c>
      <c r="C199" s="1629" t="inlineStr">
        <is>
          <t>Solution Architect</t>
        </is>
      </c>
      <c r="D199" s="1612" t="inlineStr">
        <is>
          <t>Kris Hamilton</t>
        </is>
      </c>
      <c r="E199" s="1612" t="inlineStr">
        <is>
          <t>Technology Manager, Loyalty &amp; Martech</t>
        </is>
      </c>
      <c r="F199" s="1382" t="inlineStr">
        <is>
          <t>Customer</t>
        </is>
      </c>
      <c r="G199" s="1612" t="inlineStr">
        <is>
          <t>Loyalty &amp; Martech</t>
        </is>
      </c>
      <c r="H199" s="1612" t="inlineStr">
        <is>
          <t>Loyalty, Tech</t>
        </is>
      </c>
      <c r="I199" s="1382" t="inlineStr">
        <is>
          <t>Customer</t>
        </is>
      </c>
      <c r="J199" s="1612" t="inlineStr">
        <is>
          <t>Customer Z</t>
        </is>
      </c>
      <c r="K199" s="1612" t="inlineStr">
        <is>
          <t>Z Energy Martech</t>
        </is>
      </c>
      <c r="L199" s="1612" t="n"/>
      <c r="M199" s="1613" t="inlineStr">
        <is>
          <t>australia</t>
        </is>
      </c>
      <c r="N199" s="1614" t="inlineStr">
        <is>
          <t>CIC</t>
        </is>
      </c>
      <c r="O199" s="1614" t="n">
        <v>1</v>
      </c>
      <c r="P199" s="1614" t="n"/>
      <c r="Q199" s="1614" t="inlineStr">
        <is>
          <t>v</t>
        </is>
      </c>
      <c r="R199" s="1616" t="n"/>
      <c r="S199" s="1616" t="n"/>
      <c r="T199" s="1627" t="n">
        <v>173550</v>
      </c>
      <c r="U199" s="1617" t="n">
        <v>173550</v>
      </c>
      <c r="V199" s="1619" t="n">
        <v>0.12</v>
      </c>
      <c r="W199" s="1622" t="n">
        <v>0.055</v>
      </c>
      <c r="X199" s="1622" t="n">
        <v>0.12</v>
      </c>
      <c r="Y199" s="1623" t="n"/>
      <c r="Z199" s="1622" t="n">
        <v>0.04</v>
      </c>
      <c r="AA199" s="1621">
        <f>U199*(1+V199+W199+X199+Y199+Z199)</f>
        <v>231689.25</v>
      </c>
      <c r="AC199" s="865" t="inlineStr">
        <is>
          <t>Customer</t>
        </is>
      </c>
      <c r="AD199" s="865" t="inlineStr">
        <is>
          <t>Customer Z</t>
        </is>
      </c>
      <c r="AE199" s="865" t="inlineStr">
        <is>
          <t>Z Energy Martech</t>
        </is>
      </c>
      <c r="AF199" s="865" t="inlineStr">
        <is>
          <t>Squad</t>
        </is>
      </c>
      <c r="AG199" s="865" t="inlineStr">
        <is>
          <t>Vacant</t>
        </is>
      </c>
    </row>
    <row r="200" hidden="1" ht="18" customHeight="1" s="866">
      <c r="A200" s="1566" t="inlineStr">
        <is>
          <t>V</t>
        </is>
      </c>
      <c r="B200" s="1658" t="inlineStr">
        <is>
          <t>Vacant</t>
        </is>
      </c>
      <c r="C200" s="1629" t="inlineStr">
        <is>
          <t>Engineer, Software</t>
        </is>
      </c>
      <c r="D200" s="1612" t="inlineStr">
        <is>
          <t>Vacant</t>
        </is>
      </c>
      <c r="E200" s="1612" t="inlineStr">
        <is>
          <t>Technology Manager, Data &amp; Engineering</t>
        </is>
      </c>
      <c r="F200" s="1382" t="inlineStr">
        <is>
          <t>Customer</t>
        </is>
      </c>
      <c r="G200" s="1612" t="inlineStr">
        <is>
          <t>Loyalty &amp; Martech</t>
        </is>
      </c>
      <c r="H200" s="1382" t="inlineStr">
        <is>
          <t>Loyalty, Data &amp; Engineering</t>
        </is>
      </c>
      <c r="I200" s="1382" t="inlineStr">
        <is>
          <t>Customer</t>
        </is>
      </c>
      <c r="J200" s="1612" t="inlineStr">
        <is>
          <t>Customer Z</t>
        </is>
      </c>
      <c r="K200" s="1612" t="inlineStr">
        <is>
          <t>Z Energy Martech</t>
        </is>
      </c>
      <c r="L200" s="1612" t="n"/>
      <c r="M200" s="1613" t="inlineStr">
        <is>
          <t>Australia</t>
        </is>
      </c>
      <c r="N200" s="1614" t="inlineStr">
        <is>
          <t>CIB</t>
        </is>
      </c>
      <c r="O200" s="1614" t="n">
        <v>1</v>
      </c>
      <c r="P200" s="1614" t="n"/>
      <c r="Q200" s="1614" t="inlineStr">
        <is>
          <t>V</t>
        </is>
      </c>
      <c r="R200" s="1616" t="n"/>
      <c r="S200" s="1616" t="n"/>
      <c r="T200" s="1627" t="n">
        <v>151950</v>
      </c>
      <c r="U200" s="1617" t="n">
        <v>151950</v>
      </c>
      <c r="V200" s="1619" t="n">
        <v>0.12</v>
      </c>
      <c r="W200" s="1622" t="n">
        <v>0.055</v>
      </c>
      <c r="X200" s="1622" t="n">
        <v>0.12</v>
      </c>
      <c r="Y200" s="1623" t="n"/>
      <c r="Z200" s="1622" t="n">
        <v>0.04</v>
      </c>
      <c r="AA200" s="1621">
        <f>U200*(1+V200+W200+X200+Y200+Z200)</f>
        <v>202853.25</v>
      </c>
      <c r="AC200" s="865" t="inlineStr">
        <is>
          <t>Customer</t>
        </is>
      </c>
      <c r="AD200" s="865" t="inlineStr">
        <is>
          <t>Customer Z</t>
        </is>
      </c>
      <c r="AE200" s="865" t="inlineStr">
        <is>
          <t>Z Energy Martech</t>
        </is>
      </c>
      <c r="AF200" s="865" t="inlineStr">
        <is>
          <t>Squad</t>
        </is>
      </c>
      <c r="AG200" s="865" t="inlineStr">
        <is>
          <t>Vacant</t>
        </is>
      </c>
    </row>
    <row r="201" hidden="1" ht="18" customHeight="1" s="866">
      <c r="A201" s="1566" t="inlineStr">
        <is>
          <t>V</t>
        </is>
      </c>
      <c r="B201" s="1658" t="inlineStr">
        <is>
          <t>Vacant</t>
        </is>
      </c>
      <c r="C201" s="1629" t="inlineStr">
        <is>
          <t>Snr Engineer, Data</t>
        </is>
      </c>
      <c r="D201" s="1612" t="inlineStr">
        <is>
          <t>Vacant</t>
        </is>
      </c>
      <c r="E201" s="1612" t="inlineStr">
        <is>
          <t>Technology Manager, Data &amp; Engineering</t>
        </is>
      </c>
      <c r="F201" s="1382" t="inlineStr">
        <is>
          <t>Customer</t>
        </is>
      </c>
      <c r="G201" s="1612" t="inlineStr">
        <is>
          <t>Loyalty &amp; Martech</t>
        </is>
      </c>
      <c r="H201" s="1382" t="inlineStr">
        <is>
          <t>Loyalty, Data &amp; Engineering</t>
        </is>
      </c>
      <c r="I201" s="1382" t="inlineStr">
        <is>
          <t>Customer</t>
        </is>
      </c>
      <c r="J201" s="1612" t="inlineStr">
        <is>
          <t>Customer Z</t>
        </is>
      </c>
      <c r="K201" s="1612" t="inlineStr">
        <is>
          <t>Z Energy Martech</t>
        </is>
      </c>
      <c r="L201" s="1612" t="n"/>
      <c r="M201" s="1613" t="inlineStr">
        <is>
          <t>Australia</t>
        </is>
      </c>
      <c r="N201" s="1614" t="inlineStr">
        <is>
          <t>CIB</t>
        </is>
      </c>
      <c r="O201" s="1614" t="n">
        <v>1</v>
      </c>
      <c r="P201" s="1614" t="n"/>
      <c r="Q201" s="1614" t="inlineStr">
        <is>
          <t>v</t>
        </is>
      </c>
      <c r="R201" s="1616" t="n"/>
      <c r="S201" s="1616" t="n"/>
      <c r="T201" s="1627" t="n">
        <v>151950</v>
      </c>
      <c r="U201" s="1617" t="n">
        <v>151950</v>
      </c>
      <c r="V201" s="1619" t="n">
        <v>0.12</v>
      </c>
      <c r="W201" s="1622" t="n">
        <v>0.055</v>
      </c>
      <c r="X201" s="1622" t="n">
        <v>0.12</v>
      </c>
      <c r="Y201" s="1623" t="n"/>
      <c r="Z201" s="1622" t="n">
        <v>0.04</v>
      </c>
      <c r="AA201" s="1621">
        <f>U201*(1+V201+W201+X201+Y201+Z201)</f>
        <v>202853.25</v>
      </c>
      <c r="AC201" s="865" t="inlineStr">
        <is>
          <t>Customer</t>
        </is>
      </c>
      <c r="AD201" s="865" t="inlineStr">
        <is>
          <t>Customer Z</t>
        </is>
      </c>
      <c r="AE201" s="865" t="inlineStr">
        <is>
          <t>Z Energy Martech</t>
        </is>
      </c>
      <c r="AF201" s="865" t="inlineStr">
        <is>
          <t>Squad</t>
        </is>
      </c>
      <c r="AG201" s="865" t="inlineStr">
        <is>
          <t>Vacant</t>
        </is>
      </c>
    </row>
    <row r="202" hidden="1" ht="18" customHeight="1" s="866">
      <c r="A202" s="1566" t="n">
        <v>99999102155</v>
      </c>
      <c r="B202" s="1628" t="inlineStr">
        <is>
          <t>Yash Thakkar</t>
        </is>
      </c>
      <c r="C202" s="1629" t="inlineStr">
        <is>
          <t>Martech Specialist</t>
        </is>
      </c>
      <c r="D202" s="1612" t="inlineStr">
        <is>
          <t>Kris Hamilton</t>
        </is>
      </c>
      <c r="E202" s="1612" t="inlineStr">
        <is>
          <t>Technology Manager, Loyalty &amp; Martech</t>
        </is>
      </c>
      <c r="F202" s="1382" t="inlineStr">
        <is>
          <t>Customer</t>
        </is>
      </c>
      <c r="G202" s="1612" t="inlineStr">
        <is>
          <t>Loyalty &amp; Martech</t>
        </is>
      </c>
      <c r="H202" s="1612" t="inlineStr">
        <is>
          <t>Loyalty, Tech</t>
        </is>
      </c>
      <c r="I202" s="1382" t="inlineStr">
        <is>
          <t>Customer</t>
        </is>
      </c>
      <c r="J202" s="1612" t="inlineStr">
        <is>
          <t>(All Customer)</t>
        </is>
      </c>
      <c r="K202" s="1612" t="inlineStr">
        <is>
          <t>Z Energy Martech</t>
        </is>
      </c>
      <c r="L202" s="1612" t="n"/>
      <c r="M202" s="1613" t="inlineStr">
        <is>
          <t>NZ</t>
        </is>
      </c>
      <c r="N202" s="1614" t="inlineStr">
        <is>
          <t>CIA</t>
        </is>
      </c>
      <c r="O202" s="1615" t="n">
        <v>1</v>
      </c>
      <c r="P202" s="1614" t="n"/>
      <c r="Q202" s="1615" t="inlineStr">
        <is>
          <t>Permanent - Full Time</t>
        </is>
      </c>
      <c r="R202" s="1616" t="n"/>
      <c r="S202" s="1616" t="n"/>
      <c r="T202" s="1627" t="n">
        <v>130000</v>
      </c>
      <c r="U202" s="1626" t="n">
        <v>119600</v>
      </c>
      <c r="V202" s="1618" t="n">
        <v>0.15</v>
      </c>
      <c r="W202" s="1616" t="n"/>
      <c r="X202" s="1619" t="n">
        <v>0.05</v>
      </c>
      <c r="Y202" s="1620" t="n">
        <v>2910</v>
      </c>
      <c r="Z202" s="1619" t="n">
        <v>0.03</v>
      </c>
      <c r="AA202" s="1621">
        <f>U202*(1+V202+X202+Z202)+Y202</f>
        <v>150018</v>
      </c>
      <c r="AB202" s="865" t="n">
        <v>117151</v>
      </c>
      <c r="AC202" s="865" t="inlineStr">
        <is>
          <t>Customer</t>
        </is>
      </c>
      <c r="AD202" s="865" t="inlineStr">
        <is>
          <t>Customer Z</t>
        </is>
      </c>
      <c r="AE202" s="865" t="inlineStr">
        <is>
          <t>Z Energy Martech</t>
        </is>
      </c>
      <c r="AF202" s="865" t="inlineStr">
        <is>
          <t>Squad</t>
        </is>
      </c>
      <c r="AG202" s="865" t="inlineStr">
        <is>
          <t>Filled</t>
        </is>
      </c>
    </row>
    <row r="203" hidden="1" ht="18" customHeight="1" s="866">
      <c r="A203" s="1566" t="n">
        <v>99999101684</v>
      </c>
      <c r="B203" s="1382" t="inlineStr">
        <is>
          <t>Ashley Mueller</t>
        </is>
      </c>
      <c r="C203" s="1611" t="inlineStr">
        <is>
          <t>Lead - Service Assurance</t>
        </is>
      </c>
      <c r="D203" s="1382" t="inlineStr">
        <is>
          <t>Mick Collins</t>
        </is>
      </c>
      <c r="E203" s="1382" t="inlineStr">
        <is>
          <t>Cyber Architecture Lead</t>
        </is>
      </c>
      <c r="F203" s="1382" t="inlineStr">
        <is>
          <t>Cyber, Risk &amp; Operations</t>
        </is>
      </c>
      <c r="G203" s="1612" t="inlineStr">
        <is>
          <t>Service Op &amp; Assurance</t>
        </is>
      </c>
      <c r="H203" s="1382" t="inlineStr">
        <is>
          <t xml:space="preserve">Service Performance &amp; Assurance </t>
        </is>
      </c>
      <c r="I203" s="1382" t="inlineStr">
        <is>
          <t>NA</t>
        </is>
      </c>
      <c r="J203" s="1382" t="inlineStr">
        <is>
          <t>NA</t>
        </is>
      </c>
      <c r="K203" s="1382" t="inlineStr">
        <is>
          <t>NA</t>
        </is>
      </c>
      <c r="L203" s="1382" t="n"/>
      <c r="M203" s="1613" t="inlineStr">
        <is>
          <t>NZ</t>
        </is>
      </c>
      <c r="N203" s="1614" t="inlineStr">
        <is>
          <t>CIC</t>
        </is>
      </c>
      <c r="O203" s="1615" t="n">
        <v>1</v>
      </c>
      <c r="P203" s="1614" t="n"/>
      <c r="Q203" s="1615" t="inlineStr">
        <is>
          <t>Permanent - Full Time</t>
        </is>
      </c>
      <c r="R203" s="1616" t="n"/>
      <c r="S203" s="1616" t="n"/>
      <c r="T203" s="1627" t="n">
        <v>165310</v>
      </c>
      <c r="U203" s="1626" t="n">
        <v>152085.2</v>
      </c>
      <c r="V203" s="1618" t="n">
        <v>0.15</v>
      </c>
      <c r="W203" s="1615" t="n"/>
      <c r="X203" s="1619" t="n">
        <v>0.05</v>
      </c>
      <c r="Y203" s="1620" t="n">
        <v>2910</v>
      </c>
      <c r="Z203" s="1619" t="n">
        <v>0.03</v>
      </c>
      <c r="AA203" s="1621">
        <f>U203*(1+V203+X203+Z203)+Y203</f>
        <v>189974.796</v>
      </c>
      <c r="AB203" s="865" t="n">
        <v>113516</v>
      </c>
      <c r="AC203" s="865" t="inlineStr">
        <is>
          <t>TDD Cyber</t>
        </is>
      </c>
      <c r="AD203" s="865" t="inlineStr">
        <is>
          <t>TDD Cyber, Risk &amp; Service Ops</t>
        </is>
      </c>
      <c r="AE203" s="865" t="inlineStr">
        <is>
          <t>TDD Cyber</t>
        </is>
      </c>
      <c r="AF203" s="865" t="inlineStr">
        <is>
          <t>Squad</t>
        </is>
      </c>
      <c r="AG203" s="865" t="inlineStr">
        <is>
          <t>Filled</t>
        </is>
      </c>
    </row>
    <row r="204" hidden="1" ht="18" customHeight="1" s="866">
      <c r="A204" s="1566" t="n">
        <v>108013</v>
      </c>
      <c r="B204" s="1382" t="inlineStr">
        <is>
          <t>Belinda Hoskens</t>
        </is>
      </c>
      <c r="C204" s="1611" t="inlineStr">
        <is>
          <t>Technology Support Engineer</t>
        </is>
      </c>
      <c r="D204" s="1382" t="inlineStr">
        <is>
          <t>Mark Pearson</t>
        </is>
      </c>
      <c r="E204" s="1382" t="inlineStr">
        <is>
          <t xml:space="preserve">Lead Technology Support </t>
        </is>
      </c>
      <c r="F204" s="1382" t="inlineStr">
        <is>
          <t>Cyber, Risk &amp; Operations</t>
        </is>
      </c>
      <c r="G204" s="1612" t="inlineStr">
        <is>
          <t>Service Op &amp; Assurance</t>
        </is>
      </c>
      <c r="H204" s="1382" t="inlineStr">
        <is>
          <t xml:space="preserve">Technology Support </t>
        </is>
      </c>
      <c r="I204" s="1382" t="inlineStr">
        <is>
          <t>NA</t>
        </is>
      </c>
      <c r="J204" s="1382" t="inlineStr">
        <is>
          <t>NA</t>
        </is>
      </c>
      <c r="K204" s="1382" t="inlineStr">
        <is>
          <t>NA</t>
        </is>
      </c>
      <c r="L204" s="1382" t="n"/>
      <c r="M204" s="1613" t="inlineStr">
        <is>
          <t>Australia</t>
        </is>
      </c>
      <c r="N204" s="1614" t="inlineStr">
        <is>
          <t>CIA</t>
        </is>
      </c>
      <c r="O204" s="1614" t="n">
        <v>1</v>
      </c>
      <c r="P204" s="1614" t="n"/>
      <c r="Q204" s="1614" t="inlineStr">
        <is>
          <t>Permanent - Full Time</t>
        </is>
      </c>
      <c r="R204" s="1616" t="n"/>
      <c r="S204" s="1616" t="n"/>
      <c r="T204" s="1627" t="n">
        <v>123300</v>
      </c>
      <c r="U204" s="1626" t="n">
        <v>123300</v>
      </c>
      <c r="V204" s="1619" t="n">
        <v>0.1</v>
      </c>
      <c r="W204" s="1622" t="n">
        <v>0.055</v>
      </c>
      <c r="X204" s="1622" t="n">
        <v>0.12</v>
      </c>
      <c r="Y204" s="1623" t="n"/>
      <c r="Z204" s="1622" t="n">
        <v>0.04</v>
      </c>
      <c r="AA204" s="1621">
        <f>U204*(1+V204+W204+X204+Y204+Z204)</f>
        <v>162139.5</v>
      </c>
      <c r="AC204" s="865" t="inlineStr">
        <is>
          <t>TDD Cyber</t>
        </is>
      </c>
      <c r="AD204" s="865" t="inlineStr">
        <is>
          <t>TDD Cyber, Risk &amp; Service Ops</t>
        </is>
      </c>
      <c r="AE204" s="865" t="inlineStr">
        <is>
          <t>TDD Cyber</t>
        </is>
      </c>
      <c r="AF204" s="865" t="inlineStr">
        <is>
          <t>Squad</t>
        </is>
      </c>
      <c r="AG204" s="865" t="inlineStr">
        <is>
          <t>Filled</t>
        </is>
      </c>
    </row>
    <row r="205" hidden="1" ht="18" customHeight="1" s="866">
      <c r="A205" s="1566" t="n">
        <v>98823</v>
      </c>
      <c r="B205" s="1382" t="inlineStr">
        <is>
          <t>Brian Gates</t>
        </is>
      </c>
      <c r="C205" s="1611" t="inlineStr">
        <is>
          <t>Manager Risk &amp; Resilience</t>
        </is>
      </c>
      <c r="D205" s="1382" t="inlineStr">
        <is>
          <t>Frances Bouzo</t>
        </is>
      </c>
      <c r="E205" s="1382" t="inlineStr">
        <is>
          <t xml:space="preserve">CISO </t>
        </is>
      </c>
      <c r="F205" s="1382" t="inlineStr">
        <is>
          <t>Cyber, Risk &amp; Operations</t>
        </is>
      </c>
      <c r="G205" s="1612" t="inlineStr">
        <is>
          <t>Cyber Risk</t>
        </is>
      </c>
      <c r="H205" s="1382" t="inlineStr">
        <is>
          <t xml:space="preserve">Risk &amp; Resilience </t>
        </is>
      </c>
      <c r="I205" s="1382" t="inlineStr">
        <is>
          <t>NA</t>
        </is>
      </c>
      <c r="J205" s="1382" t="inlineStr">
        <is>
          <t>NA</t>
        </is>
      </c>
      <c r="K205" s="1382" t="inlineStr">
        <is>
          <t>NA</t>
        </is>
      </c>
      <c r="L205" s="1382" t="n"/>
      <c r="M205" s="1613" t="inlineStr">
        <is>
          <t>Australia</t>
        </is>
      </c>
      <c r="N205" s="1614" t="inlineStr">
        <is>
          <t>CSB</t>
        </is>
      </c>
      <c r="O205" s="1614" t="n">
        <v>1</v>
      </c>
      <c r="P205" s="1614" t="n"/>
      <c r="Q205" s="1614" t="inlineStr">
        <is>
          <t>Permanent - Full Time</t>
        </is>
      </c>
      <c r="R205" s="1616" t="n"/>
      <c r="S205" s="1616" t="n"/>
      <c r="T205" s="1627" t="n">
        <v>211840</v>
      </c>
      <c r="U205" s="1626" t="n">
        <v>211840</v>
      </c>
      <c r="V205" s="1619" t="n">
        <v>0.14</v>
      </c>
      <c r="W205" s="1622" t="n">
        <v>0.055</v>
      </c>
      <c r="X205" s="1622" t="n">
        <v>0.12</v>
      </c>
      <c r="Y205" s="1623" t="n"/>
      <c r="Z205" s="1622" t="n">
        <v>0.04</v>
      </c>
      <c r="AA205" s="1621">
        <f>U205*(1+V205+W205+X205+Y205+Z205)</f>
        <v>287043.2</v>
      </c>
      <c r="AC205" s="865" t="inlineStr">
        <is>
          <t>TDD Cyber</t>
        </is>
      </c>
      <c r="AD205" s="865" t="inlineStr">
        <is>
          <t>TDD Cyber, Risk &amp; Service Ops</t>
        </is>
      </c>
      <c r="AE205" s="865" t="inlineStr">
        <is>
          <t>TDD Cyber</t>
        </is>
      </c>
      <c r="AF205" s="865" t="inlineStr">
        <is>
          <t>Squad</t>
        </is>
      </c>
      <c r="AG205" s="865" t="inlineStr">
        <is>
          <t>Filled</t>
        </is>
      </c>
    </row>
    <row r="206" hidden="1" ht="18" customHeight="1" s="866">
      <c r="A206" s="1566" t="n">
        <v>86962</v>
      </c>
      <c r="B206" s="1382" t="inlineStr">
        <is>
          <t>Cameron Watman</t>
        </is>
      </c>
      <c r="C206" s="1611" t="inlineStr">
        <is>
          <t>Engineer - IDAM</t>
        </is>
      </c>
      <c r="D206" s="1382" t="inlineStr">
        <is>
          <t>Joe Nahma</t>
        </is>
      </c>
      <c r="E206" s="1382" t="inlineStr">
        <is>
          <t xml:space="preserve">Head of Cyber Strategy &amp; Technology </t>
        </is>
      </c>
      <c r="F206" s="1382" t="inlineStr">
        <is>
          <t>Cyber, Risk &amp; Operations</t>
        </is>
      </c>
      <c r="G206" s="1612" t="inlineStr">
        <is>
          <t>Cyber Strat &amp; Tech</t>
        </is>
      </c>
      <c r="H206" s="1612" t="inlineStr">
        <is>
          <t xml:space="preserve">Identity &amp; Access Management </t>
        </is>
      </c>
      <c r="I206" s="1382" t="inlineStr">
        <is>
          <t>NA</t>
        </is>
      </c>
      <c r="J206" s="1382" t="inlineStr">
        <is>
          <t>NA</t>
        </is>
      </c>
      <c r="K206" s="1382" t="inlineStr">
        <is>
          <t>NA</t>
        </is>
      </c>
      <c r="L206" s="1382" t="n"/>
      <c r="M206" s="1613" t="inlineStr">
        <is>
          <t>Australia</t>
        </is>
      </c>
      <c r="N206" s="1616" t="inlineStr">
        <is>
          <t>CIA</t>
        </is>
      </c>
      <c r="O206" s="1616" t="n">
        <v>1</v>
      </c>
      <c r="P206" s="1616" t="n"/>
      <c r="Q206" s="1616" t="inlineStr">
        <is>
          <t>Permanent - Full Time</t>
        </is>
      </c>
      <c r="R206" s="1616" t="n"/>
      <c r="S206" s="1616" t="n"/>
      <c r="T206" s="1627" t="n">
        <v>131660</v>
      </c>
      <c r="U206" s="1626" t="n">
        <v>131660</v>
      </c>
      <c r="V206" s="1619" t="n">
        <v>0.1</v>
      </c>
      <c r="W206" s="1622" t="n">
        <v>0.055</v>
      </c>
      <c r="X206" s="1622" t="n">
        <v>0.12</v>
      </c>
      <c r="Y206" s="1623" t="n"/>
      <c r="Z206" s="1622" t="n">
        <v>0.04</v>
      </c>
      <c r="AA206" s="1621">
        <f>U206*(1+V206+W206+X206+Y206+Z206)</f>
        <v>173132.9</v>
      </c>
      <c r="AC206" s="865" t="inlineStr">
        <is>
          <t>TDD Cyber</t>
        </is>
      </c>
      <c r="AD206" s="865" t="inlineStr">
        <is>
          <t>TDD Cyber, Risk &amp; Service Ops</t>
        </is>
      </c>
      <c r="AE206" s="865" t="inlineStr">
        <is>
          <t>TDD Cyber</t>
        </is>
      </c>
      <c r="AF206" s="865" t="inlineStr">
        <is>
          <t>Squad</t>
        </is>
      </c>
      <c r="AG206" s="865" t="inlineStr">
        <is>
          <t>Filled</t>
        </is>
      </c>
    </row>
    <row r="207" hidden="1" ht="18" customHeight="1" s="866">
      <c r="A207" s="1566" t="n">
        <v>106511</v>
      </c>
      <c r="B207" s="1382" t="inlineStr">
        <is>
          <t>Catherine Gire</t>
        </is>
      </c>
      <c r="C207" s="1611" t="inlineStr">
        <is>
          <t>Cyber Technical Business Analyst</t>
        </is>
      </c>
      <c r="D207" s="1382" t="inlineStr">
        <is>
          <t>Vivienne Vasak</t>
        </is>
      </c>
      <c r="E207" s="1382" t="inlineStr">
        <is>
          <t xml:space="preserve">Portfolio Manger Cyber Security </t>
        </is>
      </c>
      <c r="F207" s="1382" t="inlineStr">
        <is>
          <t>Cyber, Risk &amp; Operations</t>
        </is>
      </c>
      <c r="G207" s="1612" t="inlineStr">
        <is>
          <t>Cyber Strat &amp; Tech</t>
        </is>
      </c>
      <c r="H207" s="1382" t="inlineStr">
        <is>
          <t>Cyber Security Uplift Program</t>
        </is>
      </c>
      <c r="I207" s="1382" t="inlineStr">
        <is>
          <t>NA</t>
        </is>
      </c>
      <c r="J207" s="1382" t="inlineStr">
        <is>
          <t>NA</t>
        </is>
      </c>
      <c r="K207" s="1382" t="inlineStr">
        <is>
          <t>NA</t>
        </is>
      </c>
      <c r="L207" s="1382" t="n"/>
      <c r="M207" s="1613" t="inlineStr">
        <is>
          <t>Australia</t>
        </is>
      </c>
      <c r="N207" s="1614" t="inlineStr">
        <is>
          <t>CIB</t>
        </is>
      </c>
      <c r="O207" s="1614" t="n">
        <v>1</v>
      </c>
      <c r="P207" s="1614" t="n"/>
      <c r="Q207" s="1614" t="inlineStr">
        <is>
          <t>Permanent - Full Time</t>
        </is>
      </c>
      <c r="R207" s="1616" t="n"/>
      <c r="S207" s="1616" t="n"/>
      <c r="T207" s="1627" t="n">
        <v>170160</v>
      </c>
      <c r="U207" s="1626" t="n">
        <v>170160</v>
      </c>
      <c r="V207" s="1619" t="n">
        <v>0.12</v>
      </c>
      <c r="W207" s="1622" t="n">
        <v>0.055</v>
      </c>
      <c r="X207" s="1622" t="n">
        <v>0.12</v>
      </c>
      <c r="Y207" s="1623" t="n"/>
      <c r="Z207" s="1622" t="n">
        <v>0.04</v>
      </c>
      <c r="AA207" s="1621">
        <f>U207*(1+V207+W207+X207+Y207+Z207)</f>
        <v>227163.6</v>
      </c>
      <c r="AC207" s="865" t="inlineStr">
        <is>
          <t>TDD Cyber</t>
        </is>
      </c>
      <c r="AD207" s="865" t="inlineStr">
        <is>
          <t>TDD Cyber, Risk &amp; Service Ops</t>
        </is>
      </c>
      <c r="AE207" s="865" t="inlineStr">
        <is>
          <t>TDD Cyber</t>
        </is>
      </c>
      <c r="AF207" s="865" t="inlineStr">
        <is>
          <t>Squad</t>
        </is>
      </c>
      <c r="AG207" s="865" t="inlineStr">
        <is>
          <t>Filled</t>
        </is>
      </c>
    </row>
    <row r="208" hidden="1" ht="18" customHeight="1" s="866">
      <c r="A208" s="1566" t="n">
        <v>102385</v>
      </c>
      <c r="B208" s="1382" t="inlineStr">
        <is>
          <t>Chris Lyons</t>
        </is>
      </c>
      <c r="C208" s="1611" t="inlineStr">
        <is>
          <t>Cyber Security Architect</t>
        </is>
      </c>
      <c r="D208" s="1382" t="inlineStr">
        <is>
          <t>Kevin Sheerin</t>
        </is>
      </c>
      <c r="E208" s="1382" t="inlineStr">
        <is>
          <t xml:space="preserve">Head of Cyber Strategy &amp; Technology </t>
        </is>
      </c>
      <c r="F208" s="1382" t="inlineStr">
        <is>
          <t>Cyber, Risk &amp; Operations</t>
        </is>
      </c>
      <c r="G208" s="1612" t="inlineStr">
        <is>
          <t>Cyber Strat &amp; Tech</t>
        </is>
      </c>
      <c r="H208" s="1382" t="inlineStr">
        <is>
          <t>NA</t>
        </is>
      </c>
      <c r="I208" s="1382" t="inlineStr">
        <is>
          <t>NA</t>
        </is>
      </c>
      <c r="J208" s="1382" t="inlineStr">
        <is>
          <t>NA</t>
        </is>
      </c>
      <c r="K208" s="1382" t="inlineStr">
        <is>
          <t>NA</t>
        </is>
      </c>
      <c r="L208" s="1382" t="n"/>
      <c r="M208" s="1613" t="inlineStr">
        <is>
          <t>Australia</t>
        </is>
      </c>
      <c r="N208" s="1614" t="inlineStr">
        <is>
          <t>CIC</t>
        </is>
      </c>
      <c r="O208" s="1614" t="n">
        <v>1</v>
      </c>
      <c r="P208" s="1614" t="n"/>
      <c r="Q208" s="1614" t="inlineStr">
        <is>
          <t>Permanent - Full Time</t>
        </is>
      </c>
      <c r="R208" s="1616" t="n"/>
      <c r="S208" s="1616" t="n"/>
      <c r="T208" s="1627" t="n">
        <v>212250</v>
      </c>
      <c r="U208" s="1626" t="n">
        <v>212250</v>
      </c>
      <c r="V208" s="1619" t="n">
        <v>0.12</v>
      </c>
      <c r="W208" s="1622" t="n">
        <v>0.055</v>
      </c>
      <c r="X208" s="1622" t="n">
        <v>0.12</v>
      </c>
      <c r="Y208" s="1623" t="n"/>
      <c r="Z208" s="1622" t="n">
        <v>0.04</v>
      </c>
      <c r="AA208" s="1621">
        <f>U208*(1+V208+W208+X208+Y208+Z208)</f>
        <v>283353.75</v>
      </c>
      <c r="AC208" s="865" t="inlineStr">
        <is>
          <t>TDD Cyber</t>
        </is>
      </c>
      <c r="AD208" s="865" t="inlineStr">
        <is>
          <t>TDD Cyber, Risk &amp; Service Ops</t>
        </is>
      </c>
      <c r="AE208" s="865" t="inlineStr">
        <is>
          <t>TDD Cyber</t>
        </is>
      </c>
      <c r="AF208" s="865" t="inlineStr">
        <is>
          <t>Squad</t>
        </is>
      </c>
      <c r="AG208" s="865" t="inlineStr">
        <is>
          <t>Filled</t>
        </is>
      </c>
    </row>
    <row r="209" hidden="1" ht="18" customHeight="1" s="866">
      <c r="A209" s="1566" t="n">
        <v>84274</v>
      </c>
      <c r="B209" s="1382" t="inlineStr">
        <is>
          <t>Chris Rojas</t>
        </is>
      </c>
      <c r="C209" s="1611" t="inlineStr">
        <is>
          <t>Manager, Customer Support Operations</t>
        </is>
      </c>
      <c r="D209" s="1382" t="inlineStr">
        <is>
          <t>Rajini Onteddu Reddy</t>
        </is>
      </c>
      <c r="E209" s="1382" t="inlineStr">
        <is>
          <t xml:space="preserve">Manager Cyber Security Operations </t>
        </is>
      </c>
      <c r="F209" s="1382" t="inlineStr">
        <is>
          <t>Cyber, Risk &amp; Operations</t>
        </is>
      </c>
      <c r="G209" s="1612" t="inlineStr">
        <is>
          <t>Service Op &amp; Assurance</t>
        </is>
      </c>
      <c r="H209" s="1382" t="inlineStr">
        <is>
          <t>NA</t>
        </is>
      </c>
      <c r="I209" s="1382" t="inlineStr">
        <is>
          <t>NA</t>
        </is>
      </c>
      <c r="J209" s="1382" t="inlineStr">
        <is>
          <t>NA</t>
        </is>
      </c>
      <c r="K209" s="1382" t="inlineStr">
        <is>
          <t>NA</t>
        </is>
      </c>
      <c r="L209" s="1382" t="n"/>
      <c r="M209" s="1613" t="inlineStr">
        <is>
          <t>Australia</t>
        </is>
      </c>
      <c r="N209" s="1616" t="inlineStr">
        <is>
          <t>CIC</t>
        </is>
      </c>
      <c r="O209" s="1616" t="n">
        <v>1</v>
      </c>
      <c r="P209" s="1616" t="n"/>
      <c r="Q209" s="1616" t="inlineStr">
        <is>
          <t>Permanent - Full Time</t>
        </is>
      </c>
      <c r="R209" s="1616" t="n"/>
      <c r="S209" s="1616" t="n"/>
      <c r="T209" s="1627" t="n">
        <v>182250</v>
      </c>
      <c r="U209" s="1626" t="n">
        <v>182250</v>
      </c>
      <c r="V209" s="1619" t="n">
        <v>0.12</v>
      </c>
      <c r="W209" s="1622" t="n">
        <v>0.055</v>
      </c>
      <c r="X209" s="1622" t="n">
        <v>0.12</v>
      </c>
      <c r="Y209" s="1623" t="n"/>
      <c r="Z209" s="1622" t="n">
        <v>0.04</v>
      </c>
      <c r="AA209" s="1621">
        <f>U209*(1+V209+W209+X209+Y209+Z209)</f>
        <v>243303.75</v>
      </c>
      <c r="AC209" s="865" t="inlineStr">
        <is>
          <t>TDD Cyber</t>
        </is>
      </c>
      <c r="AD209" s="865" t="inlineStr">
        <is>
          <t>TDD Cyber, Risk &amp; Service Ops</t>
        </is>
      </c>
      <c r="AE209" s="865" t="inlineStr">
        <is>
          <t>TDD Cyber</t>
        </is>
      </c>
      <c r="AF209" s="865" t="inlineStr">
        <is>
          <t>Squad</t>
        </is>
      </c>
      <c r="AG209" s="865" t="inlineStr">
        <is>
          <t>Filled</t>
        </is>
      </c>
    </row>
    <row r="210" hidden="1" ht="18" customHeight="1" s="866">
      <c r="A210" s="1566" t="n">
        <v>98924</v>
      </c>
      <c r="B210" s="1382" t="inlineStr">
        <is>
          <t>Dan Balsamo</t>
        </is>
      </c>
      <c r="C210" s="1611" t="inlineStr">
        <is>
          <t>Senior Cyber Project Manager</t>
        </is>
      </c>
      <c r="D210" s="1382" t="inlineStr">
        <is>
          <t>Vivienne Vasak</t>
        </is>
      </c>
      <c r="E210" s="1382" t="inlineStr">
        <is>
          <t xml:space="preserve">Head of Cyber Strategy &amp; Technology </t>
        </is>
      </c>
      <c r="F210" s="1382" t="inlineStr">
        <is>
          <t>Cyber, Risk &amp; Operations</t>
        </is>
      </c>
      <c r="G210" s="1612" t="inlineStr">
        <is>
          <t>Cyber Strat &amp; Tech</t>
        </is>
      </c>
      <c r="H210" s="865" t="inlineStr">
        <is>
          <t>NA</t>
        </is>
      </c>
      <c r="I210" s="1382" t="inlineStr">
        <is>
          <t>NA</t>
        </is>
      </c>
      <c r="J210" s="1382" t="inlineStr">
        <is>
          <t>NA</t>
        </is>
      </c>
      <c r="K210" s="1382" t="inlineStr">
        <is>
          <t>NA</t>
        </is>
      </c>
      <c r="L210" s="1382" t="n"/>
      <c r="M210" s="1613" t="inlineStr">
        <is>
          <t>Australia</t>
        </is>
      </c>
      <c r="N210" s="1614" t="inlineStr">
        <is>
          <t>CIC</t>
        </is>
      </c>
      <c r="O210" s="1614" t="n">
        <v>1</v>
      </c>
      <c r="P210" s="1614" t="n"/>
      <c r="Q210" s="1614" t="inlineStr">
        <is>
          <t>Permanent - Full Time</t>
        </is>
      </c>
      <c r="R210" s="1616" t="n"/>
      <c r="S210" s="1616" t="n"/>
      <c r="T210" s="1627" t="n">
        <v>193690</v>
      </c>
      <c r="U210" s="1626" t="n">
        <v>193690</v>
      </c>
      <c r="V210" s="1619" t="n">
        <v>0.12</v>
      </c>
      <c r="W210" s="1622" t="n">
        <v>0.055</v>
      </c>
      <c r="X210" s="1622" t="n">
        <v>0.12</v>
      </c>
      <c r="Y210" s="1623" t="n"/>
      <c r="Z210" s="1622" t="n">
        <v>0.04</v>
      </c>
      <c r="AA210" s="1621">
        <f>U210*(1+V210+W210+X210+Y210+Z210)</f>
        <v>258576.15</v>
      </c>
      <c r="AC210" s="865" t="inlineStr">
        <is>
          <t>TDD Cyber</t>
        </is>
      </c>
      <c r="AD210" s="865" t="inlineStr">
        <is>
          <t>TDD Cyber, Risk &amp; Service Ops</t>
        </is>
      </c>
      <c r="AE210" s="865" t="inlineStr">
        <is>
          <t>TDD Cyber</t>
        </is>
      </c>
      <c r="AF210" s="865" t="inlineStr">
        <is>
          <t>Squad</t>
        </is>
      </c>
      <c r="AG210" s="865" t="inlineStr">
        <is>
          <t>Filled</t>
        </is>
      </c>
    </row>
    <row r="211" hidden="1" ht="18" customHeight="1" s="866">
      <c r="A211" s="1566" t="n">
        <v>110204</v>
      </c>
      <c r="B211" s="1382" t="inlineStr">
        <is>
          <t>Daniel Jolley</t>
        </is>
      </c>
      <c r="C211" s="1611" t="inlineStr">
        <is>
          <t>Tech Support Technician</t>
        </is>
      </c>
      <c r="D211" s="1382" t="inlineStr">
        <is>
          <t>Mark Pearson</t>
        </is>
      </c>
      <c r="E211" s="1382" t="inlineStr">
        <is>
          <t xml:space="preserve">Lead Technology Support </t>
        </is>
      </c>
      <c r="F211" s="1382" t="inlineStr">
        <is>
          <t>Cyber, Risk &amp; Operations</t>
        </is>
      </c>
      <c r="G211" s="1612" t="inlineStr">
        <is>
          <t>Service Op &amp; Assurance</t>
        </is>
      </c>
      <c r="H211" s="865" t="inlineStr">
        <is>
          <t>NA</t>
        </is>
      </c>
      <c r="I211" s="1382" t="inlineStr">
        <is>
          <t>NA</t>
        </is>
      </c>
      <c r="J211" s="1382" t="inlineStr">
        <is>
          <t>NA</t>
        </is>
      </c>
      <c r="K211" s="1382" t="inlineStr">
        <is>
          <t>NA</t>
        </is>
      </c>
      <c r="L211" s="1382" t="n"/>
      <c r="M211" s="1613" t="inlineStr">
        <is>
          <t>Australia</t>
        </is>
      </c>
      <c r="N211" s="1614" t="inlineStr">
        <is>
          <t>CDC</t>
        </is>
      </c>
      <c r="O211" s="1614" t="n">
        <v>1</v>
      </c>
      <c r="P211" s="1614" t="n"/>
      <c r="Q211" s="1614" t="inlineStr">
        <is>
          <t>Permanent - Full Time</t>
        </is>
      </c>
      <c r="R211" s="1616" t="n"/>
      <c r="S211" s="1616" t="n"/>
      <c r="T211" s="1627" t="n">
        <v>88100</v>
      </c>
      <c r="U211" s="1626" t="n">
        <v>88100</v>
      </c>
      <c r="V211" s="1619" t="n">
        <v>0.1</v>
      </c>
      <c r="W211" s="1622" t="n">
        <v>0.055</v>
      </c>
      <c r="X211" s="1622" t="n">
        <v>0.12</v>
      </c>
      <c r="Y211" s="1623" t="n"/>
      <c r="Z211" s="1622" t="n">
        <v>0.04</v>
      </c>
      <c r="AA211" s="1621">
        <f>U211*(1+V211+W211+X211+Y211+Z211)</f>
        <v>115851.5</v>
      </c>
      <c r="AC211" s="865" t="inlineStr">
        <is>
          <t>TDD Cyber</t>
        </is>
      </c>
      <c r="AD211" s="865" t="inlineStr">
        <is>
          <t>TDD Cyber, Risk &amp; Service Ops</t>
        </is>
      </c>
      <c r="AE211" s="865" t="inlineStr">
        <is>
          <t>TDD Cyber</t>
        </is>
      </c>
      <c r="AF211" s="865" t="inlineStr">
        <is>
          <t>Squad</t>
        </is>
      </c>
      <c r="AG211" s="865" t="inlineStr">
        <is>
          <t>Filled</t>
        </is>
      </c>
    </row>
    <row r="212" hidden="1" ht="18" customHeight="1" s="866">
      <c r="A212" s="1566" t="n">
        <v>6307</v>
      </c>
      <c r="B212" s="1382" t="inlineStr">
        <is>
          <t>Darren Koller</t>
        </is>
      </c>
      <c r="C212" s="1611" t="inlineStr">
        <is>
          <t>Manager, Service Management &amp; Major Incident Mgmt Lead</t>
        </is>
      </c>
      <c r="D212" s="1382" t="inlineStr">
        <is>
          <t>Rajini Onteddu Reddy</t>
        </is>
      </c>
      <c r="E212" s="1382" t="inlineStr">
        <is>
          <t>Head of Service Operatoins &amp; Assurance</t>
        </is>
      </c>
      <c r="F212" s="1382" t="inlineStr">
        <is>
          <t>Cyber, Risk &amp; Operations</t>
        </is>
      </c>
      <c r="G212" s="1612" t="inlineStr">
        <is>
          <t>Service Op &amp; Assurance</t>
        </is>
      </c>
      <c r="H212" s="1382" t="inlineStr">
        <is>
          <t>NA</t>
        </is>
      </c>
      <c r="I212" s="1382" t="inlineStr">
        <is>
          <t>NA</t>
        </is>
      </c>
      <c r="J212" s="1382" t="inlineStr">
        <is>
          <t>NA</t>
        </is>
      </c>
      <c r="K212" s="1382" t="inlineStr">
        <is>
          <t>NA</t>
        </is>
      </c>
      <c r="L212" s="1382" t="n"/>
      <c r="M212" s="1613" t="inlineStr">
        <is>
          <t>Australia</t>
        </is>
      </c>
      <c r="N212" s="1616" t="inlineStr">
        <is>
          <t>CIC</t>
        </is>
      </c>
      <c r="O212" s="1616" t="n">
        <v>1</v>
      </c>
      <c r="P212" s="1616" t="n"/>
      <c r="Q212" s="1616" t="inlineStr">
        <is>
          <t>Permanent - Full Time</t>
        </is>
      </c>
      <c r="R212" s="1616" t="n"/>
      <c r="S212" s="1616" t="n"/>
      <c r="T212" s="1627" t="n">
        <v>205950</v>
      </c>
      <c r="U212" s="1626" t="n">
        <v>205950</v>
      </c>
      <c r="V212" s="1619" t="n">
        <v>0.12</v>
      </c>
      <c r="W212" s="1622" t="n">
        <v>0.055</v>
      </c>
      <c r="X212" s="1622" t="n">
        <v>0.12</v>
      </c>
      <c r="Y212" s="1623" t="n"/>
      <c r="Z212" s="1622" t="n">
        <v>0.04</v>
      </c>
      <c r="AA212" s="1621">
        <f>U212*(1+V212+W212+X212+Y212+Z212)</f>
        <v>274943.25</v>
      </c>
      <c r="AC212" s="865" t="inlineStr">
        <is>
          <t>TDD Cyber</t>
        </is>
      </c>
      <c r="AD212" s="865" t="inlineStr">
        <is>
          <t>TDD Cyber, Risk &amp; Service Ops</t>
        </is>
      </c>
      <c r="AE212" s="865" t="inlineStr">
        <is>
          <t>TDD Cyber</t>
        </is>
      </c>
      <c r="AF212" s="865" t="inlineStr">
        <is>
          <t>Squad</t>
        </is>
      </c>
      <c r="AG212" s="865" t="inlineStr">
        <is>
          <t>Filled</t>
        </is>
      </c>
    </row>
    <row r="213" hidden="1" ht="18" customHeight="1" s="866">
      <c r="A213" s="1566" t="n">
        <v>99707</v>
      </c>
      <c r="B213" s="1382" t="inlineStr">
        <is>
          <t>Darshan Suvama</t>
        </is>
      </c>
      <c r="C213" s="1611" t="inlineStr">
        <is>
          <t>Cyber Offensive Security Lead</t>
        </is>
      </c>
      <c r="D213" s="1382" t="inlineStr">
        <is>
          <t>Kevin Sheerin</t>
        </is>
      </c>
      <c r="E213" s="1382" t="inlineStr">
        <is>
          <t>Cyber Architecture Lead</t>
        </is>
      </c>
      <c r="F213" s="1382" t="inlineStr">
        <is>
          <t>Cyber, Risk &amp; Operations</t>
        </is>
      </c>
      <c r="G213" s="1612" t="inlineStr">
        <is>
          <t>Cyber Strat &amp; Tech</t>
        </is>
      </c>
      <c r="H213" s="1382" t="inlineStr">
        <is>
          <t>NA</t>
        </is>
      </c>
      <c r="I213" s="1382" t="inlineStr">
        <is>
          <t>NA</t>
        </is>
      </c>
      <c r="J213" s="1382" t="inlineStr">
        <is>
          <t>NA</t>
        </is>
      </c>
      <c r="K213" s="1382" t="inlineStr">
        <is>
          <t>NA</t>
        </is>
      </c>
      <c r="L213" s="1382" t="n"/>
      <c r="M213" s="1613" t="inlineStr">
        <is>
          <t>Australia</t>
        </is>
      </c>
      <c r="N213" s="1614" t="inlineStr">
        <is>
          <t>CIC</t>
        </is>
      </c>
      <c r="O213" s="1614" t="n">
        <v>1</v>
      </c>
      <c r="P213" s="1614" t="n"/>
      <c r="Q213" s="1614" t="inlineStr">
        <is>
          <t>Permanent - Full Time</t>
        </is>
      </c>
      <c r="R213" s="1616" t="n"/>
      <c r="S213" s="1616" t="n"/>
      <c r="T213" s="1627" t="n">
        <v>213740</v>
      </c>
      <c r="U213" s="1626" t="n">
        <v>213740</v>
      </c>
      <c r="V213" s="1619" t="n">
        <v>0.12</v>
      </c>
      <c r="W213" s="1622" t="n">
        <v>0.055</v>
      </c>
      <c r="X213" s="1622" t="n">
        <v>0.12</v>
      </c>
      <c r="Y213" s="1623" t="n"/>
      <c r="Z213" s="1622" t="n">
        <v>0.04</v>
      </c>
      <c r="AA213" s="1621">
        <f>U213*(1+V213+W213+X213+Y213+Z213)</f>
        <v>285342.9</v>
      </c>
      <c r="AC213" s="865" t="inlineStr">
        <is>
          <t>TDD Cyber</t>
        </is>
      </c>
      <c r="AD213" s="865" t="inlineStr">
        <is>
          <t>TDD Cyber, Risk &amp; Service Ops</t>
        </is>
      </c>
      <c r="AE213" s="865" t="inlineStr">
        <is>
          <t>TDD Cyber</t>
        </is>
      </c>
      <c r="AF213" s="865" t="inlineStr">
        <is>
          <t>Squad</t>
        </is>
      </c>
      <c r="AG213" s="865" t="inlineStr">
        <is>
          <t>Filled</t>
        </is>
      </c>
    </row>
    <row r="214" hidden="1" ht="18" customHeight="1" s="866">
      <c r="A214" s="1566" t="n">
        <v>101700</v>
      </c>
      <c r="B214" s="1382" t="inlineStr">
        <is>
          <t>Diya Thomas</t>
        </is>
      </c>
      <c r="C214" s="1611" t="inlineStr">
        <is>
          <t>Manager Cyber Security GRC</t>
        </is>
      </c>
      <c r="D214" s="1382" t="inlineStr">
        <is>
          <t>Frances Bouzo</t>
        </is>
      </c>
      <c r="E214" s="1382" t="inlineStr">
        <is>
          <t xml:space="preserve">Manager Cyber Security Operations </t>
        </is>
      </c>
      <c r="F214" s="1382" t="inlineStr">
        <is>
          <t>Cyber, Risk &amp; Operations</t>
        </is>
      </c>
      <c r="G214" s="1612" t="inlineStr">
        <is>
          <t>Cyber GRC</t>
        </is>
      </c>
      <c r="H214" s="1382" t="inlineStr">
        <is>
          <t>NA</t>
        </is>
      </c>
      <c r="I214" s="1382" t="inlineStr">
        <is>
          <t>NA</t>
        </is>
      </c>
      <c r="J214" s="1382" t="inlineStr">
        <is>
          <t>NA</t>
        </is>
      </c>
      <c r="K214" s="1382" t="inlineStr">
        <is>
          <t>NA</t>
        </is>
      </c>
      <c r="L214" s="1382" t="n"/>
      <c r="M214" s="1613" t="inlineStr">
        <is>
          <t>Australia</t>
        </is>
      </c>
      <c r="N214" s="1614" t="inlineStr">
        <is>
          <t>CSB</t>
        </is>
      </c>
      <c r="O214" s="1614" t="n">
        <v>1</v>
      </c>
      <c r="P214" s="1614" t="n"/>
      <c r="Q214" s="1614" t="inlineStr">
        <is>
          <t>Permanent - Full Time</t>
        </is>
      </c>
      <c r="R214" s="1616" t="n"/>
      <c r="S214" s="1616" t="n"/>
      <c r="T214" s="1627" t="n">
        <v>211840</v>
      </c>
      <c r="U214" s="1617" t="n">
        <v>211840</v>
      </c>
      <c r="V214" s="1652" t="n">
        <v>0.14</v>
      </c>
      <c r="W214" s="1653" t="n">
        <v>0.055</v>
      </c>
      <c r="X214" s="1653" t="n">
        <v>0.12</v>
      </c>
      <c r="Y214" s="1654" t="n"/>
      <c r="Z214" s="1653" t="n">
        <v>0.04</v>
      </c>
      <c r="AA214" s="1655">
        <f>U214*(1+V214+W214+X214+Y214+Z214)</f>
        <v>287043.2</v>
      </c>
      <c r="AC214" s="865" t="inlineStr">
        <is>
          <t>TDD Cyber</t>
        </is>
      </c>
      <c r="AD214" s="865" t="inlineStr">
        <is>
          <t>TDD Cyber, Risk &amp; Service Ops</t>
        </is>
      </c>
      <c r="AE214" s="865" t="inlineStr">
        <is>
          <t>TDD Cyber</t>
        </is>
      </c>
      <c r="AF214" s="865" t="inlineStr">
        <is>
          <t>Squad</t>
        </is>
      </c>
      <c r="AG214" s="865" t="inlineStr">
        <is>
          <t>Filled</t>
        </is>
      </c>
    </row>
    <row r="215" hidden="1" ht="18" customHeight="1" s="866">
      <c r="A215" s="1566" t="n">
        <v>99999102157</v>
      </c>
      <c r="B215" s="1382" t="inlineStr">
        <is>
          <t>Ethan Lamhert (FT)</t>
        </is>
      </c>
      <c r="C215" s="1611" t="inlineStr">
        <is>
          <t>Tech Support Technician</t>
        </is>
      </c>
      <c r="D215" s="1382" t="inlineStr">
        <is>
          <t>Mark Pearson</t>
        </is>
      </c>
      <c r="E215" s="1382" t="inlineStr">
        <is>
          <t xml:space="preserve">Lead Technology Support </t>
        </is>
      </c>
      <c r="F215" s="1382" t="inlineStr">
        <is>
          <t>Cyber, Risk &amp; Operations</t>
        </is>
      </c>
      <c r="G215" s="1612" t="inlineStr">
        <is>
          <t>Service Op &amp; Assurance</t>
        </is>
      </c>
      <c r="H215" s="1382" t="inlineStr">
        <is>
          <t>NA</t>
        </is>
      </c>
      <c r="I215" s="1382" t="inlineStr">
        <is>
          <t>NA</t>
        </is>
      </c>
      <c r="J215" s="1382" t="inlineStr">
        <is>
          <t>NA</t>
        </is>
      </c>
      <c r="K215" s="1382" t="inlineStr">
        <is>
          <t>NA</t>
        </is>
      </c>
      <c r="L215" s="1382" t="n"/>
      <c r="M215" s="1613" t="inlineStr">
        <is>
          <t>NZ</t>
        </is>
      </c>
      <c r="N215" s="1614" t="inlineStr">
        <is>
          <t>CDB</t>
        </is>
      </c>
      <c r="O215" s="1615" t="n">
        <v>1</v>
      </c>
      <c r="P215" s="1614" t="n"/>
      <c r="Q215" s="1615" t="inlineStr">
        <is>
          <t>Temporary - Full Time</t>
        </is>
      </c>
      <c r="R215" s="1616" t="n"/>
      <c r="S215" s="1616" t="n"/>
      <c r="T215" s="1627" t="n">
        <v>80000</v>
      </c>
      <c r="U215" s="1617" t="n">
        <v>73600</v>
      </c>
      <c r="V215" s="1656" t="n">
        <v>0.1</v>
      </c>
      <c r="W215" s="1636" t="n"/>
      <c r="X215" s="1652" t="n">
        <v>0.05</v>
      </c>
      <c r="Y215" s="1657" t="n">
        <v>2910</v>
      </c>
      <c r="Z215" s="1652" t="n">
        <v>0.03</v>
      </c>
      <c r="AA215" s="1655">
        <f>U215*(1+V215+X215+Z215)+Y215</f>
        <v>89758</v>
      </c>
      <c r="AB215" s="865" t="n">
        <v>117353</v>
      </c>
      <c r="AC215" s="865" t="inlineStr">
        <is>
          <t>TDD Cyber</t>
        </is>
      </c>
      <c r="AD215" s="865" t="inlineStr">
        <is>
          <t>TDD Cyber, Risk &amp; Service Ops</t>
        </is>
      </c>
      <c r="AE215" s="865" t="inlineStr">
        <is>
          <t>TDD Cyber</t>
        </is>
      </c>
      <c r="AF215" s="865" t="inlineStr">
        <is>
          <t>Squad</t>
        </is>
      </c>
      <c r="AG215" s="865" t="inlineStr">
        <is>
          <t>Filled</t>
        </is>
      </c>
    </row>
    <row r="216" hidden="1" ht="18" customHeight="1" s="866">
      <c r="A216" s="1566" t="n">
        <v>87951</v>
      </c>
      <c r="B216" s="1382" t="inlineStr">
        <is>
          <t>Iwan Wibisono</t>
        </is>
      </c>
      <c r="C216" s="1611" t="inlineStr">
        <is>
          <t>Engineer - IDAM</t>
        </is>
      </c>
      <c r="D216" s="1382" t="inlineStr">
        <is>
          <t>Joe Nahma</t>
        </is>
      </c>
      <c r="E216" s="1382" t="inlineStr">
        <is>
          <t xml:space="preserve">Lead Service Desk </t>
        </is>
      </c>
      <c r="F216" s="1382" t="inlineStr">
        <is>
          <t>Cyber, Risk &amp; Operations</t>
        </is>
      </c>
      <c r="G216" s="1612" t="inlineStr">
        <is>
          <t>Cyber Strat &amp; Tech</t>
        </is>
      </c>
      <c r="H216" s="1382" t="inlineStr">
        <is>
          <t>NA</t>
        </is>
      </c>
      <c r="I216" s="1382" t="inlineStr">
        <is>
          <t>NA</t>
        </is>
      </c>
      <c r="J216" s="1382" t="inlineStr">
        <is>
          <t>NA</t>
        </is>
      </c>
      <c r="K216" s="1382" t="inlineStr">
        <is>
          <t>NA</t>
        </is>
      </c>
      <c r="L216" s="1382" t="n"/>
      <c r="M216" s="1613" t="inlineStr">
        <is>
          <t>Australia</t>
        </is>
      </c>
      <c r="N216" s="1616" t="inlineStr">
        <is>
          <t>CIB</t>
        </is>
      </c>
      <c r="O216" s="1616" t="n">
        <v>1</v>
      </c>
      <c r="P216" s="1616" t="n"/>
      <c r="Q216" s="1616" t="inlineStr">
        <is>
          <t>Permanent - Full Time</t>
        </is>
      </c>
      <c r="R216" s="1616" t="n"/>
      <c r="S216" s="1616" t="n"/>
      <c r="T216" s="1627" t="n">
        <v>161560</v>
      </c>
      <c r="U216" s="1617" t="n">
        <v>161560</v>
      </c>
      <c r="V216" s="1652" t="n">
        <v>0.12</v>
      </c>
      <c r="W216" s="1653" t="n">
        <v>0.055</v>
      </c>
      <c r="X216" s="1653" t="n">
        <v>0.12</v>
      </c>
      <c r="Y216" s="1654" t="n"/>
      <c r="Z216" s="1653" t="n">
        <v>0.04</v>
      </c>
      <c r="AA216" s="1655">
        <f>U216*(1+V216+W216+X216+Y216+Z216)</f>
        <v>215682.6</v>
      </c>
      <c r="AC216" s="865" t="inlineStr">
        <is>
          <t>TDD Cyber</t>
        </is>
      </c>
      <c r="AD216" s="865" t="inlineStr">
        <is>
          <t>TDD Cyber, Risk &amp; Service Ops</t>
        </is>
      </c>
      <c r="AE216" s="865" t="inlineStr">
        <is>
          <t>TDD Cyber</t>
        </is>
      </c>
      <c r="AF216" s="865" t="inlineStr">
        <is>
          <t>Squad</t>
        </is>
      </c>
      <c r="AG216" s="865" t="inlineStr">
        <is>
          <t>Filled</t>
        </is>
      </c>
    </row>
    <row r="217" hidden="1" ht="18" customHeight="1" s="866">
      <c r="A217" s="1566" t="n">
        <v>113382</v>
      </c>
      <c r="B217" s="1382" t="inlineStr">
        <is>
          <t>Jack Jenkins</t>
        </is>
      </c>
      <c r="C217" s="1611" t="inlineStr">
        <is>
          <t>Asset Analyst</t>
        </is>
      </c>
      <c r="D217" s="1382" t="inlineStr">
        <is>
          <t>Vacant</t>
        </is>
      </c>
      <c r="E217" s="1382" t="inlineStr">
        <is>
          <t>Lead - Asset &amp; Configuration (Vacant)</t>
        </is>
      </c>
      <c r="F217" s="1382" t="inlineStr">
        <is>
          <t>Cyber, Risk &amp; Operations</t>
        </is>
      </c>
      <c r="G217" s="1612" t="inlineStr">
        <is>
          <t>Service Op &amp; Assurance</t>
        </is>
      </c>
      <c r="H217" s="1382" t="inlineStr">
        <is>
          <t>NA</t>
        </is>
      </c>
      <c r="I217" s="1382" t="inlineStr">
        <is>
          <t>NA</t>
        </is>
      </c>
      <c r="J217" s="1382" t="inlineStr">
        <is>
          <t>NA</t>
        </is>
      </c>
      <c r="K217" s="1382" t="inlineStr">
        <is>
          <t>NA</t>
        </is>
      </c>
      <c r="L217" s="1382" t="n"/>
      <c r="M217" s="1613" t="inlineStr">
        <is>
          <t>Australia</t>
        </is>
      </c>
      <c r="N217" s="1614" t="inlineStr">
        <is>
          <t>CIA</t>
        </is>
      </c>
      <c r="O217" s="1614" t="n">
        <v>1</v>
      </c>
      <c r="P217" s="1614" t="n"/>
      <c r="Q217" s="1614" t="inlineStr">
        <is>
          <t>Permanent - Full Time</t>
        </is>
      </c>
      <c r="R217" s="1616" t="n"/>
      <c r="S217" s="1616" t="n"/>
      <c r="T217" s="1627" t="n">
        <v>105710</v>
      </c>
      <c r="U217" s="1626" t="n">
        <v>105710</v>
      </c>
      <c r="V217" s="1619" t="n">
        <v>0.1</v>
      </c>
      <c r="W217" s="1622" t="n">
        <v>0.055</v>
      </c>
      <c r="X217" s="1622" t="n">
        <v>0.12</v>
      </c>
      <c r="Y217" s="1623" t="n"/>
      <c r="Z217" s="1622" t="n">
        <v>0.04</v>
      </c>
      <c r="AA217" s="1621">
        <f>U217*(1+V217+W217+X217+Y217+Z217)</f>
        <v>139008.65</v>
      </c>
      <c r="AC217" s="865" t="inlineStr">
        <is>
          <t>TDD Cyber</t>
        </is>
      </c>
      <c r="AD217" s="865" t="inlineStr">
        <is>
          <t>TDD Cyber, Risk &amp; Service Ops</t>
        </is>
      </c>
      <c r="AE217" s="865" t="inlineStr">
        <is>
          <t>TDD Cyber</t>
        </is>
      </c>
      <c r="AF217" s="865" t="inlineStr">
        <is>
          <t>Squad</t>
        </is>
      </c>
      <c r="AG217" s="865" t="inlineStr">
        <is>
          <t>Filled</t>
        </is>
      </c>
    </row>
    <row r="218" hidden="1" ht="18" customHeight="1" s="866">
      <c r="A218" s="1566" t="n">
        <v>100825</v>
      </c>
      <c r="B218" s="1382" t="inlineStr">
        <is>
          <t>James Byrne</t>
        </is>
      </c>
      <c r="C218" s="1611" t="inlineStr">
        <is>
          <t>Head of Cyber Strategy &amp; Technology</t>
        </is>
      </c>
      <c r="D218" s="1382" t="inlineStr">
        <is>
          <t>Frances Bouzo</t>
        </is>
      </c>
      <c r="E218" s="1382" t="inlineStr">
        <is>
          <t xml:space="preserve">Manager Customer Support Operations </t>
        </is>
      </c>
      <c r="F218" s="1382" t="inlineStr">
        <is>
          <t>Cyber, Risk &amp; Operations</t>
        </is>
      </c>
      <c r="G218" s="1612" t="inlineStr">
        <is>
          <t>Cyber Strat &amp; Tech</t>
        </is>
      </c>
      <c r="H218" s="1382" t="inlineStr">
        <is>
          <t>NA</t>
        </is>
      </c>
      <c r="I218" s="1382" t="inlineStr">
        <is>
          <t>NA</t>
        </is>
      </c>
      <c r="J218" s="1382" t="inlineStr">
        <is>
          <t>NA</t>
        </is>
      </c>
      <c r="K218" s="1382" t="inlineStr">
        <is>
          <t>NA</t>
        </is>
      </c>
      <c r="L218" s="1382" t="n"/>
      <c r="M218" s="1613" t="inlineStr">
        <is>
          <t>Australia</t>
        </is>
      </c>
      <c r="N218" s="1614" t="inlineStr">
        <is>
          <t>CSC</t>
        </is>
      </c>
      <c r="O218" s="1614" t="n">
        <v>1</v>
      </c>
      <c r="P218" s="1614" t="n"/>
      <c r="Q218" s="1614" t="inlineStr">
        <is>
          <t>Permanent - Full Time</t>
        </is>
      </c>
      <c r="R218" s="1616" t="n"/>
      <c r="S218" s="1616" t="n"/>
      <c r="T218" s="1627" t="n">
        <v>270380</v>
      </c>
      <c r="U218" s="1626" t="n">
        <v>270380</v>
      </c>
      <c r="V218" s="1619" t="n">
        <v>0.2</v>
      </c>
      <c r="W218" s="1684" t="n">
        <v>0.055</v>
      </c>
      <c r="X218" s="1684" t="n">
        <v>0.12</v>
      </c>
      <c r="Y218" s="1685" t="n"/>
      <c r="Z218" s="1684" t="n">
        <v>0.04</v>
      </c>
      <c r="AA218" s="1621">
        <f>U218*(1+V218+W218+X218+Y218+Z218)</f>
        <v>382587.7</v>
      </c>
      <c r="AC218" s="865" t="inlineStr">
        <is>
          <t>TDD Cyber</t>
        </is>
      </c>
      <c r="AD218" s="865" t="inlineStr">
        <is>
          <t>TDD Cyber, Risk &amp; Service Ops</t>
        </is>
      </c>
      <c r="AE218" s="865" t="inlineStr">
        <is>
          <t>TDD Cyber</t>
        </is>
      </c>
      <c r="AF218" s="865" t="inlineStr">
        <is>
          <t>Squad</t>
        </is>
      </c>
      <c r="AG218" s="865" t="inlineStr">
        <is>
          <t>Filled</t>
        </is>
      </c>
    </row>
    <row r="219" hidden="1" ht="18" customHeight="1" s="866">
      <c r="A219" s="1566" t="n">
        <v>108727</v>
      </c>
      <c r="B219" s="1382" t="inlineStr">
        <is>
          <t>Jas Mann</t>
        </is>
      </c>
      <c r="C219" s="1611" t="inlineStr">
        <is>
          <t>Technology Support Engineer</t>
        </is>
      </c>
      <c r="D219" s="1382" t="inlineStr">
        <is>
          <t>Mark Pearson</t>
        </is>
      </c>
      <c r="E219" s="1382" t="inlineStr">
        <is>
          <t xml:space="preserve">Lead Technology Support </t>
        </is>
      </c>
      <c r="F219" s="1382" t="inlineStr">
        <is>
          <t>Cyber, Risk &amp; Operations</t>
        </is>
      </c>
      <c r="G219" s="1612" t="inlineStr">
        <is>
          <t>Service Op &amp; Assurance</t>
        </is>
      </c>
      <c r="H219" s="1382" t="inlineStr">
        <is>
          <t>NA</t>
        </is>
      </c>
      <c r="I219" s="1382" t="inlineStr">
        <is>
          <t>NA</t>
        </is>
      </c>
      <c r="J219" s="1382" t="inlineStr">
        <is>
          <t>NA</t>
        </is>
      </c>
      <c r="K219" s="1382" t="inlineStr">
        <is>
          <t>NA</t>
        </is>
      </c>
      <c r="L219" s="1382" t="n"/>
      <c r="M219" s="1613" t="inlineStr">
        <is>
          <t>Australia</t>
        </is>
      </c>
      <c r="N219" s="1614" t="inlineStr">
        <is>
          <t>CIA</t>
        </is>
      </c>
      <c r="O219" s="1614" t="n">
        <v>1</v>
      </c>
      <c r="P219" s="1614" t="n"/>
      <c r="Q219" s="1614" t="inlineStr">
        <is>
          <t>Permanent - Full Time</t>
        </is>
      </c>
      <c r="R219" s="1616" t="n"/>
      <c r="S219" s="1616" t="n"/>
      <c r="T219" s="1627" t="n">
        <v>111700</v>
      </c>
      <c r="U219" s="1626" t="n">
        <v>111700</v>
      </c>
      <c r="V219" s="1619" t="n">
        <v>0.1</v>
      </c>
      <c r="W219" s="1622" t="n">
        <v>0.055</v>
      </c>
      <c r="X219" s="1622" t="n">
        <v>0.12</v>
      </c>
      <c r="Y219" s="1623" t="n"/>
      <c r="Z219" s="1622" t="n">
        <v>0.04</v>
      </c>
      <c r="AA219" s="1621">
        <f>U219*(1+V219+W219+X219+Y219+Z219)</f>
        <v>146885.5</v>
      </c>
      <c r="AC219" s="865" t="inlineStr">
        <is>
          <t>TDD Cyber</t>
        </is>
      </c>
      <c r="AD219" s="865" t="inlineStr">
        <is>
          <t>TDD Cyber, Risk &amp; Service Ops</t>
        </is>
      </c>
      <c r="AE219" s="865" t="inlineStr">
        <is>
          <t>TDD Cyber</t>
        </is>
      </c>
      <c r="AF219" s="865" t="inlineStr">
        <is>
          <t>Squad</t>
        </is>
      </c>
      <c r="AG219" s="865" t="inlineStr">
        <is>
          <t>Filled</t>
        </is>
      </c>
    </row>
    <row r="220" hidden="1" ht="18" customHeight="1" s="866">
      <c r="A220" s="1566" t="n">
        <v>108809</v>
      </c>
      <c r="B220" s="1382" t="inlineStr">
        <is>
          <t>Joe Nahma</t>
        </is>
      </c>
      <c r="C220" s="1611" t="inlineStr">
        <is>
          <t>Manager Identity &amp; Access Management</t>
        </is>
      </c>
      <c r="D220" s="1382" t="inlineStr">
        <is>
          <t>James Byrne</t>
        </is>
      </c>
      <c r="E220" s="1382" t="inlineStr">
        <is>
          <t>Manager Cyber Security GRC</t>
        </is>
      </c>
      <c r="F220" s="1382" t="inlineStr">
        <is>
          <t>Cyber, Risk &amp; Operations</t>
        </is>
      </c>
      <c r="G220" s="1612" t="inlineStr">
        <is>
          <t>Cyber Strat &amp; Tech</t>
        </is>
      </c>
      <c r="H220" s="1382" t="inlineStr">
        <is>
          <t>NA</t>
        </is>
      </c>
      <c r="I220" s="1382" t="inlineStr">
        <is>
          <t>NA</t>
        </is>
      </c>
      <c r="J220" s="1382" t="inlineStr">
        <is>
          <t>NA</t>
        </is>
      </c>
      <c r="K220" s="1382" t="inlineStr">
        <is>
          <t>NA</t>
        </is>
      </c>
      <c r="L220" s="1382" t="n"/>
      <c r="M220" s="1613" t="inlineStr">
        <is>
          <t>Australia</t>
        </is>
      </c>
      <c r="N220" s="1614" t="inlineStr">
        <is>
          <t>CIC</t>
        </is>
      </c>
      <c r="O220" s="1614" t="n">
        <v>1</v>
      </c>
      <c r="P220" s="1614" t="n"/>
      <c r="Q220" s="1614" t="inlineStr">
        <is>
          <t>Permanent - Full Time</t>
        </is>
      </c>
      <c r="R220" s="1616" t="n"/>
      <c r="S220" s="1616" t="n"/>
      <c r="T220" s="1627" t="n">
        <v>193790</v>
      </c>
      <c r="U220" s="1626" t="n">
        <v>193790</v>
      </c>
      <c r="V220" s="1619" t="n">
        <v>0.12</v>
      </c>
      <c r="W220" s="1622" t="n">
        <v>0.055</v>
      </c>
      <c r="X220" s="1622" t="n">
        <v>0.12</v>
      </c>
      <c r="Y220" s="1623" t="n"/>
      <c r="Z220" s="1622" t="n">
        <v>0.04</v>
      </c>
      <c r="AA220" s="1621">
        <f>U220*(1+V220+W220+X220+Y220+Z220)</f>
        <v>258709.65</v>
      </c>
      <c r="AC220" s="865" t="inlineStr">
        <is>
          <t>TDD Cyber</t>
        </is>
      </c>
      <c r="AD220" s="865" t="inlineStr">
        <is>
          <t>TDD Cyber, Risk &amp; Service Ops</t>
        </is>
      </c>
      <c r="AE220" s="865" t="inlineStr">
        <is>
          <t>TDD Cyber</t>
        </is>
      </c>
      <c r="AF220" s="865" t="inlineStr">
        <is>
          <t>Squad</t>
        </is>
      </c>
      <c r="AG220" s="865" t="inlineStr">
        <is>
          <t>Filled</t>
        </is>
      </c>
    </row>
    <row r="221" hidden="1" ht="18" customHeight="1" s="866">
      <c r="A221" s="1566" t="n">
        <v>114354</v>
      </c>
      <c r="B221" s="1382" t="inlineStr">
        <is>
          <t>Kaaviya Salai Manimudian</t>
        </is>
      </c>
      <c r="C221" s="1611" t="inlineStr">
        <is>
          <t>Graduate</t>
        </is>
      </c>
      <c r="D221" s="1382" t="inlineStr">
        <is>
          <t>Lynda Niewidok</t>
        </is>
      </c>
      <c r="E221" s="1382" t="inlineStr">
        <is>
          <t xml:space="preserve">Manager Customer Support Operations </t>
        </is>
      </c>
      <c r="F221" s="1382" t="inlineStr">
        <is>
          <t>Cyber, Risk &amp; Operations</t>
        </is>
      </c>
      <c r="G221" s="1612" t="inlineStr">
        <is>
          <t>Service Op &amp; Assurance</t>
        </is>
      </c>
      <c r="H221" s="1382" t="inlineStr">
        <is>
          <t>NA</t>
        </is>
      </c>
      <c r="I221" s="1382" t="inlineStr">
        <is>
          <t>NA</t>
        </is>
      </c>
      <c r="J221" s="1382" t="inlineStr">
        <is>
          <t>NA</t>
        </is>
      </c>
      <c r="K221" s="1382" t="inlineStr">
        <is>
          <t>NA</t>
        </is>
      </c>
      <c r="L221" s="1382" t="n"/>
      <c r="M221" s="1613" t="inlineStr">
        <is>
          <t>Australia</t>
        </is>
      </c>
      <c r="N221" s="1614" t="inlineStr">
        <is>
          <t>CDB</t>
        </is>
      </c>
      <c r="O221" s="1614" t="n">
        <v>1</v>
      </c>
      <c r="P221" s="1614" t="n"/>
      <c r="Q221" s="1614" t="inlineStr">
        <is>
          <t>Permanent - Full Time</t>
        </is>
      </c>
      <c r="R221" s="1616" t="n"/>
      <c r="S221" s="1616" t="n"/>
      <c r="T221" s="1627" t="n">
        <v>85000</v>
      </c>
      <c r="U221" s="1626" t="n">
        <v>85000</v>
      </c>
      <c r="V221" s="1619" t="n">
        <v>0.08</v>
      </c>
      <c r="W221" s="1622" t="n">
        <v>0.055</v>
      </c>
      <c r="X221" s="1622" t="n">
        <v>0.12</v>
      </c>
      <c r="Y221" s="1623" t="n"/>
      <c r="Z221" s="1622" t="n">
        <v>0.04</v>
      </c>
      <c r="AA221" s="1621">
        <f>U221*(1+V221+W221+X221+Y221+Z221)</f>
        <v>110075</v>
      </c>
      <c r="AC221" s="865" t="inlineStr">
        <is>
          <t>TDD Cyber</t>
        </is>
      </c>
      <c r="AD221" s="865" t="inlineStr">
        <is>
          <t>TDD Cyber, Risk &amp; Service Ops</t>
        </is>
      </c>
      <c r="AE221" s="865" t="inlineStr">
        <is>
          <t>TDD Cyber</t>
        </is>
      </c>
      <c r="AF221" s="865" t="inlineStr">
        <is>
          <t>Squad</t>
        </is>
      </c>
      <c r="AG221" s="865" t="inlineStr">
        <is>
          <t>Filled</t>
        </is>
      </c>
    </row>
    <row r="222" hidden="1" ht="18" customHeight="1" s="866">
      <c r="A222" s="1566" t="n">
        <v>97592</v>
      </c>
      <c r="B222" s="1382" t="inlineStr">
        <is>
          <t>Kevin Sheerin</t>
        </is>
      </c>
      <c r="C222" s="1611" t="inlineStr">
        <is>
          <t>Cyber Architecture Lead</t>
        </is>
      </c>
      <c r="D222" s="1382" t="inlineStr">
        <is>
          <t>James Byrne</t>
        </is>
      </c>
      <c r="E222" s="1382" t="n"/>
      <c r="F222" s="1382" t="inlineStr">
        <is>
          <t>Cyber, Risk &amp; Operations</t>
        </is>
      </c>
      <c r="G222" s="1612" t="inlineStr">
        <is>
          <t>Cyber Strat &amp; Tech</t>
        </is>
      </c>
      <c r="H222" s="1382" t="inlineStr">
        <is>
          <t>NA</t>
        </is>
      </c>
      <c r="I222" s="1382" t="inlineStr">
        <is>
          <t>NA</t>
        </is>
      </c>
      <c r="J222" s="1382" t="inlineStr">
        <is>
          <t>NA</t>
        </is>
      </c>
      <c r="K222" s="1382" t="inlineStr">
        <is>
          <t>NA</t>
        </is>
      </c>
      <c r="L222" s="1382" t="n"/>
      <c r="M222" s="1613" t="inlineStr">
        <is>
          <t>Australia</t>
        </is>
      </c>
      <c r="N222" s="1614" t="inlineStr">
        <is>
          <t>CIC</t>
        </is>
      </c>
      <c r="O222" s="1614" t="n">
        <v>1</v>
      </c>
      <c r="P222" s="1614" t="n"/>
      <c r="Q222" s="1614" t="inlineStr">
        <is>
          <t>Permanent - Full Time</t>
        </is>
      </c>
      <c r="R222" s="1616" t="n"/>
      <c r="S222" s="1616" t="n"/>
      <c r="T222" s="1627" t="n">
        <v>213470</v>
      </c>
      <c r="U222" s="1626" t="n">
        <v>213470</v>
      </c>
      <c r="V222" s="1619" t="n">
        <v>0.12</v>
      </c>
      <c r="W222" s="1622" t="n">
        <v>0.055</v>
      </c>
      <c r="X222" s="1622" t="n">
        <v>0.12</v>
      </c>
      <c r="Y222" s="1623" t="n"/>
      <c r="Z222" s="1622" t="n">
        <v>0.04</v>
      </c>
      <c r="AA222" s="1621">
        <f>U222*(1+V222+W222+X222+Y222+Z222)</f>
        <v>284982.45</v>
      </c>
      <c r="AC222" s="865" t="inlineStr">
        <is>
          <t>TDD Cyber</t>
        </is>
      </c>
      <c r="AD222" s="865" t="inlineStr">
        <is>
          <t>TDD Cyber, Risk &amp; Service Ops</t>
        </is>
      </c>
      <c r="AE222" s="865" t="inlineStr">
        <is>
          <t>TDD Cyber</t>
        </is>
      </c>
      <c r="AF222" s="865" t="inlineStr">
        <is>
          <t>Squad</t>
        </is>
      </c>
      <c r="AG222" s="865" t="inlineStr">
        <is>
          <t>Filled</t>
        </is>
      </c>
    </row>
    <row r="223" hidden="1" ht="18" customHeight="1" s="866">
      <c r="A223" s="1566" t="n">
        <v>99999101673</v>
      </c>
      <c r="B223" s="1382" t="inlineStr">
        <is>
          <t>Lisa Ng</t>
        </is>
      </c>
      <c r="C223" s="1611" t="inlineStr">
        <is>
          <t>Cyber Security Analyst</t>
        </is>
      </c>
      <c r="D223" s="1382" t="inlineStr">
        <is>
          <t>Steven Atcheson</t>
        </is>
      </c>
      <c r="E223" s="1382" t="n"/>
      <c r="F223" s="1382" t="inlineStr">
        <is>
          <t>Cyber, Risk &amp; Operations</t>
        </is>
      </c>
      <c r="G223" s="1612" t="inlineStr">
        <is>
          <t>Cyber Sec Ops</t>
        </is>
      </c>
      <c r="H223" s="1382" t="inlineStr">
        <is>
          <t>NA</t>
        </is>
      </c>
      <c r="I223" s="1382" t="inlineStr">
        <is>
          <t>NA</t>
        </is>
      </c>
      <c r="J223" s="1382" t="inlineStr">
        <is>
          <t>NA</t>
        </is>
      </c>
      <c r="K223" s="1382" t="inlineStr">
        <is>
          <t>NA</t>
        </is>
      </c>
      <c r="L223" s="1382" t="n"/>
      <c r="M223" s="1613" t="inlineStr">
        <is>
          <t>NZ</t>
        </is>
      </c>
      <c r="N223" s="1614" t="inlineStr">
        <is>
          <t>CIA</t>
        </is>
      </c>
      <c r="O223" s="1615" t="n">
        <v>0.8</v>
      </c>
      <c r="P223" s="1614" t="n"/>
      <c r="Q223" s="1615" t="inlineStr">
        <is>
          <t>Permanent - Part Time</t>
        </is>
      </c>
      <c r="R223" s="1616" t="n"/>
      <c r="S223" s="1616" t="n"/>
      <c r="T223" s="1627" t="n">
        <v>128040</v>
      </c>
      <c r="U223" s="1626" t="n">
        <v>117796.8</v>
      </c>
      <c r="V223" s="1618" t="n">
        <v>0.15</v>
      </c>
      <c r="W223" s="1616" t="n"/>
      <c r="X223" s="1619" t="n">
        <v>0.05</v>
      </c>
      <c r="Y223" s="1620" t="n">
        <v>2910</v>
      </c>
      <c r="Z223" s="1619" t="n">
        <v>0.03</v>
      </c>
      <c r="AA223" s="1621">
        <f>U223*(1+V223+X223+Z223)+Y223</f>
        <v>147800.064</v>
      </c>
      <c r="AB223" s="865" t="n">
        <v>113576</v>
      </c>
      <c r="AC223" s="865" t="inlineStr">
        <is>
          <t>TDD Cyber</t>
        </is>
      </c>
      <c r="AD223" s="865" t="inlineStr">
        <is>
          <t>TDD Cyber, Risk &amp; Service Ops</t>
        </is>
      </c>
      <c r="AE223" s="865" t="inlineStr">
        <is>
          <t>TDD Cyber</t>
        </is>
      </c>
      <c r="AF223" s="865" t="inlineStr">
        <is>
          <t>Squad</t>
        </is>
      </c>
      <c r="AG223" s="865" t="inlineStr">
        <is>
          <t>Filled</t>
        </is>
      </c>
    </row>
    <row r="224" hidden="1" ht="18" customHeight="1" s="866">
      <c r="A224" s="1566" t="n">
        <v>96830</v>
      </c>
      <c r="B224" s="1382" t="inlineStr">
        <is>
          <t>Lynda Niewidok</t>
        </is>
      </c>
      <c r="C224" s="1611" t="inlineStr">
        <is>
          <t>Lead - Service Desk</t>
        </is>
      </c>
      <c r="D224" s="1382" t="inlineStr">
        <is>
          <t>Chris Rojas</t>
        </is>
      </c>
      <c r="E224" s="1382" t="inlineStr">
        <is>
          <t xml:space="preserve">CISO </t>
        </is>
      </c>
      <c r="F224" s="1382" t="inlineStr">
        <is>
          <t>Cyber, Risk &amp; Operations</t>
        </is>
      </c>
      <c r="G224" s="1612" t="inlineStr">
        <is>
          <t>Service Op &amp; Assurance</t>
        </is>
      </c>
      <c r="H224" s="1382" t="inlineStr">
        <is>
          <t>NA</t>
        </is>
      </c>
      <c r="I224" s="1382" t="inlineStr">
        <is>
          <t>NA</t>
        </is>
      </c>
      <c r="J224" s="1382" t="inlineStr">
        <is>
          <t>NA</t>
        </is>
      </c>
      <c r="K224" s="1382" t="inlineStr">
        <is>
          <t>NA</t>
        </is>
      </c>
      <c r="L224" s="1382" t="n"/>
      <c r="M224" s="1613" t="inlineStr">
        <is>
          <t>Australia</t>
        </is>
      </c>
      <c r="N224" s="1614" t="inlineStr">
        <is>
          <t>CIB</t>
        </is>
      </c>
      <c r="O224" s="1614" t="n">
        <v>1</v>
      </c>
      <c r="P224" s="1614" t="n"/>
      <c r="Q224" s="1614" t="inlineStr">
        <is>
          <t>Permanent - Full Time</t>
        </is>
      </c>
      <c r="R224" s="1616" t="n"/>
      <c r="S224" s="1616" t="n"/>
      <c r="T224" s="1627" t="n">
        <v>152800</v>
      </c>
      <c r="U224" s="1626" t="n">
        <v>152800</v>
      </c>
      <c r="V224" s="1619" t="n">
        <v>0.12</v>
      </c>
      <c r="W224" s="1622" t="n">
        <v>0.055</v>
      </c>
      <c r="X224" s="1622" t="n">
        <v>0.12</v>
      </c>
      <c r="Y224" s="1623" t="n"/>
      <c r="Z224" s="1622" t="n">
        <v>0.04</v>
      </c>
      <c r="AA224" s="1621">
        <f>U224*(1+V224+W224+X224+Y224+Z224)</f>
        <v>203988</v>
      </c>
      <c r="AC224" s="865" t="inlineStr">
        <is>
          <t>TDD Cyber</t>
        </is>
      </c>
      <c r="AD224" s="865" t="inlineStr">
        <is>
          <t>TDD Cyber, Risk &amp; Service Ops</t>
        </is>
      </c>
      <c r="AE224" s="865" t="inlineStr">
        <is>
          <t>TDD Cyber</t>
        </is>
      </c>
      <c r="AF224" s="865" t="inlineStr">
        <is>
          <t>Squad</t>
        </is>
      </c>
      <c r="AG224" s="865" t="inlineStr">
        <is>
          <t>Filled</t>
        </is>
      </c>
    </row>
    <row r="225" hidden="1" ht="18" customHeight="1" s="866">
      <c r="A225" s="1566" t="n">
        <v>92681</v>
      </c>
      <c r="B225" s="1382" t="inlineStr">
        <is>
          <t>Mark Pearson</t>
        </is>
      </c>
      <c r="C225" s="1611" t="inlineStr">
        <is>
          <t>Lead - Technology Support</t>
        </is>
      </c>
      <c r="D225" s="1382" t="inlineStr">
        <is>
          <t>Chris Rojas</t>
        </is>
      </c>
      <c r="E225" s="1382" t="inlineStr">
        <is>
          <t xml:space="preserve">Manager Service Management &amp; Major Incident Management Lead </t>
        </is>
      </c>
      <c r="F225" s="1382" t="inlineStr">
        <is>
          <t>Cyber, Risk &amp; Operations</t>
        </is>
      </c>
      <c r="G225" s="1612" t="inlineStr">
        <is>
          <t>Service Op &amp; Assurance</t>
        </is>
      </c>
      <c r="H225" s="1382" t="inlineStr">
        <is>
          <t>NA</t>
        </is>
      </c>
      <c r="I225" s="1382" t="inlineStr">
        <is>
          <t>NA</t>
        </is>
      </c>
      <c r="J225" s="1382" t="inlineStr">
        <is>
          <t>NA</t>
        </is>
      </c>
      <c r="K225" s="1382" t="inlineStr">
        <is>
          <t>NA</t>
        </is>
      </c>
      <c r="L225" s="1382" t="n"/>
      <c r="M225" s="1613" t="inlineStr">
        <is>
          <t>Australia</t>
        </is>
      </c>
      <c r="N225" s="1614" t="inlineStr">
        <is>
          <t>CIB</t>
        </is>
      </c>
      <c r="O225" s="1614" t="n">
        <v>1</v>
      </c>
      <c r="P225" s="1614" t="n"/>
      <c r="Q225" s="1614" t="inlineStr">
        <is>
          <t>Permanent - Full Time</t>
        </is>
      </c>
      <c r="R225" s="1616" t="n"/>
      <c r="S225" s="1616" t="n"/>
      <c r="T225" s="1627" t="n">
        <v>152690</v>
      </c>
      <c r="U225" s="1626" t="n">
        <v>152690</v>
      </c>
      <c r="V225" s="1619" t="n">
        <v>0.12</v>
      </c>
      <c r="W225" s="1622" t="n">
        <v>0.055</v>
      </c>
      <c r="X225" s="1622" t="n">
        <v>0.12</v>
      </c>
      <c r="Y225" s="1623" t="n"/>
      <c r="Z225" s="1622" t="n">
        <v>0.04</v>
      </c>
      <c r="AA225" s="1621">
        <f>U225*(1+V225+W225+X225+Y225+Z225)</f>
        <v>203841.15</v>
      </c>
      <c r="AC225" s="865" t="inlineStr">
        <is>
          <t>TDD Cyber</t>
        </is>
      </c>
      <c r="AD225" s="865" t="inlineStr">
        <is>
          <t>TDD Cyber, Risk &amp; Service Ops</t>
        </is>
      </c>
      <c r="AE225" s="865" t="inlineStr">
        <is>
          <t>TDD Cyber</t>
        </is>
      </c>
      <c r="AF225" s="865" t="inlineStr">
        <is>
          <t>Squad</t>
        </is>
      </c>
      <c r="AG225" s="865" t="inlineStr">
        <is>
          <t>Filled</t>
        </is>
      </c>
    </row>
    <row r="226" hidden="1" ht="18" customHeight="1" s="866">
      <c r="A226" s="1566" t="n">
        <v>90096</v>
      </c>
      <c r="B226" s="1382" t="inlineStr">
        <is>
          <t>Mary-Grace Rivera</t>
        </is>
      </c>
      <c r="C226" s="1611" t="inlineStr">
        <is>
          <t>Lead, Service Management</t>
        </is>
      </c>
      <c r="D226" s="1612" t="inlineStr">
        <is>
          <t>Vacant</t>
        </is>
      </c>
      <c r="E226" s="1382" t="inlineStr">
        <is>
          <t>Darren Koller</t>
        </is>
      </c>
      <c r="F226" s="1382" t="inlineStr">
        <is>
          <t>Cyber, Risk &amp; Operations</t>
        </is>
      </c>
      <c r="G226" s="1612" t="inlineStr">
        <is>
          <t>Service Op &amp; Assurance</t>
        </is>
      </c>
      <c r="H226" s="1382" t="inlineStr">
        <is>
          <t>NA</t>
        </is>
      </c>
      <c r="I226" s="1382" t="inlineStr">
        <is>
          <t>NA</t>
        </is>
      </c>
      <c r="J226" s="1382" t="inlineStr">
        <is>
          <t>NA</t>
        </is>
      </c>
      <c r="K226" s="1382" t="inlineStr">
        <is>
          <t>NA</t>
        </is>
      </c>
      <c r="L226" s="1382" t="n"/>
      <c r="M226" s="1613" t="inlineStr">
        <is>
          <t>Australia</t>
        </is>
      </c>
      <c r="N226" s="1614" t="inlineStr">
        <is>
          <t>CIA</t>
        </is>
      </c>
      <c r="O226" s="1614" t="n">
        <v>1</v>
      </c>
      <c r="P226" s="1614" t="n"/>
      <c r="Q226" s="1614" t="inlineStr">
        <is>
          <t>Permanent - Full Time</t>
        </is>
      </c>
      <c r="R226" s="1616" t="n"/>
      <c r="S226" s="1616" t="n"/>
      <c r="T226" s="1627" t="n">
        <v>137620</v>
      </c>
      <c r="U226" s="1626" t="n">
        <v>137620</v>
      </c>
      <c r="V226" s="1619" t="n">
        <v>0.1</v>
      </c>
      <c r="W226" s="1622" t="n">
        <v>0.055</v>
      </c>
      <c r="X226" s="1622" t="n">
        <v>0.12</v>
      </c>
      <c r="Y226" s="1623" t="n"/>
      <c r="Z226" s="1622" t="n">
        <v>0.04</v>
      </c>
      <c r="AA226" s="1621">
        <f>U226*(1+V226+W226+X226+Y226+Z226)</f>
        <v>180970.3</v>
      </c>
      <c r="AC226" s="865" t="inlineStr">
        <is>
          <t>TDD Cyber</t>
        </is>
      </c>
      <c r="AD226" s="865" t="inlineStr">
        <is>
          <t>TDD Cyber, Risk &amp; Service Ops</t>
        </is>
      </c>
      <c r="AE226" s="865" t="inlineStr">
        <is>
          <t>TDD Cyber</t>
        </is>
      </c>
      <c r="AF226" s="865" t="inlineStr">
        <is>
          <t>Squad</t>
        </is>
      </c>
      <c r="AG226" s="865" t="inlineStr">
        <is>
          <t>Filled</t>
        </is>
      </c>
    </row>
    <row r="227" hidden="1" ht="18" customHeight="1" s="866">
      <c r="A227" s="1566" t="n">
        <v>113900</v>
      </c>
      <c r="B227" s="1382" t="inlineStr">
        <is>
          <t>Mick Collins</t>
        </is>
      </c>
      <c r="C227" s="1611" t="inlineStr">
        <is>
          <t>Manager, Service Performance &amp; Assurance</t>
        </is>
      </c>
      <c r="D227" s="1382" t="inlineStr">
        <is>
          <t>Rajini Onteddu Reddy</t>
        </is>
      </c>
      <c r="E227" s="1382" t="n"/>
      <c r="F227" s="1382" t="inlineStr">
        <is>
          <t>Cyber, Risk &amp; Operations</t>
        </is>
      </c>
      <c r="G227" s="1612" t="inlineStr">
        <is>
          <t>Service Op &amp; Assurance</t>
        </is>
      </c>
      <c r="H227" s="1382" t="inlineStr">
        <is>
          <t>NA</t>
        </is>
      </c>
      <c r="I227" s="1382" t="inlineStr">
        <is>
          <t>NA</t>
        </is>
      </c>
      <c r="J227" s="1382" t="inlineStr">
        <is>
          <t>NA</t>
        </is>
      </c>
      <c r="K227" s="1382" t="inlineStr">
        <is>
          <t>NA</t>
        </is>
      </c>
      <c r="L227" s="1382" t="n"/>
      <c r="M227" s="1613" t="inlineStr">
        <is>
          <t>Australia</t>
        </is>
      </c>
      <c r="N227" s="1614" t="inlineStr">
        <is>
          <t>CSB</t>
        </is>
      </c>
      <c r="O227" s="1614" t="n">
        <v>1</v>
      </c>
      <c r="P227" s="1614" t="n"/>
      <c r="Q227" s="1614" t="inlineStr">
        <is>
          <t>Permanent - Full Time</t>
        </is>
      </c>
      <c r="R227" s="1616" t="n"/>
      <c r="S227" s="1616" t="n"/>
      <c r="T227" s="1627" t="n">
        <v>200790</v>
      </c>
      <c r="U227" s="1626" t="n">
        <v>200790</v>
      </c>
      <c r="V227" s="1619" t="n">
        <v>0.14</v>
      </c>
      <c r="W227" s="1622" t="n">
        <v>0.055</v>
      </c>
      <c r="X227" s="1622" t="n">
        <v>0.12</v>
      </c>
      <c r="Y227" s="1623" t="n"/>
      <c r="Z227" s="1622" t="n">
        <v>0.04</v>
      </c>
      <c r="AA227" s="1621">
        <f>U227*(1+V227+W227+X227+Y227+Z227)</f>
        <v>272070.45</v>
      </c>
      <c r="AC227" s="865" t="inlineStr">
        <is>
          <t>TDD Cyber</t>
        </is>
      </c>
      <c r="AD227" s="865" t="inlineStr">
        <is>
          <t>TDD Cyber, Risk &amp; Service Ops</t>
        </is>
      </c>
      <c r="AE227" s="865" t="inlineStr">
        <is>
          <t>TDD Cyber</t>
        </is>
      </c>
      <c r="AF227" s="865" t="inlineStr">
        <is>
          <t>Squad</t>
        </is>
      </c>
      <c r="AG227" s="865" t="inlineStr">
        <is>
          <t>Filled</t>
        </is>
      </c>
    </row>
    <row r="228" hidden="1" ht="18" customHeight="1" s="866">
      <c r="A228" s="1566" t="n">
        <v>97425</v>
      </c>
      <c r="B228" s="1382" t="inlineStr">
        <is>
          <t>Nischal Bhusal</t>
        </is>
      </c>
      <c r="C228" s="1611" t="inlineStr">
        <is>
          <t>Cyber Security Analyst</t>
        </is>
      </c>
      <c r="D228" s="1382" t="inlineStr">
        <is>
          <t>Steven Atcheson</t>
        </is>
      </c>
      <c r="E228" s="1382" t="n"/>
      <c r="F228" s="1382" t="inlineStr">
        <is>
          <t>Cyber, Risk &amp; Operations</t>
        </is>
      </c>
      <c r="G228" s="1612" t="inlineStr">
        <is>
          <t>Cyber Sec Ops</t>
        </is>
      </c>
      <c r="H228" s="1382" t="inlineStr">
        <is>
          <t>NA</t>
        </is>
      </c>
      <c r="I228" s="1382" t="inlineStr">
        <is>
          <t>NA</t>
        </is>
      </c>
      <c r="J228" s="1382" t="inlineStr">
        <is>
          <t>NA</t>
        </is>
      </c>
      <c r="K228" s="1382" t="inlineStr">
        <is>
          <t>NA</t>
        </is>
      </c>
      <c r="L228" s="1382" t="n"/>
      <c r="M228" s="1613" t="inlineStr">
        <is>
          <t>Australia</t>
        </is>
      </c>
      <c r="N228" s="1614" t="inlineStr">
        <is>
          <t>CIB</t>
        </is>
      </c>
      <c r="O228" s="1614" t="n">
        <v>1</v>
      </c>
      <c r="P228" s="1614" t="n"/>
      <c r="Q228" s="1614" t="inlineStr">
        <is>
          <t>Permanent - Full Time</t>
        </is>
      </c>
      <c r="R228" s="1616" t="n"/>
      <c r="S228" s="1616" t="n"/>
      <c r="T228" s="1627" t="n">
        <v>161520</v>
      </c>
      <c r="U228" s="1626" t="n">
        <v>161520</v>
      </c>
      <c r="V228" s="1619" t="n">
        <v>0.12</v>
      </c>
      <c r="W228" s="1622" t="n">
        <v>0.055</v>
      </c>
      <c r="X228" s="1622" t="n">
        <v>0.12</v>
      </c>
      <c r="Y228" s="1623" t="n"/>
      <c r="Z228" s="1622" t="n">
        <v>0.04</v>
      </c>
      <c r="AA228" s="1621">
        <f>U228*(1+V228+W228+X228+Y228+Z228)</f>
        <v>215629.2</v>
      </c>
      <c r="AC228" s="865" t="inlineStr">
        <is>
          <t>TDD Cyber</t>
        </is>
      </c>
      <c r="AD228" s="865" t="inlineStr">
        <is>
          <t>TDD Cyber, Risk &amp; Service Ops</t>
        </is>
      </c>
      <c r="AE228" s="865" t="inlineStr">
        <is>
          <t>TDD Cyber</t>
        </is>
      </c>
      <c r="AF228" s="865" t="inlineStr">
        <is>
          <t>Squad</t>
        </is>
      </c>
      <c r="AG228" s="865" t="inlineStr">
        <is>
          <t>Filled</t>
        </is>
      </c>
    </row>
    <row r="229" hidden="1" ht="18" customHeight="1" s="866">
      <c r="A229" s="1566" t="n">
        <v>109491</v>
      </c>
      <c r="B229" s="1382" t="inlineStr">
        <is>
          <t>Pooja Kuperkar</t>
        </is>
      </c>
      <c r="C229" s="1611" t="inlineStr">
        <is>
          <t>Cyber GRC Analyst</t>
        </is>
      </c>
      <c r="D229" s="1382" t="inlineStr">
        <is>
          <t>Diya Thomas</t>
        </is>
      </c>
      <c r="E229" s="1382" t="n"/>
      <c r="F229" s="1382" t="inlineStr">
        <is>
          <t>Cyber, Risk &amp; Operations</t>
        </is>
      </c>
      <c r="G229" s="1612" t="inlineStr">
        <is>
          <t>Cyber GRC</t>
        </is>
      </c>
      <c r="H229" s="1382" t="inlineStr">
        <is>
          <t>NA</t>
        </is>
      </c>
      <c r="I229" s="1382" t="inlineStr">
        <is>
          <t>NA</t>
        </is>
      </c>
      <c r="J229" s="1382" t="inlineStr">
        <is>
          <t>NA</t>
        </is>
      </c>
      <c r="K229" s="1382" t="inlineStr">
        <is>
          <t>NA</t>
        </is>
      </c>
      <c r="L229" s="1382" t="n"/>
      <c r="M229" s="1613" t="inlineStr">
        <is>
          <t>Australia</t>
        </is>
      </c>
      <c r="N229" s="1614" t="inlineStr">
        <is>
          <t>CIB</t>
        </is>
      </c>
      <c r="O229" s="1614" t="n">
        <v>1</v>
      </c>
      <c r="P229" s="1614" t="n"/>
      <c r="Q229" s="1614" t="inlineStr">
        <is>
          <t>Permanent - Full Time</t>
        </is>
      </c>
      <c r="R229" s="1616" t="n"/>
      <c r="S229" s="1616" t="n"/>
      <c r="T229" s="1627" t="n">
        <v>152390</v>
      </c>
      <c r="U229" s="1626" t="n">
        <v>152390</v>
      </c>
      <c r="V229" s="1619" t="n">
        <v>0.12</v>
      </c>
      <c r="W229" s="1622" t="n">
        <v>0.055</v>
      </c>
      <c r="X229" s="1622" t="n">
        <v>0.12</v>
      </c>
      <c r="Y229" s="1623" t="n"/>
      <c r="Z229" s="1622" t="n">
        <v>0.04</v>
      </c>
      <c r="AA229" s="1621">
        <f>U229*(1+V229+W229+X229+Y229+Z229)</f>
        <v>203440.65</v>
      </c>
      <c r="AC229" s="865" t="inlineStr">
        <is>
          <t>TDD Cyber</t>
        </is>
      </c>
      <c r="AD229" s="865" t="inlineStr">
        <is>
          <t>TDD Cyber, Risk &amp; Service Ops</t>
        </is>
      </c>
      <c r="AE229" s="865" t="inlineStr">
        <is>
          <t>TDD Cyber</t>
        </is>
      </c>
      <c r="AF229" s="865" t="inlineStr">
        <is>
          <t>Squad</t>
        </is>
      </c>
      <c r="AG229" s="865" t="inlineStr">
        <is>
          <t>Filled</t>
        </is>
      </c>
    </row>
    <row r="230" hidden="1" ht="18" customHeight="1" s="866">
      <c r="A230" s="1566" t="n">
        <v>114683</v>
      </c>
      <c r="B230" s="1382" t="inlineStr">
        <is>
          <t>Prashanth Chandran</t>
        </is>
      </c>
      <c r="C230" s="1611" t="inlineStr">
        <is>
          <t>Senior Cyber GRC Specialist</t>
        </is>
      </c>
      <c r="D230" s="1382" t="inlineStr">
        <is>
          <t>Diya Thomas</t>
        </is>
      </c>
      <c r="E230" s="1382" t="inlineStr">
        <is>
          <t>Manager Cyber Security GRC</t>
        </is>
      </c>
      <c r="F230" s="1382" t="inlineStr">
        <is>
          <t>Cyber, Risk &amp; Operations</t>
        </is>
      </c>
      <c r="G230" s="1612" t="inlineStr">
        <is>
          <t>Cyber GRC</t>
        </is>
      </c>
      <c r="H230" s="1382" t="inlineStr">
        <is>
          <t>NA</t>
        </is>
      </c>
      <c r="I230" s="1382" t="inlineStr">
        <is>
          <t>NA</t>
        </is>
      </c>
      <c r="J230" s="1382" t="inlineStr">
        <is>
          <t>NA</t>
        </is>
      </c>
      <c r="K230" s="1382" t="inlineStr">
        <is>
          <t>NA</t>
        </is>
      </c>
      <c r="L230" s="1382" t="n"/>
      <c r="M230" s="1613" t="inlineStr">
        <is>
          <t>Australia</t>
        </is>
      </c>
      <c r="N230" s="1614" t="inlineStr">
        <is>
          <t>CIC</t>
        </is>
      </c>
      <c r="O230" s="1614" t="n">
        <v>1</v>
      </c>
      <c r="P230" s="1614" t="n"/>
      <c r="Q230" s="1614" t="inlineStr">
        <is>
          <t>Permanent - Full Time</t>
        </is>
      </c>
      <c r="R230" s="1616" t="n"/>
      <c r="S230" s="1616" t="n"/>
      <c r="T230" s="1627" t="n">
        <v>165000</v>
      </c>
      <c r="U230" s="1626" t="n">
        <v>165000</v>
      </c>
      <c r="V230" s="1619" t="n">
        <v>0.12</v>
      </c>
      <c r="W230" s="1622" t="n">
        <v>0.055</v>
      </c>
      <c r="X230" s="1622" t="n">
        <v>0.12</v>
      </c>
      <c r="Y230" s="1623" t="n"/>
      <c r="Z230" s="1622" t="n">
        <v>0.04</v>
      </c>
      <c r="AA230" s="1621">
        <f>U230*(1+V230+W230+X230+Y230+Z230)</f>
        <v>220275</v>
      </c>
      <c r="AC230" s="865" t="inlineStr">
        <is>
          <t>TDD Cyber</t>
        </is>
      </c>
      <c r="AD230" s="865" t="inlineStr">
        <is>
          <t>TDD Cyber, Risk &amp; Service Ops</t>
        </is>
      </c>
      <c r="AE230" s="865" t="inlineStr">
        <is>
          <t>TDD Cyber</t>
        </is>
      </c>
      <c r="AF230" s="865" t="inlineStr">
        <is>
          <t>Squad</t>
        </is>
      </c>
      <c r="AG230" s="865" t="inlineStr">
        <is>
          <t>Filled</t>
        </is>
      </c>
    </row>
    <row r="231" hidden="1" ht="18" customHeight="1" s="866">
      <c r="A231" s="1566" t="n">
        <v>104966</v>
      </c>
      <c r="B231" s="1382" t="inlineStr">
        <is>
          <t>Rahul Sahni</t>
        </is>
      </c>
      <c r="C231" s="1611" t="inlineStr">
        <is>
          <t>Cyber Security Architect</t>
        </is>
      </c>
      <c r="D231" s="1382" t="inlineStr">
        <is>
          <t>Kevin Sheerin</t>
        </is>
      </c>
      <c r="E231" s="1382" t="n"/>
      <c r="F231" s="1382" t="inlineStr">
        <is>
          <t>Cyber, Risk &amp; Operations</t>
        </is>
      </c>
      <c r="G231" s="1612" t="inlineStr">
        <is>
          <t>Cyber Strat &amp; Tech</t>
        </is>
      </c>
      <c r="H231" s="1382" t="inlineStr">
        <is>
          <t>NA</t>
        </is>
      </c>
      <c r="I231" s="1382" t="inlineStr">
        <is>
          <t>NA</t>
        </is>
      </c>
      <c r="J231" s="1382" t="inlineStr">
        <is>
          <t>NA</t>
        </is>
      </c>
      <c r="K231" s="1382" t="inlineStr">
        <is>
          <t>NA</t>
        </is>
      </c>
      <c r="L231" s="1382" t="n"/>
      <c r="M231" s="1613" t="inlineStr">
        <is>
          <t>Australia</t>
        </is>
      </c>
      <c r="N231" s="1614" t="inlineStr">
        <is>
          <t>CIC</t>
        </is>
      </c>
      <c r="O231" s="1614" t="n">
        <v>1</v>
      </c>
      <c r="P231" s="1614" t="n"/>
      <c r="Q231" s="1614" t="inlineStr">
        <is>
          <t>Permanent - Full Time</t>
        </is>
      </c>
      <c r="R231" s="1616" t="n"/>
      <c r="S231" s="1616" t="n"/>
      <c r="T231" s="1627" t="n">
        <v>169500</v>
      </c>
      <c r="U231" s="1626" t="n">
        <v>169500</v>
      </c>
      <c r="V231" s="1619" t="n">
        <v>0.12</v>
      </c>
      <c r="W231" s="1622" t="n">
        <v>0.055</v>
      </c>
      <c r="X231" s="1622" t="n">
        <v>0.12</v>
      </c>
      <c r="Y231" s="1623" t="n"/>
      <c r="Z231" s="1622" t="n">
        <v>0.04</v>
      </c>
      <c r="AA231" s="1621">
        <f>U231*(1+V231+W231+X231+Y231+Z231)</f>
        <v>226282.5</v>
      </c>
      <c r="AC231" s="865" t="inlineStr">
        <is>
          <t>TDD Cyber</t>
        </is>
      </c>
      <c r="AD231" s="865" t="inlineStr">
        <is>
          <t>TDD Cyber, Risk &amp; Service Ops</t>
        </is>
      </c>
      <c r="AE231" s="865" t="inlineStr">
        <is>
          <t>TDD Cyber</t>
        </is>
      </c>
      <c r="AF231" s="865" t="inlineStr">
        <is>
          <t>Squad</t>
        </is>
      </c>
      <c r="AG231" s="865" t="inlineStr">
        <is>
          <t>Filled</t>
        </is>
      </c>
    </row>
    <row r="232" hidden="1" ht="18" customHeight="1" s="866">
      <c r="A232" s="1566" t="n">
        <v>105647</v>
      </c>
      <c r="B232" s="1382" t="inlineStr">
        <is>
          <t>Rajini Onteddu Reddy</t>
        </is>
      </c>
      <c r="C232" s="1611" t="inlineStr">
        <is>
          <t>Head of Service Operations &amp; Assurance</t>
        </is>
      </c>
      <c r="D232" s="1382" t="inlineStr">
        <is>
          <t>Frances Bouzo</t>
        </is>
      </c>
      <c r="E232" s="1382" t="inlineStr">
        <is>
          <t xml:space="preserve">Manager Service Management &amp; Major Incident Management Lead </t>
        </is>
      </c>
      <c r="F232" s="1382" t="inlineStr">
        <is>
          <t>Cyber, Risk &amp; Operations</t>
        </is>
      </c>
      <c r="G232" s="1612" t="inlineStr">
        <is>
          <t>Service Op &amp; Assurance</t>
        </is>
      </c>
      <c r="H232" s="1382" t="inlineStr">
        <is>
          <t>NA</t>
        </is>
      </c>
      <c r="I232" s="1382" t="inlineStr">
        <is>
          <t>NA</t>
        </is>
      </c>
      <c r="J232" s="1382" t="inlineStr">
        <is>
          <t>NA</t>
        </is>
      </c>
      <c r="K232" s="1382" t="inlineStr">
        <is>
          <t>NA</t>
        </is>
      </c>
      <c r="L232" s="1382" t="n"/>
      <c r="M232" s="1613" t="inlineStr">
        <is>
          <t>Australia</t>
        </is>
      </c>
      <c r="N232" s="1614" t="inlineStr">
        <is>
          <t>CSC</t>
        </is>
      </c>
      <c r="O232" s="1614" t="n">
        <v>1</v>
      </c>
      <c r="P232" s="1614" t="n"/>
      <c r="Q232" s="1614" t="inlineStr">
        <is>
          <t>Permanent - Full Time</t>
        </is>
      </c>
      <c r="R232" s="1616" t="n"/>
      <c r="S232" s="1616" t="n"/>
      <c r="T232" s="1627" t="n">
        <v>283160</v>
      </c>
      <c r="U232" s="1626" t="n">
        <v>283160</v>
      </c>
      <c r="V232" s="1619" t="n">
        <v>0.2</v>
      </c>
      <c r="W232" s="1622" t="n">
        <v>0.055</v>
      </c>
      <c r="X232" s="1622" t="n">
        <v>0.12</v>
      </c>
      <c r="Y232" s="1623" t="n"/>
      <c r="Z232" s="1622" t="n">
        <v>0.04</v>
      </c>
      <c r="AA232" s="1621">
        <f>U232*(1+V232+W232+X232+Y232+Z232)</f>
        <v>400671.4</v>
      </c>
      <c r="AC232" s="865" t="inlineStr">
        <is>
          <t>TDD Cyber</t>
        </is>
      </c>
      <c r="AD232" s="865" t="inlineStr">
        <is>
          <t>TDD Cyber, Risk &amp; Service Ops</t>
        </is>
      </c>
      <c r="AE232" s="865" t="inlineStr">
        <is>
          <t>TDD Cyber</t>
        </is>
      </c>
      <c r="AF232" s="865" t="inlineStr">
        <is>
          <t>Squad</t>
        </is>
      </c>
      <c r="AG232" s="865" t="inlineStr">
        <is>
          <t>Filled</t>
        </is>
      </c>
    </row>
    <row r="233" hidden="1" ht="18" customHeight="1" s="866">
      <c r="A233" s="1566" t="n">
        <v>116241</v>
      </c>
      <c r="B233" s="1382" t="inlineStr">
        <is>
          <t>Raymond Cheung</t>
        </is>
      </c>
      <c r="C233" s="1611" t="inlineStr">
        <is>
          <t>Engineer - IDAM</t>
        </is>
      </c>
      <c r="D233" s="1382" t="inlineStr">
        <is>
          <t>Joe Nahma</t>
        </is>
      </c>
      <c r="E233" s="1382" t="inlineStr">
        <is>
          <t xml:space="preserve">Head Cyber Strategy &amp; Technology </t>
        </is>
      </c>
      <c r="F233" s="1382" t="inlineStr">
        <is>
          <t>Cyber, Risk &amp; Operations</t>
        </is>
      </c>
      <c r="G233" s="1612" t="inlineStr">
        <is>
          <t>Cyber Strat &amp; Tech</t>
        </is>
      </c>
      <c r="H233" s="1382" t="inlineStr">
        <is>
          <t>NA</t>
        </is>
      </c>
      <c r="I233" s="1382" t="inlineStr">
        <is>
          <t>NA</t>
        </is>
      </c>
      <c r="J233" s="1382" t="inlineStr">
        <is>
          <t>NA</t>
        </is>
      </c>
      <c r="K233" s="1382" t="inlineStr">
        <is>
          <t>NA</t>
        </is>
      </c>
      <c r="L233" s="1382" t="n"/>
      <c r="M233" s="1613" t="inlineStr">
        <is>
          <t>Australia</t>
        </is>
      </c>
      <c r="N233" s="1614" t="inlineStr">
        <is>
          <t>CIA</t>
        </is>
      </c>
      <c r="O233" s="1614" t="n">
        <v>1</v>
      </c>
      <c r="P233" s="1614" t="n"/>
      <c r="Q233" s="1614" t="inlineStr">
        <is>
          <t>Permanent - Full Time</t>
        </is>
      </c>
      <c r="R233" s="1616" t="n"/>
      <c r="S233" s="1616" t="n"/>
      <c r="T233" s="1627" t="n">
        <v>145000</v>
      </c>
      <c r="U233" s="1626" t="n">
        <v>145000</v>
      </c>
      <c r="V233" s="1619" t="n">
        <v>0.1</v>
      </c>
      <c r="W233" s="1622" t="n">
        <v>0.055</v>
      </c>
      <c r="X233" s="1622" t="n">
        <v>0.12</v>
      </c>
      <c r="Y233" s="1623" t="n"/>
      <c r="Z233" s="1622" t="n">
        <v>0.04</v>
      </c>
      <c r="AA233" s="1621">
        <f>U233*(1+V233+W233+X233+Y233+Z233)</f>
        <v>190675</v>
      </c>
      <c r="AC233" s="865" t="inlineStr">
        <is>
          <t>TDD Cyber</t>
        </is>
      </c>
      <c r="AD233" s="865" t="inlineStr">
        <is>
          <t>TDD Cyber, Risk &amp; Service Ops</t>
        </is>
      </c>
      <c r="AE233" s="865" t="inlineStr">
        <is>
          <t>TDD Cyber</t>
        </is>
      </c>
      <c r="AF233" s="865" t="inlineStr">
        <is>
          <t>Squad</t>
        </is>
      </c>
      <c r="AG233" s="865" t="inlineStr">
        <is>
          <t>Filled</t>
        </is>
      </c>
    </row>
    <row r="234" hidden="1" ht="18" customHeight="1" s="866">
      <c r="A234" s="1566" t="n">
        <v>108728</v>
      </c>
      <c r="B234" s="1382" t="inlineStr">
        <is>
          <t>Remya Pookat</t>
        </is>
      </c>
      <c r="C234" s="1611" t="inlineStr">
        <is>
          <t>Lead - Change &amp; Release Management</t>
        </is>
      </c>
      <c r="D234" s="1382" t="inlineStr">
        <is>
          <t>Darren Koller</t>
        </is>
      </c>
      <c r="E234" s="1382" t="inlineStr">
        <is>
          <t>Manager Cyber Security GRC</t>
        </is>
      </c>
      <c r="F234" s="1382" t="inlineStr">
        <is>
          <t>Cyber, Risk &amp; Operations</t>
        </is>
      </c>
      <c r="G234" s="1612" t="inlineStr">
        <is>
          <t>Service Op &amp; Assurance</t>
        </is>
      </c>
      <c r="H234" s="1382" t="inlineStr">
        <is>
          <t>NA</t>
        </is>
      </c>
      <c r="I234" s="1382" t="inlineStr">
        <is>
          <t>NA</t>
        </is>
      </c>
      <c r="J234" s="1382" t="inlineStr">
        <is>
          <t>NA</t>
        </is>
      </c>
      <c r="K234" s="1382" t="inlineStr">
        <is>
          <t>NA</t>
        </is>
      </c>
      <c r="L234" s="1382" t="n"/>
      <c r="M234" s="1613" t="inlineStr">
        <is>
          <t>Australia</t>
        </is>
      </c>
      <c r="N234" s="1614" t="inlineStr">
        <is>
          <t>CIB</t>
        </is>
      </c>
      <c r="O234" s="1614" t="n">
        <v>1</v>
      </c>
      <c r="P234" s="1614" t="n"/>
      <c r="Q234" s="1614" t="inlineStr">
        <is>
          <t>Permanent - Full Time</t>
        </is>
      </c>
      <c r="R234" s="1616" t="n"/>
      <c r="S234" s="1616" t="n"/>
      <c r="T234" s="1627" t="n">
        <v>165450</v>
      </c>
      <c r="U234" s="1626" t="n">
        <v>165450</v>
      </c>
      <c r="V234" s="1619" t="n">
        <v>0.12</v>
      </c>
      <c r="W234" s="1622" t="n">
        <v>0.055</v>
      </c>
      <c r="X234" s="1622" t="n">
        <v>0.12</v>
      </c>
      <c r="Y234" s="1623" t="n"/>
      <c r="Z234" s="1622" t="n">
        <v>0.04</v>
      </c>
      <c r="AA234" s="1621">
        <f>U234*(1+V234+W234+X234+Y234+Z234)</f>
        <v>220875.75</v>
      </c>
      <c r="AC234" s="865" t="inlineStr">
        <is>
          <t>TDD Cyber</t>
        </is>
      </c>
      <c r="AD234" s="865" t="inlineStr">
        <is>
          <t>TDD Cyber, Risk &amp; Service Ops</t>
        </is>
      </c>
      <c r="AE234" s="865" t="inlineStr">
        <is>
          <t>TDD Cyber</t>
        </is>
      </c>
      <c r="AF234" s="865" t="inlineStr">
        <is>
          <t>Squad</t>
        </is>
      </c>
      <c r="AG234" s="865" t="inlineStr">
        <is>
          <t>Filled</t>
        </is>
      </c>
    </row>
    <row r="235" hidden="1" ht="18" customHeight="1" s="866">
      <c r="A235" s="1566" t="n">
        <v>104555</v>
      </c>
      <c r="B235" s="1382" t="inlineStr">
        <is>
          <t>Ritika Salaria</t>
        </is>
      </c>
      <c r="C235" s="1611" t="inlineStr">
        <is>
          <t>Configuration Analyst</t>
        </is>
      </c>
      <c r="D235" s="1382" t="inlineStr">
        <is>
          <t>Lead - Asset &amp; Configuration (Vacant)</t>
        </is>
      </c>
      <c r="E235" s="1382" t="n"/>
      <c r="F235" s="1382" t="inlineStr">
        <is>
          <t>Cyber, Risk &amp; Operations</t>
        </is>
      </c>
      <c r="G235" s="1612" t="inlineStr">
        <is>
          <t>Service Op &amp; Assurance</t>
        </is>
      </c>
      <c r="H235" s="865" t="inlineStr">
        <is>
          <t>NA</t>
        </is>
      </c>
      <c r="I235" s="1382" t="inlineStr">
        <is>
          <t>NA</t>
        </is>
      </c>
      <c r="J235" s="1382" t="inlineStr">
        <is>
          <t>NA</t>
        </is>
      </c>
      <c r="K235" s="1382" t="inlineStr">
        <is>
          <t>NA</t>
        </is>
      </c>
      <c r="L235" s="1382" t="n"/>
      <c r="M235" s="1613" t="inlineStr">
        <is>
          <t>Australia</t>
        </is>
      </c>
      <c r="N235" s="1614" t="inlineStr">
        <is>
          <t>CIA</t>
        </is>
      </c>
      <c r="O235" s="1614" t="n">
        <v>1</v>
      </c>
      <c r="P235" s="1614" t="n"/>
      <c r="Q235" s="1614" t="inlineStr">
        <is>
          <t>Permanent - Full Time</t>
        </is>
      </c>
      <c r="R235" s="1616" t="n"/>
      <c r="S235" s="1616" t="n"/>
      <c r="T235" s="1627" t="n">
        <v>131640</v>
      </c>
      <c r="U235" s="1626" t="n">
        <v>131640</v>
      </c>
      <c r="V235" s="1619" t="n">
        <v>0.1</v>
      </c>
      <c r="W235" s="1622" t="n">
        <v>0.055</v>
      </c>
      <c r="X235" s="1622" t="n">
        <v>0.12</v>
      </c>
      <c r="Y235" s="1623" t="n"/>
      <c r="Z235" s="1622" t="n">
        <v>0.04</v>
      </c>
      <c r="AA235" s="1621">
        <f>U235*(1+V235+W235+X235+Y235+Z235)</f>
        <v>173106.6</v>
      </c>
      <c r="AC235" s="865" t="inlineStr">
        <is>
          <t>TDD Cyber</t>
        </is>
      </c>
      <c r="AD235" s="865" t="inlineStr">
        <is>
          <t>TDD Cyber, Risk &amp; Service Ops</t>
        </is>
      </c>
      <c r="AE235" s="865" t="inlineStr">
        <is>
          <t>TDD Cyber</t>
        </is>
      </c>
      <c r="AF235" s="865" t="inlineStr">
        <is>
          <t>Squad</t>
        </is>
      </c>
      <c r="AG235" s="865" t="inlineStr">
        <is>
          <t>Filled</t>
        </is>
      </c>
    </row>
    <row r="236" hidden="1" ht="18" customHeight="1" s="866">
      <c r="A236" s="1566" t="n">
        <v>99999101321</v>
      </c>
      <c r="B236" s="1382" t="inlineStr">
        <is>
          <t>Sameer Pattanaik</t>
        </is>
      </c>
      <c r="C236" s="1611" t="inlineStr">
        <is>
          <t>Cyber Security Operations Lead</t>
        </is>
      </c>
      <c r="D236" s="1382" t="inlineStr">
        <is>
          <t>Steven Atcheson</t>
        </is>
      </c>
      <c r="E236" s="1382" t="n"/>
      <c r="F236" s="1382" t="inlineStr">
        <is>
          <t>Cyber, Risk &amp; Operations</t>
        </is>
      </c>
      <c r="G236" s="1612" t="inlineStr">
        <is>
          <t>Cyber Sec Ops</t>
        </is>
      </c>
      <c r="H236" s="1382" t="inlineStr">
        <is>
          <t>NA</t>
        </is>
      </c>
      <c r="I236" s="1382" t="inlineStr">
        <is>
          <t>NA</t>
        </is>
      </c>
      <c r="J236" s="1382" t="inlineStr">
        <is>
          <t>NA</t>
        </is>
      </c>
      <c r="K236" s="1382" t="inlineStr">
        <is>
          <t>NA</t>
        </is>
      </c>
      <c r="L236" s="1382" t="n"/>
      <c r="M236" s="1613" t="inlineStr">
        <is>
          <t>NZ</t>
        </is>
      </c>
      <c r="N236" s="1614" t="inlineStr">
        <is>
          <t>CIC</t>
        </is>
      </c>
      <c r="O236" s="1615" t="n">
        <v>1</v>
      </c>
      <c r="P236" s="1614" t="n"/>
      <c r="Q236" s="1615" t="inlineStr">
        <is>
          <t>Permanent - Full Time</t>
        </is>
      </c>
      <c r="R236" s="1616" t="n"/>
      <c r="S236" s="1616" t="n"/>
      <c r="T236" s="1627" t="n">
        <v>185550</v>
      </c>
      <c r="U236" s="1626" t="n">
        <v>170706</v>
      </c>
      <c r="V236" s="1618" t="n">
        <v>0.15</v>
      </c>
      <c r="W236" s="1616" t="n"/>
      <c r="X236" s="1619" t="n">
        <v>0.05</v>
      </c>
      <c r="Y236" s="1620" t="n">
        <v>2910</v>
      </c>
      <c r="Z236" s="1619" t="n">
        <v>0.03</v>
      </c>
      <c r="AA236" s="1621">
        <f>U236*(1+V236+X236+Z236)+Y236</f>
        <v>212878.38</v>
      </c>
      <c r="AB236" s="865" t="n">
        <v>113609</v>
      </c>
      <c r="AC236" s="865" t="inlineStr">
        <is>
          <t>TDD Cyber</t>
        </is>
      </c>
      <c r="AD236" s="865" t="inlineStr">
        <is>
          <t>TDD Cyber, Risk &amp; Service Ops</t>
        </is>
      </c>
      <c r="AE236" s="865" t="inlineStr">
        <is>
          <t>TDD Cyber</t>
        </is>
      </c>
      <c r="AF236" s="865" t="inlineStr">
        <is>
          <t>Squad</t>
        </is>
      </c>
      <c r="AG236" s="865" t="inlineStr">
        <is>
          <t>Filled</t>
        </is>
      </c>
    </row>
    <row r="237" hidden="1" ht="18" customHeight="1" s="866">
      <c r="A237" s="1566" t="n">
        <v>99999101346</v>
      </c>
      <c r="B237" s="1382" t="inlineStr">
        <is>
          <t>Shomiya Shayal</t>
        </is>
      </c>
      <c r="C237" s="1611" t="inlineStr">
        <is>
          <t>Risk &amp; Resilience Lead</t>
        </is>
      </c>
      <c r="D237" s="1382" t="inlineStr">
        <is>
          <t>Brian Gates</t>
        </is>
      </c>
      <c r="E237" s="1382" t="inlineStr">
        <is>
          <t xml:space="preserve">Manager Risk &amp; Resilience </t>
        </is>
      </c>
      <c r="F237" s="1382" t="inlineStr">
        <is>
          <t>Cyber, Risk &amp; Operations</t>
        </is>
      </c>
      <c r="G237" s="1612" t="inlineStr">
        <is>
          <t>Cyber Risk</t>
        </is>
      </c>
      <c r="H237" s="1382" t="inlineStr">
        <is>
          <t>NA</t>
        </is>
      </c>
      <c r="I237" s="1382" t="inlineStr">
        <is>
          <t>NA</t>
        </is>
      </c>
      <c r="J237" s="1382" t="inlineStr">
        <is>
          <t>NA</t>
        </is>
      </c>
      <c r="K237" s="1382" t="inlineStr">
        <is>
          <t>NA</t>
        </is>
      </c>
      <c r="L237" s="1382" t="n"/>
      <c r="M237" s="1613" t="inlineStr">
        <is>
          <t>NZ</t>
        </is>
      </c>
      <c r="N237" s="1614" t="inlineStr">
        <is>
          <t>CIC</t>
        </is>
      </c>
      <c r="O237" s="1615" t="n">
        <v>1</v>
      </c>
      <c r="P237" s="1614" t="n"/>
      <c r="Q237" s="1615" t="inlineStr">
        <is>
          <t>Permanent - Full Time</t>
        </is>
      </c>
      <c r="R237" s="1616" t="n"/>
      <c r="S237" s="1616" t="n"/>
      <c r="T237" s="1627" t="n">
        <v>164020</v>
      </c>
      <c r="U237" s="1626" t="n">
        <v>150898.4</v>
      </c>
      <c r="V237" s="1618" t="n">
        <v>0.15</v>
      </c>
      <c r="W237" s="1616" t="n"/>
      <c r="X237" s="1619" t="n">
        <v>0.05</v>
      </c>
      <c r="Y237" s="1620" t="n">
        <v>2910</v>
      </c>
      <c r="Z237" s="1619" t="n">
        <v>0.03</v>
      </c>
      <c r="AA237" s="1621">
        <f>U237*(1+V237+X237+Z237)+Y237</f>
        <v>188515.032</v>
      </c>
      <c r="AB237" s="865" t="n">
        <v>113615</v>
      </c>
      <c r="AC237" s="865" t="inlineStr">
        <is>
          <t>TDD Cyber</t>
        </is>
      </c>
      <c r="AD237" s="865" t="inlineStr">
        <is>
          <t>TDD Cyber, Risk &amp; Service Ops</t>
        </is>
      </c>
      <c r="AE237" s="865" t="inlineStr">
        <is>
          <t>TDD Cyber</t>
        </is>
      </c>
      <c r="AF237" s="865" t="inlineStr">
        <is>
          <t>Squad</t>
        </is>
      </c>
      <c r="AG237" s="865" t="inlineStr">
        <is>
          <t>Filled</t>
        </is>
      </c>
    </row>
    <row r="238" hidden="1" ht="18" customHeight="1" s="866">
      <c r="A238" s="1566" t="n">
        <v>104805</v>
      </c>
      <c r="B238" s="1382" t="inlineStr">
        <is>
          <t>Shruti Manchanda</t>
        </is>
      </c>
      <c r="C238" s="1611" t="inlineStr">
        <is>
          <t>Cyber GRC Analyst</t>
        </is>
      </c>
      <c r="D238" s="1382" t="inlineStr">
        <is>
          <t>Diya Thomas</t>
        </is>
      </c>
      <c r="E238" s="1382" t="n"/>
      <c r="F238" s="1382" t="inlineStr">
        <is>
          <t>Cyber, Risk &amp; Operations</t>
        </is>
      </c>
      <c r="G238" s="1612" t="inlineStr">
        <is>
          <t>Cyber GRC</t>
        </is>
      </c>
      <c r="H238" s="1382" t="inlineStr">
        <is>
          <t>NA</t>
        </is>
      </c>
      <c r="I238" s="1382" t="inlineStr">
        <is>
          <t>NA</t>
        </is>
      </c>
      <c r="J238" s="1382" t="inlineStr">
        <is>
          <t>NA</t>
        </is>
      </c>
      <c r="K238" s="1382" t="inlineStr">
        <is>
          <t>NA</t>
        </is>
      </c>
      <c r="L238" s="1382" t="n"/>
      <c r="M238" s="1613" t="inlineStr">
        <is>
          <t>Australia</t>
        </is>
      </c>
      <c r="N238" s="1614" t="inlineStr">
        <is>
          <t>CIB</t>
        </is>
      </c>
      <c r="O238" s="1614" t="n">
        <v>1</v>
      </c>
      <c r="P238" s="1614" t="n"/>
      <c r="Q238" s="1614" t="inlineStr">
        <is>
          <t>Permanent - Full Time</t>
        </is>
      </c>
      <c r="R238" s="1616" t="n"/>
      <c r="S238" s="1616" t="n"/>
      <c r="T238" s="1627" t="n">
        <v>171450</v>
      </c>
      <c r="U238" s="1626" t="n">
        <v>171450</v>
      </c>
      <c r="V238" s="1619" t="n">
        <v>0.12</v>
      </c>
      <c r="W238" s="1622" t="n">
        <v>0.055</v>
      </c>
      <c r="X238" s="1622" t="n">
        <v>0.12</v>
      </c>
      <c r="Y238" s="1623" t="n"/>
      <c r="Z238" s="1622" t="n">
        <v>0.04</v>
      </c>
      <c r="AA238" s="1621">
        <f>U238*(1+V238+W238+X238+Y238+Z238)</f>
        <v>228885.75</v>
      </c>
      <c r="AC238" s="865" t="inlineStr">
        <is>
          <t>TDD Cyber</t>
        </is>
      </c>
      <c r="AD238" s="865" t="inlineStr">
        <is>
          <t>TDD Cyber, Risk &amp; Service Ops</t>
        </is>
      </c>
      <c r="AE238" s="865" t="inlineStr">
        <is>
          <t>TDD Cyber</t>
        </is>
      </c>
      <c r="AF238" s="865" t="inlineStr">
        <is>
          <t>Squad</t>
        </is>
      </c>
      <c r="AG238" s="865" t="inlineStr">
        <is>
          <t>Filled</t>
        </is>
      </c>
    </row>
    <row r="239" hidden="1" ht="18" customHeight="1" s="866">
      <c r="A239" s="1566" t="n">
        <v>99999100770</v>
      </c>
      <c r="B239" s="1382" t="inlineStr">
        <is>
          <t>Spoilagi Bhutwala</t>
        </is>
      </c>
      <c r="C239" s="1611" t="inlineStr">
        <is>
          <t>Tech Support Technician</t>
        </is>
      </c>
      <c r="D239" s="1382" t="inlineStr">
        <is>
          <t>Mark Pearson</t>
        </is>
      </c>
      <c r="E239" s="1382" t="inlineStr">
        <is>
          <t xml:space="preserve">Lead Technology Support </t>
        </is>
      </c>
      <c r="F239" s="1382" t="inlineStr">
        <is>
          <t>Cyber, Risk &amp; Operations</t>
        </is>
      </c>
      <c r="G239" s="1612" t="inlineStr">
        <is>
          <t>Service Op &amp; Assurance</t>
        </is>
      </c>
      <c r="H239" s="1382" t="inlineStr">
        <is>
          <t>NA</t>
        </is>
      </c>
      <c r="I239" s="1382" t="inlineStr">
        <is>
          <t>NA</t>
        </is>
      </c>
      <c r="J239" s="1382" t="inlineStr">
        <is>
          <t>NA</t>
        </is>
      </c>
      <c r="K239" s="1382" t="inlineStr">
        <is>
          <t>NA</t>
        </is>
      </c>
      <c r="L239" s="1382" t="n"/>
      <c r="M239" s="1613" t="inlineStr">
        <is>
          <t>NZ</t>
        </is>
      </c>
      <c r="N239" s="1614" t="inlineStr">
        <is>
          <t>CDB</t>
        </is>
      </c>
      <c r="O239" s="1615" t="n">
        <v>1</v>
      </c>
      <c r="P239" s="1614" t="n"/>
      <c r="Q239" s="1615" t="inlineStr">
        <is>
          <t>Permanent - Full Time</t>
        </is>
      </c>
      <c r="R239" s="1616" t="n"/>
      <c r="S239" s="1616" t="n"/>
      <c r="T239" s="1627" t="n">
        <v>86890</v>
      </c>
      <c r="U239" s="1626" t="n">
        <v>79938.8</v>
      </c>
      <c r="V239" s="1618" t="n">
        <v>0.1</v>
      </c>
      <c r="W239" s="1616" t="n"/>
      <c r="X239" s="1619" t="n">
        <v>0.05</v>
      </c>
      <c r="Y239" s="1620" t="n">
        <v>2910</v>
      </c>
      <c r="Z239" s="1619" t="n">
        <v>0.03</v>
      </c>
      <c r="AA239" s="1621">
        <f>U239*(1+V239+X239+Z239)+Y239</f>
        <v>97237.784</v>
      </c>
      <c r="AB239" s="865" t="n">
        <v>113569</v>
      </c>
      <c r="AC239" s="865" t="inlineStr">
        <is>
          <t>TDD Cyber</t>
        </is>
      </c>
      <c r="AD239" s="865" t="inlineStr">
        <is>
          <t>TDD Cyber, Risk &amp; Service Ops</t>
        </is>
      </c>
      <c r="AE239" s="865" t="inlineStr">
        <is>
          <t>TDD Cyber</t>
        </is>
      </c>
      <c r="AF239" s="865" t="inlineStr">
        <is>
          <t>Squad</t>
        </is>
      </c>
      <c r="AG239" s="865" t="inlineStr">
        <is>
          <t>Filled</t>
        </is>
      </c>
    </row>
    <row r="240" hidden="1" ht="18" customHeight="1" s="866">
      <c r="A240" s="1566" t="n">
        <v>98371</v>
      </c>
      <c r="B240" s="1382" t="inlineStr">
        <is>
          <t>Stafford Dowling</t>
        </is>
      </c>
      <c r="C240" s="1611" t="inlineStr">
        <is>
          <t>Cyber Security Analyst</t>
        </is>
      </c>
      <c r="D240" s="1382" t="inlineStr">
        <is>
          <t>Steven Atcheson</t>
        </is>
      </c>
      <c r="E240" s="1382" t="n"/>
      <c r="F240" s="1382" t="inlineStr">
        <is>
          <t>Cyber, Risk &amp; Operations</t>
        </is>
      </c>
      <c r="G240" s="1612" t="inlineStr">
        <is>
          <t>Cyber Sec Ops</t>
        </is>
      </c>
      <c r="H240" s="1382" t="inlineStr">
        <is>
          <t>NA</t>
        </is>
      </c>
      <c r="I240" s="1382" t="inlineStr">
        <is>
          <t>NA</t>
        </is>
      </c>
      <c r="J240" s="1382" t="inlineStr">
        <is>
          <t>NA</t>
        </is>
      </c>
      <c r="K240" s="1382" t="inlineStr">
        <is>
          <t>NA</t>
        </is>
      </c>
      <c r="L240" s="1382" t="n"/>
      <c r="M240" s="1613" t="inlineStr">
        <is>
          <t>Australia</t>
        </is>
      </c>
      <c r="N240" s="1614" t="inlineStr">
        <is>
          <t>CIB</t>
        </is>
      </c>
      <c r="O240" s="1614" t="n">
        <v>1</v>
      </c>
      <c r="P240" s="1614" t="n"/>
      <c r="Q240" s="1614" t="inlineStr">
        <is>
          <t>Permanent - Full Time</t>
        </is>
      </c>
      <c r="R240" s="1616" t="n"/>
      <c r="S240" s="1616" t="n"/>
      <c r="T240" s="1627" t="n">
        <v>163830</v>
      </c>
      <c r="U240" s="1626" t="n">
        <v>163830</v>
      </c>
      <c r="V240" s="1619" t="n">
        <v>0.12</v>
      </c>
      <c r="W240" s="1622" t="n">
        <v>0.055</v>
      </c>
      <c r="X240" s="1622" t="n">
        <v>0.12</v>
      </c>
      <c r="Y240" s="1623" t="n"/>
      <c r="Z240" s="1622" t="n">
        <v>0.04</v>
      </c>
      <c r="AA240" s="1621">
        <f>U240*(1+V240+W240+X240+Y240+Z240)</f>
        <v>218713.05</v>
      </c>
      <c r="AC240" s="865" t="inlineStr">
        <is>
          <t>TDD Cyber</t>
        </is>
      </c>
      <c r="AD240" s="865" t="inlineStr">
        <is>
          <t>TDD Cyber, Risk &amp; Service Ops</t>
        </is>
      </c>
      <c r="AE240" s="865" t="inlineStr">
        <is>
          <t>TDD Cyber</t>
        </is>
      </c>
      <c r="AF240" s="865" t="inlineStr">
        <is>
          <t>Squad</t>
        </is>
      </c>
      <c r="AG240" s="865" t="inlineStr">
        <is>
          <t>Filled</t>
        </is>
      </c>
    </row>
    <row r="241" hidden="1" ht="18" customHeight="1" s="866">
      <c r="A241" s="1566" t="n">
        <v>101504</v>
      </c>
      <c r="B241" s="1382" t="inlineStr">
        <is>
          <t>Steven Atcheson</t>
        </is>
      </c>
      <c r="C241" s="1611" t="inlineStr">
        <is>
          <t>Manager Cyber Security Operations</t>
        </is>
      </c>
      <c r="D241" s="1382" t="inlineStr">
        <is>
          <t>Frances Bouzo</t>
        </is>
      </c>
      <c r="E241" s="1382" t="inlineStr">
        <is>
          <t xml:space="preserve">Manager, Risk &amp; Resilience </t>
        </is>
      </c>
      <c r="F241" s="1382" t="inlineStr">
        <is>
          <t>Cyber, Risk &amp; Operations</t>
        </is>
      </c>
      <c r="G241" s="1612" t="inlineStr">
        <is>
          <t>Cyber Sec Ops</t>
        </is>
      </c>
      <c r="H241" s="1382" t="inlineStr">
        <is>
          <t>NA</t>
        </is>
      </c>
      <c r="I241" s="1382" t="inlineStr">
        <is>
          <t>NA</t>
        </is>
      </c>
      <c r="J241" s="1382" t="inlineStr">
        <is>
          <t>NA</t>
        </is>
      </c>
      <c r="K241" s="1382" t="inlineStr">
        <is>
          <t>NA</t>
        </is>
      </c>
      <c r="L241" s="1382" t="n"/>
      <c r="M241" s="1613" t="inlineStr">
        <is>
          <t>Australia</t>
        </is>
      </c>
      <c r="N241" s="1614" t="inlineStr">
        <is>
          <t>CSB</t>
        </is>
      </c>
      <c r="O241" s="1614" t="n">
        <v>1</v>
      </c>
      <c r="P241" s="1614" t="n"/>
      <c r="Q241" s="1614" t="inlineStr">
        <is>
          <t>Permanent - Full Time</t>
        </is>
      </c>
      <c r="R241" s="1616" t="n"/>
      <c r="S241" s="1616" t="n"/>
      <c r="T241" s="1627" t="n">
        <v>233630</v>
      </c>
      <c r="U241" s="1626" t="n">
        <v>233630</v>
      </c>
      <c r="V241" s="1619" t="n">
        <v>0.14</v>
      </c>
      <c r="W241" s="1622" t="n">
        <v>0.055</v>
      </c>
      <c r="X241" s="1622" t="n">
        <v>0.12</v>
      </c>
      <c r="Y241" s="1623" t="n"/>
      <c r="Z241" s="1622" t="n">
        <v>0.04</v>
      </c>
      <c r="AA241" s="1621">
        <f>U241*(1+V241+W241+X241+Y241+Z241)</f>
        <v>316568.65</v>
      </c>
      <c r="AC241" s="865" t="inlineStr">
        <is>
          <t>TDD Cyber</t>
        </is>
      </c>
      <c r="AD241" s="865" t="inlineStr">
        <is>
          <t>TDD Cyber, Risk &amp; Service Ops</t>
        </is>
      </c>
      <c r="AE241" s="865" t="inlineStr">
        <is>
          <t>TDD Cyber</t>
        </is>
      </c>
      <c r="AF241" s="865" t="inlineStr">
        <is>
          <t>Squad</t>
        </is>
      </c>
      <c r="AG241" s="865" t="inlineStr">
        <is>
          <t>Filled</t>
        </is>
      </c>
    </row>
    <row r="242" hidden="1" ht="18" customHeight="1" s="866">
      <c r="A242" s="1566" t="n">
        <v>114383</v>
      </c>
      <c r="B242" s="1382" t="inlineStr">
        <is>
          <t>Tony Keeler</t>
        </is>
      </c>
      <c r="C242" s="1611" t="inlineStr">
        <is>
          <t>Cyber Business Analyst</t>
        </is>
      </c>
      <c r="D242" s="1382" t="inlineStr">
        <is>
          <t>Vivienne Vasak</t>
        </is>
      </c>
      <c r="E242" s="1382" t="inlineStr">
        <is>
          <t xml:space="preserve">Portfolio Manger Cyber Security </t>
        </is>
      </c>
      <c r="F242" s="1382" t="inlineStr">
        <is>
          <t>Cyber, Risk &amp; Operations</t>
        </is>
      </c>
      <c r="G242" s="1612" t="inlineStr">
        <is>
          <t>Cyber Strat &amp; Tech</t>
        </is>
      </c>
      <c r="H242" s="1382" t="inlineStr">
        <is>
          <t>NA</t>
        </is>
      </c>
      <c r="I242" s="1382" t="inlineStr">
        <is>
          <t>NA</t>
        </is>
      </c>
      <c r="J242" s="1382" t="inlineStr">
        <is>
          <t>NA</t>
        </is>
      </c>
      <c r="K242" s="1382" t="inlineStr">
        <is>
          <t>NA</t>
        </is>
      </c>
      <c r="L242" s="1382" t="n"/>
      <c r="M242" s="1613" t="inlineStr">
        <is>
          <t>Australia</t>
        </is>
      </c>
      <c r="N242" s="1614" t="inlineStr">
        <is>
          <t>CIB</t>
        </is>
      </c>
      <c r="O242" s="1614" t="n">
        <v>1</v>
      </c>
      <c r="P242" s="1614" t="n"/>
      <c r="Q242" s="1614" t="inlineStr">
        <is>
          <t>Permanent - Full Time</t>
        </is>
      </c>
      <c r="R242" s="1616" t="n"/>
      <c r="S242" s="1616" t="n"/>
      <c r="T242" s="1627" t="n">
        <v>160000</v>
      </c>
      <c r="U242" s="1626" t="n">
        <v>160000</v>
      </c>
      <c r="V242" s="1619" t="n">
        <v>0.12</v>
      </c>
      <c r="W242" s="1622" t="n">
        <v>0.055</v>
      </c>
      <c r="X242" s="1622" t="n">
        <v>0.12</v>
      </c>
      <c r="Y242" s="1623" t="n"/>
      <c r="Z242" s="1622" t="n">
        <v>0.04</v>
      </c>
      <c r="AA242" s="1621">
        <f>U242*(1+V242+W242+X242+Y242+Z242)</f>
        <v>213600</v>
      </c>
      <c r="AC242" s="865" t="inlineStr">
        <is>
          <t>TDD Cyber</t>
        </is>
      </c>
      <c r="AD242" s="865" t="inlineStr">
        <is>
          <t>TDD Cyber, Risk &amp; Service Ops</t>
        </is>
      </c>
      <c r="AE242" s="865" t="inlineStr">
        <is>
          <t>TDD Cyber</t>
        </is>
      </c>
      <c r="AF242" s="865" t="inlineStr">
        <is>
          <t>Squad</t>
        </is>
      </c>
      <c r="AG242" s="865" t="inlineStr">
        <is>
          <t>Filled</t>
        </is>
      </c>
    </row>
    <row r="243" hidden="1" ht="18" customHeight="1" s="866">
      <c r="A243" s="1566" t="inlineStr">
        <is>
          <t>V</t>
        </is>
      </c>
      <c r="B243" s="1382" t="inlineStr">
        <is>
          <t>Vacant</t>
        </is>
      </c>
      <c r="C243" s="1611" t="inlineStr">
        <is>
          <t>Lead - Problem Management</t>
        </is>
      </c>
      <c r="D243" s="1382" t="inlineStr">
        <is>
          <t>Darren Koller</t>
        </is>
      </c>
      <c r="E243" s="1382" t="inlineStr">
        <is>
          <t>Manager Cyber Security GRC</t>
        </is>
      </c>
      <c r="F243" s="1382" t="inlineStr">
        <is>
          <t>Cyber, Risk &amp; Operations</t>
        </is>
      </c>
      <c r="G243" s="1612" t="inlineStr">
        <is>
          <t>Service Op &amp; Assurance</t>
        </is>
      </c>
      <c r="H243" s="1382" t="inlineStr">
        <is>
          <t>NA</t>
        </is>
      </c>
      <c r="I243" s="1382" t="inlineStr">
        <is>
          <t>NA</t>
        </is>
      </c>
      <c r="J243" s="1382" t="inlineStr">
        <is>
          <t>NA</t>
        </is>
      </c>
      <c r="K243" s="1382" t="inlineStr">
        <is>
          <t>NA</t>
        </is>
      </c>
      <c r="L243" s="1382" t="n"/>
      <c r="M243" s="1613" t="inlineStr">
        <is>
          <t>Australia</t>
        </is>
      </c>
      <c r="N243" s="1614" t="inlineStr">
        <is>
          <t>CIA</t>
        </is>
      </c>
      <c r="O243" s="1614" t="n">
        <v>1</v>
      </c>
      <c r="P243" s="1614" t="n"/>
      <c r="Q243" s="1614" t="inlineStr">
        <is>
          <t>v</t>
        </is>
      </c>
      <c r="R243" s="1616" t="n"/>
      <c r="S243" s="1616" t="n"/>
      <c r="T243" s="1627" t="n">
        <v>129650</v>
      </c>
      <c r="U243" s="1626" t="n">
        <v>129650</v>
      </c>
      <c r="V243" s="1619" t="n">
        <v>0.1</v>
      </c>
      <c r="W243" s="1622" t="n">
        <v>0.055</v>
      </c>
      <c r="X243" s="1622" t="n">
        <v>0.12</v>
      </c>
      <c r="Y243" s="1623" t="n"/>
      <c r="Z243" s="1622" t="n">
        <v>0.04</v>
      </c>
      <c r="AA243" s="1621">
        <f>U243*(1+V243+W243+X243+Y243+Z243)</f>
        <v>170489.75</v>
      </c>
      <c r="AC243" s="865" t="inlineStr">
        <is>
          <t>TDD Cyber</t>
        </is>
      </c>
      <c r="AD243" s="865" t="inlineStr">
        <is>
          <t>TDD Cyber, Risk &amp; Service Ops</t>
        </is>
      </c>
      <c r="AE243" s="865" t="inlineStr">
        <is>
          <t>TDD Cyber</t>
        </is>
      </c>
      <c r="AF243" s="865" t="inlineStr">
        <is>
          <t>Squad</t>
        </is>
      </c>
      <c r="AG243" s="865" t="inlineStr">
        <is>
          <t>Vacant</t>
        </is>
      </c>
    </row>
    <row r="244" hidden="1" ht="18" customHeight="1" s="866">
      <c r="A244" s="1566" t="inlineStr">
        <is>
          <t>V</t>
        </is>
      </c>
      <c r="B244" s="1382" t="inlineStr">
        <is>
          <t>Vacant</t>
        </is>
      </c>
      <c r="C244" s="1611" t="inlineStr">
        <is>
          <t>Cyber Architect (backfill for EGI Secondment)</t>
        </is>
      </c>
      <c r="D244" s="1382" t="inlineStr">
        <is>
          <t>Kevin Sheerin</t>
        </is>
      </c>
      <c r="E244" s="1382" t="n"/>
      <c r="F244" s="1382" t="inlineStr">
        <is>
          <t>Cyber, Risk &amp; Operations</t>
        </is>
      </c>
      <c r="G244" s="1612" t="inlineStr">
        <is>
          <t>Cyber Strat &amp; Tech</t>
        </is>
      </c>
      <c r="H244" s="1382" t="inlineStr">
        <is>
          <t>NA</t>
        </is>
      </c>
      <c r="I244" s="1382" t="inlineStr">
        <is>
          <t>NA</t>
        </is>
      </c>
      <c r="J244" s="1382" t="inlineStr">
        <is>
          <t>NA</t>
        </is>
      </c>
      <c r="K244" s="1382" t="inlineStr">
        <is>
          <t>NA</t>
        </is>
      </c>
      <c r="L244" s="1382" t="n"/>
      <c r="M244" s="1613" t="inlineStr">
        <is>
          <t>Australia</t>
        </is>
      </c>
      <c r="N244" s="1614" t="inlineStr">
        <is>
          <t>CIB</t>
        </is>
      </c>
      <c r="O244" s="1614" t="n">
        <v>1</v>
      </c>
      <c r="P244" s="1614" t="n"/>
      <c r="Q244" s="1614" t="inlineStr">
        <is>
          <t>V</t>
        </is>
      </c>
      <c r="R244" s="1616" t="n"/>
      <c r="S244" s="1616" t="n"/>
      <c r="T244" s="1627" t="n">
        <v>160000</v>
      </c>
      <c r="U244" s="1626" t="n">
        <v>160000</v>
      </c>
      <c r="V244" s="1619" t="n">
        <v>0.12</v>
      </c>
      <c r="W244" s="1622" t="n">
        <v>0.055</v>
      </c>
      <c r="X244" s="1622" t="n">
        <v>0.12</v>
      </c>
      <c r="Y244" s="1623" t="n"/>
      <c r="Z244" s="1622" t="n">
        <v>0.04</v>
      </c>
      <c r="AA244" s="1621">
        <f>U244*(1+V244+W244+X244+Y244+Z244)</f>
        <v>213600</v>
      </c>
      <c r="AC244" s="865" t="inlineStr">
        <is>
          <t>TDD Cyber</t>
        </is>
      </c>
      <c r="AD244" s="865" t="inlineStr">
        <is>
          <t>TDD Cyber, Risk &amp; Service Ops</t>
        </is>
      </c>
      <c r="AE244" s="865" t="inlineStr">
        <is>
          <t>TDD Cyber</t>
        </is>
      </c>
      <c r="AF244" s="865" t="inlineStr">
        <is>
          <t>Squad</t>
        </is>
      </c>
      <c r="AG244" s="865" t="inlineStr">
        <is>
          <t>Vacant</t>
        </is>
      </c>
    </row>
    <row r="245" hidden="1" ht="18" customHeight="1" s="866">
      <c r="A245" s="1566" t="inlineStr">
        <is>
          <t>V</t>
        </is>
      </c>
      <c r="B245" s="1382" t="inlineStr">
        <is>
          <t>Vacant</t>
        </is>
      </c>
      <c r="C245" s="1611" t="inlineStr">
        <is>
          <t>Lead - Asset &amp; Configuration</t>
        </is>
      </c>
      <c r="D245" s="1382" t="inlineStr">
        <is>
          <t>Mick Collins</t>
        </is>
      </c>
      <c r="E245" s="1382" t="inlineStr">
        <is>
          <t xml:space="preserve">Manager Cyber Security Operations </t>
        </is>
      </c>
      <c r="F245" s="1382" t="inlineStr">
        <is>
          <t>Cyber, Risk &amp; Operations</t>
        </is>
      </c>
      <c r="G245" s="1612" t="inlineStr">
        <is>
          <t>Service Op &amp; Assurance</t>
        </is>
      </c>
      <c r="H245" s="1382" t="inlineStr">
        <is>
          <t>NA</t>
        </is>
      </c>
      <c r="I245" s="865" t="inlineStr">
        <is>
          <t>NA</t>
        </is>
      </c>
      <c r="J245" s="1382" t="inlineStr">
        <is>
          <t>NA</t>
        </is>
      </c>
      <c r="K245" s="1382" t="inlineStr">
        <is>
          <t>NA</t>
        </is>
      </c>
      <c r="L245" s="1382" t="n"/>
      <c r="M245" s="1613" t="inlineStr">
        <is>
          <t>Australia</t>
        </is>
      </c>
      <c r="N245" s="1614" t="inlineStr">
        <is>
          <t>CIB</t>
        </is>
      </c>
      <c r="O245" s="1614" t="n">
        <v>1</v>
      </c>
      <c r="P245" s="1614" t="n"/>
      <c r="Q245" s="1614" t="inlineStr">
        <is>
          <t>v</t>
        </is>
      </c>
      <c r="R245" s="1616" t="n"/>
      <c r="S245" s="1616" t="n"/>
      <c r="T245" s="1627" t="n">
        <v>151950</v>
      </c>
      <c r="U245" s="1626" t="n">
        <v>151950</v>
      </c>
      <c r="V245" s="1619" t="n">
        <v>0.12</v>
      </c>
      <c r="W245" s="1622" t="n">
        <v>0.055</v>
      </c>
      <c r="X245" s="1622" t="n">
        <v>0.12</v>
      </c>
      <c r="Y245" s="1623" t="n"/>
      <c r="Z245" s="1622" t="n">
        <v>0.04</v>
      </c>
      <c r="AA245" s="1621">
        <f>U245*(1+V245+W245+X245+Y245+Z245)</f>
        <v>202853.25</v>
      </c>
      <c r="AC245" s="865" t="inlineStr">
        <is>
          <t>TDD Cyber</t>
        </is>
      </c>
      <c r="AD245" s="865" t="inlineStr">
        <is>
          <t>TDD Cyber, Risk &amp; Service Ops</t>
        </is>
      </c>
      <c r="AE245" s="865" t="inlineStr">
        <is>
          <t>TDD Cyber</t>
        </is>
      </c>
      <c r="AF245" s="865" t="inlineStr">
        <is>
          <t>Squad</t>
        </is>
      </c>
      <c r="AG245" s="865" t="inlineStr">
        <is>
          <t>Vacant</t>
        </is>
      </c>
    </row>
    <row r="246" hidden="1" ht="18" customHeight="1" s="866">
      <c r="A246" s="1566" t="inlineStr">
        <is>
          <t>V</t>
        </is>
      </c>
      <c r="B246" s="1382" t="inlineStr">
        <is>
          <t>Vacant</t>
        </is>
      </c>
      <c r="C246" s="1611" t="inlineStr">
        <is>
          <t>Lead - Service Performance &amp; Insights</t>
        </is>
      </c>
      <c r="D246" s="1382" t="inlineStr">
        <is>
          <t>Mick Collins</t>
        </is>
      </c>
      <c r="E246" s="1382" t="inlineStr">
        <is>
          <t xml:space="preserve">Manager Identity &amp; Access Management </t>
        </is>
      </c>
      <c r="F246" s="1382" t="inlineStr">
        <is>
          <t>Cyber, Risk &amp; Operations</t>
        </is>
      </c>
      <c r="G246" s="1612" t="inlineStr">
        <is>
          <t>Service Op &amp; Assurance</t>
        </is>
      </c>
      <c r="H246" s="1382" t="inlineStr">
        <is>
          <t>NA</t>
        </is>
      </c>
      <c r="I246" s="1382" t="inlineStr">
        <is>
          <t>NA</t>
        </is>
      </c>
      <c r="J246" s="1382" t="inlineStr">
        <is>
          <t>NA</t>
        </is>
      </c>
      <c r="K246" s="1382" t="inlineStr">
        <is>
          <t>NA</t>
        </is>
      </c>
      <c r="L246" s="1382" t="n"/>
      <c r="M246" s="1613" t="inlineStr">
        <is>
          <t>Australia</t>
        </is>
      </c>
      <c r="N246" s="1614" t="inlineStr">
        <is>
          <t>CIB</t>
        </is>
      </c>
      <c r="O246" s="1614" t="n">
        <v>1</v>
      </c>
      <c r="P246" s="1614" t="n"/>
      <c r="Q246" s="1614" t="inlineStr">
        <is>
          <t>v</t>
        </is>
      </c>
      <c r="R246" s="1616" t="n"/>
      <c r="S246" s="1616" t="n"/>
      <c r="T246" s="1627" t="n">
        <v>151950</v>
      </c>
      <c r="U246" s="1626" t="n">
        <v>151950</v>
      </c>
      <c r="V246" s="1619" t="n">
        <v>0.12</v>
      </c>
      <c r="W246" s="1622" t="n">
        <v>0.055</v>
      </c>
      <c r="X246" s="1622" t="n">
        <v>0.12</v>
      </c>
      <c r="Y246" s="1623" t="n"/>
      <c r="Z246" s="1622" t="n">
        <v>0.04</v>
      </c>
      <c r="AA246" s="1621">
        <f>U246*(1+V246+W246+X246+Y246+Z246)</f>
        <v>202853.25</v>
      </c>
      <c r="AC246" s="865" t="inlineStr">
        <is>
          <t>TDD Cyber</t>
        </is>
      </c>
      <c r="AD246" s="865" t="inlineStr">
        <is>
          <t>TDD Cyber, Risk &amp; Service Ops</t>
        </is>
      </c>
      <c r="AE246" s="865" t="inlineStr">
        <is>
          <t>TDD Cyber</t>
        </is>
      </c>
      <c r="AF246" s="865" t="inlineStr">
        <is>
          <t>Squad</t>
        </is>
      </c>
      <c r="AG246" s="865" t="inlineStr">
        <is>
          <t>Vacant</t>
        </is>
      </c>
    </row>
    <row r="247" hidden="1" ht="18" customHeight="1" s="866">
      <c r="A247" s="1566" t="inlineStr">
        <is>
          <t>V</t>
        </is>
      </c>
      <c r="B247" s="1382" t="inlineStr">
        <is>
          <t>Vacant</t>
        </is>
      </c>
      <c r="C247" s="1611" t="inlineStr">
        <is>
          <t>Operations Analyst</t>
        </is>
      </c>
      <c r="D247" s="1382" t="inlineStr">
        <is>
          <t>Mick Collins</t>
        </is>
      </c>
      <c r="E247" s="1382" t="inlineStr">
        <is>
          <t>Cyber Architecture Lead</t>
        </is>
      </c>
      <c r="F247" s="1382" t="inlineStr">
        <is>
          <t>Cyber, Risk &amp; Operations</t>
        </is>
      </c>
      <c r="G247" s="1612" t="inlineStr">
        <is>
          <t>Service Op &amp; Assurance</t>
        </is>
      </c>
      <c r="H247" s="1382" t="inlineStr">
        <is>
          <t>NA</t>
        </is>
      </c>
      <c r="I247" s="1382" t="inlineStr">
        <is>
          <t>NA</t>
        </is>
      </c>
      <c r="J247" s="1382" t="inlineStr">
        <is>
          <t>NA</t>
        </is>
      </c>
      <c r="K247" s="1382" t="inlineStr">
        <is>
          <t>NA</t>
        </is>
      </c>
      <c r="L247" s="1382" t="n"/>
      <c r="M247" s="1613" t="inlineStr">
        <is>
          <t>Australia</t>
        </is>
      </c>
      <c r="N247" s="1614" t="inlineStr">
        <is>
          <t>cia</t>
        </is>
      </c>
      <c r="O247" s="1614" t="n">
        <v>1</v>
      </c>
      <c r="P247" s="1614" t="n"/>
      <c r="Q247" s="1614" t="inlineStr">
        <is>
          <t>v</t>
        </is>
      </c>
      <c r="R247" s="1616" t="n"/>
      <c r="S247" s="1616" t="n"/>
      <c r="T247" s="1627" t="n">
        <v>129650</v>
      </c>
      <c r="U247" s="1626" t="n">
        <v>129650</v>
      </c>
      <c r="V247" s="1619" t="n">
        <v>0.1</v>
      </c>
      <c r="W247" s="1622" t="n">
        <v>0.055</v>
      </c>
      <c r="X247" s="1622" t="n">
        <v>0.12</v>
      </c>
      <c r="Y247" s="1623" t="n"/>
      <c r="Z247" s="1622" t="n">
        <v>0.04</v>
      </c>
      <c r="AA247" s="1621">
        <f>U247*(1+V247+W247+X247+Y247+Z247)</f>
        <v>170489.75</v>
      </c>
      <c r="AC247" s="865" t="inlineStr">
        <is>
          <t>TDD Cyber</t>
        </is>
      </c>
      <c r="AD247" s="865" t="inlineStr">
        <is>
          <t>TDD Cyber, Risk &amp; Service Ops</t>
        </is>
      </c>
      <c r="AE247" s="865" t="inlineStr">
        <is>
          <t>TDD Cyber</t>
        </is>
      </c>
      <c r="AF247" s="865" t="inlineStr">
        <is>
          <t>Squad</t>
        </is>
      </c>
      <c r="AG247" s="865" t="inlineStr">
        <is>
          <t>Vacant</t>
        </is>
      </c>
    </row>
    <row r="248" hidden="1" ht="18" customHeight="1" s="866">
      <c r="A248" s="1566" t="inlineStr">
        <is>
          <t>V</t>
        </is>
      </c>
      <c r="B248" s="1382" t="inlineStr">
        <is>
          <t>Vacant</t>
        </is>
      </c>
      <c r="C248" s="1611" t="inlineStr">
        <is>
          <t>Operations Analyst</t>
        </is>
      </c>
      <c r="D248" s="1382" t="inlineStr">
        <is>
          <t>Mick Collins</t>
        </is>
      </c>
      <c r="E248" s="1382" t="inlineStr">
        <is>
          <t xml:space="preserve">Manager Service Management &amp; Major Incident Management Lead </t>
        </is>
      </c>
      <c r="F248" s="1382" t="inlineStr">
        <is>
          <t>Cyber, Risk &amp; Operations</t>
        </is>
      </c>
      <c r="G248" s="1612" t="inlineStr">
        <is>
          <t>Service Op &amp; Assurance</t>
        </is>
      </c>
      <c r="H248" s="1382" t="inlineStr">
        <is>
          <t>NA</t>
        </is>
      </c>
      <c r="I248" s="1382" t="inlineStr">
        <is>
          <t>NA</t>
        </is>
      </c>
      <c r="J248" s="1382" t="inlineStr">
        <is>
          <t>NA</t>
        </is>
      </c>
      <c r="K248" s="1382" t="inlineStr">
        <is>
          <t>NA</t>
        </is>
      </c>
      <c r="L248" s="1382" t="n"/>
      <c r="M248" s="1613" t="inlineStr">
        <is>
          <t>Australia</t>
        </is>
      </c>
      <c r="N248" s="1614" t="inlineStr">
        <is>
          <t>cia</t>
        </is>
      </c>
      <c r="O248" s="1614" t="n">
        <v>1</v>
      </c>
      <c r="P248" s="1614" t="n"/>
      <c r="Q248" s="1614" t="inlineStr">
        <is>
          <t>v</t>
        </is>
      </c>
      <c r="R248" s="1616" t="n"/>
      <c r="S248" s="1616" t="n"/>
      <c r="T248" s="1627" t="n">
        <v>129650</v>
      </c>
      <c r="U248" s="1626" t="n">
        <v>129650</v>
      </c>
      <c r="V248" s="1619" t="n">
        <v>0.1</v>
      </c>
      <c r="W248" s="1622" t="n">
        <v>0.055</v>
      </c>
      <c r="X248" s="1622" t="n">
        <v>0.12</v>
      </c>
      <c r="Y248" s="1623" t="n"/>
      <c r="Z248" s="1622" t="n">
        <v>0.04</v>
      </c>
      <c r="AA248" s="1621">
        <f>U248*(1+V248+W248+X248+Y248+Z248)</f>
        <v>170489.75</v>
      </c>
      <c r="AC248" s="865" t="inlineStr">
        <is>
          <t>TDD Cyber</t>
        </is>
      </c>
      <c r="AD248" s="865" t="inlineStr">
        <is>
          <t>TDD Cyber, Risk &amp; Service Ops</t>
        </is>
      </c>
      <c r="AE248" s="865" t="inlineStr">
        <is>
          <t>TDD Cyber</t>
        </is>
      </c>
      <c r="AF248" s="865" t="inlineStr">
        <is>
          <t>Squad</t>
        </is>
      </c>
      <c r="AG248" s="865" t="inlineStr">
        <is>
          <t>Vacant</t>
        </is>
      </c>
    </row>
    <row r="249" hidden="1" ht="18" customHeight="1" s="866">
      <c r="A249" s="1566" t="inlineStr">
        <is>
          <t>V</t>
        </is>
      </c>
      <c r="B249" s="1382" t="inlineStr">
        <is>
          <t xml:space="preserve">Vacant </t>
        </is>
      </c>
      <c r="C249" s="1611" t="inlineStr">
        <is>
          <t>Data Risk Analyst</t>
        </is>
      </c>
      <c r="D249" s="1382" t="inlineStr">
        <is>
          <t>Brian Gates</t>
        </is>
      </c>
      <c r="E249" s="1382" t="n"/>
      <c r="F249" s="1382" t="inlineStr">
        <is>
          <t>Cyber, Risk &amp; Operations</t>
        </is>
      </c>
      <c r="G249" s="1612" t="inlineStr">
        <is>
          <t>Cyber Risk</t>
        </is>
      </c>
      <c r="H249" s="1382" t="inlineStr">
        <is>
          <t>NA</t>
        </is>
      </c>
      <c r="I249" s="1382" t="inlineStr">
        <is>
          <t>NA</t>
        </is>
      </c>
      <c r="J249" s="1382" t="inlineStr">
        <is>
          <t>NA</t>
        </is>
      </c>
      <c r="K249" s="1382" t="inlineStr">
        <is>
          <t>NA</t>
        </is>
      </c>
      <c r="L249" s="1382" t="n"/>
      <c r="M249" s="1613" t="inlineStr">
        <is>
          <t>Australia</t>
        </is>
      </c>
      <c r="N249" s="1614" t="inlineStr">
        <is>
          <t>CIA</t>
        </is>
      </c>
      <c r="O249" s="1614" t="n">
        <v>1</v>
      </c>
      <c r="P249" s="1614" t="n"/>
      <c r="Q249" s="1614" t="inlineStr">
        <is>
          <t>V</t>
        </is>
      </c>
      <c r="R249" s="1616" t="n"/>
      <c r="S249" s="1616" t="n"/>
      <c r="T249" s="1627" t="n">
        <v>129650</v>
      </c>
      <c r="U249" s="1626" t="n">
        <v>129650</v>
      </c>
      <c r="V249" s="1619" t="n">
        <v>0.1</v>
      </c>
      <c r="W249" s="1622" t="n">
        <v>0.055</v>
      </c>
      <c r="X249" s="1622" t="n">
        <v>0.12</v>
      </c>
      <c r="Y249" s="1623" t="n"/>
      <c r="Z249" s="1622" t="n">
        <v>0.04</v>
      </c>
      <c r="AA249" s="1621">
        <f>U249*(1+V249+W249+X249+Y249+Z249)</f>
        <v>170489.75</v>
      </c>
      <c r="AC249" s="865" t="inlineStr">
        <is>
          <t>TDD Cyber</t>
        </is>
      </c>
      <c r="AD249" s="865" t="inlineStr">
        <is>
          <t>TDD Cyber, Risk &amp; Service Ops</t>
        </is>
      </c>
      <c r="AE249" s="865" t="inlineStr">
        <is>
          <t>TDD Cyber</t>
        </is>
      </c>
      <c r="AF249" s="865" t="inlineStr">
        <is>
          <t>Squad</t>
        </is>
      </c>
      <c r="AG249" s="865" t="inlineStr">
        <is>
          <t>Vacant</t>
        </is>
      </c>
    </row>
    <row r="250" hidden="1" ht="18" customHeight="1" s="866">
      <c r="A250" s="1566" t="inlineStr">
        <is>
          <t>V</t>
        </is>
      </c>
      <c r="B250" s="1382" t="inlineStr">
        <is>
          <t xml:space="preserve">Vacant </t>
        </is>
      </c>
      <c r="C250" s="1611" t="inlineStr">
        <is>
          <t>Data Risk Analyst</t>
        </is>
      </c>
      <c r="D250" s="1382" t="inlineStr">
        <is>
          <t>Brian Gates</t>
        </is>
      </c>
      <c r="E250" s="1382" t="n"/>
      <c r="F250" s="1382" t="inlineStr">
        <is>
          <t>Cyber, Risk &amp; Operations</t>
        </is>
      </c>
      <c r="G250" s="1612" t="inlineStr">
        <is>
          <t>Cyber Risk</t>
        </is>
      </c>
      <c r="H250" s="1382" t="inlineStr">
        <is>
          <t>NA</t>
        </is>
      </c>
      <c r="I250" s="1382" t="inlineStr">
        <is>
          <t>NA</t>
        </is>
      </c>
      <c r="J250" s="1382" t="inlineStr">
        <is>
          <t>NA</t>
        </is>
      </c>
      <c r="K250" s="1382" t="inlineStr">
        <is>
          <t>NA</t>
        </is>
      </c>
      <c r="L250" s="1382" t="n"/>
      <c r="M250" s="1613" t="inlineStr">
        <is>
          <t>Australia</t>
        </is>
      </c>
      <c r="N250" s="1614" t="inlineStr">
        <is>
          <t>CIA</t>
        </is>
      </c>
      <c r="O250" s="1614" t="n">
        <v>1</v>
      </c>
      <c r="P250" s="1614" t="n"/>
      <c r="Q250" s="1614" t="inlineStr">
        <is>
          <t>V</t>
        </is>
      </c>
      <c r="R250" s="1616" t="n"/>
      <c r="S250" s="1616" t="n"/>
      <c r="T250" s="1627" t="n">
        <v>129650</v>
      </c>
      <c r="U250" s="1626" t="n">
        <v>129650</v>
      </c>
      <c r="V250" s="1619" t="n">
        <v>0.1</v>
      </c>
      <c r="W250" s="1622" t="n">
        <v>0.055</v>
      </c>
      <c r="X250" s="1622" t="n">
        <v>0.12</v>
      </c>
      <c r="Y250" s="1623" t="n"/>
      <c r="Z250" s="1622" t="n">
        <v>0.04</v>
      </c>
      <c r="AA250" s="1621">
        <f>U250*(1+V250+W250+X250+Y250+Z250)</f>
        <v>170489.75</v>
      </c>
      <c r="AC250" s="865" t="inlineStr">
        <is>
          <t>TDD Cyber</t>
        </is>
      </c>
      <c r="AD250" s="865" t="inlineStr">
        <is>
          <t>TDD Cyber, Risk &amp; Service Ops</t>
        </is>
      </c>
      <c r="AE250" s="865" t="inlineStr">
        <is>
          <t>TDD Cyber</t>
        </is>
      </c>
      <c r="AF250" s="865" t="inlineStr">
        <is>
          <t>Squad</t>
        </is>
      </c>
      <c r="AG250" s="865" t="inlineStr">
        <is>
          <t>Vacant</t>
        </is>
      </c>
    </row>
    <row r="251" hidden="1" ht="18" customHeight="1" s="866">
      <c r="A251" s="1566" t="inlineStr">
        <is>
          <t>V</t>
        </is>
      </c>
      <c r="B251" s="1382" t="inlineStr">
        <is>
          <t>Vacant  (AKL )</t>
        </is>
      </c>
      <c r="C251" s="1611" t="inlineStr">
        <is>
          <t>Tech Support Technician</t>
        </is>
      </c>
      <c r="D251" s="1382" t="inlineStr">
        <is>
          <t>Mark Pearson</t>
        </is>
      </c>
      <c r="E251" s="1382" t="n"/>
      <c r="F251" s="1382" t="inlineStr">
        <is>
          <t>Cyber, Risk &amp; Operations</t>
        </is>
      </c>
      <c r="G251" s="1612" t="inlineStr">
        <is>
          <t>Service Op &amp; Assurance</t>
        </is>
      </c>
      <c r="H251" s="1382" t="inlineStr">
        <is>
          <t>NA</t>
        </is>
      </c>
      <c r="I251" s="1382" t="inlineStr">
        <is>
          <t>NA</t>
        </is>
      </c>
      <c r="J251" s="1382" t="inlineStr">
        <is>
          <t>NA</t>
        </is>
      </c>
      <c r="K251" s="1382" t="inlineStr">
        <is>
          <t>NA</t>
        </is>
      </c>
      <c r="L251" s="1382" t="n"/>
      <c r="M251" s="1613" t="inlineStr">
        <is>
          <t>Australia</t>
        </is>
      </c>
      <c r="N251" s="1614" t="inlineStr">
        <is>
          <t>CDB</t>
        </is>
      </c>
      <c r="O251" s="1614" t="n">
        <v>1</v>
      </c>
      <c r="P251" s="1614" t="n"/>
      <c r="Q251" s="1614" t="inlineStr">
        <is>
          <t>v</t>
        </is>
      </c>
      <c r="R251" s="1616" t="n"/>
      <c r="S251" s="1616" t="n"/>
      <c r="T251" s="1627" t="n">
        <v>94650</v>
      </c>
      <c r="U251" s="1626" t="n">
        <v>94650</v>
      </c>
      <c r="V251" s="1619" t="n">
        <v>0.08</v>
      </c>
      <c r="W251" s="1622" t="n">
        <v>0.055</v>
      </c>
      <c r="X251" s="1622" t="n">
        <v>0.12</v>
      </c>
      <c r="Y251" s="1623" t="n"/>
      <c r="Z251" s="1622" t="n">
        <v>0.04</v>
      </c>
      <c r="AA251" s="1621">
        <f>U251*(1+V251+W251+X251+Y251+Z251)</f>
        <v>122571.75</v>
      </c>
      <c r="AC251" s="865" t="inlineStr">
        <is>
          <t>TDD Cyber</t>
        </is>
      </c>
      <c r="AD251" s="865" t="inlineStr">
        <is>
          <t>TDD Cyber, Risk &amp; Service Ops</t>
        </is>
      </c>
      <c r="AE251" s="865" t="inlineStr">
        <is>
          <t>TDD Cyber</t>
        </is>
      </c>
      <c r="AF251" s="865" t="inlineStr">
        <is>
          <t>Squad</t>
        </is>
      </c>
      <c r="AG251" s="865" t="inlineStr">
        <is>
          <t>Filled</t>
        </is>
      </c>
    </row>
    <row r="252" hidden="1" ht="18" customHeight="1" s="866">
      <c r="A252" s="1566" t="inlineStr">
        <is>
          <t>V</t>
        </is>
      </c>
      <c r="B252" s="1382" t="inlineStr">
        <is>
          <t>Vacant (SYD)</t>
        </is>
      </c>
      <c r="C252" s="1611" t="inlineStr">
        <is>
          <t>Tech Support Technician</t>
        </is>
      </c>
      <c r="D252" s="1382" t="inlineStr">
        <is>
          <t>Mark Pearson</t>
        </is>
      </c>
      <c r="E252" s="1382" t="n"/>
      <c r="F252" s="1382" t="inlineStr">
        <is>
          <t>Cyber, Risk &amp; Operations</t>
        </is>
      </c>
      <c r="G252" s="1612" t="inlineStr">
        <is>
          <t>Service Op &amp; Assurance</t>
        </is>
      </c>
      <c r="H252" s="1382" t="inlineStr">
        <is>
          <t>NA</t>
        </is>
      </c>
      <c r="I252" s="1382" t="inlineStr">
        <is>
          <t>NA</t>
        </is>
      </c>
      <c r="J252" s="1382" t="inlineStr">
        <is>
          <t>NA</t>
        </is>
      </c>
      <c r="K252" s="1382" t="inlineStr">
        <is>
          <t>NA</t>
        </is>
      </c>
      <c r="L252" s="1382" t="n"/>
      <c r="M252" s="1613" t="inlineStr">
        <is>
          <t>Australia</t>
        </is>
      </c>
      <c r="N252" s="1614" t="inlineStr">
        <is>
          <t>CDB</t>
        </is>
      </c>
      <c r="O252" s="1614" t="n">
        <v>1</v>
      </c>
      <c r="P252" s="1614" t="n"/>
      <c r="Q252" s="1614" t="inlineStr">
        <is>
          <t>v</t>
        </is>
      </c>
      <c r="R252" s="1616" t="n"/>
      <c r="S252" s="1616" t="n"/>
      <c r="T252" s="1627" t="n">
        <v>94650</v>
      </c>
      <c r="U252" s="1626" t="n">
        <v>94650</v>
      </c>
      <c r="V252" s="1619" t="n">
        <v>0.08</v>
      </c>
      <c r="W252" s="1622" t="n">
        <v>0.055</v>
      </c>
      <c r="X252" s="1622" t="n">
        <v>0.12</v>
      </c>
      <c r="Y252" s="1623" t="n"/>
      <c r="Z252" s="1622" t="n">
        <v>0.04</v>
      </c>
      <c r="AA252" s="1621">
        <f>U252*(1+V252+W252+X252+Y252+Z252)</f>
        <v>122571.75</v>
      </c>
      <c r="AC252" s="865" t="inlineStr">
        <is>
          <t>TDD Cyber</t>
        </is>
      </c>
      <c r="AD252" s="865" t="inlineStr">
        <is>
          <t>TDD Cyber, Risk &amp; Service Ops</t>
        </is>
      </c>
      <c r="AE252" s="865" t="inlineStr">
        <is>
          <t>TDD Cyber</t>
        </is>
      </c>
      <c r="AF252" s="865" t="inlineStr">
        <is>
          <t>Squad</t>
        </is>
      </c>
      <c r="AG252" s="865" t="inlineStr">
        <is>
          <t>Filled</t>
        </is>
      </c>
    </row>
    <row r="253" hidden="1" ht="18" customHeight="1" s="866">
      <c r="A253" s="1566" t="n">
        <v>99999101697</v>
      </c>
      <c r="B253" s="1382" t="inlineStr">
        <is>
          <t>Vanessa Castro</t>
        </is>
      </c>
      <c r="C253" s="1611" t="inlineStr">
        <is>
          <t>Cyber GRC Analyst</t>
        </is>
      </c>
      <c r="D253" s="1382" t="inlineStr">
        <is>
          <t>Diya Thomas</t>
        </is>
      </c>
      <c r="E253" s="1382" t="n"/>
      <c r="F253" s="1382" t="inlineStr">
        <is>
          <t>Cyber, Risk &amp; Operations</t>
        </is>
      </c>
      <c r="G253" s="1612" t="inlineStr">
        <is>
          <t>Cyber GRC</t>
        </is>
      </c>
      <c r="H253" s="1382" t="inlineStr">
        <is>
          <t>NA</t>
        </is>
      </c>
      <c r="I253" s="1382" t="inlineStr">
        <is>
          <t>NA</t>
        </is>
      </c>
      <c r="J253" s="1382" t="inlineStr">
        <is>
          <t>NA</t>
        </is>
      </c>
      <c r="K253" s="1382" t="inlineStr">
        <is>
          <t>NA</t>
        </is>
      </c>
      <c r="L253" s="1382" t="n"/>
      <c r="M253" s="1613" t="inlineStr">
        <is>
          <t>NZ</t>
        </is>
      </c>
      <c r="N253" s="1614" t="inlineStr">
        <is>
          <t>CIA</t>
        </is>
      </c>
      <c r="O253" s="1615" t="n">
        <v>1</v>
      </c>
      <c r="P253" s="1614" t="n"/>
      <c r="Q253" s="1615" t="inlineStr">
        <is>
          <t>Permanent - Full Time</t>
        </is>
      </c>
      <c r="R253" s="1616" t="n"/>
      <c r="S253" s="1616" t="n"/>
      <c r="T253" s="1627" t="n">
        <v>113930</v>
      </c>
      <c r="U253" s="1626" t="n">
        <v>104815.6</v>
      </c>
      <c r="V253" s="1618" t="n">
        <v>0.15</v>
      </c>
      <c r="W253" s="1616" t="n"/>
      <c r="X253" s="1619" t="n">
        <v>0.05</v>
      </c>
      <c r="Y253" s="1620" t="n">
        <v>2910</v>
      </c>
      <c r="Z253" s="1619" t="n">
        <v>0.03</v>
      </c>
      <c r="AA253" s="1621">
        <f>U253*(1+V253+X253+Z253)+Y253</f>
        <v>131833.188</v>
      </c>
      <c r="AB253" s="865" t="n">
        <v>113621</v>
      </c>
      <c r="AC253" s="865" t="inlineStr">
        <is>
          <t>TDD Cyber</t>
        </is>
      </c>
      <c r="AD253" s="865" t="inlineStr">
        <is>
          <t>TDD Cyber, Risk &amp; Service Ops</t>
        </is>
      </c>
      <c r="AE253" s="865" t="inlineStr">
        <is>
          <t>TDD Cyber</t>
        </is>
      </c>
      <c r="AF253" s="865" t="inlineStr">
        <is>
          <t>Squad</t>
        </is>
      </c>
      <c r="AG253" s="865" t="inlineStr">
        <is>
          <t>Filled</t>
        </is>
      </c>
    </row>
    <row r="254" hidden="1" ht="18" customHeight="1" s="866">
      <c r="A254" s="1566" t="n">
        <v>101830</v>
      </c>
      <c r="B254" s="1382" t="inlineStr">
        <is>
          <t>Vivienne Vasak</t>
        </is>
      </c>
      <c r="C254" s="1611" t="inlineStr">
        <is>
          <t>Portfolio Manager Cyber Security</t>
        </is>
      </c>
      <c r="D254" s="1382" t="inlineStr">
        <is>
          <t>James Byrne</t>
        </is>
      </c>
      <c r="E254" s="1382" t="inlineStr">
        <is>
          <t xml:space="preserve">Manager Service Perforance &amp; Assurance </t>
        </is>
      </c>
      <c r="F254" s="1382" t="inlineStr">
        <is>
          <t>Cyber, Risk &amp; Operations</t>
        </is>
      </c>
      <c r="G254" s="1612" t="inlineStr">
        <is>
          <t>Cyber Strat &amp; Tech</t>
        </is>
      </c>
      <c r="H254" s="1382" t="inlineStr">
        <is>
          <t>NA</t>
        </is>
      </c>
      <c r="I254" s="1382" t="inlineStr">
        <is>
          <t>NA</t>
        </is>
      </c>
      <c r="J254" s="1382" t="inlineStr">
        <is>
          <t>NA</t>
        </is>
      </c>
      <c r="K254" s="1382" t="inlineStr">
        <is>
          <t>NA</t>
        </is>
      </c>
      <c r="L254" s="1382" t="n"/>
      <c r="M254" s="1613" t="inlineStr">
        <is>
          <t>Australia</t>
        </is>
      </c>
      <c r="N254" s="1614" t="inlineStr">
        <is>
          <t>CSB</t>
        </is>
      </c>
      <c r="O254" s="1614" t="n">
        <v>1</v>
      </c>
      <c r="P254" s="1614" t="n"/>
      <c r="Q254" s="1614" t="inlineStr">
        <is>
          <t>Permanent - Full Time</t>
        </is>
      </c>
      <c r="R254" s="1616" t="n"/>
      <c r="S254" s="1616" t="n"/>
      <c r="T254" s="1627" t="n">
        <v>232970</v>
      </c>
      <c r="U254" s="1626" t="n">
        <v>232970</v>
      </c>
      <c r="V254" s="1619" t="n">
        <v>0.14</v>
      </c>
      <c r="W254" s="1622" t="n">
        <v>0.055</v>
      </c>
      <c r="X254" s="1622" t="n">
        <v>0.12</v>
      </c>
      <c r="Y254" s="1623" t="n"/>
      <c r="Z254" s="1622" t="n">
        <v>0.04</v>
      </c>
      <c r="AA254" s="1621">
        <f>U254*(1+V254+W254+X254+Y254+Z254)</f>
        <v>315674.35</v>
      </c>
      <c r="AC254" s="865" t="inlineStr">
        <is>
          <t>TDD Cyber</t>
        </is>
      </c>
      <c r="AD254" s="865" t="inlineStr">
        <is>
          <t>TDD Cyber, Risk &amp; Service Ops</t>
        </is>
      </c>
      <c r="AE254" s="865" t="inlineStr">
        <is>
          <t>TDD Cyber</t>
        </is>
      </c>
      <c r="AF254" s="865" t="inlineStr">
        <is>
          <t>Squad</t>
        </is>
      </c>
      <c r="AG254" s="865" t="inlineStr">
        <is>
          <t>Filled</t>
        </is>
      </c>
    </row>
    <row r="255" hidden="1" ht="18" customHeight="1" s="866">
      <c r="A255" s="1566" t="inlineStr">
        <is>
          <t>C</t>
        </is>
      </c>
      <c r="B255" s="1382" t="inlineStr">
        <is>
          <t>Ahmed Yehya</t>
        </is>
      </c>
      <c r="C255" s="1611" t="inlineStr">
        <is>
          <t>TDD Strategic Delivery</t>
        </is>
      </c>
      <c r="D255" s="1382" t="inlineStr">
        <is>
          <t>Greg Cassis</t>
        </is>
      </c>
      <c r="E255" s="1612" t="inlineStr">
        <is>
          <t>GM TDD, EGI</t>
        </is>
      </c>
      <c r="F255" s="1382" t="inlineStr">
        <is>
          <t>EGI</t>
        </is>
      </c>
      <c r="G255" s="1612" t="inlineStr">
        <is>
          <t>EGI</t>
        </is>
      </c>
      <c r="H255" s="1612" t="inlineStr">
        <is>
          <t>EGI</t>
        </is>
      </c>
      <c r="I255" s="1612" t="inlineStr">
        <is>
          <t>EGI</t>
        </is>
      </c>
      <c r="J255" s="1612" t="inlineStr">
        <is>
          <t>EGI</t>
        </is>
      </c>
      <c r="K255" s="1612" t="inlineStr">
        <is>
          <t>EGI</t>
        </is>
      </c>
      <c r="L255" s="1612" t="n"/>
      <c r="M255" s="1613" t="inlineStr">
        <is>
          <t>Australia</t>
        </is>
      </c>
      <c r="N255" s="1614" t="inlineStr">
        <is>
          <t>na</t>
        </is>
      </c>
      <c r="O255" s="1614" t="n">
        <v>1</v>
      </c>
      <c r="P255" s="1614" t="n"/>
      <c r="Q255" s="1616" t="inlineStr">
        <is>
          <t>cxc</t>
        </is>
      </c>
      <c r="R255" s="1616" t="inlineStr">
        <is>
          <t>Daily</t>
        </is>
      </c>
      <c r="S255" s="1616" t="n">
        <v>1250</v>
      </c>
      <c r="T255" s="1627" t="n">
        <v>0</v>
      </c>
      <c r="U255" s="1626" t="n"/>
      <c r="V255" s="1619" t="n"/>
      <c r="W255" s="1622" t="n"/>
      <c r="X255" s="1622" t="n"/>
      <c r="Y255" s="1623" t="n"/>
      <c r="Z255" s="1622" t="n"/>
      <c r="AA255" s="1625">
        <f>S255*222</f>
        <v>277500</v>
      </c>
      <c r="AC255" s="865" t="inlineStr">
        <is>
          <t>EGI</t>
        </is>
      </c>
      <c r="AD255" s="865" t="inlineStr">
        <is>
          <t>EGI</t>
        </is>
      </c>
      <c r="AE255" s="865" t="inlineStr">
        <is>
          <t>EGI (unassigned)</t>
        </is>
      </c>
      <c r="AF255" s="865" t="inlineStr">
        <is>
          <t>Unmapped</t>
        </is>
      </c>
      <c r="AG255" s="865" t="inlineStr">
        <is>
          <t>Filled</t>
        </is>
      </c>
    </row>
    <row r="256" hidden="1" ht="18" customHeight="1" s="866">
      <c r="A256" s="1566" t="inlineStr">
        <is>
          <t>C</t>
        </is>
      </c>
      <c r="B256" s="1382" t="inlineStr">
        <is>
          <t>Anthony Huynh</t>
        </is>
      </c>
      <c r="C256" s="1611" t="inlineStr">
        <is>
          <t>Strategic Delivery Consultant</t>
        </is>
      </c>
      <c r="D256" s="1382" t="inlineStr">
        <is>
          <t>Greg Cassis</t>
        </is>
      </c>
      <c r="E256" s="1612" t="inlineStr">
        <is>
          <t>GM TDD, EGI</t>
        </is>
      </c>
      <c r="F256" s="1382" t="inlineStr">
        <is>
          <t>EGI</t>
        </is>
      </c>
      <c r="G256" s="1612" t="inlineStr">
        <is>
          <t>EGI</t>
        </is>
      </c>
      <c r="H256" s="1612" t="inlineStr">
        <is>
          <t>EGI</t>
        </is>
      </c>
      <c r="I256" s="1612" t="inlineStr">
        <is>
          <t>EGI</t>
        </is>
      </c>
      <c r="J256" s="1382" t="inlineStr">
        <is>
          <t>EGI</t>
        </is>
      </c>
      <c r="K256" s="1382" t="inlineStr">
        <is>
          <t>EGI</t>
        </is>
      </c>
      <c r="L256" s="1612" t="n"/>
      <c r="M256" s="1613" t="inlineStr">
        <is>
          <t>australia</t>
        </is>
      </c>
      <c r="N256" s="1614" t="inlineStr">
        <is>
          <t>NA</t>
        </is>
      </c>
      <c r="O256" s="1614" t="n">
        <v>1</v>
      </c>
      <c r="P256" s="1614" t="n"/>
      <c r="Q256" s="1616" t="inlineStr">
        <is>
          <t>cxc</t>
        </is>
      </c>
      <c r="R256" s="1616" t="inlineStr">
        <is>
          <t>daily</t>
        </is>
      </c>
      <c r="S256" s="1616" t="n">
        <v>1357</v>
      </c>
      <c r="T256" s="1627" t="n">
        <v>0</v>
      </c>
      <c r="U256" s="1626" t="n"/>
      <c r="V256" s="1619" t="n"/>
      <c r="W256" s="1622" t="n"/>
      <c r="X256" s="1622" t="n"/>
      <c r="Y256" s="1623" t="n"/>
      <c r="Z256" s="1622" t="n"/>
      <c r="AA256" s="1625">
        <f>S256*222</f>
        <v>301254</v>
      </c>
      <c r="AC256" s="865" t="inlineStr">
        <is>
          <t>EGI</t>
        </is>
      </c>
      <c r="AD256" s="865" t="inlineStr">
        <is>
          <t>EGI</t>
        </is>
      </c>
      <c r="AE256" s="865" t="inlineStr">
        <is>
          <t>EGI (unassigned)</t>
        </is>
      </c>
      <c r="AF256" s="865" t="inlineStr">
        <is>
          <t>Unmapped</t>
        </is>
      </c>
      <c r="AG256" s="865" t="inlineStr">
        <is>
          <t>Filled</t>
        </is>
      </c>
    </row>
    <row r="257" hidden="1" ht="18" customHeight="1" s="866">
      <c r="A257" s="1566" t="inlineStr">
        <is>
          <t>C</t>
        </is>
      </c>
      <c r="B257" s="1382" t="inlineStr">
        <is>
          <t>Areum Kim Lee</t>
        </is>
      </c>
      <c r="C257" s="1611" t="inlineStr">
        <is>
          <t>Program Manager (PEP13-EGI-UKG)</t>
        </is>
      </c>
      <c r="D257" s="1382" t="inlineStr">
        <is>
          <t>Greg Cassis</t>
        </is>
      </c>
      <c r="E257" s="1612" t="inlineStr">
        <is>
          <t>GM TDD, EGI</t>
        </is>
      </c>
      <c r="F257" s="1382" t="inlineStr">
        <is>
          <t>EGI</t>
        </is>
      </c>
      <c r="G257" s="1612" t="inlineStr">
        <is>
          <t>EGI</t>
        </is>
      </c>
      <c r="H257" s="1612" t="inlineStr">
        <is>
          <t>EGI</t>
        </is>
      </c>
      <c r="I257" s="1612" t="inlineStr">
        <is>
          <t>EGI</t>
        </is>
      </c>
      <c r="J257" s="1612" t="inlineStr">
        <is>
          <t>EGI</t>
        </is>
      </c>
      <c r="K257" s="1382" t="inlineStr">
        <is>
          <t>EGI</t>
        </is>
      </c>
      <c r="L257" s="1612" t="n"/>
      <c r="M257" s="1613" t="inlineStr">
        <is>
          <t>Australia</t>
        </is>
      </c>
      <c r="N257" s="1616" t="inlineStr">
        <is>
          <t>NA</t>
        </is>
      </c>
      <c r="O257" s="1614" t="n">
        <v>1</v>
      </c>
      <c r="P257" s="1616" t="n"/>
      <c r="Q257" s="1616" t="inlineStr">
        <is>
          <t>cxc</t>
        </is>
      </c>
      <c r="R257" s="1624" t="inlineStr">
        <is>
          <t>Daily</t>
        </is>
      </c>
      <c r="S257" s="1616" t="n">
        <v>1545.76</v>
      </c>
      <c r="T257" s="1627" t="n">
        <v>0</v>
      </c>
      <c r="U257" s="1627" t="n"/>
      <c r="V257" s="1612" t="n"/>
      <c r="W257" s="1612" t="n"/>
      <c r="X257" s="1612" t="n"/>
      <c r="Y257" s="1612" t="n"/>
      <c r="Z257" s="1612" t="n"/>
      <c r="AA257" s="1625">
        <f>S257*222</f>
        <v>343158.72</v>
      </c>
      <c r="AC257" s="865" t="inlineStr">
        <is>
          <t>EGI</t>
        </is>
      </c>
      <c r="AD257" s="865" t="inlineStr">
        <is>
          <t>EGI</t>
        </is>
      </c>
      <c r="AE257" s="865" t="inlineStr">
        <is>
          <t>EGI (unassigned)</t>
        </is>
      </c>
      <c r="AF257" s="865" t="inlineStr">
        <is>
          <t>Unmapped</t>
        </is>
      </c>
      <c r="AG257" s="865" t="inlineStr">
        <is>
          <t>Filled</t>
        </is>
      </c>
    </row>
    <row r="258" hidden="1" ht="18" customHeight="1" s="866">
      <c r="A258" s="1566" t="inlineStr">
        <is>
          <t>C</t>
        </is>
      </c>
      <c r="B258" s="1382" t="inlineStr">
        <is>
          <t>Ernesto Pereira</t>
        </is>
      </c>
      <c r="C258" s="1611" t="inlineStr">
        <is>
          <t>Project Manger</t>
        </is>
      </c>
      <c r="D258" s="1382" t="inlineStr">
        <is>
          <t>Trena Foote</t>
        </is>
      </c>
      <c r="E258" s="1382" t="inlineStr">
        <is>
          <t>Project Manger</t>
        </is>
      </c>
      <c r="F258" s="1382" t="inlineStr">
        <is>
          <t>EGI</t>
        </is>
      </c>
      <c r="G258" s="1612" t="inlineStr">
        <is>
          <t>EGI</t>
        </is>
      </c>
      <c r="H258" s="1612" t="inlineStr">
        <is>
          <t>EGI</t>
        </is>
      </c>
      <c r="I258" s="1612" t="inlineStr">
        <is>
          <t>EGI</t>
        </is>
      </c>
      <c r="J258" s="1612" t="inlineStr">
        <is>
          <t>EGI</t>
        </is>
      </c>
      <c r="K258" s="1612" t="inlineStr">
        <is>
          <t>EGI</t>
        </is>
      </c>
      <c r="L258" s="1612" t="n"/>
      <c r="M258" s="1613" t="inlineStr">
        <is>
          <t>Australia</t>
        </is>
      </c>
      <c r="N258" s="1616" t="inlineStr">
        <is>
          <t>na</t>
        </is>
      </c>
      <c r="O258" s="1616" t="n">
        <v>1</v>
      </c>
      <c r="P258" s="1616" t="n"/>
      <c r="Q258" s="1616" t="inlineStr">
        <is>
          <t>cxc</t>
        </is>
      </c>
      <c r="R258" s="1616" t="inlineStr">
        <is>
          <t>daily</t>
        </is>
      </c>
      <c r="S258" s="1616" t="n">
        <v>1000</v>
      </c>
      <c r="T258" s="1627" t="n">
        <v>0</v>
      </c>
      <c r="U258" s="1626" t="n"/>
      <c r="V258" s="1619" t="n"/>
      <c r="W258" s="1622" t="n"/>
      <c r="X258" s="1622" t="n"/>
      <c r="Y258" s="1623" t="n"/>
      <c r="Z258" s="1622" t="n"/>
      <c r="AA258" s="1625">
        <f>S258*222</f>
        <v>222000</v>
      </c>
      <c r="AC258" s="865" t="inlineStr">
        <is>
          <t>EGI</t>
        </is>
      </c>
      <c r="AD258" s="865" t="inlineStr">
        <is>
          <t>EGI</t>
        </is>
      </c>
      <c r="AE258" s="865" t="inlineStr">
        <is>
          <t>EGI (unassigned)</t>
        </is>
      </c>
      <c r="AF258" s="865" t="inlineStr">
        <is>
          <t>Unmapped</t>
        </is>
      </c>
      <c r="AG258" s="865" t="inlineStr">
        <is>
          <t>Filled</t>
        </is>
      </c>
    </row>
    <row r="259" hidden="1" ht="18" customHeight="1" s="866">
      <c r="A259" s="1566" t="inlineStr">
        <is>
          <t>C</t>
        </is>
      </c>
      <c r="B259" s="1382" t="inlineStr">
        <is>
          <t>Harish Dasari</t>
        </is>
      </c>
      <c r="C259" s="1611" t="inlineStr">
        <is>
          <t>Business Analyst (SAP Payroll)</t>
        </is>
      </c>
      <c r="D259" s="1382" t="inlineStr">
        <is>
          <t>Areum Kim-Lee</t>
        </is>
      </c>
      <c r="E259" s="1612" t="inlineStr">
        <is>
          <t>GM TDD, EGI</t>
        </is>
      </c>
      <c r="F259" s="1382" t="inlineStr">
        <is>
          <t>EGI</t>
        </is>
      </c>
      <c r="G259" s="1612" t="inlineStr">
        <is>
          <t>EGI</t>
        </is>
      </c>
      <c r="H259" s="1612" t="inlineStr">
        <is>
          <t>EGI</t>
        </is>
      </c>
      <c r="I259" s="1612" t="inlineStr">
        <is>
          <t>EGI</t>
        </is>
      </c>
      <c r="J259" s="1612" t="inlineStr">
        <is>
          <t>EGI</t>
        </is>
      </c>
      <c r="K259" s="1612" t="inlineStr">
        <is>
          <t>EGI</t>
        </is>
      </c>
      <c r="L259" s="1612" t="n"/>
      <c r="M259" s="1613" t="inlineStr">
        <is>
          <t>Australia</t>
        </is>
      </c>
      <c r="N259" s="1614" t="inlineStr">
        <is>
          <t>na</t>
        </is>
      </c>
      <c r="O259" s="1614" t="n">
        <v>1</v>
      </c>
      <c r="P259" s="1614" t="n"/>
      <c r="Q259" s="1616" t="inlineStr">
        <is>
          <t>cxc</t>
        </is>
      </c>
      <c r="R259" s="1616" t="inlineStr">
        <is>
          <t>daily</t>
        </is>
      </c>
      <c r="S259" s="1616" t="n">
        <v>1100</v>
      </c>
      <c r="T259" s="1627" t="n">
        <v>0</v>
      </c>
      <c r="U259" s="1626" t="n"/>
      <c r="V259" s="1619" t="n"/>
      <c r="W259" s="1616" t="n"/>
      <c r="X259" s="1619" t="n"/>
      <c r="Y259" s="1620" t="n"/>
      <c r="Z259" s="1638" t="n"/>
      <c r="AA259" s="1625">
        <f>S259*222</f>
        <v>244200</v>
      </c>
      <c r="AC259" s="865" t="inlineStr">
        <is>
          <t>EGI</t>
        </is>
      </c>
      <c r="AD259" s="865" t="inlineStr">
        <is>
          <t>EGI</t>
        </is>
      </c>
      <c r="AE259" s="865" t="inlineStr">
        <is>
          <t>EGI (unassigned)</t>
        </is>
      </c>
      <c r="AF259" s="865" t="inlineStr">
        <is>
          <t>Unmapped</t>
        </is>
      </c>
      <c r="AG259" s="865" t="inlineStr">
        <is>
          <t>Filled</t>
        </is>
      </c>
    </row>
    <row r="260" hidden="1" ht="18" customHeight="1" s="866">
      <c r="A260" s="1566" t="inlineStr">
        <is>
          <t>C</t>
        </is>
      </c>
      <c r="B260" s="1382" t="inlineStr">
        <is>
          <t>James Munt</t>
        </is>
      </c>
      <c r="C260" s="1611" t="inlineStr">
        <is>
          <t>Program Manager Tech &amp; P&amp;C</t>
        </is>
      </c>
      <c r="D260" s="1612" t="inlineStr">
        <is>
          <t>Greg Cassis</t>
        </is>
      </c>
      <c r="E260" s="1612" t="inlineStr">
        <is>
          <t>GM TDD, EGI</t>
        </is>
      </c>
      <c r="F260" s="1382" t="inlineStr">
        <is>
          <t>EGI</t>
        </is>
      </c>
      <c r="G260" s="1612" t="inlineStr">
        <is>
          <t>EGI</t>
        </is>
      </c>
      <c r="H260" s="1612" t="inlineStr">
        <is>
          <t>EGI</t>
        </is>
      </c>
      <c r="I260" s="1612" t="inlineStr">
        <is>
          <t>EGI</t>
        </is>
      </c>
      <c r="J260" s="1612" t="inlineStr">
        <is>
          <t>EGI</t>
        </is>
      </c>
      <c r="K260" s="1612" t="inlineStr">
        <is>
          <t>EGI</t>
        </is>
      </c>
      <c r="L260" s="1612" t="n"/>
      <c r="M260" s="1613" t="inlineStr">
        <is>
          <t>Australia</t>
        </is>
      </c>
      <c r="N260" s="1614" t="inlineStr">
        <is>
          <t>na</t>
        </is>
      </c>
      <c r="O260" s="1614" t="n">
        <v>1</v>
      </c>
      <c r="P260" s="1614" t="n"/>
      <c r="Q260" s="1616" t="inlineStr">
        <is>
          <t>cxc</t>
        </is>
      </c>
      <c r="R260" s="1616" t="inlineStr">
        <is>
          <t>daily</t>
        </is>
      </c>
      <c r="S260" s="1616" t="n">
        <v>1200</v>
      </c>
      <c r="T260" s="1627" t="n">
        <v>0</v>
      </c>
      <c r="U260" s="1626" t="n"/>
      <c r="V260" s="1619" t="n"/>
      <c r="W260" s="1622" t="n"/>
      <c r="X260" s="1622" t="n"/>
      <c r="Y260" s="1623" t="n"/>
      <c r="Z260" s="1622" t="n"/>
      <c r="AA260" s="1625">
        <f>S260*222</f>
        <v>266400</v>
      </c>
      <c r="AC260" s="865" t="inlineStr">
        <is>
          <t>EGI</t>
        </is>
      </c>
      <c r="AD260" s="865" t="inlineStr">
        <is>
          <t>EGI</t>
        </is>
      </c>
      <c r="AE260" s="865" t="inlineStr">
        <is>
          <t>EGI (unassigned)</t>
        </is>
      </c>
      <c r="AF260" s="865" t="inlineStr">
        <is>
          <t>Unmapped</t>
        </is>
      </c>
      <c r="AG260" s="865" t="inlineStr">
        <is>
          <t>Filled</t>
        </is>
      </c>
    </row>
    <row r="261" hidden="1" ht="18" customHeight="1" s="866">
      <c r="A261" s="1566" t="inlineStr">
        <is>
          <t>c</t>
        </is>
      </c>
      <c r="B261" s="1382" t="inlineStr">
        <is>
          <t>Jason McNamara</t>
        </is>
      </c>
      <c r="C261" s="1611" t="inlineStr">
        <is>
          <t>Project Manager Retail</t>
        </is>
      </c>
      <c r="D261" s="1382" t="inlineStr">
        <is>
          <t>Greg Cassis</t>
        </is>
      </c>
      <c r="E261" s="1612" t="inlineStr">
        <is>
          <t>GM TDD, EGI</t>
        </is>
      </c>
      <c r="F261" s="1382" t="inlineStr">
        <is>
          <t>EGI</t>
        </is>
      </c>
      <c r="G261" s="1612" t="inlineStr">
        <is>
          <t>EGI</t>
        </is>
      </c>
      <c r="H261" s="1612" t="inlineStr">
        <is>
          <t>EGI</t>
        </is>
      </c>
      <c r="I261" s="1612" t="inlineStr">
        <is>
          <t>EGI</t>
        </is>
      </c>
      <c r="J261" s="1612" t="inlineStr">
        <is>
          <t>EGI</t>
        </is>
      </c>
      <c r="K261" s="1612" t="inlineStr">
        <is>
          <t>EGI</t>
        </is>
      </c>
      <c r="L261" s="1612" t="n"/>
      <c r="M261" s="1613" t="inlineStr">
        <is>
          <t>Australia</t>
        </is>
      </c>
      <c r="N261" s="1614" t="inlineStr">
        <is>
          <t>na</t>
        </is>
      </c>
      <c r="O261" s="1615" t="n">
        <v>1</v>
      </c>
      <c r="P261" s="1614" t="n"/>
      <c r="Q261" s="1616" t="inlineStr">
        <is>
          <t>cxc</t>
        </is>
      </c>
      <c r="R261" s="1616" t="inlineStr">
        <is>
          <t>daily</t>
        </is>
      </c>
      <c r="S261" s="1616" t="n">
        <v>2200</v>
      </c>
      <c r="T261" s="1627" t="n">
        <v>0</v>
      </c>
      <c r="U261" s="1626" t="n"/>
      <c r="V261" s="1618" t="n"/>
      <c r="W261" s="1615" t="n"/>
      <c r="X261" s="1619" t="n"/>
      <c r="Y261" s="1620" t="n"/>
      <c r="Z261" s="1619" t="n"/>
      <c r="AA261" s="1625">
        <f>S261*222</f>
        <v>488400</v>
      </c>
      <c r="AC261" s="865" t="inlineStr">
        <is>
          <t>EGI</t>
        </is>
      </c>
      <c r="AD261" s="865" t="inlineStr">
        <is>
          <t>EGI</t>
        </is>
      </c>
      <c r="AE261" s="865" t="inlineStr">
        <is>
          <t>EGI (unassigned)</t>
        </is>
      </c>
      <c r="AF261" s="865" t="inlineStr">
        <is>
          <t>Unmapped</t>
        </is>
      </c>
      <c r="AG261" s="865" t="inlineStr">
        <is>
          <t>Filled</t>
        </is>
      </c>
    </row>
    <row r="262" hidden="1" ht="18" customHeight="1" s="866">
      <c r="A262" s="1566" t="inlineStr">
        <is>
          <t>c</t>
        </is>
      </c>
      <c r="B262" s="1382" t="inlineStr">
        <is>
          <t>Jason Sipkovic</t>
        </is>
      </c>
      <c r="C262" s="1611" t="inlineStr">
        <is>
          <t>strategic program architect</t>
        </is>
      </c>
      <c r="D262" s="1382" t="inlineStr">
        <is>
          <t>Trena Foote</t>
        </is>
      </c>
      <c r="E262" s="1382" t="inlineStr">
        <is>
          <t>Project Manger</t>
        </is>
      </c>
      <c r="F262" s="1382" t="inlineStr">
        <is>
          <t>EGI</t>
        </is>
      </c>
      <c r="G262" s="1612" t="inlineStr">
        <is>
          <t>EGI</t>
        </is>
      </c>
      <c r="H262" s="1612" t="inlineStr">
        <is>
          <t>EGI</t>
        </is>
      </c>
      <c r="I262" s="1612" t="inlineStr">
        <is>
          <t>EGI</t>
        </is>
      </c>
      <c r="J262" s="1612" t="inlineStr">
        <is>
          <t>EGI</t>
        </is>
      </c>
      <c r="K262" s="1612" t="inlineStr">
        <is>
          <t>EGI</t>
        </is>
      </c>
      <c r="L262" s="1612" t="n"/>
      <c r="M262" s="1613" t="inlineStr">
        <is>
          <t>Australia</t>
        </is>
      </c>
      <c r="N262" s="1614" t="inlineStr">
        <is>
          <t>na</t>
        </is>
      </c>
      <c r="O262" s="1615" t="n">
        <v>1</v>
      </c>
      <c r="P262" s="1614" t="n"/>
      <c r="Q262" s="1616" t="inlineStr">
        <is>
          <t>cxc</t>
        </is>
      </c>
      <c r="R262" s="1616" t="inlineStr">
        <is>
          <t>daily</t>
        </is>
      </c>
      <c r="S262" s="1616" t="n">
        <v>1500</v>
      </c>
      <c r="T262" s="1627" t="n">
        <v>0</v>
      </c>
      <c r="U262" s="1626" t="n"/>
      <c r="V262" s="1618" t="n"/>
      <c r="W262" s="1615" t="n"/>
      <c r="X262" s="1619" t="n"/>
      <c r="Y262" s="1620" t="n"/>
      <c r="Z262" s="1619" t="n"/>
      <c r="AA262" s="1625">
        <f>S262*222</f>
        <v>333000</v>
      </c>
      <c r="AC262" s="865" t="inlineStr">
        <is>
          <t>EGI</t>
        </is>
      </c>
      <c r="AD262" s="865" t="inlineStr">
        <is>
          <t>EGI</t>
        </is>
      </c>
      <c r="AE262" s="865" t="inlineStr">
        <is>
          <t>EGI (unassigned)</t>
        </is>
      </c>
      <c r="AF262" s="865" t="inlineStr">
        <is>
          <t>Unmapped</t>
        </is>
      </c>
      <c r="AG262" s="865" t="inlineStr">
        <is>
          <t>Filled</t>
        </is>
      </c>
    </row>
    <row r="263" hidden="1" ht="18" customHeight="1" s="866">
      <c r="A263" s="1566" t="inlineStr">
        <is>
          <t>c</t>
        </is>
      </c>
      <c r="B263" s="1382" t="inlineStr">
        <is>
          <t>Kanika Narula</t>
        </is>
      </c>
      <c r="C263" s="1611" t="inlineStr">
        <is>
          <t>Business Analyst Digital</t>
        </is>
      </c>
      <c r="D263" s="1382" t="inlineStr">
        <is>
          <t>Mitesh Shah</t>
        </is>
      </c>
      <c r="E263" s="1382" t="inlineStr">
        <is>
          <t>Technology Manager, Digitial</t>
        </is>
      </c>
      <c r="F263" s="1382" t="inlineStr">
        <is>
          <t>EGI</t>
        </is>
      </c>
      <c r="G263" s="1612" t="inlineStr">
        <is>
          <t>EGI</t>
        </is>
      </c>
      <c r="H263" s="1612" t="inlineStr">
        <is>
          <t>EGI</t>
        </is>
      </c>
      <c r="I263" s="1612" t="inlineStr">
        <is>
          <t>EGI</t>
        </is>
      </c>
      <c r="J263" s="1612" t="inlineStr">
        <is>
          <t>EGI</t>
        </is>
      </c>
      <c r="K263" s="1612" t="inlineStr">
        <is>
          <t>EGI</t>
        </is>
      </c>
      <c r="L263" s="1382" t="n"/>
      <c r="M263" s="1613" t="inlineStr">
        <is>
          <t>Australia</t>
        </is>
      </c>
      <c r="N263" s="1614" t="inlineStr">
        <is>
          <t>na</t>
        </is>
      </c>
      <c r="O263" s="1614" t="n">
        <v>1</v>
      </c>
      <c r="P263" s="1614" t="n"/>
      <c r="Q263" s="1616" t="inlineStr">
        <is>
          <t>cxc</t>
        </is>
      </c>
      <c r="R263" s="1616" t="inlineStr">
        <is>
          <t>daily</t>
        </is>
      </c>
      <c r="S263" s="1616" t="n">
        <v>1078.84</v>
      </c>
      <c r="T263" s="1627" t="n">
        <v>0</v>
      </c>
      <c r="U263" s="1626" t="n"/>
      <c r="V263" s="1619" t="n"/>
      <c r="W263" s="1622" t="n"/>
      <c r="X263" s="1622" t="n"/>
      <c r="Y263" s="1623" t="n"/>
      <c r="Z263" s="1622" t="n"/>
      <c r="AA263" s="1625">
        <f>S263*222</f>
        <v>239502.48</v>
      </c>
      <c r="AC263" s="865" t="inlineStr">
        <is>
          <t>EGI</t>
        </is>
      </c>
      <c r="AD263" s="865" t="inlineStr">
        <is>
          <t>EGI</t>
        </is>
      </c>
      <c r="AE263" s="865" t="inlineStr">
        <is>
          <t>EGI (unassigned)</t>
        </is>
      </c>
      <c r="AF263" s="865" t="inlineStr">
        <is>
          <t>Unmapped</t>
        </is>
      </c>
      <c r="AG263" s="865" t="inlineStr">
        <is>
          <t>Filled</t>
        </is>
      </c>
    </row>
    <row r="264" hidden="1" ht="18" customHeight="1" s="866">
      <c r="A264" s="1566" t="inlineStr">
        <is>
          <t>c</t>
        </is>
      </c>
      <c r="B264" s="1382" t="inlineStr">
        <is>
          <t>Karl Reyneke</t>
        </is>
      </c>
      <c r="C264" s="1611" t="inlineStr">
        <is>
          <t>Strategic Delivery Consultant</t>
        </is>
      </c>
      <c r="D264" s="1382" t="inlineStr">
        <is>
          <t>Greg Cassis</t>
        </is>
      </c>
      <c r="E264" s="1612" t="inlineStr">
        <is>
          <t>GM TDD, EGI</t>
        </is>
      </c>
      <c r="F264" s="1382" t="inlineStr">
        <is>
          <t>EGI</t>
        </is>
      </c>
      <c r="G264" s="1612" t="inlineStr">
        <is>
          <t>EGI</t>
        </is>
      </c>
      <c r="H264" s="1612" t="inlineStr">
        <is>
          <t>EGI</t>
        </is>
      </c>
      <c r="I264" s="1612" t="inlineStr">
        <is>
          <t>EGI</t>
        </is>
      </c>
      <c r="J264" s="1612" t="inlineStr">
        <is>
          <t>EGI</t>
        </is>
      </c>
      <c r="K264" s="1612" t="inlineStr">
        <is>
          <t>EGI</t>
        </is>
      </c>
      <c r="L264" s="1612" t="n"/>
      <c r="M264" s="1613" t="inlineStr">
        <is>
          <t>australia</t>
        </is>
      </c>
      <c r="N264" s="1616" t="inlineStr">
        <is>
          <t>na</t>
        </is>
      </c>
      <c r="O264" s="1614" t="n">
        <v>1</v>
      </c>
      <c r="P264" s="1616" t="n"/>
      <c r="Q264" s="1616" t="inlineStr">
        <is>
          <t>cxc</t>
        </is>
      </c>
      <c r="R264" s="1624" t="inlineStr">
        <is>
          <t>daily</t>
        </is>
      </c>
      <c r="S264" s="1616" t="n">
        <v>1350</v>
      </c>
      <c r="T264" s="1627" t="n">
        <v>0</v>
      </c>
      <c r="U264" s="1627" t="n"/>
      <c r="V264" s="1612" t="n"/>
      <c r="W264" s="1612" t="n"/>
      <c r="X264" s="1612" t="n"/>
      <c r="Y264" s="1612" t="n"/>
      <c r="Z264" s="1612" t="n"/>
      <c r="AA264" s="1625">
        <f>S264*222</f>
        <v>299700</v>
      </c>
      <c r="AC264" s="865" t="inlineStr">
        <is>
          <t>EGI</t>
        </is>
      </c>
      <c r="AD264" s="865" t="inlineStr">
        <is>
          <t>EGI</t>
        </is>
      </c>
      <c r="AE264" s="865" t="inlineStr">
        <is>
          <t>EGI (unassigned)</t>
        </is>
      </c>
      <c r="AF264" s="865" t="inlineStr">
        <is>
          <t>Unmapped</t>
        </is>
      </c>
      <c r="AG264" s="865" t="inlineStr">
        <is>
          <t>Filled</t>
        </is>
      </c>
    </row>
    <row r="265" hidden="1" ht="18" customHeight="1" s="866">
      <c r="A265" s="1566" t="inlineStr">
        <is>
          <t>c</t>
        </is>
      </c>
      <c r="B265" s="1382" t="inlineStr">
        <is>
          <t>michelle Siegman</t>
        </is>
      </c>
      <c r="C265" s="1611" t="inlineStr">
        <is>
          <t>Strategic Delivery Consultant</t>
        </is>
      </c>
      <c r="D265" s="1382" t="inlineStr">
        <is>
          <t>Greg Cassis</t>
        </is>
      </c>
      <c r="E265" s="1612" t="inlineStr">
        <is>
          <t>GM TDD, EGI</t>
        </is>
      </c>
      <c r="F265" s="1382" t="inlineStr">
        <is>
          <t>EGI</t>
        </is>
      </c>
      <c r="G265" s="1612" t="inlineStr">
        <is>
          <t>EGI</t>
        </is>
      </c>
      <c r="H265" s="1612" t="inlineStr">
        <is>
          <t>EGI</t>
        </is>
      </c>
      <c r="I265" s="1612" t="inlineStr">
        <is>
          <t>EGI</t>
        </is>
      </c>
      <c r="J265" s="1612" t="inlineStr">
        <is>
          <t>EGI</t>
        </is>
      </c>
      <c r="K265" s="1612" t="inlineStr">
        <is>
          <t>EGI</t>
        </is>
      </c>
      <c r="L265" s="1612" t="n"/>
      <c r="M265" s="1613" t="inlineStr">
        <is>
          <t>Australia</t>
        </is>
      </c>
      <c r="N265" s="1614" t="inlineStr">
        <is>
          <t>na</t>
        </is>
      </c>
      <c r="O265" s="1615" t="n">
        <v>1</v>
      </c>
      <c r="P265" s="1614" t="n"/>
      <c r="Q265" s="1616" t="inlineStr">
        <is>
          <t>cxc</t>
        </is>
      </c>
      <c r="R265" s="1616" t="inlineStr">
        <is>
          <t>Daily</t>
        </is>
      </c>
      <c r="S265" s="1616" t="n">
        <v>1038</v>
      </c>
      <c r="T265" s="1627" t="n">
        <v>0</v>
      </c>
      <c r="U265" s="1626" t="n"/>
      <c r="V265" s="1618" t="n"/>
      <c r="W265" s="1616" t="n"/>
      <c r="X265" s="1619" t="n"/>
      <c r="Y265" s="1620" t="n"/>
      <c r="Z265" s="1619" t="n"/>
      <c r="AA265" s="1625">
        <f>S265*222</f>
        <v>230436</v>
      </c>
      <c r="AC265" s="865" t="inlineStr">
        <is>
          <t>EGI</t>
        </is>
      </c>
      <c r="AD265" s="865" t="inlineStr">
        <is>
          <t>EGI</t>
        </is>
      </c>
      <c r="AE265" s="865" t="inlineStr">
        <is>
          <t>EGI (unassigned)</t>
        </is>
      </c>
      <c r="AF265" s="865" t="inlineStr">
        <is>
          <t>Unmapped</t>
        </is>
      </c>
      <c r="AG265" s="865" t="inlineStr">
        <is>
          <t>Filled</t>
        </is>
      </c>
    </row>
    <row r="266" hidden="1" ht="18" customHeight="1" s="866">
      <c r="A266" s="1596" t="n">
        <v>106830</v>
      </c>
      <c r="B266" s="1382" t="inlineStr">
        <is>
          <t>Moitri Pal</t>
        </is>
      </c>
      <c r="C266" s="1611" t="inlineStr">
        <is>
          <t>Portfolio Mnager</t>
        </is>
      </c>
      <c r="D266" s="1382" t="inlineStr">
        <is>
          <t>Greg Cassis</t>
        </is>
      </c>
      <c r="E266" s="1382" t="inlineStr">
        <is>
          <t>GM TDD, EGI</t>
        </is>
      </c>
      <c r="F266" s="1382" t="inlineStr">
        <is>
          <t>EGI</t>
        </is>
      </c>
      <c r="G266" s="1612" t="inlineStr">
        <is>
          <t>EGI</t>
        </is>
      </c>
      <c r="H266" s="1612" t="inlineStr">
        <is>
          <t>EGI</t>
        </is>
      </c>
      <c r="I266" s="1612" t="inlineStr">
        <is>
          <t>EGI</t>
        </is>
      </c>
      <c r="J266" s="1612" t="inlineStr">
        <is>
          <t>EGI</t>
        </is>
      </c>
      <c r="K266" s="1612" t="inlineStr">
        <is>
          <t>EGI</t>
        </is>
      </c>
      <c r="L266" s="1612" t="n"/>
      <c r="M266" s="1613" t="inlineStr">
        <is>
          <t>Australia</t>
        </is>
      </c>
      <c r="N266" s="1614" t="inlineStr">
        <is>
          <t>CSC</t>
        </is>
      </c>
      <c r="O266" s="1614" t="n">
        <v>1</v>
      </c>
      <c r="P266" s="1614" t="n"/>
      <c r="Q266" s="1614" t="inlineStr">
        <is>
          <t>Permanent - Full Time</t>
        </is>
      </c>
      <c r="R266" s="1616" t="n"/>
      <c r="S266" s="1616" t="n"/>
      <c r="T266" s="1627" t="n">
        <v>230010</v>
      </c>
      <c r="U266" s="1626">
        <f>T266</f>
        <v>230010</v>
      </c>
      <c r="V266" s="1619" t="n">
        <v>0.2</v>
      </c>
      <c r="W266" s="1622" t="n">
        <v>0.055</v>
      </c>
      <c r="X266" s="1622" t="n">
        <v>0.12</v>
      </c>
      <c r="Y266" s="1623" t="n"/>
      <c r="Z266" s="1622" t="n">
        <v>0.04</v>
      </c>
      <c r="AA266" s="1621">
        <f>U266*(1+V266+W266+X266+Y266+Z266)</f>
        <v>325464.15</v>
      </c>
      <c r="AC266" s="865" t="inlineStr">
        <is>
          <t>EGI</t>
        </is>
      </c>
      <c r="AD266" s="865" t="inlineStr">
        <is>
          <t>EGI</t>
        </is>
      </c>
      <c r="AE266" s="865" t="inlineStr">
        <is>
          <t>EGI (unassigned)</t>
        </is>
      </c>
      <c r="AF266" s="865" t="inlineStr">
        <is>
          <t>Unmapped</t>
        </is>
      </c>
      <c r="AG266" s="865" t="inlineStr">
        <is>
          <t>Filled</t>
        </is>
      </c>
    </row>
    <row r="267" hidden="1" ht="18" customHeight="1" s="866">
      <c r="A267" s="1566" t="inlineStr">
        <is>
          <t>C</t>
        </is>
      </c>
      <c r="B267" s="1382" t="inlineStr">
        <is>
          <t>Niall Greene</t>
        </is>
      </c>
      <c r="C267" s="1611" t="inlineStr">
        <is>
          <t>Project Manager (PEP13-EGI-UKG)</t>
        </is>
      </c>
      <c r="D267" s="1382" t="inlineStr">
        <is>
          <t>Areum Kim-Lee</t>
        </is>
      </c>
      <c r="E267" s="1612" t="inlineStr">
        <is>
          <t>GM TDD, EGI</t>
        </is>
      </c>
      <c r="F267" s="1382" t="inlineStr">
        <is>
          <t>EGI</t>
        </is>
      </c>
      <c r="G267" s="1612" t="inlineStr">
        <is>
          <t>EGI</t>
        </is>
      </c>
      <c r="H267" s="1612" t="inlineStr">
        <is>
          <t>EGI</t>
        </is>
      </c>
      <c r="I267" s="1612" t="inlineStr">
        <is>
          <t>EGI</t>
        </is>
      </c>
      <c r="J267" s="1612" t="inlineStr">
        <is>
          <t>EGI</t>
        </is>
      </c>
      <c r="K267" s="1382" t="inlineStr">
        <is>
          <t>EGI</t>
        </is>
      </c>
      <c r="L267" s="1612" t="n"/>
      <c r="M267" s="1613" t="inlineStr">
        <is>
          <t>Australia</t>
        </is>
      </c>
      <c r="N267" s="1616" t="inlineStr">
        <is>
          <t>NA</t>
        </is>
      </c>
      <c r="O267" s="1614" t="n">
        <v>1</v>
      </c>
      <c r="P267" s="1616" t="n"/>
      <c r="Q267" s="1616" t="inlineStr">
        <is>
          <t>cxc</t>
        </is>
      </c>
      <c r="R267" s="1624" t="inlineStr">
        <is>
          <t>Daily</t>
        </is>
      </c>
      <c r="S267" s="1616" t="n">
        <v>1100</v>
      </c>
      <c r="T267" s="1627" t="n">
        <v>0</v>
      </c>
      <c r="U267" s="1627" t="n"/>
      <c r="V267" s="1612" t="n"/>
      <c r="W267" s="1612" t="n"/>
      <c r="X267" s="1612" t="n"/>
      <c r="Y267" s="1612" t="n"/>
      <c r="Z267" s="1612" t="n"/>
      <c r="AA267" s="1625">
        <f>S267*222</f>
        <v>244200</v>
      </c>
      <c r="AC267" s="865" t="inlineStr">
        <is>
          <t>EGI</t>
        </is>
      </c>
      <c r="AD267" s="865" t="inlineStr">
        <is>
          <t>EGI</t>
        </is>
      </c>
      <c r="AE267" s="865" t="inlineStr">
        <is>
          <t>EGI (unassigned)</t>
        </is>
      </c>
      <c r="AF267" s="865" t="inlineStr">
        <is>
          <t>Unmapped</t>
        </is>
      </c>
      <c r="AG267" s="865" t="inlineStr">
        <is>
          <t>Filled</t>
        </is>
      </c>
    </row>
    <row r="268" hidden="1" ht="18" customHeight="1" s="866">
      <c r="A268" s="1566" t="inlineStr">
        <is>
          <t>c</t>
        </is>
      </c>
      <c r="B268" s="1382" t="inlineStr">
        <is>
          <t>Paul Hassey</t>
        </is>
      </c>
      <c r="C268" s="1611" t="inlineStr">
        <is>
          <t>Program Architect</t>
        </is>
      </c>
      <c r="D268" s="1612" t="inlineStr">
        <is>
          <t>Ed Tacey</t>
        </is>
      </c>
      <c r="E268" s="1382" t="n"/>
      <c r="F268" s="1382" t="inlineStr">
        <is>
          <t>EGI</t>
        </is>
      </c>
      <c r="G268" s="1612" t="inlineStr">
        <is>
          <t>EGI</t>
        </is>
      </c>
      <c r="H268" s="1612" t="inlineStr">
        <is>
          <t>EGI</t>
        </is>
      </c>
      <c r="I268" s="1612" t="inlineStr">
        <is>
          <t>EGI</t>
        </is>
      </c>
      <c r="J268" s="1612" t="inlineStr">
        <is>
          <t>EGI</t>
        </is>
      </c>
      <c r="K268" s="1612" t="inlineStr">
        <is>
          <t>EGI</t>
        </is>
      </c>
      <c r="L268" s="1382" t="n"/>
      <c r="M268" s="1613" t="inlineStr">
        <is>
          <t>Australia</t>
        </is>
      </c>
      <c r="N268" s="1614" t="inlineStr">
        <is>
          <t>na</t>
        </is>
      </c>
      <c r="O268" s="1614" t="n">
        <v>1</v>
      </c>
      <c r="P268" s="1614" t="n"/>
      <c r="Q268" s="1616" t="inlineStr">
        <is>
          <t>cxc</t>
        </is>
      </c>
      <c r="R268" s="1616" t="inlineStr">
        <is>
          <t>Daily</t>
        </is>
      </c>
      <c r="S268" s="1616" t="n">
        <v>1400</v>
      </c>
      <c r="T268" s="1627" t="n">
        <v>0</v>
      </c>
      <c r="U268" s="1626" t="n"/>
      <c r="V268" s="1619" t="n"/>
      <c r="W268" s="1622" t="n"/>
      <c r="X268" s="1622" t="n"/>
      <c r="Y268" s="1623" t="n"/>
      <c r="Z268" s="1622" t="n"/>
      <c r="AA268" s="1625">
        <f>S268*222</f>
        <v>310800</v>
      </c>
      <c r="AC268" s="865" t="inlineStr">
        <is>
          <t>EGI</t>
        </is>
      </c>
      <c r="AD268" s="865" t="inlineStr">
        <is>
          <t>EGI</t>
        </is>
      </c>
      <c r="AE268" s="865" t="inlineStr">
        <is>
          <t>EGI (unassigned)</t>
        </is>
      </c>
      <c r="AF268" s="865" t="inlineStr">
        <is>
          <t>Unmapped</t>
        </is>
      </c>
      <c r="AG268" s="865" t="inlineStr">
        <is>
          <t>Filled</t>
        </is>
      </c>
    </row>
    <row r="269" hidden="1" ht="18" customHeight="1" s="866">
      <c r="A269" s="1566" t="inlineStr">
        <is>
          <t>c</t>
        </is>
      </c>
      <c r="B269" s="1382" t="inlineStr">
        <is>
          <t>vijay Solanki</t>
        </is>
      </c>
      <c r="C269" s="1611" t="inlineStr">
        <is>
          <t>Project Manager Deployment</t>
        </is>
      </c>
      <c r="D269" s="1382" t="inlineStr">
        <is>
          <t>greg Cassis</t>
        </is>
      </c>
      <c r="E269" s="1382" t="n"/>
      <c r="F269" s="1382" t="inlineStr">
        <is>
          <t>EGI</t>
        </is>
      </c>
      <c r="G269" s="1612" t="n"/>
      <c r="H269" s="1382" t="n"/>
      <c r="I269" s="1382" t="n"/>
      <c r="J269" s="1631" t="inlineStr">
        <is>
          <t>EGI</t>
        </is>
      </c>
      <c r="K269" s="1382" t="inlineStr">
        <is>
          <t>EGI</t>
        </is>
      </c>
      <c r="L269" s="1612" t="n"/>
      <c r="M269" s="1613" t="inlineStr">
        <is>
          <t>Australia</t>
        </is>
      </c>
      <c r="N269" s="1614" t="inlineStr">
        <is>
          <t>na</t>
        </is>
      </c>
      <c r="O269" s="1614" t="n">
        <v>1</v>
      </c>
      <c r="P269" s="1614" t="n"/>
      <c r="Q269" s="1616" t="inlineStr">
        <is>
          <t>cxc</t>
        </is>
      </c>
      <c r="R269" s="1616" t="inlineStr">
        <is>
          <t>Daily</t>
        </is>
      </c>
      <c r="S269" s="1616" t="n">
        <v>1200</v>
      </c>
      <c r="T269" s="1627" t="n">
        <v>0</v>
      </c>
      <c r="U269" s="1626" t="n"/>
      <c r="V269" s="1619" t="n"/>
      <c r="W269" s="1622" t="n"/>
      <c r="X269" s="1622" t="n"/>
      <c r="Y269" s="1623" t="n"/>
      <c r="Z269" s="1622" t="n"/>
      <c r="AA269" s="1625">
        <f>S269*222</f>
        <v>266400</v>
      </c>
      <c r="AC269" s="865" t="inlineStr">
        <is>
          <t>EGI</t>
        </is>
      </c>
      <c r="AD269" s="865" t="inlineStr">
        <is>
          <t>EGI</t>
        </is>
      </c>
      <c r="AE269" s="865" t="inlineStr">
        <is>
          <t>EGI (unassigned)</t>
        </is>
      </c>
      <c r="AF269" s="865" t="inlineStr">
        <is>
          <t>Unmapped</t>
        </is>
      </c>
      <c r="AG269" s="865" t="inlineStr">
        <is>
          <t>Filled</t>
        </is>
      </c>
    </row>
    <row r="270" hidden="1" ht="18" customHeight="1" s="866">
      <c r="A270" s="1566" t="inlineStr">
        <is>
          <t>C</t>
        </is>
      </c>
      <c r="B270" s="1382" t="inlineStr">
        <is>
          <t>Winnie Fernandes</t>
        </is>
      </c>
      <c r="C270" s="1611" t="inlineStr">
        <is>
          <t>Delivery Lead - Integration</t>
        </is>
      </c>
      <c r="D270" s="1382" t="inlineStr">
        <is>
          <t>Moitri Pal</t>
        </is>
      </c>
      <c r="E270" s="1382" t="inlineStr">
        <is>
          <t>Program Manager - EGI</t>
        </is>
      </c>
      <c r="F270" s="1382" t="inlineStr">
        <is>
          <t>EGI</t>
        </is>
      </c>
      <c r="G270" s="1612" t="inlineStr">
        <is>
          <t>EGI</t>
        </is>
      </c>
      <c r="H270" s="1612" t="inlineStr">
        <is>
          <t>EGI</t>
        </is>
      </c>
      <c r="I270" s="1612" t="inlineStr">
        <is>
          <t>EGI</t>
        </is>
      </c>
      <c r="J270" s="1612" t="inlineStr">
        <is>
          <t>EGI</t>
        </is>
      </c>
      <c r="K270" s="1382" t="inlineStr">
        <is>
          <t>EGI</t>
        </is>
      </c>
      <c r="L270" s="1612" t="n"/>
      <c r="M270" s="1613" t="inlineStr">
        <is>
          <t>Australia</t>
        </is>
      </c>
      <c r="N270" s="1616" t="inlineStr">
        <is>
          <t>NA</t>
        </is>
      </c>
      <c r="O270" s="1614" t="n">
        <v>1</v>
      </c>
      <c r="P270" s="1616" t="n"/>
      <c r="Q270" s="1616" t="inlineStr">
        <is>
          <t>cxc</t>
        </is>
      </c>
      <c r="R270" s="1624" t="inlineStr">
        <is>
          <t>Daily</t>
        </is>
      </c>
      <c r="S270" s="1616" t="n">
        <v>1232</v>
      </c>
      <c r="T270" s="1627" t="n">
        <v>0</v>
      </c>
      <c r="U270" s="1627" t="n"/>
      <c r="V270" s="1612" t="n"/>
      <c r="W270" s="1612" t="n"/>
      <c r="X270" s="1612" t="n"/>
      <c r="Y270" s="1612" t="n"/>
      <c r="Z270" s="1612" t="n"/>
      <c r="AA270" s="1625">
        <f>S270*222</f>
        <v>273504</v>
      </c>
      <c r="AC270" s="865" t="inlineStr">
        <is>
          <t>EGI</t>
        </is>
      </c>
      <c r="AD270" s="865" t="inlineStr">
        <is>
          <t>EGI</t>
        </is>
      </c>
      <c r="AE270" s="865" t="inlineStr">
        <is>
          <t>EGI (unassigned)</t>
        </is>
      </c>
      <c r="AF270" s="865" t="inlineStr">
        <is>
          <t>Unmapped</t>
        </is>
      </c>
      <c r="AG270" s="865" t="inlineStr">
        <is>
          <t>Filled</t>
        </is>
      </c>
    </row>
    <row r="271" hidden="1" ht="18" customHeight="1" s="866">
      <c r="A271" s="1566" t="inlineStr">
        <is>
          <t>C</t>
        </is>
      </c>
      <c r="B271" s="1382" t="inlineStr">
        <is>
          <t>Ashish Gupte</t>
        </is>
      </c>
      <c r="C271" s="1611" t="inlineStr">
        <is>
          <t>DeveloperSAP ECC</t>
        </is>
      </c>
      <c r="D271" s="1612" t="inlineStr">
        <is>
          <t>Vasso Vucovic</t>
        </is>
      </c>
      <c r="E271" s="1382" t="inlineStr">
        <is>
          <t>Head of Technology Finance, P&amp;C Legal</t>
        </is>
      </c>
      <c r="F271" s="1382" t="inlineStr">
        <is>
          <t>Group Functions</t>
        </is>
      </c>
      <c r="G271" s="1612" t="inlineStr">
        <is>
          <t>EGI</t>
        </is>
      </c>
      <c r="H271" s="1612" t="inlineStr">
        <is>
          <t>EGI</t>
        </is>
      </c>
      <c r="I271" s="1612" t="inlineStr">
        <is>
          <t>EGI</t>
        </is>
      </c>
      <c r="J271" s="1612" t="inlineStr">
        <is>
          <t>EGI</t>
        </is>
      </c>
      <c r="K271" s="1612" t="inlineStr">
        <is>
          <t>EGI</t>
        </is>
      </c>
      <c r="L271" s="1612" t="n"/>
      <c r="M271" s="1613" t="inlineStr">
        <is>
          <t>australia</t>
        </is>
      </c>
      <c r="N271" s="1614" t="inlineStr">
        <is>
          <t>na</t>
        </is>
      </c>
      <c r="O271" s="1615" t="n">
        <v>1</v>
      </c>
      <c r="P271" s="1614" t="n"/>
      <c r="Q271" s="1616" t="inlineStr">
        <is>
          <t>cxc</t>
        </is>
      </c>
      <c r="R271" s="1616" t="inlineStr">
        <is>
          <t>Daily</t>
        </is>
      </c>
      <c r="S271" s="1616" t="n">
        <v>1250</v>
      </c>
      <c r="T271" s="1627" t="n">
        <v>0</v>
      </c>
      <c r="U271" s="1626" t="n"/>
      <c r="V271" s="1618" t="n"/>
      <c r="W271" s="1615" t="n"/>
      <c r="X271" s="1619" t="n"/>
      <c r="Y271" s="1620" t="n"/>
      <c r="Z271" s="1619" t="n"/>
      <c r="AA271" s="1625">
        <f>S271*222</f>
        <v>277500</v>
      </c>
      <c r="AC271" s="865" t="inlineStr">
        <is>
          <t>EGI</t>
        </is>
      </c>
      <c r="AD271" s="865" t="inlineStr">
        <is>
          <t>EGI</t>
        </is>
      </c>
      <c r="AE271" s="865" t="inlineStr">
        <is>
          <t>EGI (unassigned)</t>
        </is>
      </c>
      <c r="AF271" s="865" t="inlineStr">
        <is>
          <t>Unmapped</t>
        </is>
      </c>
      <c r="AG271" s="865" t="inlineStr">
        <is>
          <t>Filled</t>
        </is>
      </c>
    </row>
    <row r="272" ht="18" customHeight="1" s="866">
      <c r="A272" s="1566" t="n">
        <v>95835</v>
      </c>
      <c r="B272" s="1382" t="inlineStr">
        <is>
          <t>Briony Scott</t>
        </is>
      </c>
      <c r="C272" s="1611" t="inlineStr">
        <is>
          <t>Service &amp; Contract Specialist AU</t>
        </is>
      </c>
      <c r="D272" s="1612" t="inlineStr">
        <is>
          <t>Vacant</t>
        </is>
      </c>
      <c r="E272" s="1382" t="inlineStr">
        <is>
          <t>Commercial Director</t>
        </is>
      </c>
      <c r="F272" s="1382" t="inlineStr">
        <is>
          <t>Partnering &amp; Transformation</t>
        </is>
      </c>
      <c r="G272" s="1382" t="inlineStr">
        <is>
          <t>Commercial</t>
        </is>
      </c>
      <c r="H272" s="1382" t="inlineStr">
        <is>
          <t>NA</t>
        </is>
      </c>
      <c r="I272" s="1382" t="inlineStr">
        <is>
          <t>NA</t>
        </is>
      </c>
      <c r="J272" s="1382" t="inlineStr">
        <is>
          <t>NA</t>
        </is>
      </c>
      <c r="K272" s="1382" t="inlineStr">
        <is>
          <t>NA</t>
        </is>
      </c>
      <c r="L272" s="1612" t="n"/>
      <c r="M272" s="1613" t="inlineStr">
        <is>
          <t>Australia</t>
        </is>
      </c>
      <c r="N272" s="1614" t="inlineStr">
        <is>
          <t>CIB</t>
        </is>
      </c>
      <c r="O272" s="1614" t="n">
        <v>1</v>
      </c>
      <c r="P272" s="1614" t="n"/>
      <c r="Q272" s="1614" t="inlineStr">
        <is>
          <t>Permanent - Full Time</t>
        </is>
      </c>
      <c r="R272" s="1616" t="n"/>
      <c r="S272" s="1616" t="n"/>
      <c r="T272" s="1627" t="n">
        <v>153600</v>
      </c>
      <c r="U272" s="1626" t="n">
        <v>153600</v>
      </c>
      <c r="V272" s="1619" t="n">
        <v>0.12</v>
      </c>
      <c r="W272" s="1622" t="n">
        <v>0.055</v>
      </c>
      <c r="X272" s="1622" t="n">
        <v>0.12</v>
      </c>
      <c r="Y272" s="1623" t="n"/>
      <c r="Z272" s="1622" t="n">
        <v>0.04</v>
      </c>
      <c r="AA272" s="1621">
        <f>U272*(1+V272+W272+X272+Y272+Z272)</f>
        <v>205056</v>
      </c>
      <c r="AC272" s="865" t="inlineStr">
        <is>
          <t>COE</t>
        </is>
      </c>
      <c r="AD272" s="865" t="inlineStr">
        <is>
          <t>COE - Business Partnering</t>
        </is>
      </c>
      <c r="AE272" s="865" t="inlineStr">
        <is>
          <t>COE - Business Partnering</t>
        </is>
      </c>
      <c r="AF272" s="865" t="inlineStr">
        <is>
          <t>COE</t>
        </is>
      </c>
      <c r="AG272" s="865" t="inlineStr">
        <is>
          <t>Filled</t>
        </is>
      </c>
    </row>
    <row r="273" ht="18" customHeight="1" s="866">
      <c r="A273" s="1566" t="n">
        <v>102411</v>
      </c>
      <c r="B273" s="1382" t="inlineStr">
        <is>
          <t>Conli Mills</t>
        </is>
      </c>
      <c r="C273" s="1611" t="inlineStr">
        <is>
          <t>TDD BP - Infrastructure</t>
        </is>
      </c>
      <c r="D273" s="865" t="inlineStr">
        <is>
          <t>Michael Schofield</t>
        </is>
      </c>
      <c r="E273" s="1382" t="inlineStr">
        <is>
          <t>GM TDD, Partnering &amp; Transformation</t>
        </is>
      </c>
      <c r="F273" s="1382" t="inlineStr">
        <is>
          <t>Partnering &amp; Transformation</t>
        </is>
      </c>
      <c r="G273" s="1382" t="inlineStr">
        <is>
          <t>TDD Business Partner</t>
        </is>
      </c>
      <c r="H273" s="1382" t="inlineStr">
        <is>
          <t>NA</t>
        </is>
      </c>
      <c r="I273" s="1382" t="inlineStr">
        <is>
          <t>NA</t>
        </is>
      </c>
      <c r="J273" s="1382" t="inlineStr">
        <is>
          <t>NA</t>
        </is>
      </c>
      <c r="K273" s="1382" t="inlineStr">
        <is>
          <t>NA</t>
        </is>
      </c>
      <c r="L273" s="1612" t="n"/>
      <c r="M273" s="1613" t="inlineStr">
        <is>
          <t>Australia</t>
        </is>
      </c>
      <c r="N273" s="1614" t="inlineStr">
        <is>
          <t>CSC</t>
        </is>
      </c>
      <c r="O273" s="1614" t="n">
        <v>1</v>
      </c>
      <c r="P273" s="1614" t="n"/>
      <c r="Q273" s="1614" t="inlineStr">
        <is>
          <t>Permanent - Full Time</t>
        </is>
      </c>
      <c r="R273" s="1616" t="n"/>
      <c r="S273" s="1616" t="n"/>
      <c r="T273" s="1627" t="n">
        <v>210000</v>
      </c>
      <c r="U273" s="1626" t="n">
        <v>210000</v>
      </c>
      <c r="V273" s="1619" t="n">
        <v>0.2</v>
      </c>
      <c r="W273" s="1622" t="n">
        <v>0.055</v>
      </c>
      <c r="X273" s="1622" t="n">
        <v>0.12</v>
      </c>
      <c r="Y273" s="1623" t="n"/>
      <c r="Z273" s="1622" t="n">
        <v>0.04</v>
      </c>
      <c r="AA273" s="1621">
        <f>U273*(1+V273+W273+X273+Y273+Z273)</f>
        <v>297150</v>
      </c>
      <c r="AC273" s="865" t="inlineStr">
        <is>
          <t>COE</t>
        </is>
      </c>
      <c r="AD273" s="865" t="inlineStr">
        <is>
          <t>COE - Business Partnering</t>
        </is>
      </c>
      <c r="AE273" s="865" t="inlineStr">
        <is>
          <t>COE - Business Partnering</t>
        </is>
      </c>
      <c r="AF273" s="865" t="inlineStr">
        <is>
          <t>COE</t>
        </is>
      </c>
      <c r="AG273" s="865" t="inlineStr">
        <is>
          <t>Filled</t>
        </is>
      </c>
    </row>
    <row r="274" ht="18" customHeight="1" s="866">
      <c r="A274" s="1566" t="n">
        <v>99999170371</v>
      </c>
      <c r="B274" s="1382" t="inlineStr">
        <is>
          <t>Helen Ngu</t>
        </is>
      </c>
      <c r="C274" s="1611" t="inlineStr">
        <is>
          <t>Service &amp; Contract Specialist NZ</t>
        </is>
      </c>
      <c r="D274" s="1612" t="inlineStr">
        <is>
          <t>Vacant</t>
        </is>
      </c>
      <c r="E274" s="1382" t="inlineStr">
        <is>
          <t>Commercial Director</t>
        </is>
      </c>
      <c r="F274" s="1382" t="inlineStr">
        <is>
          <t>Partnering &amp; Transformation</t>
        </is>
      </c>
      <c r="G274" s="1382" t="inlineStr">
        <is>
          <t>Commercial</t>
        </is>
      </c>
      <c r="H274" s="1382" t="inlineStr">
        <is>
          <t>NA</t>
        </is>
      </c>
      <c r="I274" s="1382" t="inlineStr">
        <is>
          <t>NA</t>
        </is>
      </c>
      <c r="J274" s="1382" t="inlineStr">
        <is>
          <t>NA</t>
        </is>
      </c>
      <c r="K274" s="1382" t="inlineStr">
        <is>
          <t>NA</t>
        </is>
      </c>
      <c r="L274" s="1612" t="n"/>
      <c r="M274" s="1613" t="inlineStr">
        <is>
          <t>NZ</t>
        </is>
      </c>
      <c r="N274" s="1614" t="inlineStr">
        <is>
          <t>CIA</t>
        </is>
      </c>
      <c r="O274" s="1615" t="n">
        <v>1</v>
      </c>
      <c r="P274" s="1614" t="n"/>
      <c r="Q274" s="1615" t="inlineStr">
        <is>
          <t>Permanent - Full Time</t>
        </is>
      </c>
      <c r="R274" s="1616" t="n"/>
      <c r="S274" s="1616" t="n"/>
      <c r="T274" s="1627" t="n">
        <v>130870</v>
      </c>
      <c r="U274" s="1626" t="n">
        <v>120400.4</v>
      </c>
      <c r="V274" s="1618" t="n">
        <v>0.15</v>
      </c>
      <c r="W274" s="1615" t="n"/>
      <c r="X274" s="1619" t="n">
        <v>0.05</v>
      </c>
      <c r="Y274" s="1620" t="n">
        <v>2910</v>
      </c>
      <c r="Z274" s="1619" t="n">
        <v>0.03</v>
      </c>
      <c r="AA274" s="1621">
        <f>U274*(1+V274+X274+Z274)+Y274</f>
        <v>151002.492</v>
      </c>
      <c r="AB274" s="865" t="n">
        <v>113546</v>
      </c>
      <c r="AC274" s="865" t="inlineStr">
        <is>
          <t>COE</t>
        </is>
      </c>
      <c r="AD274" s="865" t="inlineStr">
        <is>
          <t>COE - Business Partnering</t>
        </is>
      </c>
      <c r="AE274" s="865" t="inlineStr">
        <is>
          <t>COE - Business Partnering</t>
        </is>
      </c>
      <c r="AF274" s="865" t="inlineStr">
        <is>
          <t>COE</t>
        </is>
      </c>
      <c r="AG274" s="865" t="inlineStr">
        <is>
          <t>Filled</t>
        </is>
      </c>
    </row>
    <row r="275" ht="18" customHeight="1" s="866">
      <c r="A275" s="1566" t="n">
        <v>113362</v>
      </c>
      <c r="B275" s="1382" t="inlineStr">
        <is>
          <t>Jane Esclandra</t>
        </is>
      </c>
      <c r="C275" s="1611" t="inlineStr">
        <is>
          <t>Software Asset Specialist</t>
        </is>
      </c>
      <c r="D275" s="1612" t="inlineStr">
        <is>
          <t>Vacant</t>
        </is>
      </c>
      <c r="E275" s="1382" t="inlineStr">
        <is>
          <t>Commercial Director</t>
        </is>
      </c>
      <c r="F275" s="1382" t="inlineStr">
        <is>
          <t>Partnering &amp; Transformation</t>
        </is>
      </c>
      <c r="G275" s="1382" t="inlineStr">
        <is>
          <t>Commercial</t>
        </is>
      </c>
      <c r="H275" s="1382" t="inlineStr">
        <is>
          <t>NA</t>
        </is>
      </c>
      <c r="I275" s="1382" t="inlineStr">
        <is>
          <t>NA</t>
        </is>
      </c>
      <c r="J275" s="1382" t="inlineStr">
        <is>
          <t>NA</t>
        </is>
      </c>
      <c r="K275" s="1382" t="inlineStr">
        <is>
          <t>NA</t>
        </is>
      </c>
      <c r="L275" s="1612" t="n"/>
      <c r="M275" s="1613" t="inlineStr">
        <is>
          <t>Australia</t>
        </is>
      </c>
      <c r="N275" s="1614" t="inlineStr">
        <is>
          <t>CIB</t>
        </is>
      </c>
      <c r="O275" s="1614" t="n">
        <v>1</v>
      </c>
      <c r="P275" s="1614" t="n"/>
      <c r="Q275" s="1614" t="inlineStr">
        <is>
          <t>Permanent - Full Time</t>
        </is>
      </c>
      <c r="R275" s="1616" t="n"/>
      <c r="S275" s="1616" t="n"/>
      <c r="T275" s="1627" t="n">
        <v>137420</v>
      </c>
      <c r="U275" s="1626" t="n">
        <v>137420</v>
      </c>
      <c r="V275" s="1619" t="n">
        <v>0.12</v>
      </c>
      <c r="W275" s="1622" t="n">
        <v>0.055</v>
      </c>
      <c r="X275" s="1622" t="n">
        <v>0.12</v>
      </c>
      <c r="Y275" s="1623" t="n"/>
      <c r="Z275" s="1622" t="n">
        <v>0.04</v>
      </c>
      <c r="AA275" s="1621">
        <f>U275*(1+V275+W275+X275+Y275+Z275)</f>
        <v>183455.7</v>
      </c>
      <c r="AC275" s="865" t="inlineStr">
        <is>
          <t>COE</t>
        </is>
      </c>
      <c r="AD275" s="865" t="inlineStr">
        <is>
          <t>COE - Business Partnering</t>
        </is>
      </c>
      <c r="AE275" s="865" t="inlineStr">
        <is>
          <t>COE - Business Partnering</t>
        </is>
      </c>
      <c r="AF275" s="865" t="inlineStr">
        <is>
          <t>COE</t>
        </is>
      </c>
      <c r="AG275" s="865" t="inlineStr">
        <is>
          <t>Filled</t>
        </is>
      </c>
    </row>
    <row r="276" ht="18" customHeight="1" s="866">
      <c r="A276" s="1566" t="n">
        <v>12992</v>
      </c>
      <c r="B276" s="1382" t="inlineStr">
        <is>
          <t>Jeannie Chu</t>
        </is>
      </c>
      <c r="C276" s="1611" t="inlineStr">
        <is>
          <t>Snr Finance Support Administrator</t>
        </is>
      </c>
      <c r="D276" s="865" t="inlineStr">
        <is>
          <t>Sam Chan</t>
        </is>
      </c>
      <c r="E276" s="1382" t="inlineStr">
        <is>
          <t>Fin Ops Manager</t>
        </is>
      </c>
      <c r="F276" s="1382" t="inlineStr">
        <is>
          <t>Partnering &amp; Transformation</t>
        </is>
      </c>
      <c r="G276" s="1382" t="inlineStr">
        <is>
          <t>Transformation</t>
        </is>
      </c>
      <c r="H276" s="1382" t="inlineStr">
        <is>
          <t>NA</t>
        </is>
      </c>
      <c r="I276" s="1382" t="inlineStr">
        <is>
          <t>NA</t>
        </is>
      </c>
      <c r="J276" s="1382" t="inlineStr">
        <is>
          <t>NA</t>
        </is>
      </c>
      <c r="K276" s="1382" t="inlineStr">
        <is>
          <t>NA</t>
        </is>
      </c>
      <c r="L276" s="1612" t="n"/>
      <c r="M276" s="1613" t="inlineStr">
        <is>
          <t>Australia</t>
        </is>
      </c>
      <c r="N276" s="1616" t="inlineStr">
        <is>
          <t>CDC</t>
        </is>
      </c>
      <c r="O276" s="1616" t="n">
        <v>1</v>
      </c>
      <c r="P276" s="1616" t="n"/>
      <c r="Q276" s="1616" t="inlineStr">
        <is>
          <t>Permanent - Full Time</t>
        </is>
      </c>
      <c r="R276" s="1616" t="n"/>
      <c r="S276" s="1616" t="n"/>
      <c r="T276" s="1627" t="n">
        <v>112310</v>
      </c>
      <c r="U276" s="1626" t="n">
        <v>112310</v>
      </c>
      <c r="V276" s="1619" t="n">
        <v>0.1</v>
      </c>
      <c r="W276" s="1622" t="n">
        <v>0.055</v>
      </c>
      <c r="X276" s="1622" t="n">
        <v>0.12</v>
      </c>
      <c r="Y276" s="1623" t="n"/>
      <c r="Z276" s="1622" t="n">
        <v>0.04</v>
      </c>
      <c r="AA276" s="1621">
        <f>U276*(1+V276+W276+X276+Y276+Z276)</f>
        <v>147687.65</v>
      </c>
      <c r="AC276" s="865" t="inlineStr">
        <is>
          <t>COE</t>
        </is>
      </c>
      <c r="AD276" s="865" t="inlineStr">
        <is>
          <t>COE - Transformation</t>
        </is>
      </c>
      <c r="AE276" s="865" t="inlineStr">
        <is>
          <t>COE - Transformation</t>
        </is>
      </c>
      <c r="AF276" s="865" t="inlineStr">
        <is>
          <t>COE</t>
        </is>
      </c>
      <c r="AG276" s="865" t="inlineStr">
        <is>
          <t>Filled</t>
        </is>
      </c>
    </row>
    <row r="277" ht="18" customHeight="1" s="866">
      <c r="A277" s="1566" t="n">
        <v>82561</v>
      </c>
      <c r="B277" s="1382" t="inlineStr">
        <is>
          <t>Jenny Chan</t>
        </is>
      </c>
      <c r="C277" s="1611" t="inlineStr">
        <is>
          <t>Project Finance Lead</t>
        </is>
      </c>
      <c r="D277" s="1382" t="inlineStr">
        <is>
          <t>Sam Chan</t>
        </is>
      </c>
      <c r="E277" s="1382" t="inlineStr">
        <is>
          <t xml:space="preserve">Manager Risk &amp; Resilience </t>
        </is>
      </c>
      <c r="F277" s="1382" t="inlineStr">
        <is>
          <t>Partnering &amp; Transformation</t>
        </is>
      </c>
      <c r="G277" s="1382" t="inlineStr">
        <is>
          <t>Transformation</t>
        </is>
      </c>
      <c r="H277" s="1382" t="inlineStr">
        <is>
          <t>NA</t>
        </is>
      </c>
      <c r="I277" s="1382" t="inlineStr">
        <is>
          <t>NA</t>
        </is>
      </c>
      <c r="J277" s="1382" t="inlineStr">
        <is>
          <t>NA</t>
        </is>
      </c>
      <c r="K277" s="1382" t="inlineStr">
        <is>
          <t>NA</t>
        </is>
      </c>
      <c r="L277" s="1612" t="n"/>
      <c r="M277" s="1613" t="inlineStr">
        <is>
          <t>Australia</t>
        </is>
      </c>
      <c r="N277" s="1616" t="inlineStr">
        <is>
          <t>CIB</t>
        </is>
      </c>
      <c r="O277" s="1616" t="n">
        <v>1</v>
      </c>
      <c r="P277" s="1616" t="n"/>
      <c r="Q277" s="1616" t="inlineStr">
        <is>
          <t>Permanent - Full Time</t>
        </is>
      </c>
      <c r="R277" s="1616" t="n"/>
      <c r="S277" s="1616" t="n"/>
      <c r="T277" s="1627" t="n">
        <v>154400</v>
      </c>
      <c r="U277" s="1626" t="n">
        <v>154400</v>
      </c>
      <c r="V277" s="1619" t="n">
        <v>0.12</v>
      </c>
      <c r="W277" s="1622" t="n">
        <v>0.055</v>
      </c>
      <c r="X277" s="1622" t="n">
        <v>0.12</v>
      </c>
      <c r="Y277" s="1623" t="n"/>
      <c r="Z277" s="1622" t="n">
        <v>0.04</v>
      </c>
      <c r="AA277" s="1621">
        <f>U277*(1+V277+W277+X277+Y277+Z277)</f>
        <v>206124</v>
      </c>
      <c r="AC277" s="865" t="inlineStr">
        <is>
          <t>COE</t>
        </is>
      </c>
      <c r="AD277" s="865" t="inlineStr">
        <is>
          <t>COE - Transformation</t>
        </is>
      </c>
      <c r="AE277" s="865" t="inlineStr">
        <is>
          <t>COE - Transformation</t>
        </is>
      </c>
      <c r="AF277" s="865" t="inlineStr">
        <is>
          <t>COE</t>
        </is>
      </c>
      <c r="AG277" s="865" t="inlineStr">
        <is>
          <t>Filled</t>
        </is>
      </c>
    </row>
    <row r="278" ht="18" customHeight="1" s="866">
      <c r="A278" s="1566" t="inlineStr">
        <is>
          <t>tbc</t>
        </is>
      </c>
      <c r="B278" s="1382" t="inlineStr">
        <is>
          <t>Malcolm Deare</t>
        </is>
      </c>
      <c r="C278" s="1611" t="inlineStr">
        <is>
          <t>TDD BP, Group Functions</t>
        </is>
      </c>
      <c r="D278" s="1382" t="inlineStr">
        <is>
          <t>Michael Schofield</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612" t="n"/>
      <c r="M278" s="1613" t="inlineStr">
        <is>
          <t>Australia</t>
        </is>
      </c>
      <c r="N278" s="1614" t="inlineStr">
        <is>
          <t>CSB</t>
        </is>
      </c>
      <c r="O278" s="1614" t="n">
        <v>1</v>
      </c>
      <c r="P278" s="1614" t="n"/>
      <c r="Q278" s="1614" t="inlineStr">
        <is>
          <t>Permanent - Full Time</t>
        </is>
      </c>
      <c r="R278" s="1616" t="n"/>
      <c r="S278" s="1616" t="n"/>
      <c r="T278" s="1627" t="n">
        <v>220000</v>
      </c>
      <c r="U278" s="1626" t="n">
        <v>220000</v>
      </c>
      <c r="V278" s="1619" t="n">
        <v>0.14</v>
      </c>
      <c r="W278" s="1622" t="n">
        <v>0.055</v>
      </c>
      <c r="X278" s="1622" t="n">
        <v>0.12</v>
      </c>
      <c r="Y278" s="1623" t="n"/>
      <c r="Z278" s="1622" t="n">
        <v>0.04</v>
      </c>
      <c r="AA278" s="1621">
        <f>U278*(1+V278+W278+X278+Y278+Z278)</f>
        <v>298100</v>
      </c>
      <c r="AC278" s="865" t="inlineStr">
        <is>
          <t>COE</t>
        </is>
      </c>
      <c r="AD278" s="865" t="inlineStr">
        <is>
          <t>COE - Business Partnering</t>
        </is>
      </c>
      <c r="AE278" s="865" t="inlineStr">
        <is>
          <t>COE - Business Partnering</t>
        </is>
      </c>
      <c r="AF278" s="865" t="inlineStr">
        <is>
          <t>COE</t>
        </is>
      </c>
      <c r="AG278" s="865" t="inlineStr">
        <is>
          <t>Filled</t>
        </is>
      </c>
    </row>
    <row r="279" ht="18" customHeight="1" s="866">
      <c r="A279" s="1566" t="n">
        <v>5607</v>
      </c>
      <c r="B279" s="1382" t="inlineStr">
        <is>
          <t>Maria Somera</t>
        </is>
      </c>
      <c r="C279" s="1611" t="inlineStr">
        <is>
          <t>Technology Finance Analyst</t>
        </is>
      </c>
      <c r="D279" s="1382" t="inlineStr">
        <is>
          <t>Sam Chan</t>
        </is>
      </c>
      <c r="E279" s="1382" t="inlineStr">
        <is>
          <t>Fin Ops Manager</t>
        </is>
      </c>
      <c r="F279" s="1382" t="inlineStr">
        <is>
          <t>Partnering &amp; Transformation</t>
        </is>
      </c>
      <c r="G279" s="1382" t="inlineStr">
        <is>
          <t>Transformation</t>
        </is>
      </c>
      <c r="H279" s="1382" t="inlineStr">
        <is>
          <t>NA</t>
        </is>
      </c>
      <c r="I279" s="1382" t="inlineStr">
        <is>
          <t>NA</t>
        </is>
      </c>
      <c r="J279" s="1382" t="inlineStr">
        <is>
          <t>NA</t>
        </is>
      </c>
      <c r="K279" s="1382" t="inlineStr">
        <is>
          <t>NA</t>
        </is>
      </c>
      <c r="L279" s="1612" t="n"/>
      <c r="M279" s="1613" t="inlineStr">
        <is>
          <t>Australia</t>
        </is>
      </c>
      <c r="N279" s="1616" t="inlineStr">
        <is>
          <t>CIA</t>
        </is>
      </c>
      <c r="O279" s="1616" t="n">
        <v>1</v>
      </c>
      <c r="P279" s="1616" t="n"/>
      <c r="Q279" s="1616" t="inlineStr">
        <is>
          <t>Permanent - Full Time</t>
        </is>
      </c>
      <c r="R279" s="1616" t="n"/>
      <c r="S279" s="1616" t="n"/>
      <c r="T279" s="1627" t="n">
        <v>136360</v>
      </c>
      <c r="U279" s="1626" t="n">
        <v>136360</v>
      </c>
      <c r="V279" s="1619" t="n">
        <v>0.1</v>
      </c>
      <c r="W279" s="1622" t="n">
        <v>0.055</v>
      </c>
      <c r="X279" s="1622" t="n">
        <v>0.12</v>
      </c>
      <c r="Y279" s="1623" t="n"/>
      <c r="Z279" s="1622" t="n">
        <v>0.04</v>
      </c>
      <c r="AA279" s="1621">
        <f>U279*(1+V279+W279+X279+Y279+Z279)</f>
        <v>179313.4</v>
      </c>
      <c r="AC279" s="865" t="inlineStr">
        <is>
          <t>COE</t>
        </is>
      </c>
      <c r="AD279" s="865" t="inlineStr">
        <is>
          <t>COE - Transformation</t>
        </is>
      </c>
      <c r="AE279" s="865" t="inlineStr">
        <is>
          <t>COE - Transformation</t>
        </is>
      </c>
      <c r="AF279" s="865" t="inlineStr">
        <is>
          <t>COE</t>
        </is>
      </c>
      <c r="AG279" s="865" t="inlineStr">
        <is>
          <t>Filled</t>
        </is>
      </c>
    </row>
    <row r="280" ht="18" customHeight="1" s="866">
      <c r="A280" s="1566" t="n">
        <v>99999102029</v>
      </c>
      <c r="B280" s="1382" t="inlineStr">
        <is>
          <t>Matt Saunders</t>
        </is>
      </c>
      <c r="C280" s="1611" t="inlineStr">
        <is>
          <t>Scrum Master</t>
        </is>
      </c>
      <c r="D280" s="1612" t="inlineStr">
        <is>
          <t>Vacant</t>
        </is>
      </c>
      <c r="E280" s="1382" t="inlineStr">
        <is>
          <t xml:space="preserve">Lead Technology Support </t>
        </is>
      </c>
      <c r="F280" s="1382" t="inlineStr">
        <is>
          <t>Partnering &amp; Transformation</t>
        </is>
      </c>
      <c r="G280" s="1382" t="inlineStr">
        <is>
          <t>Transformation</t>
        </is>
      </c>
      <c r="H280" s="1382" t="inlineStr">
        <is>
          <t>NA</t>
        </is>
      </c>
      <c r="I280" s="1382" t="inlineStr">
        <is>
          <t>NA</t>
        </is>
      </c>
      <c r="J280" s="1382" t="inlineStr">
        <is>
          <t>NA</t>
        </is>
      </c>
      <c r="K280" s="1382" t="inlineStr">
        <is>
          <t>NA</t>
        </is>
      </c>
      <c r="L280" s="1612" t="n"/>
      <c r="M280" s="1613" t="inlineStr">
        <is>
          <t>NZ</t>
        </is>
      </c>
      <c r="N280" s="1614" t="inlineStr">
        <is>
          <t>CIA</t>
        </is>
      </c>
      <c r="O280" s="1615" t="n">
        <v>1</v>
      </c>
      <c r="P280" s="1614" t="n"/>
      <c r="Q280" s="1615" t="inlineStr">
        <is>
          <t>Permanent - Full Time</t>
        </is>
      </c>
      <c r="R280" s="1616" t="n"/>
      <c r="S280" s="1616" t="n"/>
      <c r="T280" s="1627" t="n">
        <v>128000</v>
      </c>
      <c r="U280" s="1626" t="n">
        <v>117760</v>
      </c>
      <c r="V280" s="1618" t="n">
        <v>0.15</v>
      </c>
      <c r="W280" s="1616" t="n"/>
      <c r="X280" s="1619" t="n">
        <v>0.05</v>
      </c>
      <c r="Y280" s="1620" t="n">
        <v>2910</v>
      </c>
      <c r="Z280" s="1619" t="n">
        <v>0.03</v>
      </c>
      <c r="AA280" s="1621">
        <f>U280*(1+V280+X280+Z280)+Y280</f>
        <v>147754.8</v>
      </c>
      <c r="AB280" s="865" t="n">
        <v>115827</v>
      </c>
      <c r="AC280" s="865" t="inlineStr">
        <is>
          <t>COE</t>
        </is>
      </c>
      <c r="AD280" s="865" t="inlineStr">
        <is>
          <t>COE - Transformation</t>
        </is>
      </c>
      <c r="AE280" s="865" t="inlineStr">
        <is>
          <t>COE - Transformation</t>
        </is>
      </c>
      <c r="AF280" s="865" t="inlineStr">
        <is>
          <t>COE</t>
        </is>
      </c>
      <c r="AG280" s="865" t="inlineStr">
        <is>
          <t>Filled</t>
        </is>
      </c>
    </row>
    <row r="281" ht="18" customHeight="1" s="866">
      <c r="A281" s="1566" t="n">
        <v>116540</v>
      </c>
      <c r="B281" s="1382" t="inlineStr">
        <is>
          <t>Neil Reilly</t>
        </is>
      </c>
      <c r="C281" s="1611" t="inlineStr">
        <is>
          <t>TDD BP - T&amp;S</t>
        </is>
      </c>
      <c r="D281" s="1382" t="inlineStr">
        <is>
          <t>Michael Schofield</t>
        </is>
      </c>
      <c r="E281" s="1382" t="inlineStr">
        <is>
          <t>GM TDD, Partnering &amp; Transformation</t>
        </is>
      </c>
      <c r="F281" s="1382" t="inlineStr">
        <is>
          <t>Partnering &amp; Transformation</t>
        </is>
      </c>
      <c r="G281" s="1382" t="inlineStr">
        <is>
          <t>TDD Business Partner</t>
        </is>
      </c>
      <c r="H281" s="1382" t="inlineStr">
        <is>
          <t>NA</t>
        </is>
      </c>
      <c r="I281" s="1382" t="inlineStr">
        <is>
          <t>NA</t>
        </is>
      </c>
      <c r="J281" s="1382" t="inlineStr">
        <is>
          <t>NA</t>
        </is>
      </c>
      <c r="K281" s="1382" t="inlineStr">
        <is>
          <t>NA</t>
        </is>
      </c>
      <c r="L281" s="1612" t="n"/>
      <c r="M281" s="1613" t="inlineStr">
        <is>
          <t>Singapore</t>
        </is>
      </c>
      <c r="N281" s="1614" t="inlineStr">
        <is>
          <t>CSC</t>
        </is>
      </c>
      <c r="O281" s="1614" t="n">
        <v>1</v>
      </c>
      <c r="P281" s="1614" t="n"/>
      <c r="Q281" s="1614" t="inlineStr">
        <is>
          <t>Permanent - Full Time</t>
        </is>
      </c>
      <c r="R281" s="1616" t="n"/>
      <c r="S281" s="1616" t="n"/>
      <c r="T281" s="1627" t="n">
        <v>350000</v>
      </c>
      <c r="U281" s="1626" t="n">
        <v>423500</v>
      </c>
      <c r="V281" s="1619" t="n">
        <v>0.35</v>
      </c>
      <c r="W281" s="1616" t="n"/>
      <c r="X281" s="1619" t="n">
        <v>0.17</v>
      </c>
      <c r="Y281" s="1620" t="n">
        <v>3310</v>
      </c>
      <c r="Z281" s="1638" t="n">
        <v>0.045</v>
      </c>
      <c r="AA281" s="1621">
        <f>U281*(1+V281+X281+Z281)+Y281</f>
        <v>666087.5</v>
      </c>
      <c r="AC281" s="865" t="inlineStr">
        <is>
          <t>COE</t>
        </is>
      </c>
      <c r="AD281" s="865" t="inlineStr">
        <is>
          <t>COE - Business Partnering</t>
        </is>
      </c>
      <c r="AE281" s="865" t="inlineStr">
        <is>
          <t>COE - Business Partnering</t>
        </is>
      </c>
      <c r="AF281" s="865" t="inlineStr">
        <is>
          <t>COE</t>
        </is>
      </c>
      <c r="AG281" s="865" t="inlineStr">
        <is>
          <t>Filled</t>
        </is>
      </c>
    </row>
    <row r="282" ht="18" customHeight="1" s="866">
      <c r="A282" s="1566" t="n">
        <v>113835</v>
      </c>
      <c r="B282" s="1382" t="inlineStr">
        <is>
          <t>Ruth Chou</t>
        </is>
      </c>
      <c r="C282" s="1611" t="inlineStr">
        <is>
          <t>Portfolio Reporting Manager</t>
        </is>
      </c>
      <c r="D282" s="1612" t="inlineStr">
        <is>
          <t>Vacant</t>
        </is>
      </c>
      <c r="E282" s="1382" t="inlineStr">
        <is>
          <t xml:space="preserve">Manager Service Perforance &amp; Assurance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612" t="n"/>
      <c r="M282" s="1613" t="inlineStr">
        <is>
          <t>Australia</t>
        </is>
      </c>
      <c r="N282" s="1614" t="inlineStr">
        <is>
          <t>CSB</t>
        </is>
      </c>
      <c r="O282" s="1614" t="n">
        <v>1</v>
      </c>
      <c r="P282" s="1614" t="n"/>
      <c r="Q282" s="1614" t="inlineStr">
        <is>
          <t>Permanent - Full Time</t>
        </is>
      </c>
      <c r="R282" s="1616" t="n"/>
      <c r="S282" s="1616" t="n"/>
      <c r="T282" s="1627" t="n">
        <v>216470</v>
      </c>
      <c r="U282" s="1626" t="n">
        <v>216470</v>
      </c>
      <c r="V282" s="1619" t="n">
        <v>0.14</v>
      </c>
      <c r="W282" s="1622" t="n">
        <v>0.055</v>
      </c>
      <c r="X282" s="1622" t="n">
        <v>0.12</v>
      </c>
      <c r="Y282" s="1623" t="n"/>
      <c r="Z282" s="1622" t="n">
        <v>0.04</v>
      </c>
      <c r="AA282" s="1621">
        <f>U282*(1+V282+W282+X282+Y282+Z282)</f>
        <v>293316.85</v>
      </c>
      <c r="AC282" s="865" t="inlineStr">
        <is>
          <t>COE</t>
        </is>
      </c>
      <c r="AD282" s="865" t="inlineStr">
        <is>
          <t>COE - Transformation</t>
        </is>
      </c>
      <c r="AE282" s="865" t="inlineStr">
        <is>
          <t>COE - Transformation</t>
        </is>
      </c>
      <c r="AF282" s="865" t="inlineStr">
        <is>
          <t>COE</t>
        </is>
      </c>
      <c r="AG282" s="865" t="inlineStr">
        <is>
          <t>Filled</t>
        </is>
      </c>
    </row>
    <row r="283" ht="18" customHeight="1" s="866">
      <c r="A283" s="1566" t="n">
        <v>83658</v>
      </c>
      <c r="B283" s="1382" t="inlineStr">
        <is>
          <t>Sam Chan</t>
        </is>
      </c>
      <c r="C283" s="1611" t="inlineStr">
        <is>
          <t>FinOps Manager</t>
        </is>
      </c>
      <c r="D283" s="1612" t="inlineStr">
        <is>
          <t>Vacant</t>
        </is>
      </c>
      <c r="E283" s="1382" t="inlineStr">
        <is>
          <t xml:space="preserve">Manager Cyber Security Operations </t>
        </is>
      </c>
      <c r="F283" s="1382" t="inlineStr">
        <is>
          <t>Partnering &amp; Transformation</t>
        </is>
      </c>
      <c r="G283" s="1382" t="inlineStr">
        <is>
          <t>Transformation</t>
        </is>
      </c>
      <c r="H283" s="865" t="inlineStr">
        <is>
          <t>NA</t>
        </is>
      </c>
      <c r="I283" s="1382" t="inlineStr">
        <is>
          <t>NA</t>
        </is>
      </c>
      <c r="J283" s="1382" t="inlineStr">
        <is>
          <t>NA</t>
        </is>
      </c>
      <c r="K283" s="1382" t="inlineStr">
        <is>
          <t>NA</t>
        </is>
      </c>
      <c r="L283" s="1612" t="n"/>
      <c r="M283" s="1613" t="inlineStr">
        <is>
          <t>Australia</t>
        </is>
      </c>
      <c r="N283" s="1616" t="inlineStr">
        <is>
          <t>CIC</t>
        </is>
      </c>
      <c r="O283" s="1616" t="n">
        <v>1</v>
      </c>
      <c r="P283" s="1616" t="n"/>
      <c r="Q283" s="1616" t="inlineStr">
        <is>
          <t>Permanent - Full Time</t>
        </is>
      </c>
      <c r="R283" s="1616" t="n"/>
      <c r="S283" s="1616" t="n"/>
      <c r="T283" s="1627" t="n">
        <v>169130</v>
      </c>
      <c r="U283" s="1626" t="n">
        <v>169130</v>
      </c>
      <c r="V283" s="1619" t="n">
        <v>0.12</v>
      </c>
      <c r="W283" s="1622" t="n">
        <v>0.055</v>
      </c>
      <c r="X283" s="1622" t="n">
        <v>0.12</v>
      </c>
      <c r="Y283" s="1623" t="n"/>
      <c r="Z283" s="1622" t="n">
        <v>0.04</v>
      </c>
      <c r="AA283" s="1621">
        <f>U283*(1+V283+W283+X283+Y283+Z283)</f>
        <v>225788.55</v>
      </c>
      <c r="AC283" s="865" t="inlineStr">
        <is>
          <t>COE</t>
        </is>
      </c>
      <c r="AD283" s="865" t="inlineStr">
        <is>
          <t>COE - Transformation</t>
        </is>
      </c>
      <c r="AE283" s="865" t="inlineStr">
        <is>
          <t>COE - Transformation</t>
        </is>
      </c>
      <c r="AF283" s="865" t="inlineStr">
        <is>
          <t>COE</t>
        </is>
      </c>
      <c r="AG283" s="865" t="inlineStr">
        <is>
          <t>Filled</t>
        </is>
      </c>
    </row>
    <row r="284" ht="18" customHeight="1" s="866">
      <c r="A284" s="1566" t="n">
        <v>99999102144</v>
      </c>
      <c r="B284" s="1382" t="inlineStr">
        <is>
          <t>Shelley Crawford</t>
        </is>
      </c>
      <c r="C284" s="1611" t="inlineStr">
        <is>
          <t>TDD BP - Z</t>
        </is>
      </c>
      <c r="D284" s="1382" t="inlineStr">
        <is>
          <t>Michael Schofield</t>
        </is>
      </c>
      <c r="E284" s="1382" t="inlineStr">
        <is>
          <t>GM TDD, Partnering &amp; Transformation</t>
        </is>
      </c>
      <c r="F284" s="1382" t="inlineStr">
        <is>
          <t>Partnering &amp; Transformation</t>
        </is>
      </c>
      <c r="G284" s="1382" t="inlineStr">
        <is>
          <t>TDD Business Partner</t>
        </is>
      </c>
      <c r="H284" s="1382" t="inlineStr">
        <is>
          <t>NA</t>
        </is>
      </c>
      <c r="I284" s="1382" t="inlineStr">
        <is>
          <t>NA</t>
        </is>
      </c>
      <c r="J284" s="1382" t="inlineStr">
        <is>
          <t>NA</t>
        </is>
      </c>
      <c r="K284" s="1382" t="inlineStr">
        <is>
          <t>NA</t>
        </is>
      </c>
      <c r="L284" s="1612" t="n"/>
      <c r="M284" s="1613" t="inlineStr">
        <is>
          <t>NZ</t>
        </is>
      </c>
      <c r="N284" s="1614" t="inlineStr">
        <is>
          <t>CSC</t>
        </is>
      </c>
      <c r="O284" s="1615" t="n">
        <v>1</v>
      </c>
      <c r="P284" s="1614" t="n"/>
      <c r="Q284" s="1615" t="inlineStr">
        <is>
          <t>Permanent - Full Time</t>
        </is>
      </c>
      <c r="R284" s="1616" t="n"/>
      <c r="S284" s="1616" t="n"/>
      <c r="T284" s="1627" t="n">
        <v>245000</v>
      </c>
      <c r="U284" s="1626" t="n">
        <v>225400</v>
      </c>
      <c r="V284" s="1618" t="n">
        <v>0.2</v>
      </c>
      <c r="W284" s="1616" t="n"/>
      <c r="X284" s="1619" t="n">
        <v>0.05</v>
      </c>
      <c r="Y284" s="1620" t="n">
        <v>2910</v>
      </c>
      <c r="Z284" s="1619" t="n">
        <v>0.03</v>
      </c>
      <c r="AA284" s="1621">
        <f>U284*(1+V284+X284+Z284)+Y284</f>
        <v>291422</v>
      </c>
      <c r="AB284" s="865" t="n">
        <v>116452</v>
      </c>
      <c r="AC284" s="865" t="inlineStr">
        <is>
          <t>COE</t>
        </is>
      </c>
      <c r="AD284" s="865" t="inlineStr">
        <is>
          <t>COE - Business Partnering</t>
        </is>
      </c>
      <c r="AE284" s="865" t="inlineStr">
        <is>
          <t>COE - Business Partnering</t>
        </is>
      </c>
      <c r="AF284" s="865" t="inlineStr">
        <is>
          <t>COE</t>
        </is>
      </c>
      <c r="AG284" s="865" t="inlineStr">
        <is>
          <t>Filled</t>
        </is>
      </c>
    </row>
    <row r="285" ht="18" customHeight="1" s="866">
      <c r="A285" s="1566" t="n">
        <v>113935</v>
      </c>
      <c r="B285" s="1382" t="inlineStr">
        <is>
          <t>Thomas Reid</t>
        </is>
      </c>
      <c r="C285" s="1611" t="inlineStr">
        <is>
          <t>TDD BP - Retail &amp; Customer - Store Digital</t>
        </is>
      </c>
      <c r="D285" s="1382" t="inlineStr">
        <is>
          <t>Michael Schofield</t>
        </is>
      </c>
      <c r="E285" s="1382" t="inlineStr">
        <is>
          <t>GM TDD, Partnering &amp; Transformation</t>
        </is>
      </c>
      <c r="F285" s="1382" t="inlineStr">
        <is>
          <t>Partnering &amp; Transformation</t>
        </is>
      </c>
      <c r="G285" s="1382" t="inlineStr">
        <is>
          <t>TDD Business Partner</t>
        </is>
      </c>
      <c r="H285" s="1382" t="inlineStr">
        <is>
          <t>NA</t>
        </is>
      </c>
      <c r="I285" s="1382" t="inlineStr">
        <is>
          <t>NA</t>
        </is>
      </c>
      <c r="J285" s="1382" t="inlineStr">
        <is>
          <t>NA</t>
        </is>
      </c>
      <c r="K285" s="1382" t="inlineStr">
        <is>
          <t>NA</t>
        </is>
      </c>
      <c r="L285" s="1612" t="n"/>
      <c r="M285" s="1613" t="inlineStr">
        <is>
          <t>Australia</t>
        </is>
      </c>
      <c r="N285" s="1614" t="inlineStr">
        <is>
          <t>CSC</t>
        </is>
      </c>
      <c r="O285" s="1614" t="n">
        <v>1</v>
      </c>
      <c r="P285" s="1614" t="n"/>
      <c r="Q285" s="1614" t="inlineStr">
        <is>
          <t>Permanent - Full Time</t>
        </is>
      </c>
      <c r="R285" s="1616" t="n"/>
      <c r="S285" s="1616" t="n"/>
      <c r="T285" s="1627" t="n">
        <v>295000</v>
      </c>
      <c r="U285" s="1626" t="n">
        <v>295000</v>
      </c>
      <c r="V285" s="1619" t="n">
        <v>0.2</v>
      </c>
      <c r="W285" s="1622" t="n">
        <v>0.055</v>
      </c>
      <c r="X285" s="1622" t="n">
        <v>0.12</v>
      </c>
      <c r="Y285" s="1623" t="n"/>
      <c r="Z285" s="1622" t="n">
        <v>0.04</v>
      </c>
      <c r="AA285" s="1621">
        <f>U285*(1+V285+W285+X285+Y285+Z285)</f>
        <v>417425</v>
      </c>
      <c r="AC285" s="865" t="inlineStr">
        <is>
          <t>COE</t>
        </is>
      </c>
      <c r="AD285" s="865" t="inlineStr">
        <is>
          <t>COE - Business Partnering</t>
        </is>
      </c>
      <c r="AE285" s="865" t="inlineStr">
        <is>
          <t>COE - Business Partnering</t>
        </is>
      </c>
      <c r="AF285" s="865" t="inlineStr">
        <is>
          <t>COE</t>
        </is>
      </c>
      <c r="AG285" s="865" t="inlineStr">
        <is>
          <t>Filled</t>
        </is>
      </c>
    </row>
    <row r="286" ht="18" customHeight="1" s="866">
      <c r="A286" s="1566" t="inlineStr">
        <is>
          <t>V</t>
        </is>
      </c>
      <c r="B286" s="1382" t="inlineStr">
        <is>
          <t>Vacant</t>
        </is>
      </c>
      <c r="C286" s="1611" t="inlineStr">
        <is>
          <t>Commercial Director</t>
        </is>
      </c>
      <c r="D286" s="1382" t="inlineStr">
        <is>
          <t>Michael Schofield</t>
        </is>
      </c>
      <c r="E286" s="1382" t="inlineStr">
        <is>
          <t>GM TDD, Partnering &amp; Transformation</t>
        </is>
      </c>
      <c r="F286" s="1382" t="inlineStr">
        <is>
          <t>Partnering &amp; Transformation</t>
        </is>
      </c>
      <c r="G286" s="1382" t="inlineStr">
        <is>
          <t>Commercial</t>
        </is>
      </c>
      <c r="H286" s="1382" t="inlineStr">
        <is>
          <t>NA</t>
        </is>
      </c>
      <c r="I286" s="1382" t="inlineStr">
        <is>
          <t>NA</t>
        </is>
      </c>
      <c r="J286" s="1382" t="inlineStr">
        <is>
          <t>NA</t>
        </is>
      </c>
      <c r="K286" s="1382" t="inlineStr">
        <is>
          <t>NA</t>
        </is>
      </c>
      <c r="L286" s="1612" t="n"/>
      <c r="M286" s="1613" t="inlineStr">
        <is>
          <t>Australia</t>
        </is>
      </c>
      <c r="N286" s="1614" t="inlineStr">
        <is>
          <t>LSB</t>
        </is>
      </c>
      <c r="O286" s="1614" t="n">
        <v>1</v>
      </c>
      <c r="P286" s="1614" t="n"/>
      <c r="Q286" s="1614" t="inlineStr">
        <is>
          <t>v</t>
        </is>
      </c>
      <c r="R286" s="1616" t="n"/>
      <c r="S286" s="1616" t="n"/>
      <c r="T286" s="1627" t="n">
        <v>300000</v>
      </c>
      <c r="U286" s="1626" t="n">
        <v>300000</v>
      </c>
      <c r="V286" s="1619" t="n">
        <v>0.25</v>
      </c>
      <c r="W286" s="1622" t="n">
        <v>0.055</v>
      </c>
      <c r="X286" s="1622" t="n">
        <v>0.12</v>
      </c>
      <c r="Y286" s="1623" t="n"/>
      <c r="Z286" s="1622" t="n">
        <v>0.04</v>
      </c>
      <c r="AA286" s="1621">
        <f>U286*(1+V286+W286+X286+Y286+Z286)</f>
        <v>439500</v>
      </c>
      <c r="AC286" s="1598" t="inlineStr">
        <is>
          <t>COE</t>
        </is>
      </c>
      <c r="AD286" s="865" t="inlineStr">
        <is>
          <t>COE - Business Partnering</t>
        </is>
      </c>
      <c r="AE286" s="865" t="inlineStr">
        <is>
          <t>COE - Business Partnering</t>
        </is>
      </c>
      <c r="AF286" s="865" t="inlineStr">
        <is>
          <t>COE</t>
        </is>
      </c>
      <c r="AG286" s="865" t="inlineStr">
        <is>
          <t>Vacant</t>
        </is>
      </c>
    </row>
    <row r="287" ht="18" customHeight="1" s="866">
      <c r="A287" s="1566" t="inlineStr">
        <is>
          <t>V</t>
        </is>
      </c>
      <c r="B287" s="1382" t="inlineStr">
        <is>
          <t>Vacant</t>
        </is>
      </c>
      <c r="C287" s="1611" t="inlineStr">
        <is>
          <t>Head of Transformation</t>
        </is>
      </c>
      <c r="D287" s="1382" t="inlineStr">
        <is>
          <t>Michael Schofield</t>
        </is>
      </c>
      <c r="E287" s="1382" t="inlineStr">
        <is>
          <t>Head of Service Operatoins &amp; Assurance</t>
        </is>
      </c>
      <c r="F287" s="1382" t="inlineStr">
        <is>
          <t>Partnering &amp; Transformation</t>
        </is>
      </c>
      <c r="G287" s="1382" t="inlineStr">
        <is>
          <t>Transformation</t>
        </is>
      </c>
      <c r="H287" s="1382" t="inlineStr">
        <is>
          <t>NA</t>
        </is>
      </c>
      <c r="I287" s="1382" t="inlineStr">
        <is>
          <t>NA</t>
        </is>
      </c>
      <c r="J287" s="1382" t="inlineStr">
        <is>
          <t>NA</t>
        </is>
      </c>
      <c r="K287" s="1382" t="inlineStr">
        <is>
          <t>NA</t>
        </is>
      </c>
      <c r="L287" s="1612" t="n"/>
      <c r="M287" s="1613" t="inlineStr">
        <is>
          <t>Australia</t>
        </is>
      </c>
      <c r="N287" s="1614" t="inlineStr">
        <is>
          <t>CSC</t>
        </is>
      </c>
      <c r="O287" s="1614" t="n">
        <v>1</v>
      </c>
      <c r="P287" s="1614" t="n"/>
      <c r="Q287" s="1614" t="inlineStr">
        <is>
          <t>v</t>
        </is>
      </c>
      <c r="R287" s="1616" t="n"/>
      <c r="S287" s="1616" t="n"/>
      <c r="T287" s="1627" t="n">
        <v>260000</v>
      </c>
      <c r="U287" s="1626" t="n">
        <v>260000</v>
      </c>
      <c r="V287" s="1619" t="n">
        <v>0.2</v>
      </c>
      <c r="W287" s="1622" t="n">
        <v>0.055</v>
      </c>
      <c r="X287" s="1622" t="n">
        <v>0.12</v>
      </c>
      <c r="Y287" s="1623" t="n"/>
      <c r="Z287" s="1622" t="n">
        <v>0.04</v>
      </c>
      <c r="AA287" s="1621">
        <f>U287*(1+V287+W287+X287+Y287+Z287)</f>
        <v>367900</v>
      </c>
      <c r="AC287" s="865" t="inlineStr">
        <is>
          <t>COE</t>
        </is>
      </c>
      <c r="AD287" s="865" t="inlineStr">
        <is>
          <t>COE - Transformation</t>
        </is>
      </c>
      <c r="AE287" s="865" t="inlineStr">
        <is>
          <t>COE - Transformation</t>
        </is>
      </c>
      <c r="AF287" s="865" t="inlineStr">
        <is>
          <t>COE</t>
        </is>
      </c>
      <c r="AG287" s="865" t="inlineStr">
        <is>
          <t>Vacant</t>
        </is>
      </c>
    </row>
    <row r="288" ht="18" customHeight="1" s="866">
      <c r="A288" s="1566" t="inlineStr">
        <is>
          <t>V</t>
        </is>
      </c>
      <c r="B288" s="1382" t="inlineStr">
        <is>
          <t>Vacant</t>
        </is>
      </c>
      <c r="C288" s="1611" t="inlineStr">
        <is>
          <t>Delivery Systems Analyst</t>
        </is>
      </c>
      <c r="D288" s="1382" t="inlineStr">
        <is>
          <t>Ruth Chou</t>
        </is>
      </c>
      <c r="E288" s="1382" t="inlineStr">
        <is>
          <t>Portfolio Reporting Manger</t>
        </is>
      </c>
      <c r="F288" s="1382" t="inlineStr">
        <is>
          <t>Partnering &amp; Transformation</t>
        </is>
      </c>
      <c r="G288" s="1382" t="inlineStr">
        <is>
          <t>Transformation</t>
        </is>
      </c>
      <c r="H288" s="1382" t="inlineStr">
        <is>
          <t>NA</t>
        </is>
      </c>
      <c r="I288" s="1382" t="inlineStr">
        <is>
          <t>NA</t>
        </is>
      </c>
      <c r="J288" s="1382" t="inlineStr">
        <is>
          <t>NA</t>
        </is>
      </c>
      <c r="K288" s="1382" t="inlineStr">
        <is>
          <t>NA</t>
        </is>
      </c>
      <c r="L288" s="1612" t="n"/>
      <c r="M288" s="1613" t="inlineStr">
        <is>
          <t>Australia</t>
        </is>
      </c>
      <c r="N288" s="1614" t="inlineStr">
        <is>
          <t>cib</t>
        </is>
      </c>
      <c r="O288" s="1614" t="n">
        <v>1</v>
      </c>
      <c r="P288" s="1614" t="n"/>
      <c r="Q288" s="1614" t="inlineStr">
        <is>
          <t>V</t>
        </is>
      </c>
      <c r="R288" s="1616" t="n"/>
      <c r="S288" s="1616" t="n"/>
      <c r="T288" s="1627" t="n">
        <v>151950</v>
      </c>
      <c r="U288" s="1626" t="n">
        <v>151950</v>
      </c>
      <c r="V288" s="1619" t="n">
        <v>0.12</v>
      </c>
      <c r="W288" s="1622" t="n">
        <v>0.055</v>
      </c>
      <c r="X288" s="1622" t="n">
        <v>0.12</v>
      </c>
      <c r="Y288" s="1623" t="n"/>
      <c r="Z288" s="1622" t="n">
        <v>0.04</v>
      </c>
      <c r="AA288" s="1621">
        <f>U288*(1+V288+W288+X288+Y288+Z288)</f>
        <v>202853.25</v>
      </c>
      <c r="AC288" s="865" t="inlineStr">
        <is>
          <t>COE</t>
        </is>
      </c>
      <c r="AD288" s="865" t="inlineStr">
        <is>
          <t>COE - Transformation</t>
        </is>
      </c>
      <c r="AE288" s="865" t="inlineStr">
        <is>
          <t>COE - Transformation</t>
        </is>
      </c>
      <c r="AF288" s="865" t="inlineStr">
        <is>
          <t>COE</t>
        </is>
      </c>
      <c r="AG288" s="865" t="inlineStr">
        <is>
          <t>Vacant</t>
        </is>
      </c>
    </row>
    <row r="289" ht="18" customHeight="1" s="866">
      <c r="A289" s="1566" t="inlineStr">
        <is>
          <t>V</t>
        </is>
      </c>
      <c r="B289" s="1382" t="inlineStr">
        <is>
          <t>Vacant</t>
        </is>
      </c>
      <c r="C289" s="1611" t="inlineStr">
        <is>
          <t>Business Analysis Practice Lead</t>
        </is>
      </c>
      <c r="D289" s="1612" t="inlineStr">
        <is>
          <t>Vacant</t>
        </is>
      </c>
      <c r="E289" s="1382" t="inlineStr">
        <is>
          <t>Delivery Excellence Manager</t>
        </is>
      </c>
      <c r="F289" s="1382" t="inlineStr">
        <is>
          <t>Partnering &amp; Transformation</t>
        </is>
      </c>
      <c r="G289" s="1382" t="inlineStr">
        <is>
          <t>Transformation</t>
        </is>
      </c>
      <c r="H289" s="865" t="inlineStr">
        <is>
          <t>NA</t>
        </is>
      </c>
      <c r="I289" s="1382" t="inlineStr">
        <is>
          <t>NA</t>
        </is>
      </c>
      <c r="J289" s="1382" t="inlineStr">
        <is>
          <t>NA</t>
        </is>
      </c>
      <c r="K289" s="1382" t="inlineStr">
        <is>
          <t>NA</t>
        </is>
      </c>
      <c r="L289" s="1612" t="n"/>
      <c r="M289" s="1613" t="inlineStr">
        <is>
          <t>Australia</t>
        </is>
      </c>
      <c r="N289" s="1614" t="inlineStr">
        <is>
          <t>CIC</t>
        </is>
      </c>
      <c r="O289" s="1614" t="n">
        <v>1</v>
      </c>
      <c r="P289" s="1614" t="n"/>
      <c r="Q289" s="1614" t="inlineStr">
        <is>
          <t>V</t>
        </is>
      </c>
      <c r="R289" s="1616" t="n"/>
      <c r="S289" s="1616" t="n"/>
      <c r="T289" s="1627" t="n">
        <v>173550</v>
      </c>
      <c r="U289" s="1626" t="n">
        <v>173550</v>
      </c>
      <c r="V289" s="1619" t="n">
        <v>0.12</v>
      </c>
      <c r="W289" s="1622" t="n">
        <v>0.055</v>
      </c>
      <c r="X289" s="1622" t="n">
        <v>0.12</v>
      </c>
      <c r="Y289" s="1623" t="n"/>
      <c r="Z289" s="1622" t="n">
        <v>0.04</v>
      </c>
      <c r="AA289" s="1621">
        <f>U289*(1+V289+W289+X289+Y289+Z289)</f>
        <v>231689.25</v>
      </c>
      <c r="AC289" s="865" t="inlineStr">
        <is>
          <t>COE</t>
        </is>
      </c>
      <c r="AD289" s="865" t="inlineStr">
        <is>
          <t>COE - Transformation</t>
        </is>
      </c>
      <c r="AE289" s="865" t="inlineStr">
        <is>
          <t>COE - Transformation</t>
        </is>
      </c>
      <c r="AF289" s="865" t="inlineStr">
        <is>
          <t>COE</t>
        </is>
      </c>
      <c r="AG289" s="865" t="inlineStr">
        <is>
          <t>Vacant</t>
        </is>
      </c>
    </row>
    <row r="290" ht="18" customHeight="1" s="866">
      <c r="A290" s="1566" t="inlineStr">
        <is>
          <t>V</t>
        </is>
      </c>
      <c r="B290" s="1612" t="inlineStr">
        <is>
          <t>Vacant</t>
        </is>
      </c>
      <c r="C290" s="1629" t="inlineStr">
        <is>
          <t>Delivery Assurance Manager</t>
        </is>
      </c>
      <c r="D290" s="1612" t="inlineStr">
        <is>
          <t>Vacant</t>
        </is>
      </c>
      <c r="E290" s="1612" t="inlineStr">
        <is>
          <t xml:space="preserve">Manager Identity &amp; Access Management </t>
        </is>
      </c>
      <c r="F290" s="1382" t="inlineStr">
        <is>
          <t>Partnering &amp; Transformation</t>
        </is>
      </c>
      <c r="G290" s="1612" t="inlineStr">
        <is>
          <t>Transformation</t>
        </is>
      </c>
      <c r="H290" s="1382" t="inlineStr">
        <is>
          <t>NA</t>
        </is>
      </c>
      <c r="I290" s="1382" t="inlineStr">
        <is>
          <t>NA</t>
        </is>
      </c>
      <c r="J290" s="1382" t="inlineStr">
        <is>
          <t>NA</t>
        </is>
      </c>
      <c r="K290" s="1382" t="inlineStr">
        <is>
          <t>NA</t>
        </is>
      </c>
      <c r="L290" s="1612" t="n"/>
      <c r="M290" s="1613" t="inlineStr">
        <is>
          <t>Australia</t>
        </is>
      </c>
      <c r="N290" s="1614" t="inlineStr">
        <is>
          <t>CSB</t>
        </is>
      </c>
      <c r="O290" s="1614" t="n">
        <v>1</v>
      </c>
      <c r="P290" s="1614" t="n"/>
      <c r="Q290" s="1614" t="inlineStr">
        <is>
          <t>V</t>
        </is>
      </c>
      <c r="R290" s="1616" t="n"/>
      <c r="S290" s="1616" t="n"/>
      <c r="T290" s="1627" t="n">
        <v>203550</v>
      </c>
      <c r="U290" s="1626" t="n">
        <v>203550</v>
      </c>
      <c r="V290" s="1619" t="n">
        <v>0.14</v>
      </c>
      <c r="W290" s="1622" t="n">
        <v>0.055</v>
      </c>
      <c r="X290" s="1622" t="n">
        <v>0.12</v>
      </c>
      <c r="Y290" s="1623" t="n"/>
      <c r="Z290" s="1622" t="n">
        <v>0.04</v>
      </c>
      <c r="AA290" s="1621">
        <f>U290*(1+V290+W290+X290+Y290+Z290)</f>
        <v>275810.25</v>
      </c>
      <c r="AC290" s="865" t="inlineStr">
        <is>
          <t>COE</t>
        </is>
      </c>
      <c r="AD290" s="865" t="inlineStr">
        <is>
          <t>COE - Transformation</t>
        </is>
      </c>
      <c r="AE290" s="865" t="inlineStr">
        <is>
          <t>COE - Transformation</t>
        </is>
      </c>
      <c r="AF290" s="865" t="inlineStr">
        <is>
          <t>COE</t>
        </is>
      </c>
      <c r="AG290" s="865" t="inlineStr">
        <is>
          <t>Vacant</t>
        </is>
      </c>
    </row>
    <row r="291" ht="18" customHeight="1" s="866">
      <c r="A291" s="1566" t="inlineStr">
        <is>
          <t>V</t>
        </is>
      </c>
      <c r="B291" s="1382" t="inlineStr">
        <is>
          <t>Vacant</t>
        </is>
      </c>
      <c r="C291" s="1611" t="inlineStr">
        <is>
          <t>Delivery Capacity &amp; Assurance Lead</t>
        </is>
      </c>
      <c r="D291" s="1612" t="inlineStr">
        <is>
          <t>Vacant</t>
        </is>
      </c>
      <c r="E291" s="1612" t="inlineStr">
        <is>
          <t>vacant</t>
        </is>
      </c>
      <c r="F291" s="1382" t="inlineStr">
        <is>
          <t>Partnering &amp; Transformation</t>
        </is>
      </c>
      <c r="G291" s="1382" t="inlineStr">
        <is>
          <t>Transformation</t>
        </is>
      </c>
      <c r="H291" s="1382" t="inlineStr">
        <is>
          <t>NA</t>
        </is>
      </c>
      <c r="I291" s="1382" t="inlineStr">
        <is>
          <t>NA</t>
        </is>
      </c>
      <c r="J291" s="1382" t="inlineStr">
        <is>
          <t>NA</t>
        </is>
      </c>
      <c r="K291" s="1382" t="inlineStr">
        <is>
          <t>NA</t>
        </is>
      </c>
      <c r="L291" s="1612" t="n"/>
      <c r="M291" s="1613" t="inlineStr">
        <is>
          <t>Australia</t>
        </is>
      </c>
      <c r="N291" s="1614" t="inlineStr">
        <is>
          <t>CIC</t>
        </is>
      </c>
      <c r="O291" s="1614" t="n">
        <v>1</v>
      </c>
      <c r="P291" s="1614" t="n"/>
      <c r="Q291" s="1614" t="inlineStr">
        <is>
          <t>V</t>
        </is>
      </c>
      <c r="R291" s="1616" t="n"/>
      <c r="S291" s="1616" t="n"/>
      <c r="T291" s="1627" t="n">
        <v>173550</v>
      </c>
      <c r="U291" s="1626" t="n">
        <v>173550</v>
      </c>
      <c r="V291" s="1619" t="n">
        <v>0.12</v>
      </c>
      <c r="W291" s="1622" t="n">
        <v>0.055</v>
      </c>
      <c r="X291" s="1622" t="n">
        <v>0.12</v>
      </c>
      <c r="Y291" s="1623" t="n"/>
      <c r="Z291" s="1622" t="n">
        <v>0.04</v>
      </c>
      <c r="AA291" s="1621">
        <f>U291*(1+V291+W291+X291+Y291+Z291)</f>
        <v>231689.25</v>
      </c>
      <c r="AC291" s="865" t="inlineStr">
        <is>
          <t>COE</t>
        </is>
      </c>
      <c r="AD291" s="865" t="inlineStr">
        <is>
          <t>COE - Transformation</t>
        </is>
      </c>
      <c r="AE291" s="865" t="inlineStr">
        <is>
          <t>COE - Transformation</t>
        </is>
      </c>
      <c r="AF291" s="865" t="inlineStr">
        <is>
          <t>COE</t>
        </is>
      </c>
      <c r="AG291" s="865" t="inlineStr">
        <is>
          <t>Vacant</t>
        </is>
      </c>
    </row>
    <row r="292" ht="18" customHeight="1" s="866">
      <c r="A292" s="1566" t="inlineStr">
        <is>
          <t>V</t>
        </is>
      </c>
      <c r="B292" s="1382" t="inlineStr">
        <is>
          <t>Vacant</t>
        </is>
      </c>
      <c r="C292" s="1611" t="inlineStr">
        <is>
          <t>Delivery Excellence Manager</t>
        </is>
      </c>
      <c r="D292" s="1612" t="inlineStr">
        <is>
          <t>Vacant</t>
        </is>
      </c>
      <c r="E292" s="1382" t="inlineStr">
        <is>
          <t xml:space="preserve">CISO </t>
        </is>
      </c>
      <c r="F292" s="1382" t="inlineStr">
        <is>
          <t>Partnering &amp; Transformation</t>
        </is>
      </c>
      <c r="G292" s="1382" t="inlineStr">
        <is>
          <t>Transformation</t>
        </is>
      </c>
      <c r="H292" s="1382" t="inlineStr">
        <is>
          <t>NA</t>
        </is>
      </c>
      <c r="I292" s="1382" t="inlineStr">
        <is>
          <t>NA</t>
        </is>
      </c>
      <c r="J292" s="1382" t="inlineStr">
        <is>
          <t>NA</t>
        </is>
      </c>
      <c r="K292" s="1382" t="inlineStr">
        <is>
          <t>NA</t>
        </is>
      </c>
      <c r="L292" s="1612" t="n"/>
      <c r="M292" s="1613" t="inlineStr">
        <is>
          <t>Australia</t>
        </is>
      </c>
      <c r="N292" s="1614" t="inlineStr">
        <is>
          <t>CSB</t>
        </is>
      </c>
      <c r="O292" s="1614" t="n">
        <v>1</v>
      </c>
      <c r="P292" s="1614" t="n"/>
      <c r="Q292" s="1614" t="inlineStr">
        <is>
          <t>V</t>
        </is>
      </c>
      <c r="R292" s="1616" t="n"/>
      <c r="S292" s="1616" t="n"/>
      <c r="T292" s="1627" t="n">
        <v>203550</v>
      </c>
      <c r="U292" s="1626" t="n">
        <v>203550</v>
      </c>
      <c r="V292" s="1619" t="n">
        <v>0.14</v>
      </c>
      <c r="W292" s="1622" t="n">
        <v>0.055</v>
      </c>
      <c r="X292" s="1622" t="n">
        <v>0.12</v>
      </c>
      <c r="Y292" s="1623" t="n"/>
      <c r="Z292" s="1622" t="n">
        <v>0.04</v>
      </c>
      <c r="AA292" s="1621">
        <f>U292*(1+V292+W292+X292+Y292+Z292)</f>
        <v>275810.25</v>
      </c>
      <c r="AC292" s="865" t="inlineStr">
        <is>
          <t>COE</t>
        </is>
      </c>
      <c r="AD292" s="865" t="inlineStr">
        <is>
          <t>COE - Transformation</t>
        </is>
      </c>
      <c r="AE292" s="865" t="inlineStr">
        <is>
          <t>COE - Transformation</t>
        </is>
      </c>
      <c r="AF292" s="865" t="inlineStr">
        <is>
          <t>COE</t>
        </is>
      </c>
      <c r="AG292" s="865" t="inlineStr">
        <is>
          <t>Vacant</t>
        </is>
      </c>
    </row>
    <row r="293" ht="18" customHeight="1" s="866">
      <c r="A293" s="1566" t="inlineStr">
        <is>
          <t>V</t>
        </is>
      </c>
      <c r="B293" s="1382" t="inlineStr">
        <is>
          <t>Vacant</t>
        </is>
      </c>
      <c r="C293" s="1611" t="inlineStr">
        <is>
          <t>Scrum Master</t>
        </is>
      </c>
      <c r="D293" s="1612" t="inlineStr">
        <is>
          <t>Vacant</t>
        </is>
      </c>
      <c r="E293" s="1382" t="inlineStr">
        <is>
          <t xml:space="preserve">Lead Technology Support </t>
        </is>
      </c>
      <c r="F293" s="1382" t="inlineStr">
        <is>
          <t>Partnering &amp; Transformation</t>
        </is>
      </c>
      <c r="G293" s="1382" t="inlineStr">
        <is>
          <t>Transformation</t>
        </is>
      </c>
      <c r="H293" s="1382" t="inlineStr">
        <is>
          <t>NA</t>
        </is>
      </c>
      <c r="I293" s="1382" t="inlineStr">
        <is>
          <t>NA</t>
        </is>
      </c>
      <c r="J293" s="1382" t="inlineStr">
        <is>
          <t>NA</t>
        </is>
      </c>
      <c r="K293" s="1382" t="inlineStr">
        <is>
          <t>NA</t>
        </is>
      </c>
      <c r="L293" s="1612" t="n"/>
      <c r="M293" s="1613" t="inlineStr">
        <is>
          <t>NZ</t>
        </is>
      </c>
      <c r="N293" s="1614" t="inlineStr">
        <is>
          <t>CIA</t>
        </is>
      </c>
      <c r="O293" s="1614" t="n">
        <v>1</v>
      </c>
      <c r="P293" s="1614" t="n"/>
      <c r="Q293" s="1614" t="inlineStr">
        <is>
          <t>v</t>
        </is>
      </c>
      <c r="R293" s="1616" t="n"/>
      <c r="S293" s="1616" t="n"/>
      <c r="T293" s="1627" t="n">
        <v>131550</v>
      </c>
      <c r="U293" s="1626" t="n">
        <v>121026</v>
      </c>
      <c r="V293" s="1618" t="n">
        <v>0.15</v>
      </c>
      <c r="W293" s="1616" t="n"/>
      <c r="X293" s="1619" t="n">
        <v>0.05</v>
      </c>
      <c r="Y293" s="1620" t="n">
        <v>2910</v>
      </c>
      <c r="Z293" s="1619" t="n">
        <v>0.03</v>
      </c>
      <c r="AA293" s="1621">
        <f>U293*(1+V293+X293+Z293)+Y293</f>
        <v>151771.98</v>
      </c>
      <c r="AC293" s="865" t="inlineStr">
        <is>
          <t>COE</t>
        </is>
      </c>
      <c r="AD293" s="865" t="inlineStr">
        <is>
          <t>COE - Transformation</t>
        </is>
      </c>
      <c r="AE293" s="865" t="inlineStr">
        <is>
          <t>COE - Transformation</t>
        </is>
      </c>
      <c r="AF293" s="865" t="inlineStr">
        <is>
          <t>COE</t>
        </is>
      </c>
      <c r="AG293" s="865" t="inlineStr">
        <is>
          <t>Vacant</t>
        </is>
      </c>
    </row>
    <row r="294" ht="18" customHeight="1" s="866">
      <c r="A294" s="1566" t="inlineStr">
        <is>
          <t>V</t>
        </is>
      </c>
      <c r="B294" s="1382" t="inlineStr">
        <is>
          <t xml:space="preserve">Vacant </t>
        </is>
      </c>
      <c r="C294" s="1611" t="inlineStr">
        <is>
          <t>Portfolio Analyst</t>
        </is>
      </c>
      <c r="D294" s="1382" t="inlineStr">
        <is>
          <t>Ruth Chou</t>
        </is>
      </c>
      <c r="E294" s="1382" t="inlineStr">
        <is>
          <t xml:space="preserve">Manager Service Perforance &amp; Assurance </t>
        </is>
      </c>
      <c r="F294" s="1382" t="inlineStr">
        <is>
          <t>Partnering &amp; Transformation</t>
        </is>
      </c>
      <c r="G294" s="1382" t="inlineStr">
        <is>
          <t>Transformation</t>
        </is>
      </c>
      <c r="H294" s="1382" t="inlineStr">
        <is>
          <t>NA</t>
        </is>
      </c>
      <c r="I294" s="1382" t="inlineStr">
        <is>
          <t>NA</t>
        </is>
      </c>
      <c r="J294" s="1382" t="inlineStr">
        <is>
          <t>NA</t>
        </is>
      </c>
      <c r="K294" s="1382" t="inlineStr">
        <is>
          <t>NA</t>
        </is>
      </c>
      <c r="L294" s="1612" t="n"/>
      <c r="M294" s="1613" t="inlineStr">
        <is>
          <t>Australia</t>
        </is>
      </c>
      <c r="N294" s="1614" t="inlineStr">
        <is>
          <t>CIA</t>
        </is>
      </c>
      <c r="O294" s="1614" t="n">
        <v>1</v>
      </c>
      <c r="P294" s="1614" t="n"/>
      <c r="Q294" s="1614" t="inlineStr">
        <is>
          <t>v</t>
        </is>
      </c>
      <c r="R294" s="1616" t="n"/>
      <c r="S294" s="1616" t="n"/>
      <c r="T294" s="1627" t="n">
        <v>129650</v>
      </c>
      <c r="U294" s="1626" t="n">
        <v>129650</v>
      </c>
      <c r="V294" s="1619" t="n">
        <v>0.1</v>
      </c>
      <c r="W294" s="1622" t="n">
        <v>0.055</v>
      </c>
      <c r="X294" s="1622" t="n">
        <v>0.12</v>
      </c>
      <c r="Y294" s="1623" t="n"/>
      <c r="Z294" s="1622" t="n">
        <v>0.04</v>
      </c>
      <c r="AA294" s="1621">
        <f>U294*(1+V294+W294+X294+Y294+Z294)</f>
        <v>170489.75</v>
      </c>
      <c r="AC294" s="865" t="inlineStr">
        <is>
          <t>COE</t>
        </is>
      </c>
      <c r="AD294" s="865" t="inlineStr">
        <is>
          <t>COE - Transformation</t>
        </is>
      </c>
      <c r="AE294" s="865" t="inlineStr">
        <is>
          <t>COE - Transformation</t>
        </is>
      </c>
      <c r="AF294" s="865" t="inlineStr">
        <is>
          <t>COE</t>
        </is>
      </c>
      <c r="AG294" s="865" t="inlineStr">
        <is>
          <t>Vacant</t>
        </is>
      </c>
    </row>
    <row r="295" ht="18" customHeight="1" s="866">
      <c r="A295" s="1566" t="n">
        <v>101862</v>
      </c>
      <c r="B295" s="1382" t="inlineStr">
        <is>
          <t>Vaughn Scott</t>
        </is>
      </c>
      <c r="C295" s="1611" t="inlineStr">
        <is>
          <t>TDD BP - ES</t>
        </is>
      </c>
      <c r="D295" s="1382" t="inlineStr">
        <is>
          <t>Michael Schofield</t>
        </is>
      </c>
      <c r="E295" s="1382" t="inlineStr">
        <is>
          <t>GM TDD, Partnering &amp; Transformation</t>
        </is>
      </c>
      <c r="F295" s="1382" t="inlineStr">
        <is>
          <t>Partnering &amp; Transformation</t>
        </is>
      </c>
      <c r="G295" s="1382" t="inlineStr">
        <is>
          <t>TDD Business Partner</t>
        </is>
      </c>
      <c r="H295" s="1382" t="inlineStr">
        <is>
          <t>NA</t>
        </is>
      </c>
      <c r="I295" s="1382" t="inlineStr">
        <is>
          <t>NA</t>
        </is>
      </c>
      <c r="J295" s="1382" t="inlineStr">
        <is>
          <t>NA</t>
        </is>
      </c>
      <c r="K295" s="1382" t="inlineStr">
        <is>
          <t>NA</t>
        </is>
      </c>
      <c r="L295" s="1612" t="n"/>
      <c r="M295" s="1613" t="inlineStr">
        <is>
          <t>Australia</t>
        </is>
      </c>
      <c r="N295" s="1614" t="inlineStr">
        <is>
          <t>CSC</t>
        </is>
      </c>
      <c r="O295" s="1614" t="n">
        <v>1</v>
      </c>
      <c r="P295" s="1614" t="n"/>
      <c r="Q295" s="1614" t="inlineStr">
        <is>
          <t>Permanent - Full Time</t>
        </is>
      </c>
      <c r="R295" s="1616" t="n"/>
      <c r="S295" s="1616" t="n"/>
      <c r="T295" s="1627" t="n">
        <v>242660</v>
      </c>
      <c r="U295" s="1626" t="n">
        <v>242660</v>
      </c>
      <c r="V295" s="1619" t="n">
        <v>0.2</v>
      </c>
      <c r="W295" s="1622" t="n">
        <v>0.055</v>
      </c>
      <c r="X295" s="1622" t="n">
        <v>0.12</v>
      </c>
      <c r="Y295" s="1623" t="n"/>
      <c r="Z295" s="1622" t="n">
        <v>0.04</v>
      </c>
      <c r="AA295" s="1621">
        <f>U295*(1+V295+W295+X295+Y295+Z295)</f>
        <v>343363.9</v>
      </c>
      <c r="AC295" s="865" t="inlineStr">
        <is>
          <t>COE</t>
        </is>
      </c>
      <c r="AD295" s="865" t="inlineStr">
        <is>
          <t>COE - Business Partnering</t>
        </is>
      </c>
      <c r="AE295" s="865" t="inlineStr">
        <is>
          <t>COE - Business Partnering</t>
        </is>
      </c>
      <c r="AF295" s="865" t="inlineStr">
        <is>
          <t>COE</t>
        </is>
      </c>
      <c r="AG295" s="865" t="inlineStr">
        <is>
          <t>Filled</t>
        </is>
      </c>
    </row>
    <row r="296" hidden="1" ht="18" customHeight="1" s="866">
      <c r="A296" s="1566" t="n">
        <v>116032</v>
      </c>
      <c r="B296" s="1612" t="inlineStr">
        <is>
          <t>Abdul Ghaffar</t>
        </is>
      </c>
      <c r="C296" s="1629" t="inlineStr">
        <is>
          <t>Applications Specialist - Demand Planning</t>
        </is>
      </c>
      <c r="D296" s="1382" t="inlineStr">
        <is>
          <t>Sai Konka</t>
        </is>
      </c>
      <c r="E296" s="1382" t="inlineStr">
        <is>
          <t>Applications &amp; Analytics Manager</t>
        </is>
      </c>
      <c r="F296" s="1628" t="inlineStr">
        <is>
          <t>Strategy, Architecture &amp; Data</t>
        </is>
      </c>
      <c r="G296" s="1612" t="inlineStr">
        <is>
          <t>Group Data</t>
        </is>
      </c>
      <c r="H296" s="1628" t="inlineStr">
        <is>
          <t>Data Engineering &amp; Platforms</t>
        </is>
      </c>
      <c r="I296" s="1628" t="inlineStr">
        <is>
          <t>Enterprise Data</t>
        </is>
      </c>
      <c r="J296" s="1628" t="inlineStr">
        <is>
          <t>EGI</t>
        </is>
      </c>
      <c r="K296" s="1628" t="inlineStr">
        <is>
          <t>Reporting &amp; Analytics</t>
        </is>
      </c>
      <c r="L296" s="1612" t="n"/>
      <c r="M296" s="1613" t="inlineStr">
        <is>
          <t>Australia</t>
        </is>
      </c>
      <c r="N296" s="1614" t="inlineStr">
        <is>
          <t>CIB</t>
        </is>
      </c>
      <c r="O296" s="1614" t="n">
        <v>1</v>
      </c>
      <c r="P296" s="1614" t="n"/>
      <c r="Q296" s="1614" t="inlineStr">
        <is>
          <t>Permanent - Full Time</t>
        </is>
      </c>
      <c r="R296" s="1616" t="n"/>
      <c r="S296" s="1616" t="n"/>
      <c r="T296" s="1627" t="n">
        <v>180000</v>
      </c>
      <c r="U296" s="1626" t="n">
        <v>180000</v>
      </c>
      <c r="V296" s="1619" t="n">
        <v>0.12</v>
      </c>
      <c r="W296" s="1622" t="n">
        <v>0.055</v>
      </c>
      <c r="X296" s="1622" t="n">
        <v>0.12</v>
      </c>
      <c r="Y296" s="1623" t="n"/>
      <c r="Z296" s="1622" t="n">
        <v>0.04</v>
      </c>
      <c r="AA296" s="1621">
        <f>U296*(1+V296+W296+X296+Y296+Z296)</f>
        <v>240300</v>
      </c>
      <c r="AC296" s="865" t="inlineStr">
        <is>
          <t>Enterprise Data</t>
        </is>
      </c>
      <c r="AD296" s="865" t="inlineStr">
        <is>
          <t>Group Data</t>
        </is>
      </c>
      <c r="AE296" s="865" t="inlineStr">
        <is>
          <t>Reporting &amp; Analytics</t>
        </is>
      </c>
      <c r="AF296" s="865" t="inlineStr">
        <is>
          <t>Squad</t>
        </is>
      </c>
      <c r="AG296" s="865" t="inlineStr">
        <is>
          <t>Filled</t>
        </is>
      </c>
    </row>
    <row r="297" hidden="1" ht="18" customHeight="1" s="866">
      <c r="A297" s="1566" t="n">
        <v>102098</v>
      </c>
      <c r="B297" s="1382" t="inlineStr">
        <is>
          <t>Bobby Mason</t>
        </is>
      </c>
      <c r="C297" s="1611" t="inlineStr">
        <is>
          <t>Reporting Analyst</t>
        </is>
      </c>
      <c r="D297" s="1382" t="inlineStr">
        <is>
          <t>Prashanth Krishnankutty</t>
        </is>
      </c>
      <c r="E297" s="1382" t="inlineStr">
        <is>
          <t>Lead, Reporting &amp; Insights</t>
        </is>
      </c>
      <c r="F297" s="1628" t="inlineStr">
        <is>
          <t>Strategy, Architecture &amp; Data</t>
        </is>
      </c>
      <c r="G297" s="1612" t="inlineStr">
        <is>
          <t>Group Data</t>
        </is>
      </c>
      <c r="H297" s="1628" t="inlineStr">
        <is>
          <t>Data Engineering &amp; Platforms</t>
        </is>
      </c>
      <c r="I297" s="1628" t="inlineStr">
        <is>
          <t>Enterprise Data</t>
        </is>
      </c>
      <c r="J297" s="1628" t="inlineStr">
        <is>
          <t>Group Data</t>
        </is>
      </c>
      <c r="K297" s="1628" t="inlineStr">
        <is>
          <t>Reporting &amp; Analytics</t>
        </is>
      </c>
      <c r="L297" s="1612" t="n"/>
      <c r="M297" s="1613" t="inlineStr">
        <is>
          <t>Australia</t>
        </is>
      </c>
      <c r="N297" s="1614" t="inlineStr">
        <is>
          <t>CIB</t>
        </is>
      </c>
      <c r="O297" s="1614" t="n">
        <v>1</v>
      </c>
      <c r="P297" s="1614" t="n"/>
      <c r="Q297" s="1614" t="inlineStr">
        <is>
          <t>Permanent - Full Time</t>
        </is>
      </c>
      <c r="R297" s="1616" t="n"/>
      <c r="S297" s="1616" t="n"/>
      <c r="T297" s="1627" t="n">
        <v>166560</v>
      </c>
      <c r="U297" s="1626" t="n">
        <v>166560</v>
      </c>
      <c r="V297" s="1619" t="n">
        <v>0.12</v>
      </c>
      <c r="W297" s="1622" t="n">
        <v>0.055</v>
      </c>
      <c r="X297" s="1622" t="n">
        <v>0.12</v>
      </c>
      <c r="Y297" s="1623" t="n"/>
      <c r="Z297" s="1622" t="n">
        <v>0.04</v>
      </c>
      <c r="AA297" s="1621">
        <f>U297*(1+V297+W297+X297+Y297+Z297)</f>
        <v>222357.6</v>
      </c>
      <c r="AC297" s="865" t="inlineStr">
        <is>
          <t>Enterprise Data</t>
        </is>
      </c>
      <c r="AD297" s="865" t="inlineStr">
        <is>
          <t>Group Data</t>
        </is>
      </c>
      <c r="AE297" s="865" t="inlineStr">
        <is>
          <t>Reporting &amp; Analytics</t>
        </is>
      </c>
      <c r="AF297" s="865" t="inlineStr">
        <is>
          <t>Squad</t>
        </is>
      </c>
      <c r="AG297" s="865" t="inlineStr">
        <is>
          <t>Filled</t>
        </is>
      </c>
    </row>
    <row r="298" hidden="1" ht="18" customHeight="1" s="866">
      <c r="A298" s="1566" t="n">
        <v>99999101507</v>
      </c>
      <c r="B298" s="1382" t="inlineStr">
        <is>
          <t>Carol Kuang</t>
        </is>
      </c>
      <c r="C298" s="1611" t="inlineStr">
        <is>
          <t>Senior Data Scientist</t>
        </is>
      </c>
      <c r="D298" s="1382" t="inlineStr">
        <is>
          <t>Jonathan Robinson</t>
        </is>
      </c>
      <c r="E298" s="1382" t="inlineStr">
        <is>
          <t>Technology Manager, Data Science</t>
        </is>
      </c>
      <c r="F298" s="1628" t="inlineStr">
        <is>
          <t>Strategy, Architecture &amp; Data</t>
        </is>
      </c>
      <c r="G298" s="1612" t="inlineStr">
        <is>
          <t>Group Data</t>
        </is>
      </c>
      <c r="H298" s="1628" t="inlineStr">
        <is>
          <t>Data Science</t>
        </is>
      </c>
      <c r="I298" s="1628" t="inlineStr">
        <is>
          <t>Enterprise Data</t>
        </is>
      </c>
      <c r="J298" s="1628" t="inlineStr">
        <is>
          <t>Group Data</t>
        </is>
      </c>
      <c r="K298" s="1612" t="inlineStr">
        <is>
          <t>Data Science</t>
        </is>
      </c>
      <c r="L298" s="1612" t="n"/>
      <c r="M298" s="1613" t="inlineStr">
        <is>
          <t>NZ</t>
        </is>
      </c>
      <c r="N298" s="1614" t="inlineStr">
        <is>
          <t>CIC</t>
        </is>
      </c>
      <c r="O298" s="1615" t="n">
        <v>1</v>
      </c>
      <c r="P298" s="1614" t="n"/>
      <c r="Q298" s="1615" t="inlineStr">
        <is>
          <t>Permanent - Full Time</t>
        </is>
      </c>
      <c r="R298" s="1616" t="n"/>
      <c r="S298" s="1616" t="n"/>
      <c r="T298" s="1627" t="n">
        <v>160800</v>
      </c>
      <c r="U298" s="1626" t="n">
        <v>147936</v>
      </c>
      <c r="V298" s="1618" t="n">
        <v>0.15</v>
      </c>
      <c r="W298" s="1615" t="n"/>
      <c r="X298" s="1619" t="n">
        <v>0.05</v>
      </c>
      <c r="Y298" s="1620" t="n">
        <v>2910</v>
      </c>
      <c r="Z298" s="1619" t="n">
        <v>0.03</v>
      </c>
      <c r="AA298" s="1621">
        <f>U298*(1+V298+X298+Z298)+Y298</f>
        <v>184871.28</v>
      </c>
      <c r="AB298" s="865" t="n">
        <v>113527</v>
      </c>
      <c r="AC298" s="865" t="inlineStr">
        <is>
          <t>Enterprise Data</t>
        </is>
      </c>
      <c r="AD298" s="865" t="inlineStr">
        <is>
          <t>Group Data</t>
        </is>
      </c>
      <c r="AE298" s="865" t="inlineStr">
        <is>
          <t>Data Science</t>
        </is>
      </c>
      <c r="AF298" s="865" t="inlineStr">
        <is>
          <t>Squad</t>
        </is>
      </c>
      <c r="AG298" s="865" t="inlineStr">
        <is>
          <t>Filled</t>
        </is>
      </c>
    </row>
    <row r="299" hidden="1" ht="18" customHeight="1" s="866">
      <c r="A299" s="1616" t="n">
        <v>115483</v>
      </c>
      <c r="B299" s="1566" t="inlineStr">
        <is>
          <t>Craig Ambrose</t>
        </is>
      </c>
      <c r="C299" s="1611" t="inlineStr">
        <is>
          <t>Domain Architect - Group Functions</t>
        </is>
      </c>
      <c r="D299" s="1382" t="inlineStr">
        <is>
          <t>Vacant</t>
        </is>
      </c>
      <c r="E299" s="1382" t="inlineStr">
        <is>
          <t>Head of Architecture</t>
        </is>
      </c>
      <c r="F299" s="1628" t="inlineStr">
        <is>
          <t>Strategy, Architecture &amp; Data</t>
        </is>
      </c>
      <c r="G299" s="1612" t="inlineStr">
        <is>
          <t>Architecture</t>
        </is>
      </c>
      <c r="H299" s="1628" t="inlineStr">
        <is>
          <t>Architecture</t>
        </is>
      </c>
      <c r="I299" s="1628" t="n"/>
      <c r="J299" s="1628" t="n"/>
      <c r="K299" s="1612" t="n"/>
      <c r="L299" s="1612" t="n"/>
      <c r="M299" s="1613" t="inlineStr">
        <is>
          <t>NZ</t>
        </is>
      </c>
      <c r="N299" s="1614" t="inlineStr">
        <is>
          <t>CSB</t>
        </is>
      </c>
      <c r="O299" s="1614" t="n">
        <v>1</v>
      </c>
      <c r="P299" s="1614" t="n"/>
      <c r="Q299" s="1614" t="inlineStr">
        <is>
          <t>Permanent - Full Time</t>
        </is>
      </c>
      <c r="R299" s="1616" t="n"/>
      <c r="S299" s="1616" t="n"/>
      <c r="T299" s="1627" t="n">
        <v>211940</v>
      </c>
      <c r="U299" s="1626" t="n">
        <v>194984.8</v>
      </c>
      <c r="V299" s="1618" t="n">
        <v>0.15</v>
      </c>
      <c r="W299" s="1616" t="n"/>
      <c r="X299" s="1619" t="n">
        <v>0.05</v>
      </c>
      <c r="Y299" s="1620" t="n">
        <v>2910</v>
      </c>
      <c r="Z299" s="1619" t="n">
        <v>0.03</v>
      </c>
      <c r="AA299" s="1621">
        <f>U299*(1+V299+X299+Z299)+Y299</f>
        <v>242741.304</v>
      </c>
      <c r="AC299" s="865" t="inlineStr">
        <is>
          <t>COE</t>
        </is>
      </c>
      <c r="AD299" s="865" t="inlineStr">
        <is>
          <t>COE - Strategy Architecture</t>
        </is>
      </c>
      <c r="AE299" s="865" t="inlineStr">
        <is>
          <t>COE - Strategy Architecture</t>
        </is>
      </c>
      <c r="AF299" s="865" t="inlineStr">
        <is>
          <t>COE</t>
        </is>
      </c>
      <c r="AG299" s="865" t="inlineStr">
        <is>
          <t>Filled</t>
        </is>
      </c>
    </row>
    <row r="300" hidden="1" ht="18" customHeight="1" s="866">
      <c r="A300" s="1566" t="n">
        <v>113956</v>
      </c>
      <c r="B300" s="1382" t="inlineStr">
        <is>
          <t>Deepali Mahajan</t>
        </is>
      </c>
      <c r="C300" s="1611" t="inlineStr">
        <is>
          <t>Data Operations Manager</t>
        </is>
      </c>
      <c r="D300" s="1382" t="inlineStr">
        <is>
          <t>James Holgate</t>
        </is>
      </c>
      <c r="E300" s="1382" t="inlineStr">
        <is>
          <t>Head of Technology,  Group Data</t>
        </is>
      </c>
      <c r="F300" s="1628" t="inlineStr">
        <is>
          <t>Strategy, Architecture &amp; Data</t>
        </is>
      </c>
      <c r="G300" s="1612" t="inlineStr">
        <is>
          <t>Group Data</t>
        </is>
      </c>
      <c r="H300" s="1612" t="inlineStr">
        <is>
          <t>Data Operations</t>
        </is>
      </c>
      <c r="I300" s="1628" t="inlineStr">
        <is>
          <t>Enterprise Data</t>
        </is>
      </c>
      <c r="J300" s="1628" t="inlineStr">
        <is>
          <t>Leadership</t>
        </is>
      </c>
      <c r="K300" s="1612" t="n"/>
      <c r="L300" s="1612" t="n"/>
      <c r="M300" s="1613" t="inlineStr">
        <is>
          <t>Australia</t>
        </is>
      </c>
      <c r="N300" s="1614" t="inlineStr">
        <is>
          <t>CSB</t>
        </is>
      </c>
      <c r="O300" s="1614" t="n">
        <v>1</v>
      </c>
      <c r="P300" s="1614" t="n"/>
      <c r="Q300" s="1614" t="inlineStr">
        <is>
          <t>Permanent - Full Time</t>
        </is>
      </c>
      <c r="R300" s="1616" t="n"/>
      <c r="S300" s="1616" t="n"/>
      <c r="T300" s="1627" t="n">
        <v>218390</v>
      </c>
      <c r="U300" s="1626" t="n">
        <v>218390</v>
      </c>
      <c r="V300" s="1619" t="n">
        <v>0.14</v>
      </c>
      <c r="W300" s="1622" t="n">
        <v>0.055</v>
      </c>
      <c r="X300" s="1622" t="n">
        <v>0.12</v>
      </c>
      <c r="Y300" s="1623" t="n"/>
      <c r="Z300" s="1622" t="n">
        <v>0.04</v>
      </c>
      <c r="AA300" s="1621">
        <f>U300*(1+V300+W300+X300+Y300+Z300)</f>
        <v>295918.45</v>
      </c>
      <c r="AC300" s="1633" t="inlineStr">
        <is>
          <t>Enterprise Data</t>
        </is>
      </c>
      <c r="AD300" s="865" t="inlineStr">
        <is>
          <t>Leadership</t>
        </is>
      </c>
      <c r="AE300" s="865" t="inlineStr">
        <is>
          <t>Leadership</t>
        </is>
      </c>
      <c r="AF300" s="865" t="inlineStr">
        <is>
          <t>Leadership</t>
        </is>
      </c>
      <c r="AG300" s="865" t="inlineStr">
        <is>
          <t>Filled</t>
        </is>
      </c>
    </row>
    <row r="301" hidden="1" ht="18" customHeight="1" s="866">
      <c r="A301" s="1682" t="n">
        <v>105010</v>
      </c>
      <c r="B301" s="1382" t="inlineStr">
        <is>
          <t>Dinesh Chandrasekaran</t>
        </is>
      </c>
      <c r="C301" s="1611" t="inlineStr">
        <is>
          <t>Lead Engineer (Snowflake)</t>
        </is>
      </c>
      <c r="D301" s="1382" t="inlineStr">
        <is>
          <t>Jason Gleason</t>
        </is>
      </c>
      <c r="E301" s="1382" t="inlineStr">
        <is>
          <t>Technology Manager, Data Engineering &amp; Platforms</t>
        </is>
      </c>
      <c r="F301" s="1382" t="inlineStr">
        <is>
          <t>Strategy, Architecture &amp; Data</t>
        </is>
      </c>
      <c r="G301" s="1382" t="inlineStr">
        <is>
          <t>Group Data</t>
        </is>
      </c>
      <c r="H301" s="1628" t="inlineStr">
        <is>
          <t>Data Engineering &amp; Platforms</t>
        </is>
      </c>
      <c r="I301" s="1612" t="inlineStr">
        <is>
          <t>Enterprise Data</t>
        </is>
      </c>
      <c r="J301" s="1628" t="inlineStr">
        <is>
          <t>Group Data</t>
        </is>
      </c>
      <c r="K301" s="1612" t="inlineStr">
        <is>
          <t>Data Platform</t>
        </is>
      </c>
      <c r="L301" s="1612" t="n"/>
      <c r="M301" s="1613" t="inlineStr">
        <is>
          <t>Australia</t>
        </is>
      </c>
      <c r="N301" s="1683" t="inlineStr">
        <is>
          <t xml:space="preserve">CIB </t>
        </is>
      </c>
      <c r="O301" s="1683" t="n">
        <v>1</v>
      </c>
      <c r="P301" s="1683" t="n"/>
      <c r="Q301" s="1683" t="inlineStr">
        <is>
          <t>Permanent - Full Time</t>
        </is>
      </c>
      <c r="R301" s="1382" t="n"/>
      <c r="S301" s="1382" t="n"/>
      <c r="T301" s="1680" t="n">
        <v>182760</v>
      </c>
      <c r="U301" s="1626" t="n">
        <v>182760</v>
      </c>
      <c r="V301" s="1619" t="n">
        <v>0.12</v>
      </c>
      <c r="W301" s="1622" t="n">
        <v>0.055</v>
      </c>
      <c r="X301" s="1622" t="n">
        <v>0.12</v>
      </c>
      <c r="Y301" s="1623" t="n"/>
      <c r="Z301" s="1622" t="n">
        <v>0.04</v>
      </c>
      <c r="AA301" s="1621">
        <f>U301*(1+V301+W301+X301+Y301+Z301)</f>
        <v>243984.6</v>
      </c>
      <c r="AC301" s="865" t="inlineStr">
        <is>
          <t>Enterprise Data</t>
        </is>
      </c>
      <c r="AD301" s="865" t="inlineStr">
        <is>
          <t>Group Data</t>
        </is>
      </c>
      <c r="AE301" s="865" t="inlineStr">
        <is>
          <t>Data Platforms</t>
        </is>
      </c>
      <c r="AF301" s="865" t="inlineStr">
        <is>
          <t>Squad</t>
        </is>
      </c>
      <c r="AG301" s="865" t="inlineStr">
        <is>
          <t>Filled</t>
        </is>
      </c>
    </row>
    <row r="302" hidden="1" ht="18" customHeight="1" s="866">
      <c r="A302" s="1566" t="n">
        <v>80469</v>
      </c>
      <c r="B302" s="1382" t="inlineStr">
        <is>
          <t>James Holgate</t>
        </is>
      </c>
      <c r="C302" s="1611" t="inlineStr">
        <is>
          <t>Head of Technology,  Group Data</t>
        </is>
      </c>
      <c r="D302" s="1382" t="inlineStr">
        <is>
          <t>Matt Ashley</t>
        </is>
      </c>
      <c r="E302" s="1382" t="inlineStr">
        <is>
          <t>GM TDD, Strategy, Architecture, Data</t>
        </is>
      </c>
      <c r="F302" s="1628" t="inlineStr">
        <is>
          <t>Strategy, Architecture &amp; Data</t>
        </is>
      </c>
      <c r="G302" s="1612" t="inlineStr">
        <is>
          <t>Group Data</t>
        </is>
      </c>
      <c r="H302" s="1628" t="n"/>
      <c r="I302" s="1612" t="n"/>
      <c r="J302" s="1628" t="inlineStr">
        <is>
          <t>Leadership</t>
        </is>
      </c>
      <c r="K302" s="1628" t="n"/>
      <c r="L302" s="1612" t="n"/>
      <c r="M302" s="1613" t="inlineStr">
        <is>
          <t>Australia</t>
        </is>
      </c>
      <c r="N302" s="1616" t="inlineStr">
        <is>
          <t>CSC</t>
        </is>
      </c>
      <c r="O302" s="1616" t="n">
        <v>1</v>
      </c>
      <c r="P302" s="1616" t="n"/>
      <c r="Q302" s="1616" t="inlineStr">
        <is>
          <t>Permanent - Full Time</t>
        </is>
      </c>
      <c r="R302" s="1616" t="n"/>
      <c r="S302" s="1616" t="n"/>
      <c r="T302" s="1627" t="n">
        <v>289580</v>
      </c>
      <c r="U302" s="1626" t="n">
        <v>289580</v>
      </c>
      <c r="V302" s="1619" t="n">
        <v>0.2</v>
      </c>
      <c r="W302" s="1622" t="n">
        <v>0.055</v>
      </c>
      <c r="X302" s="1622" t="n">
        <v>0.12</v>
      </c>
      <c r="Y302" s="1623" t="n"/>
      <c r="Z302" s="1622" t="n">
        <v>0.04</v>
      </c>
      <c r="AA302" s="1621">
        <f>U302*(1+V302+W302+X302+Y302+Z302)</f>
        <v>409755.7</v>
      </c>
      <c r="AC302" s="1598" t="inlineStr">
        <is>
          <t>COE</t>
        </is>
      </c>
      <c r="AD302" s="865" t="inlineStr">
        <is>
          <t>COE - Data</t>
        </is>
      </c>
      <c r="AE302" s="865" t="inlineStr">
        <is>
          <t>COE - Data</t>
        </is>
      </c>
      <c r="AF302" s="865" t="inlineStr">
        <is>
          <t>COE</t>
        </is>
      </c>
      <c r="AG302" s="865" t="inlineStr">
        <is>
          <t>Filled</t>
        </is>
      </c>
    </row>
    <row r="303" hidden="1" ht="18" customHeight="1" s="866">
      <c r="A303" s="1566" t="n">
        <v>99999102152</v>
      </c>
      <c r="B303" s="1382" t="inlineStr">
        <is>
          <t>Jason Gleason</t>
        </is>
      </c>
      <c r="C303" s="1611" t="inlineStr">
        <is>
          <t>Technology Manager, Data Engineering &amp; Platforms</t>
        </is>
      </c>
      <c r="D303" s="1382" t="inlineStr">
        <is>
          <t>James Holgate</t>
        </is>
      </c>
      <c r="E303" s="1382" t="inlineStr">
        <is>
          <t>Head of Technology,  Group Data</t>
        </is>
      </c>
      <c r="F303" s="1628" t="inlineStr">
        <is>
          <t>Strategy, Architecture &amp; Data</t>
        </is>
      </c>
      <c r="G303" s="1612" t="inlineStr">
        <is>
          <t>Group Data</t>
        </is>
      </c>
      <c r="H303" s="1628" t="inlineStr">
        <is>
          <t>Data Engineering &amp; Platforms</t>
        </is>
      </c>
      <c r="I303" s="1628" t="inlineStr">
        <is>
          <t>Enterprise Data</t>
        </is>
      </c>
      <c r="J303" s="1686" t="inlineStr">
        <is>
          <t>Leadership</t>
        </is>
      </c>
      <c r="K303" s="1612" t="n"/>
      <c r="L303" s="1612" t="n"/>
      <c r="M303" s="1613" t="inlineStr">
        <is>
          <t>NZ</t>
        </is>
      </c>
      <c r="N303" s="1614" t="inlineStr">
        <is>
          <t>CSC</t>
        </is>
      </c>
      <c r="O303" s="1615" t="n">
        <v>1</v>
      </c>
      <c r="P303" s="1614" t="n"/>
      <c r="Q303" s="1615" t="inlineStr">
        <is>
          <t>Permanent - Full Time</t>
        </is>
      </c>
      <c r="R303" s="1616" t="n"/>
      <c r="S303" s="1616" t="n"/>
      <c r="T303" s="1627" t="n">
        <v>270000</v>
      </c>
      <c r="U303" s="1626" t="n">
        <v>248400</v>
      </c>
      <c r="V303" s="1618" t="n">
        <v>0.2</v>
      </c>
      <c r="W303" s="1615" t="n"/>
      <c r="X303" s="1619" t="n">
        <v>0.05</v>
      </c>
      <c r="Y303" s="1620" t="n">
        <v>2910</v>
      </c>
      <c r="Z303" s="1619" t="n">
        <v>0.03</v>
      </c>
      <c r="AA303" s="1621">
        <f>U303*(1+V303+X303+Z303)+Y303</f>
        <v>320862</v>
      </c>
      <c r="AB303" s="865" t="n">
        <v>116999</v>
      </c>
      <c r="AC303" s="865" t="inlineStr">
        <is>
          <t>Enterprise Data</t>
        </is>
      </c>
      <c r="AD303" s="865" t="inlineStr">
        <is>
          <t>Leadership</t>
        </is>
      </c>
      <c r="AE303" s="865" t="inlineStr">
        <is>
          <t>Leadership</t>
        </is>
      </c>
      <c r="AF303" s="865" t="inlineStr">
        <is>
          <t>Leadership</t>
        </is>
      </c>
      <c r="AG303" s="865" t="inlineStr">
        <is>
          <t>Filled</t>
        </is>
      </c>
    </row>
    <row r="304" hidden="1" ht="18" customHeight="1" s="866">
      <c r="A304" s="1566" t="n">
        <v>113381</v>
      </c>
      <c r="B304" s="1382" t="inlineStr">
        <is>
          <t>Joel Vijayakumar</t>
        </is>
      </c>
      <c r="C304" s="1611" t="inlineStr">
        <is>
          <t>Delivery Manager, Strategy, Architecture &amp; Data</t>
        </is>
      </c>
      <c r="D304" s="1382" t="inlineStr">
        <is>
          <t>Matt Ashley</t>
        </is>
      </c>
      <c r="E304" s="1382" t="inlineStr">
        <is>
          <t>GM TDD, Strategy, Architecture, Data</t>
        </is>
      </c>
      <c r="F304" s="1628" t="inlineStr">
        <is>
          <t>Strategy, Architecture &amp; Data</t>
        </is>
      </c>
      <c r="G304" s="1612" t="inlineStr">
        <is>
          <t>Delivery, SADA</t>
        </is>
      </c>
      <c r="H304" s="1612" t="n"/>
      <c r="I304" s="1612" t="n"/>
      <c r="J304" s="1628" t="inlineStr">
        <is>
          <t>Leadership</t>
        </is>
      </c>
      <c r="K304" s="1628" t="n"/>
      <c r="L304" s="1612" t="n"/>
      <c r="M304" s="1613" t="inlineStr">
        <is>
          <t>Australia</t>
        </is>
      </c>
      <c r="N304" s="1614" t="inlineStr">
        <is>
          <t>CSC</t>
        </is>
      </c>
      <c r="O304" s="1614" t="n">
        <v>1</v>
      </c>
      <c r="P304" s="1614" t="n"/>
      <c r="Q304" s="1614" t="inlineStr">
        <is>
          <t>Permanent - Full Time</t>
        </is>
      </c>
      <c r="R304" s="1616" t="n"/>
      <c r="S304" s="1616" t="n"/>
      <c r="T304" s="1627" t="n">
        <v>260840</v>
      </c>
      <c r="U304" s="1626" t="n">
        <v>260840</v>
      </c>
      <c r="V304" s="1619" t="n">
        <v>0.2</v>
      </c>
      <c r="W304" s="1622" t="n">
        <v>0.055</v>
      </c>
      <c r="X304" s="1622" t="n">
        <v>0.12</v>
      </c>
      <c r="Y304" s="1623" t="n"/>
      <c r="Z304" s="1622" t="n">
        <v>0.04</v>
      </c>
      <c r="AA304" s="1621">
        <f>U304*(1+V304+W304+X304+Y304+Z304)</f>
        <v>369088.6</v>
      </c>
      <c r="AC304" s="865" t="inlineStr">
        <is>
          <t>COE</t>
        </is>
      </c>
      <c r="AD304" s="865" t="inlineStr">
        <is>
          <t>COE - Strategy Architecture</t>
        </is>
      </c>
      <c r="AE304" s="865" t="inlineStr">
        <is>
          <t>COE - Strategy Architecture</t>
        </is>
      </c>
      <c r="AF304" s="865" t="inlineStr">
        <is>
          <t>COE</t>
        </is>
      </c>
      <c r="AG304" s="865" t="inlineStr">
        <is>
          <t>Filled</t>
        </is>
      </c>
    </row>
    <row r="305" hidden="1" ht="18" customHeight="1" s="866">
      <c r="A305" s="1566" t="n"/>
      <c r="B305" s="1382" t="inlineStr">
        <is>
          <t>John Forde</t>
        </is>
      </c>
      <c r="C305" s="1611" t="inlineStr">
        <is>
          <t>Enterprise Architect</t>
        </is>
      </c>
      <c r="D305" s="1382" t="inlineStr">
        <is>
          <t>Vacant</t>
        </is>
      </c>
      <c r="E305" s="1382" t="inlineStr">
        <is>
          <t>Head of Architecture</t>
        </is>
      </c>
      <c r="F305" s="1628" t="inlineStr">
        <is>
          <t>Strategy, Architecture &amp; Data</t>
        </is>
      </c>
      <c r="G305" s="1612" t="inlineStr">
        <is>
          <t>Architecture</t>
        </is>
      </c>
      <c r="H305" s="1628" t="inlineStr">
        <is>
          <t>Architecture</t>
        </is>
      </c>
      <c r="I305" s="1628" t="n"/>
      <c r="J305" s="1628" t="n"/>
      <c r="K305" s="1612" t="n"/>
      <c r="L305" s="1612" t="n"/>
      <c r="M305" s="1613" t="inlineStr">
        <is>
          <t>NZ</t>
        </is>
      </c>
      <c r="N305" s="1614" t="inlineStr">
        <is>
          <t>CSB</t>
        </is>
      </c>
      <c r="O305" s="1614" t="n">
        <v>1</v>
      </c>
      <c r="P305" s="1614" t="n"/>
      <c r="Q305" s="1614" t="inlineStr">
        <is>
          <t>Permanent - Full Time</t>
        </is>
      </c>
      <c r="R305" s="1624" t="n"/>
      <c r="S305" s="1616" t="n"/>
      <c r="T305" s="1627" t="n">
        <v>186780</v>
      </c>
      <c r="U305" s="1626" t="n">
        <v>171837.6</v>
      </c>
      <c r="V305" s="1618" t="n">
        <v>0.15</v>
      </c>
      <c r="W305" s="1616" t="n"/>
      <c r="X305" s="1619" t="n">
        <v>0.05</v>
      </c>
      <c r="Y305" s="1620" t="n">
        <v>2910</v>
      </c>
      <c r="Z305" s="1619" t="n">
        <v>0.03</v>
      </c>
      <c r="AA305" s="1621">
        <f>U305*(1+V305+X305+Z305)+Y305</f>
        <v>214270.248</v>
      </c>
      <c r="AC305" s="865" t="inlineStr">
        <is>
          <t>COE</t>
        </is>
      </c>
      <c r="AD305" s="865" t="inlineStr">
        <is>
          <t>COE - Strategy Architecture</t>
        </is>
      </c>
      <c r="AE305" s="865" t="inlineStr">
        <is>
          <t>COE - Strategy Architecture</t>
        </is>
      </c>
      <c r="AF305" s="865" t="inlineStr">
        <is>
          <t>COE</t>
        </is>
      </c>
      <c r="AG305" s="865" t="inlineStr">
        <is>
          <t>Filled</t>
        </is>
      </c>
    </row>
    <row r="306" hidden="1" ht="18" customHeight="1" s="866">
      <c r="A306" s="1566" t="n">
        <v>114067</v>
      </c>
      <c r="B306" s="1382" t="inlineStr">
        <is>
          <t>Jonathan Robinson</t>
        </is>
      </c>
      <c r="C306" s="1611" t="inlineStr">
        <is>
          <t>Technology Manager  Data Science</t>
        </is>
      </c>
      <c r="D306" s="1382" t="inlineStr">
        <is>
          <t>James Holgate</t>
        </is>
      </c>
      <c r="E306" s="1382" t="inlineStr">
        <is>
          <t>Head of Technology,  Group Data</t>
        </is>
      </c>
      <c r="F306" s="1628" t="inlineStr">
        <is>
          <t>Strategy, Architecture &amp; Data</t>
        </is>
      </c>
      <c r="G306" s="1612" t="inlineStr">
        <is>
          <t>Group Data</t>
        </is>
      </c>
      <c r="H306" s="1612" t="inlineStr">
        <is>
          <t>Data Science</t>
        </is>
      </c>
      <c r="I306" s="1628" t="inlineStr">
        <is>
          <t>Enterprise Data</t>
        </is>
      </c>
      <c r="J306" s="1628" t="inlineStr">
        <is>
          <t>Leadership</t>
        </is>
      </c>
      <c r="K306" s="1612" t="n"/>
      <c r="L306" s="1612" t="n"/>
      <c r="M306" s="1613" t="inlineStr">
        <is>
          <t>Australia</t>
        </is>
      </c>
      <c r="N306" s="1614" t="inlineStr">
        <is>
          <t>CSB</t>
        </is>
      </c>
      <c r="O306" s="1614" t="n">
        <v>1</v>
      </c>
      <c r="P306" s="1614" t="n"/>
      <c r="Q306" s="1614" t="inlineStr">
        <is>
          <t>Permanent - Full Time</t>
        </is>
      </c>
      <c r="R306" s="1616" t="n"/>
      <c r="S306" s="1616" t="n"/>
      <c r="T306" s="1627" t="n">
        <v>243850</v>
      </c>
      <c r="U306" s="1626" t="n">
        <v>243850</v>
      </c>
      <c r="V306" s="1619" t="n">
        <v>0.14</v>
      </c>
      <c r="W306" s="1622" t="n">
        <v>0.055</v>
      </c>
      <c r="X306" s="1622" t="n">
        <v>0.12</v>
      </c>
      <c r="Y306" s="1623" t="n"/>
      <c r="Z306" s="1622" t="n">
        <v>0.04</v>
      </c>
      <c r="AA306" s="1621">
        <f>U306*(1+V306+W306+X306+Y306+Z306)</f>
        <v>330416.75</v>
      </c>
      <c r="AC306" s="865" t="inlineStr">
        <is>
          <t>Enterprise Data</t>
        </is>
      </c>
      <c r="AD306" s="865" t="inlineStr">
        <is>
          <t>Leadership</t>
        </is>
      </c>
      <c r="AE306" s="865" t="inlineStr">
        <is>
          <t>Leadership</t>
        </is>
      </c>
      <c r="AF306" s="865" t="inlineStr">
        <is>
          <t>Leadership</t>
        </is>
      </c>
      <c r="AG306" s="865" t="inlineStr">
        <is>
          <t>Filled</t>
        </is>
      </c>
    </row>
    <row r="307" hidden="1" ht="18" customHeight="1" s="866">
      <c r="A307" s="1566" t="n">
        <v>80477</v>
      </c>
      <c r="B307" s="1382" t="inlineStr">
        <is>
          <t>Kina Birkby</t>
        </is>
      </c>
      <c r="C307" s="1611" t="inlineStr">
        <is>
          <t>Delivery Lead</t>
        </is>
      </c>
      <c r="D307" s="1382" t="inlineStr">
        <is>
          <t>Joel Vijayakumar</t>
        </is>
      </c>
      <c r="E307" s="1382" t="inlineStr">
        <is>
          <t>Delivery Manager, Strategy, Architecture &amp; Data</t>
        </is>
      </c>
      <c r="F307" s="1628" t="inlineStr">
        <is>
          <t>Strategy, Architecture &amp; Data</t>
        </is>
      </c>
      <c r="G307" s="1612" t="inlineStr">
        <is>
          <t>Delivery, SADA</t>
        </is>
      </c>
      <c r="H307" s="1612" t="n"/>
      <c r="I307" s="1628" t="inlineStr">
        <is>
          <t>Enterprise Data</t>
        </is>
      </c>
      <c r="J307" s="1628" t="inlineStr">
        <is>
          <t>Group Data</t>
        </is>
      </c>
      <c r="K307" s="1628" t="inlineStr">
        <is>
          <t>Reporting &amp; Analytics</t>
        </is>
      </c>
      <c r="L307" s="1612" t="n"/>
      <c r="M307" s="1613" t="inlineStr">
        <is>
          <t>Australia</t>
        </is>
      </c>
      <c r="N307" s="1616" t="inlineStr">
        <is>
          <t>CIC</t>
        </is>
      </c>
      <c r="O307" s="1616" t="n">
        <v>0.6</v>
      </c>
      <c r="P307" s="1616" t="n"/>
      <c r="Q307" s="1616" t="inlineStr">
        <is>
          <t>Permanent - Part Time</t>
        </is>
      </c>
      <c r="R307" s="1616" t="n"/>
      <c r="S307" s="1616" t="n"/>
      <c r="T307" s="1627" t="n">
        <v>197180</v>
      </c>
      <c r="U307" s="1626" t="n">
        <v>197180</v>
      </c>
      <c r="V307" s="1619" t="n">
        <v>0.12</v>
      </c>
      <c r="W307" s="1622" t="n">
        <v>0.055</v>
      </c>
      <c r="X307" s="1622" t="n">
        <v>0.12</v>
      </c>
      <c r="Y307" s="1623" t="n"/>
      <c r="Z307" s="1622" t="n">
        <v>0.04</v>
      </c>
      <c r="AA307" s="1621">
        <f>U307*(1+V307+W307+X307+Y307+Z307)</f>
        <v>263235.3</v>
      </c>
      <c r="AC307" s="865" t="inlineStr">
        <is>
          <t>Enterprise Data</t>
        </is>
      </c>
      <c r="AD307" s="865" t="inlineStr">
        <is>
          <t>Group Data</t>
        </is>
      </c>
      <c r="AE307" s="865" t="inlineStr">
        <is>
          <t>Reporting &amp; Analytics</t>
        </is>
      </c>
      <c r="AF307" s="865" t="inlineStr">
        <is>
          <t>Squad</t>
        </is>
      </c>
      <c r="AG307" s="865" t="inlineStr">
        <is>
          <t>Filled</t>
        </is>
      </c>
    </row>
    <row r="308" hidden="1" ht="18" customHeight="1" s="866">
      <c r="A308" s="1566" t="n">
        <v>99999101535</v>
      </c>
      <c r="B308" s="1382" t="inlineStr">
        <is>
          <t>Lynn Yiew</t>
        </is>
      </c>
      <c r="C308" s="1611" t="inlineStr">
        <is>
          <t>Data Governance Specialist</t>
        </is>
      </c>
      <c r="D308" s="1612" t="inlineStr">
        <is>
          <t>Sanjay Tikoo</t>
        </is>
      </c>
      <c r="E308" s="1382" t="inlineStr">
        <is>
          <t>Data Capability Manager</t>
        </is>
      </c>
      <c r="F308" s="1628" t="inlineStr">
        <is>
          <t>Strategy, Architecture &amp; Data</t>
        </is>
      </c>
      <c r="G308" s="1612" t="inlineStr">
        <is>
          <t>Group Data</t>
        </is>
      </c>
      <c r="H308" s="1612" t="inlineStr">
        <is>
          <t>Data Capability</t>
        </is>
      </c>
      <c r="I308" s="1628" t="inlineStr">
        <is>
          <t>Enterprise Data</t>
        </is>
      </c>
      <c r="J308" s="1628" t="n"/>
      <c r="K308" s="1612" t="n"/>
      <c r="L308" s="1612" t="n"/>
      <c r="M308" s="1613" t="inlineStr">
        <is>
          <t>NZ</t>
        </is>
      </c>
      <c r="N308" s="1614" t="inlineStr">
        <is>
          <t>CIB</t>
        </is>
      </c>
      <c r="O308" s="1615" t="n">
        <v>1</v>
      </c>
      <c r="P308" s="1614" t="n"/>
      <c r="Q308" s="1615" t="inlineStr">
        <is>
          <t>Permanent - Full Time</t>
        </is>
      </c>
      <c r="R308" s="1616" t="n"/>
      <c r="S308" s="1616" t="n"/>
      <c r="T308" s="1627" t="n">
        <v>129760</v>
      </c>
      <c r="U308" s="1626" t="n">
        <v>119379.2</v>
      </c>
      <c r="V308" s="1618" t="n">
        <v>0.15</v>
      </c>
      <c r="W308" s="1616" t="n"/>
      <c r="X308" s="1619" t="n">
        <v>0.05</v>
      </c>
      <c r="Y308" s="1620" t="n">
        <v>2910</v>
      </c>
      <c r="Z308" s="1619" t="n">
        <v>0.03</v>
      </c>
      <c r="AA308" s="1621">
        <f>U308*(1+V308+X308+Z308)+Y308</f>
        <v>149746.416</v>
      </c>
      <c r="AB308" s="865" t="n">
        <v>113582</v>
      </c>
      <c r="AC308" s="865" t="inlineStr">
        <is>
          <t>COE</t>
        </is>
      </c>
      <c r="AD308" s="865" t="inlineStr">
        <is>
          <t>COE - Data</t>
        </is>
      </c>
      <c r="AE308" s="865" t="inlineStr">
        <is>
          <t>COE - Data</t>
        </is>
      </c>
      <c r="AF308" s="865" t="inlineStr">
        <is>
          <t>COE</t>
        </is>
      </c>
      <c r="AG308" s="865" t="inlineStr">
        <is>
          <t>Filled</t>
        </is>
      </c>
    </row>
    <row r="309" hidden="1" ht="18" customHeight="1" s="866">
      <c r="A309" s="1616" t="n">
        <v>113595</v>
      </c>
      <c r="B309" s="1566" t="inlineStr">
        <is>
          <t>Mike Gilbert</t>
        </is>
      </c>
      <c r="C309" s="1611" t="inlineStr">
        <is>
          <t xml:space="preserve">Domain Architect - CFE &amp; Infrastructure </t>
        </is>
      </c>
      <c r="D309" s="1382" t="inlineStr">
        <is>
          <t>Vacant</t>
        </is>
      </c>
      <c r="E309" s="1382" t="inlineStr">
        <is>
          <t>Head of Architecture</t>
        </is>
      </c>
      <c r="F309" s="1628" t="inlineStr">
        <is>
          <t>Strategy, Architecture &amp; Data</t>
        </is>
      </c>
      <c r="G309" s="1612" t="inlineStr">
        <is>
          <t>Architecture</t>
        </is>
      </c>
      <c r="H309" s="1628" t="inlineStr">
        <is>
          <t>Architecture</t>
        </is>
      </c>
      <c r="I309" s="1628" t="n"/>
      <c r="J309" s="1628" t="n"/>
      <c r="K309" s="1612" t="n"/>
      <c r="L309" s="1612" t="n"/>
      <c r="M309" s="1613" t="inlineStr">
        <is>
          <t>NZ</t>
        </is>
      </c>
      <c r="N309" s="1614" t="inlineStr">
        <is>
          <t>CSB</t>
        </is>
      </c>
      <c r="O309" s="1614" t="n">
        <v>1</v>
      </c>
      <c r="P309" s="1614" t="n"/>
      <c r="Q309" s="1614" t="inlineStr">
        <is>
          <t>Permanent - Full Time</t>
        </is>
      </c>
      <c r="R309" s="1616" t="n"/>
      <c r="S309" s="1616" t="n"/>
      <c r="T309" s="1627" t="n">
        <v>206740</v>
      </c>
      <c r="U309" s="1626" t="n">
        <v>190200.8</v>
      </c>
      <c r="V309" s="1618" t="n">
        <v>0.15</v>
      </c>
      <c r="W309" s="1616" t="n"/>
      <c r="X309" s="1619" t="n">
        <v>0.05</v>
      </c>
      <c r="Y309" s="1620" t="n">
        <v>2910</v>
      </c>
      <c r="Z309" s="1619" t="n">
        <v>0.03</v>
      </c>
      <c r="AA309" s="1621">
        <f>U309*(1+V309+X309+Z309)+Y309</f>
        <v>236856.984</v>
      </c>
      <c r="AC309" s="865" t="inlineStr">
        <is>
          <t>COE</t>
        </is>
      </c>
      <c r="AD309" s="865" t="inlineStr">
        <is>
          <t>COE - Strategy Architecture</t>
        </is>
      </c>
      <c r="AE309" s="865" t="inlineStr">
        <is>
          <t>COE - Strategy Architecture</t>
        </is>
      </c>
      <c r="AF309" s="865" t="inlineStr">
        <is>
          <t>COE</t>
        </is>
      </c>
      <c r="AG309" s="865" t="inlineStr">
        <is>
          <t>Filled</t>
        </is>
      </c>
    </row>
    <row r="310" hidden="1" ht="18" customHeight="1" s="866">
      <c r="A310" s="1566" t="n">
        <v>100330</v>
      </c>
      <c r="B310" s="1382" t="inlineStr">
        <is>
          <t>Milan Patel</t>
        </is>
      </c>
      <c r="C310" s="1611" t="inlineStr">
        <is>
          <t>Platform Architect</t>
        </is>
      </c>
      <c r="D310" s="1612" t="inlineStr">
        <is>
          <t>Sanjay Tikoo</t>
        </is>
      </c>
      <c r="E310" s="1382" t="inlineStr">
        <is>
          <t>Data Capability Manager</t>
        </is>
      </c>
      <c r="F310" s="1628" t="inlineStr">
        <is>
          <t>Strategy, Architecture &amp; Data</t>
        </is>
      </c>
      <c r="G310" s="1612" t="inlineStr">
        <is>
          <t>Group Data</t>
        </is>
      </c>
      <c r="H310" s="1612" t="inlineStr">
        <is>
          <t>Data Capability</t>
        </is>
      </c>
      <c r="I310" s="1628" t="inlineStr">
        <is>
          <t>Enterprise Data</t>
        </is>
      </c>
      <c r="J310" s="1628" t="inlineStr">
        <is>
          <t>Group Data</t>
        </is>
      </c>
      <c r="K310" s="1612" t="inlineStr">
        <is>
          <t>Data Platform</t>
        </is>
      </c>
      <c r="L310" s="1612" t="n"/>
      <c r="M310" s="1613" t="inlineStr">
        <is>
          <t>Australia</t>
        </is>
      </c>
      <c r="N310" s="1614" t="inlineStr">
        <is>
          <t>CIC</t>
        </is>
      </c>
      <c r="O310" s="1614" t="n">
        <v>1</v>
      </c>
      <c r="P310" s="1614" t="n"/>
      <c r="Q310" s="1614" t="inlineStr">
        <is>
          <t>Permanent - Full Time</t>
        </is>
      </c>
      <c r="R310" s="1616" t="n"/>
      <c r="S310" s="1616" t="n"/>
      <c r="T310" s="1627" t="n">
        <v>198940</v>
      </c>
      <c r="U310" s="1626" t="n">
        <v>198940</v>
      </c>
      <c r="V310" s="1619" t="n">
        <v>0.12</v>
      </c>
      <c r="W310" s="1622" t="n">
        <v>0.055</v>
      </c>
      <c r="X310" s="1622" t="n">
        <v>0.12</v>
      </c>
      <c r="Y310" s="1623" t="n"/>
      <c r="Z310" s="1622" t="n">
        <v>0.04</v>
      </c>
      <c r="AA310" s="1621">
        <f>U310*(1+V310+W310+X310+Y310+Z310)</f>
        <v>265584.9</v>
      </c>
      <c r="AC310" s="865" t="inlineStr">
        <is>
          <t>COE</t>
        </is>
      </c>
      <c r="AD310" s="865" t="inlineStr">
        <is>
          <t>COE - Data</t>
        </is>
      </c>
      <c r="AE310" s="865" t="inlineStr">
        <is>
          <t>COE - Data</t>
        </is>
      </c>
      <c r="AF310" s="865" t="inlineStr">
        <is>
          <t>COE</t>
        </is>
      </c>
      <c r="AG310" s="865" t="inlineStr">
        <is>
          <t>Filled</t>
        </is>
      </c>
    </row>
    <row r="311" hidden="1" ht="18" customHeight="1" s="866">
      <c r="A311" s="1566" t="n">
        <v>99522</v>
      </c>
      <c r="B311" s="1382" t="inlineStr">
        <is>
          <t>Mitchell Clarke</t>
        </is>
      </c>
      <c r="C311" s="1611" t="inlineStr">
        <is>
          <t>Snr Data Governance Specialist</t>
        </is>
      </c>
      <c r="D311" s="1612" t="inlineStr">
        <is>
          <t>Sanjay Tikoo</t>
        </is>
      </c>
      <c r="E311" s="1382" t="inlineStr">
        <is>
          <t>Data Capability Manager</t>
        </is>
      </c>
      <c r="F311" s="1628" t="inlineStr">
        <is>
          <t>Strategy, Architecture &amp; Data</t>
        </is>
      </c>
      <c r="G311" s="1612" t="inlineStr">
        <is>
          <t>Group Data</t>
        </is>
      </c>
      <c r="H311" s="1612" t="inlineStr">
        <is>
          <t>Data Capability</t>
        </is>
      </c>
      <c r="I311" s="1628" t="inlineStr">
        <is>
          <t>Enterprise Data</t>
        </is>
      </c>
      <c r="J311" s="1628" t="n"/>
      <c r="K311" s="1612" t="n"/>
      <c r="L311" s="1612" t="n"/>
      <c r="M311" s="1613" t="inlineStr">
        <is>
          <t>Australia</t>
        </is>
      </c>
      <c r="N311" s="1614" t="inlineStr">
        <is>
          <t>CIC</t>
        </is>
      </c>
      <c r="O311" s="1614" t="n">
        <v>1</v>
      </c>
      <c r="P311" s="1614" t="n"/>
      <c r="Q311" s="1614" t="inlineStr">
        <is>
          <t>Permanent - Full Time</t>
        </is>
      </c>
      <c r="R311" s="1616" t="n"/>
      <c r="S311" s="1616" t="n"/>
      <c r="T311" s="1627" t="n">
        <v>169280</v>
      </c>
      <c r="U311" s="1626" t="n">
        <v>169280</v>
      </c>
      <c r="V311" s="1619" t="n">
        <v>0.12</v>
      </c>
      <c r="W311" s="1622" t="n">
        <v>0.055</v>
      </c>
      <c r="X311" s="1622" t="n">
        <v>0.12</v>
      </c>
      <c r="Y311" s="1623" t="n"/>
      <c r="Z311" s="1622" t="n">
        <v>0.04</v>
      </c>
      <c r="AA311" s="1621">
        <f>U311*(1+V311+W311+X311+Y311+Z311)</f>
        <v>225988.8</v>
      </c>
      <c r="AC311" s="865" t="inlineStr">
        <is>
          <t>COE</t>
        </is>
      </c>
      <c r="AD311" s="865" t="inlineStr">
        <is>
          <t>COE - Data</t>
        </is>
      </c>
      <c r="AE311" s="865" t="inlineStr">
        <is>
          <t>COE - Data</t>
        </is>
      </c>
      <c r="AF311" s="865" t="inlineStr">
        <is>
          <t>COE</t>
        </is>
      </c>
      <c r="AG311" s="865" t="inlineStr">
        <is>
          <t>Filled</t>
        </is>
      </c>
    </row>
    <row r="312" hidden="1" ht="18" customHeight="1" s="866">
      <c r="A312" s="1566" t="n">
        <v>107048</v>
      </c>
      <c r="B312" s="1382" t="inlineStr">
        <is>
          <t>Om Singh</t>
        </is>
      </c>
      <c r="C312" s="1611" t="inlineStr">
        <is>
          <t>Data Scientist</t>
        </is>
      </c>
      <c r="D312" s="1382" t="inlineStr">
        <is>
          <t>Jonathan Robinson</t>
        </is>
      </c>
      <c r="E312" s="1382" t="inlineStr">
        <is>
          <t>Technology Manager, Data Science</t>
        </is>
      </c>
      <c r="F312" s="1628" t="inlineStr">
        <is>
          <t>Strategy, Architecture &amp; Data</t>
        </is>
      </c>
      <c r="G312" s="1612" t="inlineStr">
        <is>
          <t>Group Data</t>
        </is>
      </c>
      <c r="H312" s="1628" t="inlineStr">
        <is>
          <t>Data Science</t>
        </is>
      </c>
      <c r="I312" s="1628" t="inlineStr">
        <is>
          <t>Enterprise Data</t>
        </is>
      </c>
      <c r="J312" s="1628" t="inlineStr">
        <is>
          <t>Group Data</t>
        </is>
      </c>
      <c r="K312" s="1612" t="inlineStr">
        <is>
          <t>Data Science</t>
        </is>
      </c>
      <c r="L312" s="1612" t="n"/>
      <c r="M312" s="1613" t="inlineStr">
        <is>
          <t>Australia</t>
        </is>
      </c>
      <c r="N312" s="1614" t="inlineStr">
        <is>
          <t>CIA</t>
        </is>
      </c>
      <c r="O312" s="1614" t="n">
        <v>1</v>
      </c>
      <c r="P312" s="1614" t="n"/>
      <c r="Q312" s="1614" t="inlineStr">
        <is>
          <t>Temporary - Full Time</t>
        </is>
      </c>
      <c r="R312" s="1616" t="n"/>
      <c r="S312" s="1616" t="n"/>
      <c r="T312" s="1627" t="n">
        <v>138000</v>
      </c>
      <c r="U312" s="1626" t="n">
        <v>138000</v>
      </c>
      <c r="V312" s="1619" t="n">
        <v>0.1</v>
      </c>
      <c r="W312" s="1622" t="n">
        <v>0.055</v>
      </c>
      <c r="X312" s="1622" t="n">
        <v>0.12</v>
      </c>
      <c r="Y312" s="1623" t="n"/>
      <c r="Z312" s="1622" t="n">
        <v>0.04</v>
      </c>
      <c r="AA312" s="1621">
        <f>U312*(1+V312+W312+X312+Y312+Z312)</f>
        <v>181470</v>
      </c>
      <c r="AC312" s="865" t="inlineStr">
        <is>
          <t>Enterprise Data</t>
        </is>
      </c>
      <c r="AD312" s="865" t="inlineStr">
        <is>
          <t>Group Data</t>
        </is>
      </c>
      <c r="AE312" s="865" t="inlineStr">
        <is>
          <t>Data Science</t>
        </is>
      </c>
      <c r="AF312" s="865" t="inlineStr">
        <is>
          <t>Squad</t>
        </is>
      </c>
      <c r="AG312" s="865" t="inlineStr">
        <is>
          <t>Filled</t>
        </is>
      </c>
    </row>
    <row r="313" hidden="1" ht="18" customHeight="1" s="866">
      <c r="A313" s="1566" t="n">
        <v>107154</v>
      </c>
      <c r="B313" s="1382" t="inlineStr">
        <is>
          <t>Prashant Tataskar</t>
        </is>
      </c>
      <c r="C313" s="1611" t="inlineStr">
        <is>
          <t>Data Scientist</t>
        </is>
      </c>
      <c r="D313" s="1382" t="inlineStr">
        <is>
          <t>Jonathan Robinson</t>
        </is>
      </c>
      <c r="E313" s="1382" t="inlineStr">
        <is>
          <t>Technology Manager, Data Science</t>
        </is>
      </c>
      <c r="F313" s="1628" t="inlineStr">
        <is>
          <t>Strategy, Architecture &amp; Data</t>
        </is>
      </c>
      <c r="G313" s="1612" t="inlineStr">
        <is>
          <t>Group Data</t>
        </is>
      </c>
      <c r="H313" s="1628" t="inlineStr">
        <is>
          <t>Data Science</t>
        </is>
      </c>
      <c r="I313" s="1628" t="inlineStr">
        <is>
          <t>Enterprise Data</t>
        </is>
      </c>
      <c r="J313" s="1628" t="inlineStr">
        <is>
          <t>Group Data</t>
        </is>
      </c>
      <c r="K313" s="1612" t="inlineStr">
        <is>
          <t>Data Science</t>
        </is>
      </c>
      <c r="L313" s="1612" t="n"/>
      <c r="M313" s="1613" t="inlineStr">
        <is>
          <t>Australia</t>
        </is>
      </c>
      <c r="N313" s="1614" t="inlineStr">
        <is>
          <t>CIB</t>
        </is>
      </c>
      <c r="O313" s="1614" t="n">
        <v>1</v>
      </c>
      <c r="P313" s="1614" t="n"/>
      <c r="Q313" s="1614" t="inlineStr">
        <is>
          <t>Permanent - Full Time</t>
        </is>
      </c>
      <c r="R313" s="1616" t="n"/>
      <c r="S313" s="1616" t="n"/>
      <c r="T313" s="1627" t="n">
        <v>156160</v>
      </c>
      <c r="U313" s="1626" t="n">
        <v>156160</v>
      </c>
      <c r="V313" s="1619" t="n">
        <v>0.12</v>
      </c>
      <c r="W313" s="1622" t="n">
        <v>0.055</v>
      </c>
      <c r="X313" s="1622" t="n">
        <v>0.12</v>
      </c>
      <c r="Y313" s="1623" t="n"/>
      <c r="Z313" s="1622" t="n">
        <v>0.04</v>
      </c>
      <c r="AA313" s="1621">
        <f>U313*(1+V313+W313+X313+Y313+Z313)</f>
        <v>208473.6</v>
      </c>
      <c r="AC313" s="865" t="inlineStr">
        <is>
          <t>Enterprise Data</t>
        </is>
      </c>
      <c r="AD313" s="865" t="inlineStr">
        <is>
          <t>Group Data</t>
        </is>
      </c>
      <c r="AE313" s="865" t="inlineStr">
        <is>
          <t>Data Science</t>
        </is>
      </c>
      <c r="AF313" s="865" t="inlineStr">
        <is>
          <t>Squad</t>
        </is>
      </c>
      <c r="AG313" s="865" t="inlineStr">
        <is>
          <t>Filled</t>
        </is>
      </c>
    </row>
    <row r="314" hidden="1" ht="18" customHeight="1" s="866">
      <c r="A314" s="1566" t="n">
        <v>113451</v>
      </c>
      <c r="B314" s="1382" t="inlineStr">
        <is>
          <t>Prashanth Krishnankutty</t>
        </is>
      </c>
      <c r="C314" s="1611" t="inlineStr">
        <is>
          <t>Lead Reporting &amp; Insights</t>
        </is>
      </c>
      <c r="D314" s="1382" t="inlineStr">
        <is>
          <t>Jason Gleason</t>
        </is>
      </c>
      <c r="E314" s="1382" t="inlineStr">
        <is>
          <t>Technology Manager, Data Engineering &amp; Platforms</t>
        </is>
      </c>
      <c r="F314" s="1628" t="inlineStr">
        <is>
          <t>Strategy, Architecture &amp; Data</t>
        </is>
      </c>
      <c r="G314" s="1612" t="inlineStr">
        <is>
          <t>Group Data</t>
        </is>
      </c>
      <c r="H314" s="1628" t="inlineStr">
        <is>
          <t>Data Engineering &amp; Platforms</t>
        </is>
      </c>
      <c r="I314" s="1628" t="inlineStr">
        <is>
          <t>Enterprise Data</t>
        </is>
      </c>
      <c r="J314" s="1628" t="inlineStr">
        <is>
          <t>Group Data</t>
        </is>
      </c>
      <c r="K314" s="1628" t="inlineStr">
        <is>
          <t>Reporting &amp; Analytics</t>
        </is>
      </c>
      <c r="L314" s="1612" t="n"/>
      <c r="M314" s="1613" t="inlineStr">
        <is>
          <t>Australia</t>
        </is>
      </c>
      <c r="N314" s="1614" t="inlineStr">
        <is>
          <t>CIC</t>
        </is>
      </c>
      <c r="O314" s="1614" t="n">
        <v>1</v>
      </c>
      <c r="P314" s="1614" t="n"/>
      <c r="Q314" s="1614" t="inlineStr">
        <is>
          <t>Permanent - Full Time</t>
        </is>
      </c>
      <c r="R314" s="1616" t="n"/>
      <c r="S314" s="1616" t="n"/>
      <c r="T314" s="1627" t="n">
        <v>191290</v>
      </c>
      <c r="U314" s="1626" t="n">
        <v>191290</v>
      </c>
      <c r="V314" s="1619" t="n">
        <v>0.12</v>
      </c>
      <c r="W314" s="1622" t="n">
        <v>0.055</v>
      </c>
      <c r="X314" s="1622" t="n">
        <v>0.12</v>
      </c>
      <c r="Y314" s="1623" t="n"/>
      <c r="Z314" s="1622" t="n">
        <v>0.04</v>
      </c>
      <c r="AA314" s="1621">
        <f>U314*(1+V314+W314+X314+Y314+Z314)</f>
        <v>255372.15</v>
      </c>
      <c r="AC314" s="865" t="inlineStr">
        <is>
          <t>Enterprise Data</t>
        </is>
      </c>
      <c r="AD314" s="865" t="inlineStr">
        <is>
          <t>Group Data</t>
        </is>
      </c>
      <c r="AE314" s="865" t="inlineStr">
        <is>
          <t>Reporting &amp; Analytics</t>
        </is>
      </c>
      <c r="AF314" s="865" t="inlineStr">
        <is>
          <t>Squad</t>
        </is>
      </c>
      <c r="AG314" s="865" t="inlineStr">
        <is>
          <t>Filled</t>
        </is>
      </c>
    </row>
    <row r="315" hidden="1" ht="18" customHeight="1" s="866">
      <c r="A315" s="1566" t="n">
        <v>83092</v>
      </c>
      <c r="B315" s="1382" t="inlineStr">
        <is>
          <t>Rakshit Kaul</t>
        </is>
      </c>
      <c r="C315" s="1611" t="inlineStr">
        <is>
          <t>Applications Specialist</t>
        </is>
      </c>
      <c r="D315" s="1382" t="inlineStr">
        <is>
          <t>Sai Konka</t>
        </is>
      </c>
      <c r="E315" s="1382" t="inlineStr">
        <is>
          <t>Applications &amp; Analytics Manager</t>
        </is>
      </c>
      <c r="F315" s="1628" t="inlineStr">
        <is>
          <t>Strategy, Architecture &amp; Data</t>
        </is>
      </c>
      <c r="G315" s="1612" t="inlineStr">
        <is>
          <t>Group Data</t>
        </is>
      </c>
      <c r="H315" s="1628" t="inlineStr">
        <is>
          <t>Data Engineering &amp; Platforms</t>
        </is>
      </c>
      <c r="I315" s="1628" t="inlineStr">
        <is>
          <t>Enterprise Data</t>
        </is>
      </c>
      <c r="J315" s="1628" t="inlineStr">
        <is>
          <t>EGI</t>
        </is>
      </c>
      <c r="K315" s="1628" t="inlineStr">
        <is>
          <t>Reporting &amp; Analytics</t>
        </is>
      </c>
      <c r="L315" s="1612" t="n"/>
      <c r="M315" s="1613" t="inlineStr">
        <is>
          <t>Australia</t>
        </is>
      </c>
      <c r="N315" s="1616" t="inlineStr">
        <is>
          <t>CIB</t>
        </is>
      </c>
      <c r="O315" s="1616" t="n">
        <v>1</v>
      </c>
      <c r="P315" s="1616" t="n"/>
      <c r="Q315" s="1616" t="inlineStr">
        <is>
          <t>Permanent - Full Time</t>
        </is>
      </c>
      <c r="R315" s="1616" t="n"/>
      <c r="S315" s="1616" t="n"/>
      <c r="T315" s="1627" t="n">
        <v>178100</v>
      </c>
      <c r="U315" s="1626" t="n">
        <v>178100</v>
      </c>
      <c r="V315" s="1619" t="n">
        <v>0.12</v>
      </c>
      <c r="W315" s="1622" t="n">
        <v>0.055</v>
      </c>
      <c r="X315" s="1622" t="n">
        <v>0.12</v>
      </c>
      <c r="Y315" s="1623" t="n"/>
      <c r="Z315" s="1622" t="n">
        <v>0.04</v>
      </c>
      <c r="AA315" s="1621">
        <f>U315*(1+V315+W315+X315+Y315+Z315)</f>
        <v>237763.5</v>
      </c>
      <c r="AC315" s="865" t="inlineStr">
        <is>
          <t>Enterprise Data</t>
        </is>
      </c>
      <c r="AD315" s="865" t="inlineStr">
        <is>
          <t>Group Data</t>
        </is>
      </c>
      <c r="AE315" s="865" t="inlineStr">
        <is>
          <t>Reporting &amp; Analytics</t>
        </is>
      </c>
      <c r="AF315" s="865" t="inlineStr">
        <is>
          <t>Squad</t>
        </is>
      </c>
      <c r="AG315" s="865" t="inlineStr">
        <is>
          <t>Filled</t>
        </is>
      </c>
    </row>
    <row r="316" hidden="1" ht="18" customHeight="1" s="866">
      <c r="A316" s="1566" t="n">
        <v>98599</v>
      </c>
      <c r="B316" s="1382" t="inlineStr">
        <is>
          <t>Raymond Bai</t>
        </is>
      </c>
      <c r="C316" s="1611" t="inlineStr">
        <is>
          <t>Data Adoption Specialist</t>
        </is>
      </c>
      <c r="D316" s="1612" t="inlineStr">
        <is>
          <t>Sanjay Tikoo</t>
        </is>
      </c>
      <c r="E316" s="1382" t="inlineStr">
        <is>
          <t>Lead Engineer (Databricks)</t>
        </is>
      </c>
      <c r="F316" s="1628" t="inlineStr">
        <is>
          <t>Strategy, Architecture &amp; Data</t>
        </is>
      </c>
      <c r="G316" s="1612" t="inlineStr">
        <is>
          <t>Group Data</t>
        </is>
      </c>
      <c r="H316" s="1628" t="inlineStr">
        <is>
          <t>Data Capability</t>
        </is>
      </c>
      <c r="I316" s="1612" t="inlineStr">
        <is>
          <t>Enterprise Data</t>
        </is>
      </c>
      <c r="J316" s="1628" t="inlineStr">
        <is>
          <t>Group Data</t>
        </is>
      </c>
      <c r="K316" s="1612" t="n"/>
      <c r="L316" s="1612" t="n"/>
      <c r="M316" s="1613" t="inlineStr">
        <is>
          <t>Australia</t>
        </is>
      </c>
      <c r="N316" s="1614" t="inlineStr">
        <is>
          <t>CIB</t>
        </is>
      </c>
      <c r="O316" s="1614" t="n">
        <v>1</v>
      </c>
      <c r="P316" s="1614" t="n"/>
      <c r="Q316" s="1614" t="inlineStr">
        <is>
          <t>Permanent - Full Time</t>
        </is>
      </c>
      <c r="R316" s="1616" t="n"/>
      <c r="S316" s="1616" t="n"/>
      <c r="T316" s="1627" t="n">
        <v>131740</v>
      </c>
      <c r="U316" s="1626" t="n">
        <v>131740</v>
      </c>
      <c r="V316" s="1619" t="n">
        <v>0.12</v>
      </c>
      <c r="W316" s="1622" t="n">
        <v>0.055</v>
      </c>
      <c r="X316" s="1622" t="n">
        <v>0.12</v>
      </c>
      <c r="Y316" s="1623" t="n"/>
      <c r="Z316" s="1622" t="n">
        <v>0.04</v>
      </c>
      <c r="AA316" s="1621">
        <f>U316*(1+V316+W316+X316+Y316+Z316)</f>
        <v>175872.9</v>
      </c>
      <c r="AC316" s="865" t="inlineStr">
        <is>
          <t>COE</t>
        </is>
      </c>
      <c r="AD316" s="865" t="inlineStr">
        <is>
          <t>COE - Data</t>
        </is>
      </c>
      <c r="AE316" s="865" t="inlineStr">
        <is>
          <t>COE - Data</t>
        </is>
      </c>
      <c r="AF316" s="865" t="inlineStr">
        <is>
          <t>COE</t>
        </is>
      </c>
      <c r="AG316" s="865" t="inlineStr">
        <is>
          <t>Filled</t>
        </is>
      </c>
    </row>
    <row r="317" hidden="1" ht="18" customHeight="1" s="866">
      <c r="A317" s="1566" t="n">
        <v>110146</v>
      </c>
      <c r="B317" s="1382" t="inlineStr">
        <is>
          <t>Renosh Matthew Thomas</t>
        </is>
      </c>
      <c r="C317" s="1611" t="inlineStr">
        <is>
          <t>Data Enablement Lead</t>
        </is>
      </c>
      <c r="D317" s="1612" t="inlineStr">
        <is>
          <t>Sanjay Tikoo</t>
        </is>
      </c>
      <c r="E317" s="1382" t="inlineStr">
        <is>
          <t>Data Capability Manager</t>
        </is>
      </c>
      <c r="F317" s="1628" t="inlineStr">
        <is>
          <t>Strategy, Architecture &amp; Data</t>
        </is>
      </c>
      <c r="G317" s="1612" t="inlineStr">
        <is>
          <t>Group Data</t>
        </is>
      </c>
      <c r="H317" s="1612" t="inlineStr">
        <is>
          <t>Data Capability</t>
        </is>
      </c>
      <c r="I317" s="1628" t="inlineStr">
        <is>
          <t>Enterprise Data</t>
        </is>
      </c>
      <c r="J317" s="1628" t="inlineStr">
        <is>
          <t>Group Data</t>
        </is>
      </c>
      <c r="K317" s="1612" t="n"/>
      <c r="L317" s="1612" t="n"/>
      <c r="M317" s="1613" t="inlineStr">
        <is>
          <t>Australia</t>
        </is>
      </c>
      <c r="N317" s="1614" t="inlineStr">
        <is>
          <t>CIB</t>
        </is>
      </c>
      <c r="O317" s="1614" t="n">
        <v>1</v>
      </c>
      <c r="P317" s="1614" t="n"/>
      <c r="Q317" s="1614" t="inlineStr">
        <is>
          <t>Permanent - Full Time</t>
        </is>
      </c>
      <c r="R317" s="1616" t="n"/>
      <c r="S317" s="1616" t="n"/>
      <c r="T317" s="1627" t="n">
        <v>170080</v>
      </c>
      <c r="U317" s="1626" t="n">
        <v>170080</v>
      </c>
      <c r="V317" s="1619" t="n">
        <v>0.12</v>
      </c>
      <c r="W317" s="1622" t="n">
        <v>0.055</v>
      </c>
      <c r="X317" s="1622" t="n">
        <v>0.12</v>
      </c>
      <c r="Y317" s="1623" t="n"/>
      <c r="Z317" s="1622" t="n">
        <v>0.04</v>
      </c>
      <c r="AA317" s="1621">
        <f>U317*(1+V317+W317+X317+Y317+Z317)</f>
        <v>227056.8</v>
      </c>
      <c r="AC317" s="865" t="inlineStr">
        <is>
          <t>COE</t>
        </is>
      </c>
      <c r="AD317" s="865" t="inlineStr">
        <is>
          <t>COE - Data</t>
        </is>
      </c>
      <c r="AE317" s="865" t="inlineStr">
        <is>
          <t>COE - Data</t>
        </is>
      </c>
      <c r="AF317" s="865" t="inlineStr">
        <is>
          <t>COE</t>
        </is>
      </c>
      <c r="AG317" s="865" t="inlineStr">
        <is>
          <t>Filled</t>
        </is>
      </c>
    </row>
    <row r="318" hidden="1" ht="18" customHeight="1" s="866">
      <c r="A318" s="1566" t="n">
        <v>94631</v>
      </c>
      <c r="B318" s="1382" t="inlineStr">
        <is>
          <t>Rihan Schalkwyk</t>
        </is>
      </c>
      <c r="C318" s="1611" t="inlineStr">
        <is>
          <t>Senior Business Analyst</t>
        </is>
      </c>
      <c r="D318" s="1382" t="inlineStr">
        <is>
          <t>Joel Vijayakumar</t>
        </is>
      </c>
      <c r="E318" s="1382" t="inlineStr">
        <is>
          <t>Delivery Manager, Strategy, Architecture &amp; Data</t>
        </is>
      </c>
      <c r="F318" s="1628" t="inlineStr">
        <is>
          <t>Strategy, Architecture &amp; Data</t>
        </is>
      </c>
      <c r="G318" s="1612" t="inlineStr">
        <is>
          <t>Delivery, SADA</t>
        </is>
      </c>
      <c r="H318" s="1612" t="n"/>
      <c r="I318" s="1612" t="n"/>
      <c r="J318" s="1628" t="n"/>
      <c r="K318" s="1612" t="n"/>
      <c r="L318" s="1612" t="n"/>
      <c r="M318" s="1613" t="inlineStr">
        <is>
          <t>Australia</t>
        </is>
      </c>
      <c r="N318" s="1614" t="inlineStr">
        <is>
          <t>CIC</t>
        </is>
      </c>
      <c r="O318" s="1614" t="n">
        <v>1</v>
      </c>
      <c r="P318" s="1614" t="n"/>
      <c r="Q318" s="1614" t="inlineStr">
        <is>
          <t>Permanent - Full Time</t>
        </is>
      </c>
      <c r="R318" s="1616" t="n"/>
      <c r="S318" s="1616" t="n"/>
      <c r="T318" s="1627" t="n">
        <v>186610</v>
      </c>
      <c r="U318" s="1626" t="n">
        <v>186610</v>
      </c>
      <c r="V318" s="1619" t="n">
        <v>0.12</v>
      </c>
      <c r="W318" s="1622" t="n">
        <v>0.055</v>
      </c>
      <c r="X318" s="1622" t="n">
        <v>0.12</v>
      </c>
      <c r="Y318" s="1623" t="n"/>
      <c r="Z318" s="1622" t="n">
        <v>0.04</v>
      </c>
      <c r="AA318" s="1621">
        <f>U318*(1+V318+W318+X318+Y318+Z318)</f>
        <v>249124.35</v>
      </c>
      <c r="AC318" s="865" t="inlineStr">
        <is>
          <t>COE</t>
        </is>
      </c>
      <c r="AD318" s="865" t="inlineStr">
        <is>
          <t>COE - Strategy Architecture</t>
        </is>
      </c>
      <c r="AE318" s="865" t="inlineStr">
        <is>
          <t>COE - Strategy Architecture</t>
        </is>
      </c>
      <c r="AF318" s="865" t="inlineStr">
        <is>
          <t>COE</t>
        </is>
      </c>
      <c r="AG318" s="865" t="inlineStr">
        <is>
          <t>Filled</t>
        </is>
      </c>
    </row>
    <row r="319" hidden="1" ht="18" customHeight="1" s="866">
      <c r="A319" s="1566" t="inlineStr">
        <is>
          <t>V</t>
        </is>
      </c>
      <c r="B319" s="1382" t="inlineStr">
        <is>
          <t>ring fenced</t>
        </is>
      </c>
      <c r="C319" s="1611" t="inlineStr">
        <is>
          <t>Enterprise Architect</t>
        </is>
      </c>
      <c r="D319" s="1382" t="inlineStr">
        <is>
          <t>Vacant</t>
        </is>
      </c>
      <c r="E319" s="1382" t="inlineStr">
        <is>
          <t>Head of Architecture</t>
        </is>
      </c>
      <c r="F319" s="1628" t="inlineStr">
        <is>
          <t>Strategy, Architecture &amp; Data</t>
        </is>
      </c>
      <c r="G319" s="1612" t="inlineStr">
        <is>
          <t>Architecture</t>
        </is>
      </c>
      <c r="H319" s="1628" t="inlineStr">
        <is>
          <t>Architecture</t>
        </is>
      </c>
      <c r="I319" s="1628" t="n"/>
      <c r="J319" s="1628" t="n"/>
      <c r="K319" s="1612" t="n"/>
      <c r="L319" s="1612" t="n"/>
      <c r="M319" s="1613" t="inlineStr">
        <is>
          <t>Australia</t>
        </is>
      </c>
      <c r="N319" s="1614" t="inlineStr">
        <is>
          <t>CSB</t>
        </is>
      </c>
      <c r="O319" s="1614" t="n">
        <v>1</v>
      </c>
      <c r="P319" s="1614" t="n"/>
      <c r="Q319" s="1614" t="inlineStr">
        <is>
          <t>V</t>
        </is>
      </c>
      <c r="R319" s="1624" t="n"/>
      <c r="S319" s="1616" t="n"/>
      <c r="T319" s="1627" t="n">
        <v>203550</v>
      </c>
      <c r="U319" s="1626" t="n">
        <v>203550</v>
      </c>
      <c r="V319" s="1619" t="n">
        <v>0.14</v>
      </c>
      <c r="W319" s="1622" t="n">
        <v>0.055</v>
      </c>
      <c r="X319" s="1622" t="n">
        <v>0.12</v>
      </c>
      <c r="Y319" s="1623" t="n"/>
      <c r="Z319" s="1622" t="n">
        <v>0.04</v>
      </c>
      <c r="AA319" s="1621">
        <f>U319*(1+V319+W319+X319+Y319+Z319)</f>
        <v>275810.25</v>
      </c>
      <c r="AC319" s="865" t="inlineStr">
        <is>
          <t>COE</t>
        </is>
      </c>
      <c r="AD319" s="865" t="inlineStr">
        <is>
          <t>COE - Strategy Architecture</t>
        </is>
      </c>
      <c r="AE319" s="865" t="inlineStr">
        <is>
          <t>COE - Strategy Architecture</t>
        </is>
      </c>
      <c r="AF319" s="865" t="inlineStr">
        <is>
          <t>COE</t>
        </is>
      </c>
      <c r="AG319" s="865" t="inlineStr">
        <is>
          <t>Filled</t>
        </is>
      </c>
    </row>
    <row r="320" hidden="1" ht="18" customHeight="1" s="866">
      <c r="A320" s="1566" t="n"/>
      <c r="B320" s="1382" t="inlineStr">
        <is>
          <t>ring fenced</t>
        </is>
      </c>
      <c r="C320" s="1611" t="inlineStr">
        <is>
          <t>Domain Architect - Customer &amp; Digital Tech</t>
        </is>
      </c>
      <c r="D320" s="1382" t="inlineStr">
        <is>
          <t>Vacant</t>
        </is>
      </c>
      <c r="E320" s="1382" t="inlineStr">
        <is>
          <t>Head of Architecture</t>
        </is>
      </c>
      <c r="F320" s="1628" t="inlineStr">
        <is>
          <t>Strategy, Architecture &amp; Data</t>
        </is>
      </c>
      <c r="G320" s="1612" t="inlineStr">
        <is>
          <t>Architecture</t>
        </is>
      </c>
      <c r="H320" s="1628" t="inlineStr">
        <is>
          <t>Architecture</t>
        </is>
      </c>
      <c r="I320" s="1628" t="n"/>
      <c r="J320" s="1628" t="n"/>
      <c r="K320" s="1612" t="n"/>
      <c r="L320" s="1612" t="n"/>
      <c r="M320" s="1613" t="inlineStr">
        <is>
          <t>Australia</t>
        </is>
      </c>
      <c r="N320" s="1614" t="inlineStr">
        <is>
          <t>CIC</t>
        </is>
      </c>
      <c r="O320" s="1614" t="n">
        <v>1</v>
      </c>
      <c r="P320" s="1614" t="n"/>
      <c r="Q320" s="1614" t="inlineStr">
        <is>
          <t>v</t>
        </is>
      </c>
      <c r="R320" s="1624" t="n"/>
      <c r="S320" s="1616" t="n"/>
      <c r="T320" s="1627" t="n">
        <v>173550</v>
      </c>
      <c r="U320" s="1626" t="n">
        <v>173550</v>
      </c>
      <c r="V320" s="1619" t="n">
        <v>0.12</v>
      </c>
      <c r="W320" s="1622" t="n">
        <v>0.055</v>
      </c>
      <c r="X320" s="1622" t="n">
        <v>0.12</v>
      </c>
      <c r="Y320" s="1623" t="n"/>
      <c r="Z320" s="1622" t="n">
        <v>0.04</v>
      </c>
      <c r="AA320" s="1621">
        <f>U320*(1+V320+W320+X320+Y320+Z320)</f>
        <v>231689.25</v>
      </c>
      <c r="AC320" s="865" t="inlineStr">
        <is>
          <t>COE</t>
        </is>
      </c>
      <c r="AD320" s="865" t="inlineStr">
        <is>
          <t>COE - Strategy Architecture</t>
        </is>
      </c>
      <c r="AE320" s="865" t="inlineStr">
        <is>
          <t>COE - Strategy Architecture</t>
        </is>
      </c>
      <c r="AF320" s="865" t="inlineStr">
        <is>
          <t>COE</t>
        </is>
      </c>
      <c r="AG320" s="865" t="inlineStr">
        <is>
          <t>Filled</t>
        </is>
      </c>
    </row>
    <row r="321" hidden="1" ht="18" customHeight="1" s="866">
      <c r="A321" s="1566" t="n"/>
      <c r="B321" s="1382" t="inlineStr">
        <is>
          <t>ring fenced</t>
        </is>
      </c>
      <c r="C321" s="1611" t="inlineStr">
        <is>
          <t>Domain Architect - Retail &amp; Z</t>
        </is>
      </c>
      <c r="D321" s="1382" t="inlineStr">
        <is>
          <t>Vacant</t>
        </is>
      </c>
      <c r="E321" s="1382" t="inlineStr">
        <is>
          <t>Head of Architecture</t>
        </is>
      </c>
      <c r="F321" s="1628" t="inlineStr">
        <is>
          <t>Strategy, Architecture &amp; Data</t>
        </is>
      </c>
      <c r="G321" s="1612" t="inlineStr">
        <is>
          <t>Architecture</t>
        </is>
      </c>
      <c r="H321" s="1628" t="inlineStr">
        <is>
          <t>Architecture</t>
        </is>
      </c>
      <c r="I321" s="1628" t="n"/>
      <c r="J321" s="1628" t="n"/>
      <c r="K321" s="1612" t="n"/>
      <c r="L321" s="1612" t="n"/>
      <c r="M321" s="1613" t="inlineStr">
        <is>
          <t>Australia</t>
        </is>
      </c>
      <c r="N321" s="1614" t="inlineStr">
        <is>
          <t>CIC</t>
        </is>
      </c>
      <c r="O321" s="1614" t="n">
        <v>1</v>
      </c>
      <c r="P321" s="1614" t="n"/>
      <c r="Q321" s="1614" t="inlineStr">
        <is>
          <t>v</t>
        </is>
      </c>
      <c r="R321" s="1624" t="n"/>
      <c r="S321" s="1616" t="n"/>
      <c r="T321" s="1627" t="n">
        <v>173550</v>
      </c>
      <c r="U321" s="1626" t="n">
        <v>173550</v>
      </c>
      <c r="V321" s="1619" t="n">
        <v>0.12</v>
      </c>
      <c r="W321" s="1622" t="n">
        <v>0.055</v>
      </c>
      <c r="X321" s="1622" t="n">
        <v>0.12</v>
      </c>
      <c r="Y321" s="1623" t="n"/>
      <c r="Z321" s="1622" t="n">
        <v>0.04</v>
      </c>
      <c r="AA321" s="1621">
        <f>U321*(1+V321+W321+X321+Y321+Z321)</f>
        <v>231689.25</v>
      </c>
      <c r="AC321" s="865" t="inlineStr">
        <is>
          <t>COE</t>
        </is>
      </c>
      <c r="AD321" s="865" t="inlineStr">
        <is>
          <t>COE - Strategy Architecture</t>
        </is>
      </c>
      <c r="AE321" s="865" t="inlineStr">
        <is>
          <t>COE - Strategy Architecture</t>
        </is>
      </c>
      <c r="AF321" s="865" t="inlineStr">
        <is>
          <t>COE</t>
        </is>
      </c>
      <c r="AG321" s="865" t="inlineStr">
        <is>
          <t>Filled</t>
        </is>
      </c>
    </row>
    <row r="322" hidden="1" ht="18" customHeight="1" s="866">
      <c r="A322" s="1566" t="n"/>
      <c r="B322" s="1382" t="inlineStr">
        <is>
          <t>ring fenced</t>
        </is>
      </c>
      <c r="C322" s="1611" t="inlineStr">
        <is>
          <t>Domain Architect - TDD</t>
        </is>
      </c>
      <c r="D322" s="1382" t="inlineStr">
        <is>
          <t>Vacant</t>
        </is>
      </c>
      <c r="E322" s="1382" t="inlineStr">
        <is>
          <t>Head of Architecture</t>
        </is>
      </c>
      <c r="F322" s="1628" t="inlineStr">
        <is>
          <t>Strategy, Architecture &amp; Data</t>
        </is>
      </c>
      <c r="G322" s="1612" t="inlineStr">
        <is>
          <t>Architecture</t>
        </is>
      </c>
      <c r="H322" s="1628" t="inlineStr">
        <is>
          <t>Architecture</t>
        </is>
      </c>
      <c r="I322" s="1628" t="n"/>
      <c r="J322" s="1628" t="n"/>
      <c r="K322" s="1612" t="n"/>
      <c r="L322" s="1612" t="n"/>
      <c r="M322" s="1613" t="inlineStr">
        <is>
          <t>Australia</t>
        </is>
      </c>
      <c r="N322" s="1614" t="inlineStr">
        <is>
          <t>CIC</t>
        </is>
      </c>
      <c r="O322" s="1614" t="n">
        <v>1</v>
      </c>
      <c r="P322" s="1614" t="n"/>
      <c r="Q322" s="1614" t="inlineStr">
        <is>
          <t>v</t>
        </is>
      </c>
      <c r="R322" s="1624" t="n"/>
      <c r="S322" s="1616" t="n"/>
      <c r="T322" s="1627" t="n">
        <v>173550</v>
      </c>
      <c r="U322" s="1626" t="n">
        <v>173550</v>
      </c>
      <c r="V322" s="1619" t="n">
        <v>0.12</v>
      </c>
      <c r="W322" s="1622" t="n">
        <v>0.055</v>
      </c>
      <c r="X322" s="1622" t="n">
        <v>0.12</v>
      </c>
      <c r="Y322" s="1623" t="n"/>
      <c r="Z322" s="1622" t="n">
        <v>0.04</v>
      </c>
      <c r="AA322" s="1621">
        <f>U322*(1+V322+W322+X322+Y322+Z322)</f>
        <v>231689.25</v>
      </c>
      <c r="AC322" s="865" t="inlineStr">
        <is>
          <t>COE</t>
        </is>
      </c>
      <c r="AD322" s="865" t="inlineStr">
        <is>
          <t>COE - Strategy Architecture</t>
        </is>
      </c>
      <c r="AE322" s="865" t="inlineStr">
        <is>
          <t>COE - Strategy Architecture</t>
        </is>
      </c>
      <c r="AF322" s="865" t="inlineStr">
        <is>
          <t>COE</t>
        </is>
      </c>
      <c r="AG322" s="865" t="inlineStr">
        <is>
          <t>Filled</t>
        </is>
      </c>
    </row>
    <row r="323" hidden="1" ht="18" customHeight="1" s="866">
      <c r="A323" s="1566" t="n">
        <v>109802</v>
      </c>
      <c r="B323" s="1382" t="inlineStr">
        <is>
          <t>Roger Blazey</t>
        </is>
      </c>
      <c r="C323" s="1611" t="inlineStr">
        <is>
          <t>Architect (AI Innovation)</t>
        </is>
      </c>
      <c r="D323" s="1382" t="inlineStr">
        <is>
          <t>Vacant</t>
        </is>
      </c>
      <c r="E323" s="1382" t="inlineStr">
        <is>
          <t>Head of Technology  Strategy &amp; AI Capability</t>
        </is>
      </c>
      <c r="F323" s="1628" t="inlineStr">
        <is>
          <t>Strategy, Architecture &amp; Data</t>
        </is>
      </c>
      <c r="G323" s="1612" t="inlineStr">
        <is>
          <t>Technology Strategy &amp; AI Capability</t>
        </is>
      </c>
      <c r="H323" s="1612" t="inlineStr">
        <is>
          <t>Technology Strategy &amp; AI Capability</t>
        </is>
      </c>
      <c r="I323" s="1628" t="n"/>
      <c r="J323" s="1628" t="n"/>
      <c r="K323" s="1612" t="n"/>
      <c r="L323" s="1612" t="n"/>
      <c r="M323" s="1613" t="inlineStr">
        <is>
          <t>Australia</t>
        </is>
      </c>
      <c r="N323" s="1614" t="inlineStr">
        <is>
          <t>CIC</t>
        </is>
      </c>
      <c r="O323" s="1614" t="n">
        <v>1</v>
      </c>
      <c r="P323" s="1614" t="n"/>
      <c r="Q323" s="1614" t="inlineStr">
        <is>
          <t>Permanent - Full Time</t>
        </is>
      </c>
      <c r="R323" s="1616" t="n"/>
      <c r="S323" s="1616" t="n"/>
      <c r="T323" s="1627" t="n">
        <v>187450</v>
      </c>
      <c r="U323" s="1626" t="n">
        <v>187450</v>
      </c>
      <c r="V323" s="1619" t="n">
        <v>0.12</v>
      </c>
      <c r="W323" s="1622" t="n">
        <v>0.055</v>
      </c>
      <c r="X323" s="1622" t="n">
        <v>0.12</v>
      </c>
      <c r="Y323" s="1623" t="n"/>
      <c r="Z323" s="1622" t="n">
        <v>0.04</v>
      </c>
      <c r="AA323" s="1621">
        <f>U323*(1+V323+W323+X323+Y323+Z323)</f>
        <v>250245.75</v>
      </c>
      <c r="AC323" s="865" t="inlineStr">
        <is>
          <t>COE</t>
        </is>
      </c>
      <c r="AD323" s="865" t="inlineStr">
        <is>
          <t>COE - Strategy Architecture</t>
        </is>
      </c>
      <c r="AE323" s="865" t="inlineStr">
        <is>
          <t>COE - Strategy Architecture</t>
        </is>
      </c>
      <c r="AF323" s="865" t="inlineStr">
        <is>
          <t>COE</t>
        </is>
      </c>
      <c r="AG323" s="865" t="inlineStr">
        <is>
          <t>Filled</t>
        </is>
      </c>
    </row>
    <row r="324" hidden="1" ht="18" customHeight="1" s="866">
      <c r="A324" s="1566" t="n">
        <v>99999101674</v>
      </c>
      <c r="B324" s="1382" t="inlineStr">
        <is>
          <t>Roozbeh Shahbazirad</t>
        </is>
      </c>
      <c r="C324" s="1611" t="inlineStr">
        <is>
          <t>Lead Engineer</t>
        </is>
      </c>
      <c r="D324" s="1382" t="inlineStr">
        <is>
          <t>Jason Gleason</t>
        </is>
      </c>
      <c r="E324" s="1382" t="inlineStr">
        <is>
          <t>Technology Manager, Data Engineering &amp; Platforms</t>
        </is>
      </c>
      <c r="F324" s="1628" t="inlineStr">
        <is>
          <t>Strategy, Architecture &amp; Data</t>
        </is>
      </c>
      <c r="G324" s="1612" t="inlineStr">
        <is>
          <t>Group Data</t>
        </is>
      </c>
      <c r="H324" s="1628" t="inlineStr">
        <is>
          <t>Data Engineering &amp; Platforms</t>
        </is>
      </c>
      <c r="I324" s="1612" t="inlineStr">
        <is>
          <t>Enterprise Data</t>
        </is>
      </c>
      <c r="J324" s="1628" t="inlineStr">
        <is>
          <t>Group Data</t>
        </is>
      </c>
      <c r="K324" s="1612" t="inlineStr">
        <is>
          <t>Data Platform</t>
        </is>
      </c>
      <c r="L324" s="1612" t="n"/>
      <c r="M324" s="1613" t="inlineStr">
        <is>
          <t>NZ</t>
        </is>
      </c>
      <c r="N324" s="1614" t="inlineStr">
        <is>
          <t>CIC</t>
        </is>
      </c>
      <c r="O324" s="1615" t="n">
        <v>1</v>
      </c>
      <c r="P324" s="1614" t="n"/>
      <c r="Q324" s="1615" t="inlineStr">
        <is>
          <t>Permanent - Full Time</t>
        </is>
      </c>
      <c r="R324" s="1616" t="n"/>
      <c r="S324" s="1616" t="n"/>
      <c r="T324" s="1627" t="n">
        <v>177710</v>
      </c>
      <c r="U324" s="1626" t="n">
        <v>163493.2</v>
      </c>
      <c r="V324" s="1618" t="n">
        <v>0.15</v>
      </c>
      <c r="W324" s="1616" t="n"/>
      <c r="X324" s="1619" t="n">
        <v>0.05</v>
      </c>
      <c r="Y324" s="1620" t="n">
        <v>2910</v>
      </c>
      <c r="Z324" s="1619" t="n">
        <v>0.03</v>
      </c>
      <c r="AA324" s="1621">
        <f>U324*(1+V324+X324+Z324)+Y324</f>
        <v>204006.636</v>
      </c>
      <c r="AB324" s="865" t="n">
        <v>113607</v>
      </c>
      <c r="AC324" s="865" t="inlineStr">
        <is>
          <t>Enterprise Data</t>
        </is>
      </c>
      <c r="AD324" s="865" t="inlineStr">
        <is>
          <t>Group Data</t>
        </is>
      </c>
      <c r="AE324" s="865" t="inlineStr">
        <is>
          <t>Data Platforms</t>
        </is>
      </c>
      <c r="AF324" s="865" t="inlineStr">
        <is>
          <t>Squad</t>
        </is>
      </c>
      <c r="AG324" s="865" t="inlineStr">
        <is>
          <t>Filled</t>
        </is>
      </c>
    </row>
    <row r="325" hidden="1" ht="18" customHeight="1" s="866">
      <c r="A325" s="1566" t="n">
        <v>12010</v>
      </c>
      <c r="B325" s="1382" t="inlineStr">
        <is>
          <t>Sai Konka</t>
        </is>
      </c>
      <c r="C325" s="1611" t="inlineStr">
        <is>
          <t>Application &amp; Analytics Manager</t>
        </is>
      </c>
      <c r="D325" s="1382" t="inlineStr">
        <is>
          <t>Jason Gleason</t>
        </is>
      </c>
      <c r="E325" s="1382" t="inlineStr">
        <is>
          <t>Technology Manager, Data Engineering &amp; Platforms</t>
        </is>
      </c>
      <c r="F325" s="1628" t="inlineStr">
        <is>
          <t>Strategy, Architecture &amp; Data</t>
        </is>
      </c>
      <c r="G325" s="1612" t="inlineStr">
        <is>
          <t>Group Data</t>
        </is>
      </c>
      <c r="H325" s="1628" t="inlineStr">
        <is>
          <t>Data Engineering &amp; Platforms</t>
        </is>
      </c>
      <c r="I325" s="1628" t="inlineStr">
        <is>
          <t>Enterprise Data</t>
        </is>
      </c>
      <c r="J325" s="1628" t="inlineStr">
        <is>
          <t>EGI</t>
        </is>
      </c>
      <c r="K325" s="1628" t="inlineStr">
        <is>
          <t>Reporting &amp; Analytics</t>
        </is>
      </c>
      <c r="L325" s="1612" t="n"/>
      <c r="M325" s="1613" t="inlineStr">
        <is>
          <t>Australia</t>
        </is>
      </c>
      <c r="N325" s="1616" t="inlineStr">
        <is>
          <t>CIC</t>
        </is>
      </c>
      <c r="O325" s="1616" t="n">
        <v>1</v>
      </c>
      <c r="P325" s="1616" t="n"/>
      <c r="Q325" s="1616" t="inlineStr">
        <is>
          <t>Permanent - Full Time</t>
        </is>
      </c>
      <c r="R325" s="1616" t="n"/>
      <c r="S325" s="1616" t="n"/>
      <c r="T325" s="1627" t="n">
        <v>197480</v>
      </c>
      <c r="U325" s="1626" t="n">
        <v>197480</v>
      </c>
      <c r="V325" s="1619" t="n">
        <v>0.12</v>
      </c>
      <c r="W325" s="1622" t="n">
        <v>0.055</v>
      </c>
      <c r="X325" s="1622" t="n">
        <v>0.12</v>
      </c>
      <c r="Y325" s="1623" t="n"/>
      <c r="Z325" s="1622" t="n">
        <v>0.04</v>
      </c>
      <c r="AA325" s="1621">
        <f>U325*(1+V325+W325+X325+Y325+Z325)</f>
        <v>263635.8</v>
      </c>
      <c r="AC325" s="865" t="inlineStr">
        <is>
          <t>Enterprise Data</t>
        </is>
      </c>
      <c r="AD325" s="865" t="inlineStr">
        <is>
          <t>Group Data</t>
        </is>
      </c>
      <c r="AE325" s="865" t="inlineStr">
        <is>
          <t>Reporting &amp; Analytics</t>
        </is>
      </c>
      <c r="AF325" s="865" t="inlineStr">
        <is>
          <t>Squad</t>
        </is>
      </c>
      <c r="AG325" s="865" t="inlineStr">
        <is>
          <t>Filled</t>
        </is>
      </c>
    </row>
    <row r="326" hidden="1" ht="18" customHeight="1" s="866">
      <c r="A326" s="1566" t="n"/>
      <c r="B326" s="1382" t="inlineStr">
        <is>
          <t>Sanjay Tikoo</t>
        </is>
      </c>
      <c r="C326" s="1611" t="inlineStr">
        <is>
          <t>Principal, Data Architecture &amp; Governance</t>
        </is>
      </c>
      <c r="D326" s="1382" t="inlineStr">
        <is>
          <t>James Holgate</t>
        </is>
      </c>
      <c r="E326" s="1382" t="inlineStr">
        <is>
          <t>Head of Technology,  Group Data</t>
        </is>
      </c>
      <c r="F326" s="1628" t="inlineStr">
        <is>
          <t>Strategy, Architecture &amp; Data</t>
        </is>
      </c>
      <c r="G326" s="1612" t="inlineStr">
        <is>
          <t>Group Data</t>
        </is>
      </c>
      <c r="H326" s="1612" t="inlineStr">
        <is>
          <t>Data Capability</t>
        </is>
      </c>
      <c r="I326" s="1628" t="inlineStr">
        <is>
          <t>Enterprise Data</t>
        </is>
      </c>
      <c r="J326" s="1628" t="inlineStr">
        <is>
          <t>Leadership</t>
        </is>
      </c>
      <c r="K326" s="1612" t="n"/>
      <c r="L326" s="1612" t="n"/>
      <c r="M326" s="1613" t="inlineStr">
        <is>
          <t>Australia</t>
        </is>
      </c>
      <c r="N326" s="1614" t="inlineStr">
        <is>
          <t>CSC</t>
        </is>
      </c>
      <c r="O326" s="1614" t="n">
        <v>1</v>
      </c>
      <c r="P326" s="1614" t="n"/>
      <c r="Q326" s="1614" t="inlineStr">
        <is>
          <t>Permanent - Full Time</t>
        </is>
      </c>
      <c r="R326" s="1616" t="n"/>
      <c r="S326" s="1616" t="n"/>
      <c r="T326" s="1627" t="n">
        <v>275000</v>
      </c>
      <c r="U326" s="1626" t="n">
        <v>275000</v>
      </c>
      <c r="V326" s="1619" t="n">
        <v>0.2</v>
      </c>
      <c r="W326" s="1622" t="n">
        <v>0.055</v>
      </c>
      <c r="X326" s="1622" t="n">
        <v>0.12</v>
      </c>
      <c r="Y326" s="1623" t="n"/>
      <c r="Z326" s="1622" t="n">
        <v>0.04</v>
      </c>
      <c r="AA326" s="1621">
        <f>U326*(1+V326+W326+X326+Y326+Z326)</f>
        <v>389125</v>
      </c>
      <c r="AC326" s="865" t="inlineStr">
        <is>
          <t>COE</t>
        </is>
      </c>
      <c r="AD326" s="865" t="inlineStr">
        <is>
          <t>COE - Data</t>
        </is>
      </c>
      <c r="AE326" s="865" t="inlineStr">
        <is>
          <t>COE - Data</t>
        </is>
      </c>
      <c r="AF326" s="865" t="inlineStr">
        <is>
          <t>COE</t>
        </is>
      </c>
      <c r="AG326" s="865" t="inlineStr">
        <is>
          <t>Filled</t>
        </is>
      </c>
    </row>
    <row r="327" hidden="1" ht="18" customHeight="1" s="866">
      <c r="A327" s="1566" t="n">
        <v>80549</v>
      </c>
      <c r="B327" s="1382" t="inlineStr">
        <is>
          <t>Steve Murray</t>
        </is>
      </c>
      <c r="C327" s="1611" t="inlineStr">
        <is>
          <t>Applications Specialist</t>
        </is>
      </c>
      <c r="D327" s="1382" t="inlineStr">
        <is>
          <t>Sai Konka</t>
        </is>
      </c>
      <c r="E327" s="1382" t="inlineStr">
        <is>
          <t>Applications &amp; Analytics Manager</t>
        </is>
      </c>
      <c r="F327" s="1628" t="inlineStr">
        <is>
          <t>Strategy, Architecture &amp; Data</t>
        </is>
      </c>
      <c r="G327" s="1612" t="inlineStr">
        <is>
          <t>Group Data</t>
        </is>
      </c>
      <c r="H327" s="1628" t="inlineStr">
        <is>
          <t>Data Engineering &amp; Platforms</t>
        </is>
      </c>
      <c r="I327" s="1628" t="inlineStr">
        <is>
          <t>Enterprise Data</t>
        </is>
      </c>
      <c r="J327" s="1628" t="inlineStr">
        <is>
          <t>EGI</t>
        </is>
      </c>
      <c r="K327" s="1628" t="inlineStr">
        <is>
          <t>Reporting &amp; Analytics</t>
        </is>
      </c>
      <c r="L327" s="1612" t="n"/>
      <c r="M327" s="1613" t="inlineStr">
        <is>
          <t>Australia</t>
        </is>
      </c>
      <c r="N327" s="1616" t="inlineStr">
        <is>
          <t>CIB</t>
        </is>
      </c>
      <c r="O327" s="1616" t="n">
        <v>1</v>
      </c>
      <c r="P327" s="1616" t="n"/>
      <c r="Q327" s="1616" t="inlineStr">
        <is>
          <t>Permanent - Full Time</t>
        </is>
      </c>
      <c r="R327" s="1616" t="n"/>
      <c r="S327" s="1616" t="n"/>
      <c r="T327" s="1627" t="n">
        <v>182000</v>
      </c>
      <c r="U327" s="1626" t="n">
        <v>182000</v>
      </c>
      <c r="V327" s="1619" t="n">
        <v>0.12</v>
      </c>
      <c r="W327" s="1622" t="n">
        <v>0.055</v>
      </c>
      <c r="X327" s="1622" t="n">
        <v>0.12</v>
      </c>
      <c r="Y327" s="1623" t="n"/>
      <c r="Z327" s="1622" t="n">
        <v>0.04</v>
      </c>
      <c r="AA327" s="1621">
        <f>U327*(1+V327+W327+X327+Y327+Z327)</f>
        <v>242970</v>
      </c>
      <c r="AC327" s="865" t="inlineStr">
        <is>
          <t>Enterprise Data</t>
        </is>
      </c>
      <c r="AD327" s="865" t="inlineStr">
        <is>
          <t>Group Data</t>
        </is>
      </c>
      <c r="AE327" s="865" t="inlineStr">
        <is>
          <t>Reporting &amp; Analytics</t>
        </is>
      </c>
      <c r="AF327" s="865" t="inlineStr">
        <is>
          <t>Squad</t>
        </is>
      </c>
      <c r="AG327" s="865" t="inlineStr">
        <is>
          <t>Filled</t>
        </is>
      </c>
    </row>
    <row r="328" hidden="1" ht="18" customHeight="1" s="866">
      <c r="A328" s="1566" t="n">
        <v>114147</v>
      </c>
      <c r="B328" s="1382" t="inlineStr">
        <is>
          <t>Sumathi Manikkampichai</t>
        </is>
      </c>
      <c r="C328" s="1611" t="inlineStr">
        <is>
          <t>Data Architect</t>
        </is>
      </c>
      <c r="D328" s="1382" t="inlineStr">
        <is>
          <t>Jason Gleason</t>
        </is>
      </c>
      <c r="E328" s="1382" t="inlineStr">
        <is>
          <t>Technology Manager, Data Engineering &amp; Platforms</t>
        </is>
      </c>
      <c r="F328" s="1628" t="inlineStr">
        <is>
          <t>Strategy, Architecture &amp; Data</t>
        </is>
      </c>
      <c r="G328" s="1612" t="inlineStr">
        <is>
          <t>Group Data</t>
        </is>
      </c>
      <c r="H328" s="1628" t="inlineStr">
        <is>
          <t>Data Engineering &amp; Platforms</t>
        </is>
      </c>
      <c r="I328" s="1628" t="inlineStr">
        <is>
          <t>Enterprise Data</t>
        </is>
      </c>
      <c r="J328" s="1628" t="inlineStr">
        <is>
          <t>EGI</t>
        </is>
      </c>
      <c r="K328" s="1628" t="inlineStr">
        <is>
          <t>Reporting &amp; Analytics</t>
        </is>
      </c>
      <c r="L328" s="1612" t="n"/>
      <c r="M328" s="1613" t="inlineStr">
        <is>
          <t>Australia</t>
        </is>
      </c>
      <c r="N328" s="1614" t="inlineStr">
        <is>
          <t>CIC</t>
        </is>
      </c>
      <c r="O328" s="1614" t="n">
        <v>1</v>
      </c>
      <c r="P328" s="1614" t="n"/>
      <c r="Q328" s="1614" t="inlineStr">
        <is>
          <t>Permanent - Full Time</t>
        </is>
      </c>
      <c r="R328" s="1616" t="n"/>
      <c r="S328" s="1616" t="n"/>
      <c r="T328" s="1627" t="n">
        <v>188010</v>
      </c>
      <c r="U328" s="1626" t="n">
        <v>188010</v>
      </c>
      <c r="V328" s="1619" t="n">
        <v>0.12</v>
      </c>
      <c r="W328" s="1622" t="n">
        <v>0.055</v>
      </c>
      <c r="X328" s="1622" t="n">
        <v>0.12</v>
      </c>
      <c r="Y328" s="1623" t="n"/>
      <c r="Z328" s="1622" t="n">
        <v>0.04</v>
      </c>
      <c r="AA328" s="1621">
        <f>U328*(1+V328+W328+X328+Y328+Z328)</f>
        <v>250993.35</v>
      </c>
      <c r="AC328" s="865" t="inlineStr">
        <is>
          <t>Enterprise Data</t>
        </is>
      </c>
      <c r="AD328" s="865" t="inlineStr">
        <is>
          <t>Group Data</t>
        </is>
      </c>
      <c r="AE328" s="865" t="inlineStr">
        <is>
          <t>Reporting &amp; Analytics</t>
        </is>
      </c>
      <c r="AF328" s="865" t="inlineStr">
        <is>
          <t>Squad</t>
        </is>
      </c>
      <c r="AG328" s="865" t="inlineStr">
        <is>
          <t>Filled</t>
        </is>
      </c>
    </row>
    <row r="329" hidden="1" ht="18" customHeight="1" s="866">
      <c r="A329" s="1566" t="n">
        <v>99999101251</v>
      </c>
      <c r="B329" s="1382" t="inlineStr">
        <is>
          <t>Tim Snedden</t>
        </is>
      </c>
      <c r="C329" s="1611" t="inlineStr">
        <is>
          <t>Delivery Lead</t>
        </is>
      </c>
      <c r="D329" s="1382" t="inlineStr">
        <is>
          <t>Joel Vijayakumar</t>
        </is>
      </c>
      <c r="E329" s="1382" t="inlineStr">
        <is>
          <t>Delivery Manager, Strategy, Architecture &amp; Data</t>
        </is>
      </c>
      <c r="F329" s="1628" t="inlineStr">
        <is>
          <t>Strategy, Architecture &amp; Data</t>
        </is>
      </c>
      <c r="G329" s="1612" t="inlineStr">
        <is>
          <t>Delivery, SADA</t>
        </is>
      </c>
      <c r="H329" s="1612" t="n"/>
      <c r="I329" s="1612" t="inlineStr">
        <is>
          <t>Enterprise Data</t>
        </is>
      </c>
      <c r="J329" s="1628" t="inlineStr">
        <is>
          <t>Group Data</t>
        </is>
      </c>
      <c r="K329" s="1612" t="inlineStr">
        <is>
          <t>Data Platform</t>
        </is>
      </c>
      <c r="L329" s="1612" t="n"/>
      <c r="M329" s="1613" t="inlineStr">
        <is>
          <t>NZ</t>
        </is>
      </c>
      <c r="N329" s="1614" t="inlineStr">
        <is>
          <t>CSB</t>
        </is>
      </c>
      <c r="O329" s="1615" t="n">
        <v>1</v>
      </c>
      <c r="P329" s="1614" t="n"/>
      <c r="Q329" s="1615" t="inlineStr">
        <is>
          <t>Permanent - Full Time</t>
        </is>
      </c>
      <c r="R329" s="1616" t="n"/>
      <c r="S329" s="1616" t="n"/>
      <c r="T329" s="1627" t="n">
        <v>161600</v>
      </c>
      <c r="U329" s="1626" t="n">
        <v>148672</v>
      </c>
      <c r="V329" s="1618" t="n">
        <v>0.15</v>
      </c>
      <c r="W329" s="1616" t="n"/>
      <c r="X329" s="1619" t="n">
        <v>0.05</v>
      </c>
      <c r="Y329" s="1620" t="n">
        <v>2910</v>
      </c>
      <c r="Z329" s="1619" t="n">
        <v>0.03</v>
      </c>
      <c r="AA329" s="1621">
        <f>U329*(1+V329+X329+Z329)+Y329</f>
        <v>185776.56</v>
      </c>
      <c r="AB329" s="865" t="n">
        <v>15175</v>
      </c>
      <c r="AC329" s="865" t="inlineStr">
        <is>
          <t>COE</t>
        </is>
      </c>
      <c r="AD329" s="865" t="inlineStr">
        <is>
          <t>COE - Strategy Architecture</t>
        </is>
      </c>
      <c r="AE329" s="865" t="inlineStr">
        <is>
          <t>COE - Strategy Architecture</t>
        </is>
      </c>
      <c r="AF329" s="865" t="inlineStr">
        <is>
          <t>COE</t>
        </is>
      </c>
      <c r="AG329" s="865" t="inlineStr">
        <is>
          <t>Filled</t>
        </is>
      </c>
    </row>
    <row r="330" hidden="1" ht="18" customHeight="1" s="866">
      <c r="A330" s="1566" t="inlineStr">
        <is>
          <t>V</t>
        </is>
      </c>
      <c r="B330" s="1382" t="inlineStr">
        <is>
          <t>Vacant</t>
        </is>
      </c>
      <c r="C330" s="1611" t="inlineStr">
        <is>
          <t>Service Transition Lead</t>
        </is>
      </c>
      <c r="D330" s="1382" t="inlineStr">
        <is>
          <t>Deepali Mahajan</t>
        </is>
      </c>
      <c r="E330" s="1382" t="inlineStr">
        <is>
          <t>Data Operations Manager</t>
        </is>
      </c>
      <c r="F330" s="1628" t="inlineStr">
        <is>
          <t>Strategy, Architecture &amp; Data</t>
        </is>
      </c>
      <c r="G330" s="1612" t="inlineStr">
        <is>
          <t>Group Data</t>
        </is>
      </c>
      <c r="H330" s="1628" t="inlineStr">
        <is>
          <t>Data Operations</t>
        </is>
      </c>
      <c r="I330" s="1628" t="inlineStr">
        <is>
          <t>Enterprise Data</t>
        </is>
      </c>
      <c r="J330" s="1612" t="inlineStr">
        <is>
          <t>Leadership</t>
        </is>
      </c>
      <c r="K330" s="1612" t="n"/>
      <c r="L330" s="1612" t="n"/>
      <c r="M330" s="1613" t="inlineStr">
        <is>
          <t>Australia</t>
        </is>
      </c>
      <c r="N330" s="1614" t="inlineStr">
        <is>
          <t>CIB</t>
        </is>
      </c>
      <c r="O330" s="1614" t="n">
        <v>1</v>
      </c>
      <c r="P330" s="1614" t="n"/>
      <c r="Q330" s="1614" t="inlineStr">
        <is>
          <t>v</t>
        </is>
      </c>
      <c r="R330" s="1616" t="n"/>
      <c r="S330" s="1616" t="n"/>
      <c r="T330" s="1627" t="n">
        <v>151950</v>
      </c>
      <c r="U330" s="1626" t="n">
        <v>151950</v>
      </c>
      <c r="V330" s="1619" t="n">
        <v>0.12</v>
      </c>
      <c r="W330" s="1622" t="n">
        <v>0.055</v>
      </c>
      <c r="X330" s="1622" t="n">
        <v>0.12</v>
      </c>
      <c r="Y330" s="1623" t="n"/>
      <c r="Z330" s="1622" t="n">
        <v>0.04</v>
      </c>
      <c r="AA330" s="1621">
        <f>U330*(1+V330+W330+X330+Y330+Z330)</f>
        <v>202853.25</v>
      </c>
      <c r="AC330" s="865" t="inlineStr">
        <is>
          <t>Enterprise Data</t>
        </is>
      </c>
      <c r="AD330" s="865" t="inlineStr">
        <is>
          <t>Leadership</t>
        </is>
      </c>
      <c r="AE330" s="865" t="inlineStr">
        <is>
          <t>Leadership</t>
        </is>
      </c>
      <c r="AF330" s="865" t="inlineStr">
        <is>
          <t>Leadership</t>
        </is>
      </c>
      <c r="AG330" s="865" t="inlineStr">
        <is>
          <t>Vacant</t>
        </is>
      </c>
    </row>
    <row r="331" hidden="1" ht="18" customHeight="1" s="866">
      <c r="A331" s="1566" t="inlineStr">
        <is>
          <t>V</t>
        </is>
      </c>
      <c r="B331" s="1382" t="inlineStr">
        <is>
          <t>Vacant</t>
        </is>
      </c>
      <c r="C331" s="1611" t="inlineStr">
        <is>
          <t xml:space="preserve">Engineer Data  </t>
        </is>
      </c>
      <c r="D331" s="1382" t="inlineStr">
        <is>
          <t>Dinesh Chandrasekaran</t>
        </is>
      </c>
      <c r="E331" s="1382" t="inlineStr">
        <is>
          <t>Lead Engineer (Snowflake)</t>
        </is>
      </c>
      <c r="F331" s="1628" t="inlineStr">
        <is>
          <t>Strategy, Architecture &amp; Data</t>
        </is>
      </c>
      <c r="G331" s="1612" t="inlineStr">
        <is>
          <t>Group Data</t>
        </is>
      </c>
      <c r="H331" s="1628" t="inlineStr">
        <is>
          <t>Data Engineering &amp; Platforms</t>
        </is>
      </c>
      <c r="I331" s="1612" t="inlineStr">
        <is>
          <t>Enterprise Data</t>
        </is>
      </c>
      <c r="J331" s="1628" t="inlineStr">
        <is>
          <t>Group Data</t>
        </is>
      </c>
      <c r="K331" s="1612" t="inlineStr">
        <is>
          <t>Data Platform</t>
        </is>
      </c>
      <c r="L331" s="1612" t="n"/>
      <c r="M331" s="1613" t="inlineStr">
        <is>
          <t>Australia</t>
        </is>
      </c>
      <c r="N331" s="1614" t="inlineStr">
        <is>
          <t>CIB</t>
        </is>
      </c>
      <c r="O331" s="1614" t="n">
        <v>1</v>
      </c>
      <c r="P331" s="1614" t="n"/>
      <c r="Q331" s="1614" t="inlineStr">
        <is>
          <t>V</t>
        </is>
      </c>
      <c r="R331" s="1616" t="n"/>
      <c r="S331" s="1616" t="n"/>
      <c r="T331" s="1627" t="n">
        <v>151950</v>
      </c>
      <c r="U331" s="1626" t="n">
        <v>151950</v>
      </c>
      <c r="V331" s="1619" t="n">
        <v>0.12</v>
      </c>
      <c r="W331" s="1622" t="n">
        <v>0.055</v>
      </c>
      <c r="X331" s="1622" t="n">
        <v>0.12</v>
      </c>
      <c r="Y331" s="1623" t="n"/>
      <c r="Z331" s="1622" t="n">
        <v>0.04</v>
      </c>
      <c r="AA331" s="1621">
        <f>U331*(1+V331+W331+X331+Y331+Z331)</f>
        <v>202853.25</v>
      </c>
      <c r="AC331" s="865" t="inlineStr">
        <is>
          <t>Enterprise Data</t>
        </is>
      </c>
      <c r="AD331" s="865" t="inlineStr">
        <is>
          <t>Group Data</t>
        </is>
      </c>
      <c r="AE331" s="865" t="inlineStr">
        <is>
          <t>Data Platforms</t>
        </is>
      </c>
      <c r="AF331" s="865" t="inlineStr">
        <is>
          <t>Squad</t>
        </is>
      </c>
      <c r="AG331" s="865" t="inlineStr">
        <is>
          <t>Vacant</t>
        </is>
      </c>
    </row>
    <row r="332" hidden="1" ht="18" customHeight="1" s="866">
      <c r="A332" s="1566" t="inlineStr">
        <is>
          <t>V</t>
        </is>
      </c>
      <c r="B332" s="1382" t="inlineStr">
        <is>
          <t>Vacant</t>
        </is>
      </c>
      <c r="C332" s="1611" t="inlineStr">
        <is>
          <t>Engineer Data - Reporting</t>
        </is>
      </c>
      <c r="D332" s="1382" t="inlineStr">
        <is>
          <t>Dinesh Chandrasekaran</t>
        </is>
      </c>
      <c r="E332" s="1382" t="inlineStr">
        <is>
          <t>Lead Engineer (Snowflake)</t>
        </is>
      </c>
      <c r="F332" s="1628" t="inlineStr">
        <is>
          <t>Strategy, Architecture &amp; Data</t>
        </is>
      </c>
      <c r="G332" s="1612" t="inlineStr">
        <is>
          <t>Group Data</t>
        </is>
      </c>
      <c r="H332" s="1628" t="inlineStr">
        <is>
          <t>Data Engineering &amp; Platforms</t>
        </is>
      </c>
      <c r="I332" s="1628" t="inlineStr">
        <is>
          <t>Enterprise Data</t>
        </is>
      </c>
      <c r="J332" s="1628" t="inlineStr">
        <is>
          <t>Group Data</t>
        </is>
      </c>
      <c r="K332" s="1628" t="inlineStr">
        <is>
          <t>Reporting &amp; Analytics</t>
        </is>
      </c>
      <c r="L332" s="1612" t="n"/>
      <c r="M332" s="1613" t="inlineStr">
        <is>
          <t>Australia</t>
        </is>
      </c>
      <c r="N332" s="1614" t="inlineStr">
        <is>
          <t>CIB</t>
        </is>
      </c>
      <c r="O332" s="1614" t="n">
        <v>1</v>
      </c>
      <c r="P332" s="1614" t="n"/>
      <c r="Q332" s="1614" t="inlineStr">
        <is>
          <t>V</t>
        </is>
      </c>
      <c r="R332" s="1616" t="n"/>
      <c r="S332" s="1616" t="n"/>
      <c r="T332" s="1627" t="n">
        <v>151950</v>
      </c>
      <c r="U332" s="1626" t="n">
        <v>151950</v>
      </c>
      <c r="V332" s="1619" t="n">
        <v>0.12</v>
      </c>
      <c r="W332" s="1622" t="n">
        <v>0.055</v>
      </c>
      <c r="X332" s="1622" t="n">
        <v>0.12</v>
      </c>
      <c r="Y332" s="1623" t="n"/>
      <c r="Z332" s="1622" t="n">
        <v>0.04</v>
      </c>
      <c r="AA332" s="1621">
        <f>U332*(1+V332+W332+X332+Y332+Z332)</f>
        <v>202853.25</v>
      </c>
      <c r="AC332" s="865" t="inlineStr">
        <is>
          <t>Enterprise Data</t>
        </is>
      </c>
      <c r="AD332" s="865" t="inlineStr">
        <is>
          <t>Group Data</t>
        </is>
      </c>
      <c r="AE332" s="865" t="inlineStr">
        <is>
          <t>Reporting &amp; Analytics</t>
        </is>
      </c>
      <c r="AF332" s="865" t="inlineStr">
        <is>
          <t>Squad</t>
        </is>
      </c>
      <c r="AG332" s="865" t="inlineStr">
        <is>
          <t>Vacant</t>
        </is>
      </c>
    </row>
    <row r="333" hidden="1" ht="18" customHeight="1" s="866">
      <c r="A333" s="1566" t="inlineStr">
        <is>
          <t>V</t>
        </is>
      </c>
      <c r="B333" s="1382" t="inlineStr">
        <is>
          <t>Vacant</t>
        </is>
      </c>
      <c r="C333" s="1611" t="inlineStr">
        <is>
          <t>Quality Assurance</t>
        </is>
      </c>
      <c r="D333" s="1382" t="inlineStr">
        <is>
          <t>Dinesh Chandrasekaran</t>
        </is>
      </c>
      <c r="E333" s="1382" t="inlineStr">
        <is>
          <t>Lead Engineer (Snowflake)</t>
        </is>
      </c>
      <c r="F333" s="1628" t="inlineStr">
        <is>
          <t>Strategy, Architecture &amp; Data</t>
        </is>
      </c>
      <c r="G333" s="1612" t="inlineStr">
        <is>
          <t>Group Data</t>
        </is>
      </c>
      <c r="H333" s="1628" t="inlineStr">
        <is>
          <t>Data Engineering &amp; Platforms</t>
        </is>
      </c>
      <c r="I333" s="1612" t="inlineStr">
        <is>
          <t>Enterprise Data</t>
        </is>
      </c>
      <c r="J333" s="1628" t="inlineStr">
        <is>
          <t>Group Data</t>
        </is>
      </c>
      <c r="K333" s="1612" t="inlineStr">
        <is>
          <t>Data Platform</t>
        </is>
      </c>
      <c r="L333" s="1612" t="n"/>
      <c r="M333" s="1613" t="inlineStr">
        <is>
          <t>Australia</t>
        </is>
      </c>
      <c r="N333" s="1614" t="inlineStr">
        <is>
          <t>CIA</t>
        </is>
      </c>
      <c r="O333" s="1614" t="n">
        <v>1</v>
      </c>
      <c r="P333" s="1614" t="n"/>
      <c r="Q333" s="1614" t="inlineStr">
        <is>
          <t>v</t>
        </is>
      </c>
      <c r="R333" s="1616" t="n"/>
      <c r="S333" s="1616" t="n"/>
      <c r="T333" s="1627" t="n">
        <v>129650</v>
      </c>
      <c r="U333" s="1626" t="n">
        <v>129650</v>
      </c>
      <c r="V333" s="1619" t="n">
        <v>0.1</v>
      </c>
      <c r="W333" s="1622" t="n">
        <v>0.055</v>
      </c>
      <c r="X333" s="1622" t="n">
        <v>0.12</v>
      </c>
      <c r="Y333" s="1623" t="n"/>
      <c r="Z333" s="1622" t="n">
        <v>0.04</v>
      </c>
      <c r="AA333" s="1621">
        <f>U333*(1+V333+W333+X333+Y333+Z333)</f>
        <v>170489.75</v>
      </c>
      <c r="AC333" s="865" t="inlineStr">
        <is>
          <t>Enterprise Data</t>
        </is>
      </c>
      <c r="AD333" s="865" t="inlineStr">
        <is>
          <t>Group Data</t>
        </is>
      </c>
      <c r="AE333" s="865" t="inlineStr">
        <is>
          <t>Data Platforms</t>
        </is>
      </c>
      <c r="AF333" s="865" t="inlineStr">
        <is>
          <t>Squad</t>
        </is>
      </c>
      <c r="AG333" s="865" t="inlineStr">
        <is>
          <t>Vacant</t>
        </is>
      </c>
    </row>
    <row r="334" hidden="1" ht="18" customHeight="1" s="866">
      <c r="A334" s="1566" t="inlineStr">
        <is>
          <t>V</t>
        </is>
      </c>
      <c r="B334" s="1382" t="inlineStr">
        <is>
          <t>Vacant</t>
        </is>
      </c>
      <c r="C334" s="1611" t="inlineStr">
        <is>
          <t>Engineer - DevOps</t>
        </is>
      </c>
      <c r="D334" s="1382" t="inlineStr">
        <is>
          <t>Jason Gleason</t>
        </is>
      </c>
      <c r="E334" s="1382" t="inlineStr">
        <is>
          <t>Technology Manager, Data Engineering &amp; Platforms</t>
        </is>
      </c>
      <c r="F334" s="1628" t="inlineStr">
        <is>
          <t>Strategy, Architecture &amp; Data</t>
        </is>
      </c>
      <c r="G334" s="1598" t="inlineStr">
        <is>
          <t>Group Data</t>
        </is>
      </c>
      <c r="H334" s="1686" t="inlineStr">
        <is>
          <t>Data Engineering &amp; Platforms</t>
        </is>
      </c>
      <c r="I334" s="1612" t="inlineStr">
        <is>
          <t>Enterprise Data</t>
        </is>
      </c>
      <c r="J334" s="1628" t="inlineStr">
        <is>
          <t>Group Data</t>
        </is>
      </c>
      <c r="K334" s="1612" t="inlineStr">
        <is>
          <t>Data Platform</t>
        </is>
      </c>
      <c r="L334" s="1612" t="n"/>
      <c r="M334" s="1613" t="inlineStr">
        <is>
          <t>Australia</t>
        </is>
      </c>
      <c r="N334" s="1614" t="inlineStr">
        <is>
          <t>cib</t>
        </is>
      </c>
      <c r="O334" s="1614" t="n">
        <v>1</v>
      </c>
      <c r="P334" s="1614" t="n"/>
      <c r="Q334" s="1614" t="inlineStr">
        <is>
          <t>V</t>
        </is>
      </c>
      <c r="R334" s="1616" t="n"/>
      <c r="S334" s="1616" t="n"/>
      <c r="T334" s="1627" t="n">
        <v>151950</v>
      </c>
      <c r="U334" s="1626" t="n">
        <v>151950</v>
      </c>
      <c r="V334" s="1619" t="n">
        <v>0.12</v>
      </c>
      <c r="W334" s="1622" t="n">
        <v>0.055</v>
      </c>
      <c r="X334" s="1622" t="n">
        <v>0.12</v>
      </c>
      <c r="Y334" s="1623" t="n"/>
      <c r="Z334" s="1622" t="n">
        <v>0.04</v>
      </c>
      <c r="AA334" s="1621">
        <f>U334*(1+V334+W334+X334+Y334+Z334)</f>
        <v>202853.25</v>
      </c>
      <c r="AC334" s="865" t="inlineStr">
        <is>
          <t>Enterprise Data</t>
        </is>
      </c>
      <c r="AD334" s="865" t="inlineStr">
        <is>
          <t>Group Data</t>
        </is>
      </c>
      <c r="AE334" s="865" t="inlineStr">
        <is>
          <t>Data Platforms</t>
        </is>
      </c>
      <c r="AF334" s="865" t="inlineStr">
        <is>
          <t>Squad</t>
        </is>
      </c>
      <c r="AG334" s="865" t="inlineStr">
        <is>
          <t>Vacant</t>
        </is>
      </c>
    </row>
    <row r="335" hidden="1" ht="18" customHeight="1" s="866">
      <c r="A335" s="1566" t="inlineStr">
        <is>
          <t>V</t>
        </is>
      </c>
      <c r="B335" s="1382" t="inlineStr">
        <is>
          <t>Vacant</t>
        </is>
      </c>
      <c r="C335" s="1611" t="inlineStr">
        <is>
          <t>Business Analyst</t>
        </is>
      </c>
      <c r="D335" s="1382" t="inlineStr">
        <is>
          <t>Joel Vijayakumar</t>
        </is>
      </c>
      <c r="E335" s="1382" t="inlineStr">
        <is>
          <t>Delivery Manager, Strategy, Architecture &amp; Data</t>
        </is>
      </c>
      <c r="F335" s="1628" t="inlineStr">
        <is>
          <t>Strategy, Architecture &amp; Data</t>
        </is>
      </c>
      <c r="G335" s="1612" t="inlineStr">
        <is>
          <t>Delivery, SADA</t>
        </is>
      </c>
      <c r="H335" s="1612" t="n"/>
      <c r="I335" s="1612" t="inlineStr">
        <is>
          <t>Enterprise Data</t>
        </is>
      </c>
      <c r="J335" s="1628" t="inlineStr">
        <is>
          <t>Group Data</t>
        </is>
      </c>
      <c r="K335" s="1612" t="inlineStr">
        <is>
          <t>Data Platform</t>
        </is>
      </c>
      <c r="L335" s="1612" t="n"/>
      <c r="M335" s="1613" t="inlineStr">
        <is>
          <t>Australia</t>
        </is>
      </c>
      <c r="N335" s="1614" t="inlineStr">
        <is>
          <t>CIB</t>
        </is>
      </c>
      <c r="O335" s="1614" t="n">
        <v>1</v>
      </c>
      <c r="P335" s="1614" t="n"/>
      <c r="Q335" s="1614" t="inlineStr">
        <is>
          <t>V</t>
        </is>
      </c>
      <c r="R335" s="1616" t="n"/>
      <c r="S335" s="1616" t="n"/>
      <c r="T335" s="1627" t="n">
        <v>151950</v>
      </c>
      <c r="U335" s="1626" t="n">
        <v>151950</v>
      </c>
      <c r="V335" s="1619" t="n">
        <v>0.12</v>
      </c>
      <c r="W335" s="1622" t="n">
        <v>0.055</v>
      </c>
      <c r="X335" s="1622" t="n">
        <v>0.12</v>
      </c>
      <c r="Y335" s="1623" t="n"/>
      <c r="Z335" s="1622" t="n">
        <v>0.04</v>
      </c>
      <c r="AA335" s="1621">
        <f>U335*(1+V335+W335+X335+Y335+Z335)</f>
        <v>202853.25</v>
      </c>
      <c r="AC335" s="865" t="inlineStr">
        <is>
          <t>COE</t>
        </is>
      </c>
      <c r="AD335" s="865" t="inlineStr">
        <is>
          <t>COE - Strategy Architecture</t>
        </is>
      </c>
      <c r="AE335" s="865" t="inlineStr">
        <is>
          <t>COE - Strategy Architecture</t>
        </is>
      </c>
      <c r="AF335" s="865" t="inlineStr">
        <is>
          <t>COE</t>
        </is>
      </c>
      <c r="AG335" s="865" t="inlineStr">
        <is>
          <t>Vacant</t>
        </is>
      </c>
    </row>
    <row r="336" hidden="1" ht="18" customHeight="1" s="866">
      <c r="A336" s="1566" t="inlineStr">
        <is>
          <t>V</t>
        </is>
      </c>
      <c r="B336" s="1382" t="inlineStr">
        <is>
          <t>Vacant</t>
        </is>
      </c>
      <c r="C336" s="1611" t="inlineStr">
        <is>
          <t>Business Analyst</t>
        </is>
      </c>
      <c r="D336" s="1382" t="inlineStr">
        <is>
          <t>Joel Vijayakumar</t>
        </is>
      </c>
      <c r="E336" s="1382" t="inlineStr">
        <is>
          <t>Delivery Manager, Strategy, Architecture &amp; Data</t>
        </is>
      </c>
      <c r="F336" s="1628" t="inlineStr">
        <is>
          <t>Strategy, Architecture &amp; Data</t>
        </is>
      </c>
      <c r="G336" s="1612" t="inlineStr">
        <is>
          <t>Delivery, SADA</t>
        </is>
      </c>
      <c r="H336" s="1612" t="n"/>
      <c r="I336" s="1628" t="inlineStr">
        <is>
          <t>Enterprise Data</t>
        </is>
      </c>
      <c r="J336" s="1628" t="inlineStr">
        <is>
          <t>EGI</t>
        </is>
      </c>
      <c r="K336" s="1628" t="inlineStr">
        <is>
          <t>Reporting &amp; Analytics</t>
        </is>
      </c>
      <c r="L336" s="1612" t="n"/>
      <c r="M336" s="1613" t="inlineStr">
        <is>
          <t>Australia</t>
        </is>
      </c>
      <c r="N336" s="1614" t="inlineStr">
        <is>
          <t>CIB</t>
        </is>
      </c>
      <c r="O336" s="1614" t="n">
        <v>1</v>
      </c>
      <c r="P336" s="1614" t="n"/>
      <c r="Q336" s="1614" t="inlineStr">
        <is>
          <t>V</t>
        </is>
      </c>
      <c r="R336" s="1616" t="n"/>
      <c r="S336" s="1616" t="n"/>
      <c r="T336" s="1627" t="n">
        <v>151950</v>
      </c>
      <c r="U336" s="1626" t="n">
        <v>151950</v>
      </c>
      <c r="V336" s="1619" t="n">
        <v>0.12</v>
      </c>
      <c r="W336" s="1622" t="n">
        <v>0.055</v>
      </c>
      <c r="X336" s="1622" t="n">
        <v>0.12</v>
      </c>
      <c r="Y336" s="1623" t="n"/>
      <c r="Z336" s="1622" t="n">
        <v>0.04</v>
      </c>
      <c r="AA336" s="1621">
        <f>U336*(1+V336+W336+X336+Y336+Z336)</f>
        <v>202853.25</v>
      </c>
      <c r="AC336" s="865" t="inlineStr">
        <is>
          <t>COE</t>
        </is>
      </c>
      <c r="AD336" s="865" t="inlineStr">
        <is>
          <t>COE - Strategy Architecture</t>
        </is>
      </c>
      <c r="AE336" s="865" t="inlineStr">
        <is>
          <t>COE - Strategy Architecture</t>
        </is>
      </c>
      <c r="AF336" s="865" t="inlineStr">
        <is>
          <t>COE</t>
        </is>
      </c>
      <c r="AG336" s="865" t="inlineStr">
        <is>
          <t>Vacant</t>
        </is>
      </c>
    </row>
    <row r="337" hidden="1" ht="19.5" customHeight="1" s="866">
      <c r="A337" s="1566" t="inlineStr">
        <is>
          <t>V</t>
        </is>
      </c>
      <c r="B337" s="1382" t="inlineStr">
        <is>
          <t>vacant</t>
        </is>
      </c>
      <c r="C337" s="1611" t="inlineStr">
        <is>
          <t>Data Analyst</t>
        </is>
      </c>
      <c r="D337" s="1382" t="inlineStr">
        <is>
          <t>Jonathan Robinson</t>
        </is>
      </c>
      <c r="E337" s="1382" t="inlineStr">
        <is>
          <t>Technology Manager, Data Science</t>
        </is>
      </c>
      <c r="F337" s="1628" t="inlineStr">
        <is>
          <t>Strategy, Architecture &amp; Data</t>
        </is>
      </c>
      <c r="G337" s="1612" t="inlineStr">
        <is>
          <t>Group Data</t>
        </is>
      </c>
      <c r="H337" s="1628" t="inlineStr">
        <is>
          <t>Data Science</t>
        </is>
      </c>
      <c r="I337" s="1628" t="inlineStr">
        <is>
          <t>Enterprise Data</t>
        </is>
      </c>
      <c r="J337" s="1628" t="inlineStr">
        <is>
          <t>Group Data</t>
        </is>
      </c>
      <c r="K337" s="1612" t="inlineStr">
        <is>
          <t>Data Science</t>
        </is>
      </c>
      <c r="L337" s="1612" t="n"/>
      <c r="M337" s="1613" t="inlineStr">
        <is>
          <t>Australia</t>
        </is>
      </c>
      <c r="N337" s="1614" t="inlineStr">
        <is>
          <t>CIB</t>
        </is>
      </c>
      <c r="O337" s="1614" t="n">
        <v>1</v>
      </c>
      <c r="P337" s="1614" t="n"/>
      <c r="Q337" s="1614" t="inlineStr">
        <is>
          <t>V</t>
        </is>
      </c>
      <c r="R337" s="1616" t="n"/>
      <c r="S337" s="1616" t="n"/>
      <c r="T337" s="1627" t="n">
        <v>151000</v>
      </c>
      <c r="U337" s="1626" t="n">
        <v>151000</v>
      </c>
      <c r="V337" s="1619" t="n">
        <v>0.12</v>
      </c>
      <c r="W337" s="1622" t="n">
        <v>0.055</v>
      </c>
      <c r="X337" s="1622" t="n">
        <v>0.12</v>
      </c>
      <c r="Y337" s="1623" t="n"/>
      <c r="Z337" s="1622" t="n">
        <v>0.04</v>
      </c>
      <c r="AA337" s="1621">
        <f>U337*(1+V337+W337+X337+Y337+Z337)</f>
        <v>201585</v>
      </c>
      <c r="AC337" s="865" t="inlineStr">
        <is>
          <t>Enterprise Data</t>
        </is>
      </c>
      <c r="AD337" s="865" t="inlineStr">
        <is>
          <t>Group Data</t>
        </is>
      </c>
      <c r="AE337" s="865" t="inlineStr">
        <is>
          <t>Data Science</t>
        </is>
      </c>
      <c r="AF337" s="865" t="inlineStr">
        <is>
          <t>Squad</t>
        </is>
      </c>
      <c r="AG337" s="865" t="inlineStr">
        <is>
          <t>Vacant</t>
        </is>
      </c>
    </row>
    <row r="338" hidden="1" ht="18" customHeight="1" s="866">
      <c r="A338" s="1566" t="inlineStr">
        <is>
          <t>V</t>
        </is>
      </c>
      <c r="B338" s="1382" t="inlineStr">
        <is>
          <t>Vacant</t>
        </is>
      </c>
      <c r="C338" s="1611" t="inlineStr">
        <is>
          <t>Data Analyst</t>
        </is>
      </c>
      <c r="D338" s="1382" t="inlineStr">
        <is>
          <t>Jonathan Robinson</t>
        </is>
      </c>
      <c r="E338" s="1382" t="inlineStr">
        <is>
          <t>Technology Manager, Data Science</t>
        </is>
      </c>
      <c r="F338" s="1628" t="inlineStr">
        <is>
          <t>Strategy, Architecture &amp; Data</t>
        </is>
      </c>
      <c r="G338" s="1612" t="inlineStr">
        <is>
          <t>Group Data</t>
        </is>
      </c>
      <c r="H338" s="1628" t="inlineStr">
        <is>
          <t>Data Science</t>
        </is>
      </c>
      <c r="I338" s="1628" t="inlineStr">
        <is>
          <t>Enterprise Data</t>
        </is>
      </c>
      <c r="J338" s="1628" t="inlineStr">
        <is>
          <t>Group Data</t>
        </is>
      </c>
      <c r="K338" s="1612" t="inlineStr">
        <is>
          <t>Data Science</t>
        </is>
      </c>
      <c r="L338" s="1612" t="n"/>
      <c r="M338" s="1613" t="inlineStr">
        <is>
          <t>Australia</t>
        </is>
      </c>
      <c r="N338" s="1614" t="inlineStr">
        <is>
          <t>CIB</t>
        </is>
      </c>
      <c r="O338" s="1614" t="n">
        <v>1</v>
      </c>
      <c r="P338" s="1614" t="n"/>
      <c r="Q338" s="1614" t="inlineStr">
        <is>
          <t>V</t>
        </is>
      </c>
      <c r="R338" s="1616" t="n"/>
      <c r="S338" s="1616" t="n"/>
      <c r="T338" s="1627" t="n">
        <v>151000</v>
      </c>
      <c r="U338" s="1626" t="n">
        <v>151000</v>
      </c>
      <c r="V338" s="1619" t="n">
        <v>0.12</v>
      </c>
      <c r="W338" s="1622" t="n">
        <v>0.055</v>
      </c>
      <c r="X338" s="1622" t="n">
        <v>0.12</v>
      </c>
      <c r="Y338" s="1623" t="n"/>
      <c r="Z338" s="1622" t="n">
        <v>0.04</v>
      </c>
      <c r="AA338" s="1621">
        <f>U338*(1+V338+W338+X338+Y338+Z338)</f>
        <v>201585</v>
      </c>
      <c r="AC338" s="865" t="inlineStr">
        <is>
          <t>Enterprise Data</t>
        </is>
      </c>
      <c r="AD338" s="865" t="inlineStr">
        <is>
          <t>Group Data</t>
        </is>
      </c>
      <c r="AE338" s="865" t="inlineStr">
        <is>
          <t>Data Science</t>
        </is>
      </c>
      <c r="AF338" s="865" t="inlineStr">
        <is>
          <t>Squad</t>
        </is>
      </c>
      <c r="AG338" s="865" t="inlineStr">
        <is>
          <t>Vacant</t>
        </is>
      </c>
    </row>
    <row r="339" hidden="1" ht="18" customHeight="1" s="866">
      <c r="A339" s="1566" t="inlineStr">
        <is>
          <t>V</t>
        </is>
      </c>
      <c r="B339" s="1382" t="inlineStr">
        <is>
          <t>vacant</t>
        </is>
      </c>
      <c r="C339" s="1611" t="inlineStr">
        <is>
          <t>Data Scientist</t>
        </is>
      </c>
      <c r="D339" s="1382" t="inlineStr">
        <is>
          <t>Jonathan Robinson</t>
        </is>
      </c>
      <c r="E339" s="1382" t="inlineStr">
        <is>
          <t>Technology Manager, Data Science</t>
        </is>
      </c>
      <c r="F339" s="1628" t="inlineStr">
        <is>
          <t>Strategy, Architecture &amp; Data</t>
        </is>
      </c>
      <c r="G339" s="1612" t="inlineStr">
        <is>
          <t>Group Data</t>
        </is>
      </c>
      <c r="H339" s="1628" t="inlineStr">
        <is>
          <t>Data Science</t>
        </is>
      </c>
      <c r="I339" s="1628" t="inlineStr">
        <is>
          <t>Enterprise Data</t>
        </is>
      </c>
      <c r="J339" s="1628" t="inlineStr">
        <is>
          <t>Group Data</t>
        </is>
      </c>
      <c r="K339" s="1612" t="inlineStr">
        <is>
          <t>Data Science</t>
        </is>
      </c>
      <c r="L339" s="1612" t="n"/>
      <c r="M339" s="1613" t="inlineStr">
        <is>
          <t>Australia</t>
        </is>
      </c>
      <c r="N339" s="1614" t="inlineStr">
        <is>
          <t>CIB</t>
        </is>
      </c>
      <c r="O339" s="1614" t="n">
        <v>1</v>
      </c>
      <c r="P339" s="1614" t="n"/>
      <c r="Q339" s="1614" t="inlineStr">
        <is>
          <t>V</t>
        </is>
      </c>
      <c r="R339" s="1616" t="n"/>
      <c r="S339" s="1616" t="n"/>
      <c r="T339" s="1627" t="n">
        <v>151950</v>
      </c>
      <c r="U339" s="1626" t="n">
        <v>151950</v>
      </c>
      <c r="V339" s="1619" t="n">
        <v>0.12</v>
      </c>
      <c r="W339" s="1622" t="n">
        <v>0.055</v>
      </c>
      <c r="X339" s="1622" t="n">
        <v>0.12</v>
      </c>
      <c r="Y339" s="1623" t="n"/>
      <c r="Z339" s="1622" t="n">
        <v>0.04</v>
      </c>
      <c r="AA339" s="1621">
        <f>U339*(1+V339+W339+X339+Y339+Z339)</f>
        <v>202853.25</v>
      </c>
      <c r="AC339" s="865" t="inlineStr">
        <is>
          <t>Enterprise Data</t>
        </is>
      </c>
      <c r="AD339" s="865" t="inlineStr">
        <is>
          <t>Group Data</t>
        </is>
      </c>
      <c r="AE339" s="865" t="inlineStr">
        <is>
          <t>Data Science</t>
        </is>
      </c>
      <c r="AF339" s="865" t="inlineStr">
        <is>
          <t>Squad</t>
        </is>
      </c>
      <c r="AG339" s="865" t="inlineStr">
        <is>
          <t>Vacant</t>
        </is>
      </c>
    </row>
    <row r="340" hidden="1" ht="18" customHeight="1" s="866">
      <c r="A340" s="1566" t="inlineStr">
        <is>
          <t>V</t>
        </is>
      </c>
      <c r="B340" s="1382" t="inlineStr">
        <is>
          <t>Vacant</t>
        </is>
      </c>
      <c r="C340" s="1611" t="inlineStr">
        <is>
          <t xml:space="preserve">Reporting Lead </t>
        </is>
      </c>
      <c r="D340" s="1382" t="inlineStr">
        <is>
          <t>Prashanth Krishnankutty</t>
        </is>
      </c>
      <c r="E340" s="1382" t="inlineStr">
        <is>
          <t>Lead, Reporting &amp; Insights</t>
        </is>
      </c>
      <c r="F340" s="1628" t="inlineStr">
        <is>
          <t>Strategy, Architecture &amp; Data</t>
        </is>
      </c>
      <c r="G340" s="1612" t="inlineStr">
        <is>
          <t>Group Data</t>
        </is>
      </c>
      <c r="H340" s="1628" t="inlineStr">
        <is>
          <t>Data Engineering &amp; Platforms</t>
        </is>
      </c>
      <c r="I340" s="1628" t="inlineStr">
        <is>
          <t>Enterprise Data</t>
        </is>
      </c>
      <c r="J340" s="1628" t="inlineStr">
        <is>
          <t>Group Data</t>
        </is>
      </c>
      <c r="K340" s="1628" t="inlineStr">
        <is>
          <t>Reporting &amp; Analytics</t>
        </is>
      </c>
      <c r="L340" s="1612" t="n"/>
      <c r="M340" s="1613" t="inlineStr">
        <is>
          <t>Australia</t>
        </is>
      </c>
      <c r="N340" s="1614" t="inlineStr">
        <is>
          <t>CIB</t>
        </is>
      </c>
      <c r="O340" s="1614" t="n">
        <v>1</v>
      </c>
      <c r="P340" s="1614" t="n"/>
      <c r="Q340" s="1614" t="inlineStr">
        <is>
          <t>v</t>
        </is>
      </c>
      <c r="R340" s="1616" t="n"/>
      <c r="S340" s="1616" t="n"/>
      <c r="T340" s="1627" t="n">
        <v>151950</v>
      </c>
      <c r="U340" s="1626" t="n">
        <v>151950</v>
      </c>
      <c r="V340" s="1619" t="n">
        <v>0.12</v>
      </c>
      <c r="W340" s="1622" t="n">
        <v>0.055</v>
      </c>
      <c r="X340" s="1622" t="n">
        <v>0.12</v>
      </c>
      <c r="Y340" s="1623" t="n"/>
      <c r="Z340" s="1622" t="n">
        <v>0.04</v>
      </c>
      <c r="AA340" s="1621">
        <f>U340*(1+V340+W340+X340+Y340+Z340)</f>
        <v>202853.25</v>
      </c>
      <c r="AC340" s="865" t="inlineStr">
        <is>
          <t>Enterprise Data</t>
        </is>
      </c>
      <c r="AD340" s="865" t="inlineStr">
        <is>
          <t>Group Data</t>
        </is>
      </c>
      <c r="AE340" s="865" t="inlineStr">
        <is>
          <t>Reporting &amp; Analytics</t>
        </is>
      </c>
      <c r="AF340" s="865" t="inlineStr">
        <is>
          <t>Squad</t>
        </is>
      </c>
      <c r="AG340" s="865" t="inlineStr">
        <is>
          <t>Vacant</t>
        </is>
      </c>
    </row>
    <row r="341" hidden="1" ht="18" customHeight="1" s="866">
      <c r="A341" s="1566" t="inlineStr">
        <is>
          <t>V</t>
        </is>
      </c>
      <c r="B341" s="1382" t="inlineStr">
        <is>
          <t>vacant</t>
        </is>
      </c>
      <c r="C341" s="1611" t="inlineStr">
        <is>
          <t>Engineer - Data</t>
        </is>
      </c>
      <c r="D341" s="1382" t="inlineStr">
        <is>
          <t>Roozbeh Shahbazirad</t>
        </is>
      </c>
      <c r="E341" s="1382" t="inlineStr">
        <is>
          <t>Lead Engineer (Databricks)</t>
        </is>
      </c>
      <c r="F341" s="1628" t="inlineStr">
        <is>
          <t>Strategy, Architecture &amp; Data</t>
        </is>
      </c>
      <c r="G341" s="1612" t="inlineStr">
        <is>
          <t>Group Data</t>
        </is>
      </c>
      <c r="H341" s="1628" t="inlineStr">
        <is>
          <t>Data Engineering &amp; Platforms</t>
        </is>
      </c>
      <c r="I341" s="1612" t="inlineStr">
        <is>
          <t>Enterprise Data</t>
        </is>
      </c>
      <c r="J341" s="1628" t="inlineStr">
        <is>
          <t>Group Data</t>
        </is>
      </c>
      <c r="K341" s="1612" t="inlineStr">
        <is>
          <t>Data Platform</t>
        </is>
      </c>
      <c r="L341" s="1612" t="n"/>
      <c r="M341" s="1613" t="inlineStr">
        <is>
          <t>Australia</t>
        </is>
      </c>
      <c r="N341" s="1614" t="inlineStr">
        <is>
          <t>CIB</t>
        </is>
      </c>
      <c r="O341" s="1614" t="n">
        <v>1</v>
      </c>
      <c r="P341" s="1614" t="n"/>
      <c r="Q341" s="1614" t="inlineStr">
        <is>
          <t>V</t>
        </is>
      </c>
      <c r="R341" s="1616" t="n"/>
      <c r="S341" s="1616" t="n"/>
      <c r="T341" s="1627" t="n">
        <v>151950</v>
      </c>
      <c r="U341" s="1626" t="n">
        <v>151950</v>
      </c>
      <c r="V341" s="1619" t="n">
        <v>0.12</v>
      </c>
      <c r="W341" s="1622" t="n">
        <v>0.055</v>
      </c>
      <c r="X341" s="1622" t="n">
        <v>0.12</v>
      </c>
      <c r="Y341" s="1623" t="n"/>
      <c r="Z341" s="1622" t="n">
        <v>0.04</v>
      </c>
      <c r="AA341" s="1621">
        <f>U341*(1+V341+W341+X341+Y341+Z341)</f>
        <v>202853.25</v>
      </c>
      <c r="AC341" s="865" t="inlineStr">
        <is>
          <t>Enterprise Data</t>
        </is>
      </c>
      <c r="AD341" s="865" t="inlineStr">
        <is>
          <t>Group Data</t>
        </is>
      </c>
      <c r="AE341" s="865" t="inlineStr">
        <is>
          <t>Data Platforms</t>
        </is>
      </c>
      <c r="AF341" s="865" t="inlineStr">
        <is>
          <t>Squad</t>
        </is>
      </c>
      <c r="AG341" s="865" t="inlineStr">
        <is>
          <t>Vacant</t>
        </is>
      </c>
    </row>
    <row r="342" hidden="1" ht="18" customHeight="1" s="866">
      <c r="A342" s="1566" t="inlineStr">
        <is>
          <t>V</t>
        </is>
      </c>
      <c r="B342" s="1382" t="inlineStr">
        <is>
          <t>vacant</t>
        </is>
      </c>
      <c r="C342" s="1611" t="inlineStr">
        <is>
          <t>Quality Assurance</t>
        </is>
      </c>
      <c r="D342" s="1382" t="inlineStr">
        <is>
          <t>Roozbeh Shahbazirad</t>
        </is>
      </c>
      <c r="E342" s="1382" t="inlineStr">
        <is>
          <t>Lead Engineer (Databricks)</t>
        </is>
      </c>
      <c r="F342" s="1628" t="inlineStr">
        <is>
          <t>Strategy, Architecture &amp; Data</t>
        </is>
      </c>
      <c r="G342" s="1612" t="inlineStr">
        <is>
          <t>Group Data</t>
        </is>
      </c>
      <c r="H342" s="1628" t="inlineStr">
        <is>
          <t>Data Engineering &amp; Platforms</t>
        </is>
      </c>
      <c r="I342" s="1612" t="inlineStr">
        <is>
          <t>Enterprise Data</t>
        </is>
      </c>
      <c r="J342" s="1628" t="inlineStr">
        <is>
          <t>EGI</t>
        </is>
      </c>
      <c r="K342" s="1612" t="inlineStr">
        <is>
          <t>Data Platform</t>
        </is>
      </c>
      <c r="L342" s="1612" t="n"/>
      <c r="M342" s="1613" t="inlineStr">
        <is>
          <t>Australia</t>
        </is>
      </c>
      <c r="N342" s="1614" t="inlineStr">
        <is>
          <t>CIA</t>
        </is>
      </c>
      <c r="O342" s="1614" t="n">
        <v>1</v>
      </c>
      <c r="P342" s="1614" t="n"/>
      <c r="Q342" s="1614" t="inlineStr">
        <is>
          <t>v</t>
        </is>
      </c>
      <c r="R342" s="1616" t="n"/>
      <c r="S342" s="1616" t="n"/>
      <c r="T342" s="1627" t="n">
        <v>129650</v>
      </c>
      <c r="U342" s="1626" t="n">
        <v>129650</v>
      </c>
      <c r="V342" s="1619" t="n">
        <v>0.1</v>
      </c>
      <c r="W342" s="1622" t="n">
        <v>0.055</v>
      </c>
      <c r="X342" s="1622" t="n">
        <v>0.12</v>
      </c>
      <c r="Y342" s="1623" t="n"/>
      <c r="Z342" s="1622" t="n">
        <v>0.04</v>
      </c>
      <c r="AA342" s="1621">
        <f>U342*(1+V342+W342+X342+Y342+Z342)</f>
        <v>170489.75</v>
      </c>
      <c r="AC342" s="865" t="inlineStr">
        <is>
          <t>Enterprise Data</t>
        </is>
      </c>
      <c r="AD342" s="865" t="inlineStr">
        <is>
          <t>Group Data</t>
        </is>
      </c>
      <c r="AE342" s="865" t="inlineStr">
        <is>
          <t>Data Platforms</t>
        </is>
      </c>
      <c r="AF342" s="865" t="inlineStr">
        <is>
          <t>Squad</t>
        </is>
      </c>
      <c r="AG342" s="865" t="inlineStr">
        <is>
          <t>Vacant</t>
        </is>
      </c>
    </row>
    <row r="343" hidden="1" ht="18" customHeight="1" s="866">
      <c r="A343" s="1566" t="inlineStr">
        <is>
          <t>V</t>
        </is>
      </c>
      <c r="B343" s="1382" t="inlineStr">
        <is>
          <t>Vacant</t>
        </is>
      </c>
      <c r="C343" s="1611" t="inlineStr">
        <is>
          <t>Data Governance Lead</t>
        </is>
      </c>
      <c r="D343" s="1612" t="inlineStr">
        <is>
          <t>Sanjay Tikoo</t>
        </is>
      </c>
      <c r="E343" s="1382" t="inlineStr">
        <is>
          <t>Data Capability Manager</t>
        </is>
      </c>
      <c r="F343" s="1628" t="inlineStr">
        <is>
          <t>Strategy, Architecture &amp; Data</t>
        </is>
      </c>
      <c r="G343" s="1612" t="inlineStr">
        <is>
          <t>Group Data</t>
        </is>
      </c>
      <c r="H343" s="1628" t="inlineStr">
        <is>
          <t>Data Capability</t>
        </is>
      </c>
      <c r="I343" s="1628" t="inlineStr">
        <is>
          <t>Enterprise Data</t>
        </is>
      </c>
      <c r="J343" s="1628" t="n"/>
      <c r="K343" s="1612" t="n"/>
      <c r="L343" s="1612" t="n"/>
      <c r="M343" s="1613" t="inlineStr">
        <is>
          <t>australia</t>
        </is>
      </c>
      <c r="N343" s="1687" t="inlineStr">
        <is>
          <t>CSC</t>
        </is>
      </c>
      <c r="O343" s="1614" t="n">
        <v>1</v>
      </c>
      <c r="P343" s="1614" t="n"/>
      <c r="Q343" s="1614" t="inlineStr">
        <is>
          <t>V</t>
        </is>
      </c>
      <c r="R343" s="1616" t="n"/>
      <c r="S343" s="1616" t="n"/>
      <c r="T343" s="1627" t="n">
        <v>275340</v>
      </c>
      <c r="U343" s="1626" t="n">
        <v>275340</v>
      </c>
      <c r="V343" s="1619" t="n">
        <v>0.2</v>
      </c>
      <c r="W343" s="1622" t="n">
        <v>0.055</v>
      </c>
      <c r="X343" s="1622" t="n">
        <v>0.12</v>
      </c>
      <c r="Y343" s="1623" t="n"/>
      <c r="Z343" s="1622" t="n">
        <v>0.04</v>
      </c>
      <c r="AA343" s="1621">
        <f>U343*(1+V343+W343+X343+Y343+Z343)</f>
        <v>389606.1</v>
      </c>
      <c r="AC343" s="865" t="inlineStr">
        <is>
          <t>COE</t>
        </is>
      </c>
      <c r="AD343" s="865" t="inlineStr">
        <is>
          <t>COE - Data</t>
        </is>
      </c>
      <c r="AE343" s="865" t="inlineStr">
        <is>
          <t>COE - Data</t>
        </is>
      </c>
      <c r="AF343" s="865" t="inlineStr">
        <is>
          <t>COE</t>
        </is>
      </c>
      <c r="AG343" s="865" t="inlineStr">
        <is>
          <t>Vacant</t>
        </is>
      </c>
    </row>
    <row r="344" hidden="1" ht="18" customHeight="1" s="866">
      <c r="A344" s="1566" t="inlineStr">
        <is>
          <t>V</t>
        </is>
      </c>
      <c r="B344" s="1382" t="inlineStr">
        <is>
          <t>Vacant</t>
        </is>
      </c>
      <c r="C344" s="1611" t="inlineStr">
        <is>
          <t>Head of Architecture</t>
        </is>
      </c>
      <c r="D344" s="1382" t="inlineStr">
        <is>
          <t>Matt Ashley</t>
        </is>
      </c>
      <c r="E344" s="1382" t="inlineStr">
        <is>
          <t>GM TDD, Strategy, Architecture, Data</t>
        </is>
      </c>
      <c r="F344" s="1628" t="inlineStr">
        <is>
          <t>Strategy, Architecture &amp; Data</t>
        </is>
      </c>
      <c r="G344" s="1612" t="inlineStr">
        <is>
          <t>Architecture</t>
        </is>
      </c>
      <c r="H344" s="1612" t="n"/>
      <c r="I344" s="1612" t="n"/>
      <c r="J344" s="1628" t="inlineStr">
        <is>
          <t>Leadership</t>
        </is>
      </c>
      <c r="K344" s="1628" t="n"/>
      <c r="L344" s="1612" t="n"/>
      <c r="M344" s="1613" t="inlineStr">
        <is>
          <t>Australia</t>
        </is>
      </c>
      <c r="N344" s="1614" t="inlineStr">
        <is>
          <t>CSC</t>
        </is>
      </c>
      <c r="O344" s="1614" t="n">
        <v>1</v>
      </c>
      <c r="P344" s="1614" t="n"/>
      <c r="Q344" s="1614" t="inlineStr">
        <is>
          <t>v</t>
        </is>
      </c>
      <c r="R344" s="1616" t="n"/>
      <c r="S344" s="1616" t="n"/>
      <c r="T344" s="1627" t="n">
        <v>236730</v>
      </c>
      <c r="U344" s="1626" t="n">
        <v>236730</v>
      </c>
      <c r="V344" s="1619" t="n">
        <v>0.2</v>
      </c>
      <c r="W344" s="1622" t="n">
        <v>0.055</v>
      </c>
      <c r="X344" s="1622" t="n">
        <v>0.12</v>
      </c>
      <c r="Y344" s="1623" t="n"/>
      <c r="Z344" s="1622" t="n">
        <v>0.04</v>
      </c>
      <c r="AA344" s="1621">
        <f>U344*(1+V344+W344+X344+Y344+Z344)</f>
        <v>334972.95</v>
      </c>
      <c r="AC344" s="865" t="inlineStr">
        <is>
          <t>Unmapped</t>
        </is>
      </c>
      <c r="AD344" s="865" t="inlineStr">
        <is>
          <t>Leadership</t>
        </is>
      </c>
      <c r="AE344" s="865" t="inlineStr">
        <is>
          <t>Leadership</t>
        </is>
      </c>
      <c r="AF344" s="865" t="inlineStr">
        <is>
          <t>Leadership</t>
        </is>
      </c>
      <c r="AG344" s="865" t="inlineStr">
        <is>
          <t>Vacant</t>
        </is>
      </c>
    </row>
    <row r="345" hidden="1" ht="18" customHeight="1" s="866">
      <c r="A345" s="1566" t="inlineStr">
        <is>
          <t>V</t>
        </is>
      </c>
      <c r="B345" s="1382" t="inlineStr">
        <is>
          <t>Vacant</t>
        </is>
      </c>
      <c r="C345" s="1611" t="inlineStr">
        <is>
          <t>Head of Technology Strategy &amp; AI Capability</t>
        </is>
      </c>
      <c r="D345" s="1382" t="inlineStr">
        <is>
          <t>Matt Ashley</t>
        </is>
      </c>
      <c r="E345" s="1382" t="inlineStr">
        <is>
          <t>GM TDD, Strategy, Architecture, Data</t>
        </is>
      </c>
      <c r="F345" s="1628" t="inlineStr">
        <is>
          <t>Strategy, Architecture &amp; Data</t>
        </is>
      </c>
      <c r="G345" s="1612" t="inlineStr">
        <is>
          <t>Technology Strategy &amp; AI Capability</t>
        </is>
      </c>
      <c r="I345" s="1612" t="n"/>
      <c r="J345" s="1628" t="inlineStr">
        <is>
          <t>Leadership</t>
        </is>
      </c>
      <c r="K345" s="1628" t="n"/>
      <c r="L345" s="1612" t="n"/>
      <c r="M345" s="1613" t="inlineStr">
        <is>
          <t>Australia</t>
        </is>
      </c>
      <c r="N345" s="1614" t="inlineStr">
        <is>
          <t>CSC</t>
        </is>
      </c>
      <c r="O345" s="1614" t="n">
        <v>1</v>
      </c>
      <c r="P345" s="1614" t="n"/>
      <c r="Q345" s="1614" t="inlineStr">
        <is>
          <t>v</t>
        </is>
      </c>
      <c r="R345" s="1616" t="n"/>
      <c r="S345" s="1616" t="n"/>
      <c r="T345" s="1627" t="n">
        <v>235350</v>
      </c>
      <c r="U345" s="1626" t="n">
        <v>235350</v>
      </c>
      <c r="V345" s="1619" t="n">
        <v>0.2</v>
      </c>
      <c r="W345" s="1622" t="n">
        <v>0.055</v>
      </c>
      <c r="X345" s="1622" t="n">
        <v>0.12</v>
      </c>
      <c r="Y345" s="1623" t="n"/>
      <c r="Z345" s="1622" t="n">
        <v>0.04</v>
      </c>
      <c r="AA345" s="1621">
        <f>U345*(1+V345+W345+X345+Y345+Z345)</f>
        <v>333020.25</v>
      </c>
      <c r="AC345" s="865" t="inlineStr">
        <is>
          <t>COE</t>
        </is>
      </c>
      <c r="AD345" s="865" t="inlineStr">
        <is>
          <t>COE - Strategy Architecture</t>
        </is>
      </c>
      <c r="AE345" s="865" t="inlineStr">
        <is>
          <t>COE - Strategy Architecture</t>
        </is>
      </c>
      <c r="AF345" s="865" t="inlineStr">
        <is>
          <t>COE</t>
        </is>
      </c>
      <c r="AG345" s="865" t="inlineStr">
        <is>
          <t>Vacant</t>
        </is>
      </c>
    </row>
    <row r="346" hidden="1" ht="18" customHeight="1" s="866">
      <c r="A346" s="1566" t="inlineStr">
        <is>
          <t>V</t>
        </is>
      </c>
      <c r="B346" s="1382" t="inlineStr">
        <is>
          <t>Vacant</t>
        </is>
      </c>
      <c r="C346" s="1611" t="inlineStr">
        <is>
          <t>Senior Communications Advisor</t>
        </is>
      </c>
      <c r="D346" s="1382" t="inlineStr">
        <is>
          <t>Matt Ashley</t>
        </is>
      </c>
      <c r="E346" s="1382" t="inlineStr">
        <is>
          <t>GM TDD, Strategy, Architecture, Data</t>
        </is>
      </c>
      <c r="F346" s="1628" t="inlineStr">
        <is>
          <t>Strategy, Architecture &amp; Data</t>
        </is>
      </c>
      <c r="G346" s="1612" t="inlineStr">
        <is>
          <t>na</t>
        </is>
      </c>
      <c r="H346" s="1612" t="n"/>
      <c r="I346" s="1612" t="n"/>
      <c r="J346" s="1628" t="inlineStr">
        <is>
          <t>Leadership</t>
        </is>
      </c>
      <c r="K346" s="1628" t="n"/>
      <c r="L346" s="1612" t="n"/>
      <c r="M346" s="1613" t="inlineStr">
        <is>
          <t>Australia</t>
        </is>
      </c>
      <c r="N346" s="1614" t="inlineStr">
        <is>
          <t>CIB</t>
        </is>
      </c>
      <c r="O346" s="1614" t="n">
        <v>1</v>
      </c>
      <c r="P346" s="1614" t="n"/>
      <c r="Q346" s="1614" t="inlineStr">
        <is>
          <t>v</t>
        </is>
      </c>
      <c r="R346" s="1616" t="n"/>
      <c r="S346" s="1616" t="n"/>
      <c r="T346" s="1627" t="n">
        <v>140000</v>
      </c>
      <c r="U346" s="1626" t="n">
        <v>140000</v>
      </c>
      <c r="V346" s="1619" t="n">
        <v>0.12</v>
      </c>
      <c r="W346" s="1622" t="n">
        <v>0.055</v>
      </c>
      <c r="X346" s="1622" t="n">
        <v>0.12</v>
      </c>
      <c r="Y346" s="1623" t="n"/>
      <c r="Z346" s="1622" t="n">
        <v>0.04</v>
      </c>
      <c r="AA346" s="1621">
        <f>U346*(1+V346+W346+X346+Y346+Z346)</f>
        <v>186900</v>
      </c>
      <c r="AC346" s="865" t="inlineStr">
        <is>
          <t>COE</t>
        </is>
      </c>
      <c r="AD346" s="865" t="inlineStr">
        <is>
          <t>COE - Strategy Architecture</t>
        </is>
      </c>
      <c r="AE346" s="865" t="inlineStr">
        <is>
          <t>COE - Strategy Architecture</t>
        </is>
      </c>
      <c r="AF346" s="865" t="inlineStr">
        <is>
          <t>COE</t>
        </is>
      </c>
      <c r="AG346" s="865" t="inlineStr">
        <is>
          <t>Vacant</t>
        </is>
      </c>
    </row>
    <row r="347" hidden="1" ht="18" customHeight="1" s="866">
      <c r="A347" s="1566" t="inlineStr">
        <is>
          <t>V</t>
        </is>
      </c>
      <c r="B347" s="1584" t="inlineStr">
        <is>
          <t>Vacant</t>
        </is>
      </c>
      <c r="C347" s="1688" t="inlineStr">
        <is>
          <t>Enterprise Data Architect</t>
        </is>
      </c>
      <c r="D347" s="1637" t="inlineStr">
        <is>
          <t>Sanjay Tikoo</t>
        </is>
      </c>
      <c r="E347" s="1584" t="inlineStr">
        <is>
          <t>Data Capability Manager</t>
        </is>
      </c>
      <c r="F347" s="1689" t="inlineStr">
        <is>
          <t>Strategy, Architecture &amp; Data</t>
        </is>
      </c>
      <c r="G347" s="1690" t="inlineStr">
        <is>
          <t>Group Data</t>
        </is>
      </c>
      <c r="H347" s="1690" t="inlineStr">
        <is>
          <t>Data Capability</t>
        </is>
      </c>
      <c r="I347" s="1689" t="n"/>
      <c r="J347" s="1689" t="n"/>
      <c r="K347" s="1690" t="n"/>
      <c r="L347" s="1690" t="n"/>
      <c r="M347" s="1613" t="inlineStr">
        <is>
          <t>Australia</t>
        </is>
      </c>
      <c r="N347" s="1614" t="inlineStr">
        <is>
          <t>CSB</t>
        </is>
      </c>
      <c r="O347" s="1614" t="n">
        <v>1</v>
      </c>
      <c r="P347" s="1614" t="n"/>
      <c r="Q347" s="1614" t="inlineStr">
        <is>
          <t>V</t>
        </is>
      </c>
      <c r="R347" s="1624" t="n"/>
      <c r="S347" s="1616" t="n"/>
      <c r="T347" s="1627" t="n">
        <v>203550</v>
      </c>
      <c r="U347" s="1626" t="n">
        <v>203550</v>
      </c>
      <c r="V347" s="1619" t="n">
        <v>0.14</v>
      </c>
      <c r="W347" s="1622" t="n">
        <v>0.055</v>
      </c>
      <c r="X347" s="1622" t="n">
        <v>0.12</v>
      </c>
      <c r="Y347" s="1623" t="n"/>
      <c r="Z347" s="1622" t="n">
        <v>0.04</v>
      </c>
      <c r="AA347" s="1621">
        <f>U347*(1+V347+W347+X347+Y347+Z347)</f>
        <v>275810.25</v>
      </c>
      <c r="AC347" s="865" t="inlineStr">
        <is>
          <t>COE</t>
        </is>
      </c>
      <c r="AD347" s="865" t="inlineStr">
        <is>
          <t>COE - Data</t>
        </is>
      </c>
      <c r="AE347" s="865" t="inlineStr">
        <is>
          <t>COE - Data</t>
        </is>
      </c>
      <c r="AF347" s="865" t="inlineStr">
        <is>
          <t>COE</t>
        </is>
      </c>
      <c r="AG347" s="865" t="inlineStr">
        <is>
          <t>Vacant</t>
        </is>
      </c>
    </row>
    <row r="348" hidden="1" ht="18" customHeight="1" s="866">
      <c r="A348" s="1566" t="inlineStr">
        <is>
          <t>V</t>
        </is>
      </c>
      <c r="B348" s="1382" t="inlineStr">
        <is>
          <t>Vacant</t>
        </is>
      </c>
      <c r="C348" s="1611" t="inlineStr">
        <is>
          <t>AI Capability Lead</t>
        </is>
      </c>
      <c r="D348" s="865" t="inlineStr">
        <is>
          <t>Vacant</t>
        </is>
      </c>
      <c r="E348" s="1382" t="inlineStr">
        <is>
          <t>Head of Technology  Strategy &amp; AI Capability</t>
        </is>
      </c>
      <c r="F348" s="1628" t="inlineStr">
        <is>
          <t>Strategy, Architecture &amp; Data</t>
        </is>
      </c>
      <c r="G348" s="1612" t="inlineStr">
        <is>
          <t>Technology Strategy &amp; AI Capability</t>
        </is>
      </c>
      <c r="H348" s="1612" t="inlineStr">
        <is>
          <t>Technology Strategy &amp; AI Capability</t>
        </is>
      </c>
      <c r="I348" s="1628" t="n"/>
      <c r="J348" s="1628" t="n"/>
      <c r="K348" s="1612" t="n"/>
      <c r="L348" s="1612" t="n"/>
      <c r="M348" s="1613" t="inlineStr">
        <is>
          <t>Australia</t>
        </is>
      </c>
      <c r="N348" s="1614" t="inlineStr">
        <is>
          <t>CSB</t>
        </is>
      </c>
      <c r="O348" s="1614" t="n">
        <v>1</v>
      </c>
      <c r="P348" s="1614" t="n"/>
      <c r="Q348" s="1614" t="inlineStr">
        <is>
          <t>V</t>
        </is>
      </c>
      <c r="R348" s="1616" t="n"/>
      <c r="S348" s="1616" t="n"/>
      <c r="T348" s="1627" t="n">
        <v>203550</v>
      </c>
      <c r="U348" s="1626" t="n">
        <v>203550</v>
      </c>
      <c r="V348" s="1619" t="n">
        <v>0.14</v>
      </c>
      <c r="W348" s="1622" t="n">
        <v>0.055</v>
      </c>
      <c r="X348" s="1622" t="n">
        <v>0.12</v>
      </c>
      <c r="Y348" s="1623" t="n"/>
      <c r="Z348" s="1622" t="n">
        <v>0.04</v>
      </c>
      <c r="AA348" s="1621">
        <f>U348*(1+V348+W348+X348+Y348+Z348)</f>
        <v>275810.25</v>
      </c>
      <c r="AC348" s="865" t="inlineStr">
        <is>
          <t>COE</t>
        </is>
      </c>
      <c r="AD348" s="865" t="inlineStr">
        <is>
          <t>COE - Strategy Architecture</t>
        </is>
      </c>
      <c r="AE348" s="865" t="inlineStr">
        <is>
          <t>COE - Strategy Architecture</t>
        </is>
      </c>
      <c r="AF348" s="865" t="inlineStr">
        <is>
          <t>COE</t>
        </is>
      </c>
      <c r="AG348" s="865" t="inlineStr">
        <is>
          <t>Vacant</t>
        </is>
      </c>
    </row>
    <row r="349" hidden="1" ht="18" customHeight="1" s="866">
      <c r="A349" s="1566" t="inlineStr">
        <is>
          <t>V</t>
        </is>
      </c>
      <c r="B349" s="1382" t="inlineStr">
        <is>
          <t>Vacant</t>
        </is>
      </c>
      <c r="C349" s="1611" t="inlineStr">
        <is>
          <t>Enterprise Process Lead</t>
        </is>
      </c>
      <c r="D349" s="865" t="inlineStr">
        <is>
          <t>Vacant</t>
        </is>
      </c>
      <c r="E349" s="1382" t="inlineStr">
        <is>
          <t>Head of Technology  Strategy &amp; AI Capability</t>
        </is>
      </c>
      <c r="F349" s="1628" t="inlineStr">
        <is>
          <t>Strategy, Architecture &amp; Data</t>
        </is>
      </c>
      <c r="G349" s="1612" t="inlineStr">
        <is>
          <t>Technology Strategy &amp; AI Capability</t>
        </is>
      </c>
      <c r="H349" s="1612" t="inlineStr">
        <is>
          <t>Technology Strategy &amp; AI Capability</t>
        </is>
      </c>
      <c r="I349" s="1628" t="n"/>
      <c r="J349" s="1628" t="n"/>
      <c r="K349" s="1612" t="n"/>
      <c r="L349" s="1612" t="n"/>
      <c r="M349" s="1613" t="inlineStr">
        <is>
          <t>Australia</t>
        </is>
      </c>
      <c r="N349" s="1614" t="inlineStr">
        <is>
          <t>CIB</t>
        </is>
      </c>
      <c r="O349" s="1614" t="n">
        <v>1</v>
      </c>
      <c r="P349" s="1614" t="n"/>
      <c r="Q349" s="1614" t="inlineStr">
        <is>
          <t>V</t>
        </is>
      </c>
      <c r="R349" s="1616" t="n"/>
      <c r="S349" s="1616" t="n"/>
      <c r="T349" s="1627" t="n">
        <v>151950</v>
      </c>
      <c r="U349" s="1626" t="n">
        <v>151950</v>
      </c>
      <c r="V349" s="1619" t="n">
        <v>0.12</v>
      </c>
      <c r="W349" s="1622" t="n">
        <v>0.055</v>
      </c>
      <c r="X349" s="1622" t="n">
        <v>0.12</v>
      </c>
      <c r="Y349" s="1623" t="n"/>
      <c r="Z349" s="1622" t="n">
        <v>0.04</v>
      </c>
      <c r="AA349" s="1621">
        <f>U349*(1+V349+W349+X349+Y349+Z349)</f>
        <v>202853.25</v>
      </c>
      <c r="AC349" s="865" t="inlineStr">
        <is>
          <t>COE</t>
        </is>
      </c>
      <c r="AD349" s="865" t="inlineStr">
        <is>
          <t>COE - Strategy Architecture</t>
        </is>
      </c>
      <c r="AE349" s="865" t="inlineStr">
        <is>
          <t>COE - Strategy Architecture</t>
        </is>
      </c>
      <c r="AF349" s="865" t="inlineStr">
        <is>
          <t>COE</t>
        </is>
      </c>
      <c r="AG349" s="865" t="inlineStr">
        <is>
          <t>Vacant</t>
        </is>
      </c>
    </row>
    <row r="350" hidden="1" ht="18" customHeight="1" s="866">
      <c r="A350" s="1566" t="inlineStr">
        <is>
          <t>V</t>
        </is>
      </c>
      <c r="B350" s="1382" t="inlineStr">
        <is>
          <t>Vacant</t>
        </is>
      </c>
      <c r="C350" s="1611" t="inlineStr">
        <is>
          <t>EnterpriseProcess Analyst</t>
        </is>
      </c>
      <c r="D350" s="1598" t="inlineStr">
        <is>
          <t>Vacant</t>
        </is>
      </c>
      <c r="E350" s="1382" t="inlineStr">
        <is>
          <t>Enterprise Process Lead</t>
        </is>
      </c>
      <c r="F350" s="1628" t="inlineStr">
        <is>
          <t>Strategy, Architecture &amp; Data</t>
        </is>
      </c>
      <c r="G350" s="1612" t="inlineStr">
        <is>
          <t>Technology Strategy &amp; AI Capability</t>
        </is>
      </c>
      <c r="H350" s="1612" t="inlineStr">
        <is>
          <t>Technology Strategy &amp; AI Capability</t>
        </is>
      </c>
      <c r="I350" s="1628" t="n"/>
      <c r="J350" s="1628" t="n"/>
      <c r="K350" s="1612" t="n"/>
      <c r="L350" s="1612" t="n"/>
      <c r="M350" s="1613" t="inlineStr">
        <is>
          <t>Australia</t>
        </is>
      </c>
      <c r="N350" s="1614" t="inlineStr">
        <is>
          <t>CIA</t>
        </is>
      </c>
      <c r="O350" s="1614" t="n">
        <v>1</v>
      </c>
      <c r="P350" s="1614" t="n"/>
      <c r="Q350" s="1614" t="inlineStr">
        <is>
          <t>V</t>
        </is>
      </c>
      <c r="R350" s="1616" t="n"/>
      <c r="S350" s="1616" t="n"/>
      <c r="T350" s="1627" t="n">
        <v>129650</v>
      </c>
      <c r="U350" s="1626" t="n">
        <v>129650</v>
      </c>
      <c r="V350" s="1619" t="n">
        <v>0.1</v>
      </c>
      <c r="W350" s="1622" t="n">
        <v>0.055</v>
      </c>
      <c r="X350" s="1622" t="n">
        <v>0.12</v>
      </c>
      <c r="Y350" s="1623" t="n"/>
      <c r="Z350" s="1622" t="n">
        <v>0.04</v>
      </c>
      <c r="AA350" s="1621">
        <f>U350*(1+V350+W350+X350+Y350+Z350)</f>
        <v>170489.75</v>
      </c>
      <c r="AC350" s="865" t="inlineStr">
        <is>
          <t>COE</t>
        </is>
      </c>
      <c r="AD350" s="865" t="inlineStr">
        <is>
          <t>COE - Strategy Architecture</t>
        </is>
      </c>
      <c r="AE350" s="865" t="inlineStr">
        <is>
          <t>COE - Strategy Architecture</t>
        </is>
      </c>
      <c r="AF350" s="865" t="inlineStr">
        <is>
          <t>COE</t>
        </is>
      </c>
      <c r="AG350" s="865" t="inlineStr">
        <is>
          <t>Vacant</t>
        </is>
      </c>
    </row>
    <row r="351" hidden="1" ht="18" customHeight="1" s="866">
      <c r="A351" s="1566" t="inlineStr">
        <is>
          <t>V</t>
        </is>
      </c>
      <c r="B351" s="1382" t="inlineStr">
        <is>
          <t>Vacant</t>
        </is>
      </c>
      <c r="C351" s="1611" t="inlineStr">
        <is>
          <t>Strategy Analyst</t>
        </is>
      </c>
      <c r="D351" s="865" t="inlineStr">
        <is>
          <t>Vacant</t>
        </is>
      </c>
      <c r="E351" s="1382" t="inlineStr">
        <is>
          <t>Head of Technology  Strategy &amp; AI Capability</t>
        </is>
      </c>
      <c r="F351" s="1628" t="inlineStr">
        <is>
          <t>Strategy, Architecture &amp; Data</t>
        </is>
      </c>
      <c r="G351" s="1612" t="inlineStr">
        <is>
          <t>Technology Strategy &amp; AI Capability</t>
        </is>
      </c>
      <c r="H351" s="1598" t="inlineStr">
        <is>
          <t>Technology Strategy &amp; AI Capability</t>
        </is>
      </c>
      <c r="I351" s="1628" t="n"/>
      <c r="J351" s="1628" t="n"/>
      <c r="K351" s="1612" t="n"/>
      <c r="L351" s="1612" t="n"/>
      <c r="M351" s="1613" t="inlineStr">
        <is>
          <t>Australia</t>
        </is>
      </c>
      <c r="N351" s="1614" t="inlineStr">
        <is>
          <t>CIA</t>
        </is>
      </c>
      <c r="O351" s="1614" t="n">
        <v>1</v>
      </c>
      <c r="P351" s="1614" t="n"/>
      <c r="Q351" s="1614" t="inlineStr">
        <is>
          <t>v</t>
        </is>
      </c>
      <c r="R351" s="1616" t="n"/>
      <c r="S351" s="1616" t="n"/>
      <c r="T351" s="1627" t="n">
        <v>129650</v>
      </c>
      <c r="U351" s="1626" t="n">
        <v>129650</v>
      </c>
      <c r="V351" s="1619" t="n">
        <v>0.1</v>
      </c>
      <c r="W351" s="1622" t="n">
        <v>0.055</v>
      </c>
      <c r="X351" s="1622" t="n">
        <v>0.12</v>
      </c>
      <c r="Y351" s="1623" t="n"/>
      <c r="Z351" s="1622" t="n">
        <v>0.04</v>
      </c>
      <c r="AA351" s="1621">
        <f>U351*(1+V351+W351+X351+Y351+Z351)</f>
        <v>170489.75</v>
      </c>
      <c r="AC351" s="865" t="inlineStr">
        <is>
          <t>COE</t>
        </is>
      </c>
      <c r="AD351" s="865" t="inlineStr">
        <is>
          <t>COE - Strategy Architecture</t>
        </is>
      </c>
      <c r="AE351" s="865" t="inlineStr">
        <is>
          <t>COE - Strategy Architecture</t>
        </is>
      </c>
      <c r="AF351" s="865" t="inlineStr">
        <is>
          <t>COE</t>
        </is>
      </c>
      <c r="AG351" s="865" t="inlineStr">
        <is>
          <t>Vacant</t>
        </is>
      </c>
    </row>
    <row r="352" hidden="1" ht="18" customHeight="1" s="866">
      <c r="A352" s="1566" t="inlineStr">
        <is>
          <t>V</t>
        </is>
      </c>
      <c r="B352" s="1382" t="inlineStr">
        <is>
          <t>Vacant  (Contract)</t>
        </is>
      </c>
      <c r="C352" s="1611" t="inlineStr">
        <is>
          <t>Applications Specialist - Strategic Programs</t>
        </is>
      </c>
      <c r="D352" s="865" t="inlineStr">
        <is>
          <t>Sai Konka</t>
        </is>
      </c>
      <c r="E352" s="865" t="inlineStr">
        <is>
          <t>Applications &amp; Analytics Manager</t>
        </is>
      </c>
      <c r="F352" s="1628" t="inlineStr">
        <is>
          <t>Strategy, Architecture &amp; Data</t>
        </is>
      </c>
      <c r="G352" s="1612" t="inlineStr">
        <is>
          <t>Group Data</t>
        </is>
      </c>
      <c r="H352" s="1628" t="inlineStr">
        <is>
          <t>Data Engineering &amp; Platforms</t>
        </is>
      </c>
      <c r="I352" s="1612" t="inlineStr">
        <is>
          <t>Enterprise Data</t>
        </is>
      </c>
      <c r="J352" s="1628" t="inlineStr">
        <is>
          <t>EGI</t>
        </is>
      </c>
      <c r="K352" s="1628" t="inlineStr">
        <is>
          <t>Reporting &amp; Analytics</t>
        </is>
      </c>
      <c r="L352" s="1612" t="n"/>
      <c r="M352" s="1613" t="inlineStr">
        <is>
          <t>Australia</t>
        </is>
      </c>
      <c r="N352" s="1614" t="inlineStr">
        <is>
          <t>CIB</t>
        </is>
      </c>
      <c r="O352" s="1614" t="n">
        <v>1</v>
      </c>
      <c r="P352" s="1614" t="n"/>
      <c r="Q352" s="1614" t="inlineStr">
        <is>
          <t>V</t>
        </is>
      </c>
      <c r="R352" s="1616" t="n"/>
      <c r="S352" s="1616" t="n"/>
      <c r="T352" s="1627" t="n">
        <v>151950</v>
      </c>
      <c r="U352" s="1626" t="n">
        <v>151950</v>
      </c>
      <c r="V352" s="1619" t="n">
        <v>0.12</v>
      </c>
      <c r="W352" s="1622" t="n">
        <v>0.055</v>
      </c>
      <c r="X352" s="1622" t="n">
        <v>0.12</v>
      </c>
      <c r="Y352" s="1623" t="n"/>
      <c r="Z352" s="1622" t="n">
        <v>0.04</v>
      </c>
      <c r="AA352" s="1621">
        <f>U352*(1+V352+W352+X352+Y352+Z352)</f>
        <v>202853.25</v>
      </c>
      <c r="AC352" s="865" t="inlineStr">
        <is>
          <t>Enterprise Data</t>
        </is>
      </c>
      <c r="AD352" s="865" t="inlineStr">
        <is>
          <t>Group Data</t>
        </is>
      </c>
      <c r="AE352" s="865" t="inlineStr">
        <is>
          <t>Reporting &amp; Analytics</t>
        </is>
      </c>
      <c r="AF352" s="865" t="inlineStr">
        <is>
          <t>Squad</t>
        </is>
      </c>
      <c r="AG352" s="865" t="inlineStr">
        <is>
          <t>Filled</t>
        </is>
      </c>
    </row>
    <row r="353" hidden="1" ht="18" customHeight="1" s="866">
      <c r="A353" s="1566" t="inlineStr">
        <is>
          <t>V</t>
        </is>
      </c>
      <c r="B353" s="1382" t="inlineStr">
        <is>
          <t>Vacant (contract)</t>
        </is>
      </c>
      <c r="C353" s="1611" t="inlineStr">
        <is>
          <t>Reporting analysts - Strategic Programs</t>
        </is>
      </c>
      <c r="D353" s="865" t="inlineStr">
        <is>
          <t>Prashanth Krishnankutty</t>
        </is>
      </c>
      <c r="E353" s="1382" t="inlineStr">
        <is>
          <t>Lead, Reporting &amp; Insights</t>
        </is>
      </c>
      <c r="F353" s="1628" t="inlineStr">
        <is>
          <t>Strategy, Architecture &amp; Data</t>
        </is>
      </c>
      <c r="G353" s="1612" t="inlineStr">
        <is>
          <t>Group Data</t>
        </is>
      </c>
      <c r="H353" s="1628" t="inlineStr">
        <is>
          <t>Data Engineering &amp; Platforms</t>
        </is>
      </c>
      <c r="I353" s="1612" t="inlineStr">
        <is>
          <t>Enterprise Data</t>
        </is>
      </c>
      <c r="J353" s="1628" t="inlineStr">
        <is>
          <t>Group Data</t>
        </is>
      </c>
      <c r="K353" s="1628" t="inlineStr">
        <is>
          <t>Reporting &amp; Analytics</t>
        </is>
      </c>
      <c r="L353" s="1612" t="n"/>
      <c r="M353" s="1613" t="inlineStr">
        <is>
          <t>Australia</t>
        </is>
      </c>
      <c r="N353" s="1614" t="inlineStr">
        <is>
          <t>CIB</t>
        </is>
      </c>
      <c r="O353" s="1614" t="n">
        <v>1</v>
      </c>
      <c r="P353" s="1614" t="n"/>
      <c r="Q353" s="1614" t="inlineStr">
        <is>
          <t>v</t>
        </is>
      </c>
      <c r="R353" s="1616" t="n"/>
      <c r="S353" s="1616" t="n"/>
      <c r="T353" s="1627" t="n">
        <v>151950</v>
      </c>
      <c r="U353" s="1626" t="n">
        <v>151950</v>
      </c>
      <c r="V353" s="1619" t="n">
        <v>0.12</v>
      </c>
      <c r="W353" s="1622" t="n">
        <v>0.055</v>
      </c>
      <c r="X353" s="1622" t="n">
        <v>0.12</v>
      </c>
      <c r="Y353" s="1623" t="n"/>
      <c r="Z353" s="1622" t="n">
        <v>0.04</v>
      </c>
      <c r="AA353" s="1621">
        <f>U353*(1+V353+W353+X353+Y353+Z353)</f>
        <v>202853.25</v>
      </c>
      <c r="AC353" s="865" t="inlineStr">
        <is>
          <t>Enterprise Data</t>
        </is>
      </c>
      <c r="AD353" s="865" t="inlineStr">
        <is>
          <t>Group Data</t>
        </is>
      </c>
      <c r="AE353" s="865" t="inlineStr">
        <is>
          <t>Reporting &amp; Analytics</t>
        </is>
      </c>
      <c r="AF353" s="865" t="inlineStr">
        <is>
          <t>Squad</t>
        </is>
      </c>
      <c r="AG353" s="865" t="inlineStr">
        <is>
          <t>Filled</t>
        </is>
      </c>
    </row>
    <row r="354" hidden="1" ht="18" customHeight="1" s="866">
      <c r="A354" s="1566" t="n">
        <v>106026</v>
      </c>
      <c r="B354" s="1382" t="inlineStr">
        <is>
          <t>Vincent Lu</t>
        </is>
      </c>
      <c r="C354" s="1611" t="inlineStr">
        <is>
          <t>Reporting Analyst</t>
        </is>
      </c>
      <c r="D354" s="865" t="inlineStr">
        <is>
          <t>Prashanth Krishnankutty</t>
        </is>
      </c>
      <c r="E354" s="1382" t="inlineStr">
        <is>
          <t>Lead, Reporting &amp; Insights</t>
        </is>
      </c>
      <c r="F354" s="1628" t="inlineStr">
        <is>
          <t>Strategy, Architecture &amp; Data</t>
        </is>
      </c>
      <c r="G354" s="1612" t="inlineStr">
        <is>
          <t>Group Data</t>
        </is>
      </c>
      <c r="H354" s="1628" t="inlineStr">
        <is>
          <t>Data Engineering &amp; Platforms</t>
        </is>
      </c>
      <c r="I354" s="1628" t="inlineStr">
        <is>
          <t>Enterprise Data</t>
        </is>
      </c>
      <c r="J354" s="1628" t="inlineStr">
        <is>
          <t>Group Data</t>
        </is>
      </c>
      <c r="K354" s="1628" t="inlineStr">
        <is>
          <t>Reporting &amp; Analytics</t>
        </is>
      </c>
      <c r="L354" s="1612" t="n"/>
      <c r="M354" s="1613" t="inlineStr">
        <is>
          <t>Australia</t>
        </is>
      </c>
      <c r="N354" s="1614" t="inlineStr">
        <is>
          <t>CIB</t>
        </is>
      </c>
      <c r="O354" s="1614" t="n">
        <v>1</v>
      </c>
      <c r="P354" s="1614" t="n"/>
      <c r="Q354" s="1614" t="inlineStr">
        <is>
          <t>Permanent - Full Time</t>
        </is>
      </c>
      <c r="R354" s="1616" t="n"/>
      <c r="S354" s="1616" t="n"/>
      <c r="T354" s="1627" t="n">
        <v>134550</v>
      </c>
      <c r="U354" s="1626" t="n">
        <v>134550</v>
      </c>
      <c r="V354" s="1619" t="n">
        <v>0.12</v>
      </c>
      <c r="W354" s="1622" t="n">
        <v>0.055</v>
      </c>
      <c r="X354" s="1622" t="n">
        <v>0.12</v>
      </c>
      <c r="Y354" s="1623" t="n"/>
      <c r="Z354" s="1622" t="n">
        <v>0.04</v>
      </c>
      <c r="AA354" s="1621">
        <f>U354*(1+V354+W354+X354+Y354+Z354)</f>
        <v>179624.25</v>
      </c>
      <c r="AC354" s="865" t="inlineStr">
        <is>
          <t>Enterprise Data</t>
        </is>
      </c>
      <c r="AD354" s="865" t="inlineStr">
        <is>
          <t>Group Data</t>
        </is>
      </c>
      <c r="AE354" s="865" t="inlineStr">
        <is>
          <t>Reporting &amp; Analytics</t>
        </is>
      </c>
      <c r="AF354" s="865" t="inlineStr">
        <is>
          <t>Squad</t>
        </is>
      </c>
      <c r="AG354" s="865" t="inlineStr">
        <is>
          <t>Filled</t>
        </is>
      </c>
    </row>
    <row r="355" hidden="1" ht="18" customHeight="1" s="866">
      <c r="A355" s="1566" t="n">
        <v>101166</v>
      </c>
      <c r="B355" s="1612" t="inlineStr">
        <is>
          <t>Yu Chen</t>
        </is>
      </c>
      <c r="C355" s="1629" t="inlineStr">
        <is>
          <t>Senior Data Scientist</t>
        </is>
      </c>
      <c r="D355" s="865" t="inlineStr">
        <is>
          <t>Jonathan Robinson</t>
        </is>
      </c>
      <c r="E355" s="1382" t="inlineStr">
        <is>
          <t>Technology Manager, Data Science</t>
        </is>
      </c>
      <c r="F355" s="1628" t="inlineStr">
        <is>
          <t>Strategy, Architecture &amp; Data</t>
        </is>
      </c>
      <c r="G355" s="1612" t="inlineStr">
        <is>
          <t>Group Data</t>
        </is>
      </c>
      <c r="H355" s="1628" t="inlineStr">
        <is>
          <t>Data Science</t>
        </is>
      </c>
      <c r="I355" s="1628" t="inlineStr">
        <is>
          <t>Enterprise Data</t>
        </is>
      </c>
      <c r="J355" s="1628" t="inlineStr">
        <is>
          <t>Group Data</t>
        </is>
      </c>
      <c r="K355" s="1612" t="inlineStr">
        <is>
          <t>Data Science</t>
        </is>
      </c>
      <c r="L355" s="1612" t="n"/>
      <c r="M355" s="1613" t="inlineStr">
        <is>
          <t>Australia</t>
        </is>
      </c>
      <c r="N355" s="1614" t="inlineStr">
        <is>
          <t>CIC</t>
        </is>
      </c>
      <c r="O355" s="1614" t="n">
        <v>1</v>
      </c>
      <c r="P355" s="1614" t="n"/>
      <c r="Q355" s="1614" t="inlineStr">
        <is>
          <t>Permanent - Full Time</t>
        </is>
      </c>
      <c r="R355" s="1616" t="n"/>
      <c r="S355" s="1616" t="n"/>
      <c r="T355" s="1627" t="n">
        <v>173470</v>
      </c>
      <c r="U355" s="1626" t="n">
        <v>173470</v>
      </c>
      <c r="V355" s="1619" t="n">
        <v>0.12</v>
      </c>
      <c r="W355" s="1622" t="n">
        <v>0.055</v>
      </c>
      <c r="X355" s="1622" t="n">
        <v>0.12</v>
      </c>
      <c r="Y355" s="1623" t="n"/>
      <c r="Z355" s="1622" t="n">
        <v>0.04</v>
      </c>
      <c r="AA355" s="1621">
        <f>U355*(1+V355+W355+X355+Y355+Z355)</f>
        <v>231582.45</v>
      </c>
      <c r="AC355" s="865" t="inlineStr">
        <is>
          <t>Enterprise Data</t>
        </is>
      </c>
      <c r="AD355" s="865" t="inlineStr">
        <is>
          <t>Group Data</t>
        </is>
      </c>
      <c r="AE355" s="865" t="inlineStr">
        <is>
          <t>Data Science</t>
        </is>
      </c>
      <c r="AF355" s="865" t="inlineStr">
        <is>
          <t>Squad</t>
        </is>
      </c>
      <c r="AG355" s="865" t="inlineStr">
        <is>
          <t>Filled</t>
        </is>
      </c>
    </row>
    <row r="356" hidden="1" ht="18" customHeight="1" s="866">
      <c r="A356" s="1566" t="n">
        <v>107588</v>
      </c>
      <c r="B356" s="1382" t="inlineStr">
        <is>
          <t>Akhil Sriram</t>
        </is>
      </c>
      <c r="C356" s="1611" t="inlineStr">
        <is>
          <t>Snr Business Analyst</t>
        </is>
      </c>
      <c r="D356" s="1598" t="inlineStr">
        <is>
          <t>Vacant</t>
        </is>
      </c>
      <c r="E356" s="865" t="inlineStr">
        <is>
          <t>Delivery Manager</t>
        </is>
      </c>
      <c r="F356" s="1382" t="inlineStr">
        <is>
          <t>TDD CFE&amp;I</t>
        </is>
      </c>
      <c r="G356" s="1635" t="inlineStr">
        <is>
          <t>Fuel Infrastructure</t>
        </is>
      </c>
      <c r="H356" s="1612" t="inlineStr">
        <is>
          <t>Fuel Infrastructure, Delivery</t>
        </is>
      </c>
      <c r="I356" s="1612" t="inlineStr">
        <is>
          <t>Infrastructure</t>
        </is>
      </c>
      <c r="J356" s="1612" t="inlineStr">
        <is>
          <t>Manufacturing</t>
        </is>
      </c>
      <c r="K356" s="1382" t="inlineStr">
        <is>
          <t>Manufacturing Group Projects</t>
        </is>
      </c>
      <c r="L356" s="1612" t="n"/>
      <c r="M356" s="1613" t="inlineStr">
        <is>
          <t>Australia</t>
        </is>
      </c>
      <c r="N356" s="1614" t="inlineStr">
        <is>
          <t>CIB</t>
        </is>
      </c>
      <c r="O356" s="1614" t="n">
        <v>1</v>
      </c>
      <c r="P356" s="1614" t="n"/>
      <c r="Q356" s="1614" t="inlineStr">
        <is>
          <t>Permanent - Full Time</t>
        </is>
      </c>
      <c r="R356" s="1616" t="n"/>
      <c r="S356" s="1616" t="n"/>
      <c r="T356" s="1627" t="n">
        <v>166140</v>
      </c>
      <c r="U356" s="1626" t="n">
        <v>166140</v>
      </c>
      <c r="V356" s="1619" t="n">
        <v>0.12</v>
      </c>
      <c r="W356" s="1622" t="n">
        <v>0.055</v>
      </c>
      <c r="X356" s="1622" t="n">
        <v>0.12</v>
      </c>
      <c r="Y356" s="1623" t="n"/>
      <c r="Z356" s="1622" t="n">
        <v>0.04</v>
      </c>
      <c r="AA356" s="1621">
        <f>U356*(1+V356+W356+X356+Y356+Z356)</f>
        <v>221796.9</v>
      </c>
      <c r="AC356" s="865" t="inlineStr">
        <is>
          <t>Infrastructure</t>
        </is>
      </c>
      <c r="AD356" s="865" t="inlineStr">
        <is>
          <t>Manufacturing</t>
        </is>
      </c>
      <c r="AE356" s="865" t="inlineStr">
        <is>
          <t>Manufacturing &amp; Group Projects</t>
        </is>
      </c>
      <c r="AF356" s="865" t="inlineStr">
        <is>
          <t>Squad</t>
        </is>
      </c>
      <c r="AG356" s="865" t="inlineStr">
        <is>
          <t>Filled</t>
        </is>
      </c>
    </row>
    <row r="357" hidden="1" ht="13.5" customHeight="1" s="866">
      <c r="A357" s="1566" t="n">
        <v>99999101912</v>
      </c>
      <c r="B357" s="1382" t="inlineStr">
        <is>
          <t>Alex Abelita</t>
        </is>
      </c>
      <c r="C357" s="1611" t="inlineStr">
        <is>
          <t>Associate Engineer - Automation Testing</t>
        </is>
      </c>
      <c r="D357" s="865" t="inlineStr">
        <is>
          <t>Elle Spencer</t>
        </is>
      </c>
      <c r="E357" s="865" t="inlineStr">
        <is>
          <t>Technology Manager, Energy Solutions</t>
        </is>
      </c>
      <c r="F357" s="1382" t="inlineStr">
        <is>
          <t>TDD CFE&amp;I</t>
        </is>
      </c>
      <c r="G357" s="1612" t="inlineStr">
        <is>
          <t>B2B &amp; Energy Solutions</t>
        </is>
      </c>
      <c r="H357" s="1612" t="inlineStr">
        <is>
          <t>Technology B2B</t>
        </is>
      </c>
      <c r="I357" s="1612" t="inlineStr">
        <is>
          <t>B2B &amp; Energy Solutions</t>
        </is>
      </c>
      <c r="J357" s="1382" t="inlineStr">
        <is>
          <t>B2B</t>
        </is>
      </c>
      <c r="K357" s="1382" t="inlineStr">
        <is>
          <t>B2B</t>
        </is>
      </c>
      <c r="L357" s="1612" t="n"/>
      <c r="M357" s="1613" t="inlineStr">
        <is>
          <t>NZ</t>
        </is>
      </c>
      <c r="N357" s="1614" t="inlineStr">
        <is>
          <t>CDB</t>
        </is>
      </c>
      <c r="O357" s="1615" t="n">
        <v>1</v>
      </c>
      <c r="P357" s="1614" t="n"/>
      <c r="Q357" s="1615" t="inlineStr">
        <is>
          <t>Permanent - Full Time</t>
        </is>
      </c>
      <c r="R357" s="1616" t="n"/>
      <c r="S357" s="1616" t="n"/>
      <c r="T357" s="1627" t="n">
        <v>77500</v>
      </c>
      <c r="U357" s="1626" t="n">
        <v>71300</v>
      </c>
      <c r="V357" s="1618" t="n">
        <v>0.1</v>
      </c>
      <c r="W357" s="1615" t="n"/>
      <c r="X357" s="1619" t="n">
        <v>0.05</v>
      </c>
      <c r="Y357" s="1620" t="n">
        <v>2910</v>
      </c>
      <c r="Z357" s="1619" t="n">
        <v>0.03</v>
      </c>
      <c r="AA357" s="1621">
        <f>U357*(1+V357+X357+Z357)+Y357</f>
        <v>87044</v>
      </c>
      <c r="AB357" s="865" t="n">
        <v>113305</v>
      </c>
      <c r="AC357" s="865" t="inlineStr">
        <is>
          <t>Energy Solutions &amp; B2B</t>
        </is>
      </c>
      <c r="AD357" s="865" t="inlineStr">
        <is>
          <t>B2B</t>
        </is>
      </c>
      <c r="AE357" s="865" t="inlineStr">
        <is>
          <t>B2B</t>
        </is>
      </c>
      <c r="AF357" s="865" t="inlineStr">
        <is>
          <t>Squad</t>
        </is>
      </c>
      <c r="AG357" s="865" t="inlineStr">
        <is>
          <t>Filled</t>
        </is>
      </c>
    </row>
    <row r="358" hidden="1" ht="18" customHeight="1" s="866">
      <c r="A358" s="1566" t="n">
        <v>92699</v>
      </c>
      <c r="B358" s="1382" t="inlineStr">
        <is>
          <t>Alison Rosier</t>
        </is>
      </c>
      <c r="C358" s="1649" t="inlineStr">
        <is>
          <t>Technology Support Engineer - Infrastructure</t>
        </is>
      </c>
      <c r="D358" s="865" t="inlineStr">
        <is>
          <t>Glenn Earl</t>
        </is>
      </c>
      <c r="E358" s="865" t="inlineStr">
        <is>
          <t>Lead Support, Infrastructure</t>
        </is>
      </c>
      <c r="F358" s="1382" t="inlineStr">
        <is>
          <t>TDD CFE&amp;I</t>
        </is>
      </c>
      <c r="G358" s="1612" t="inlineStr">
        <is>
          <t>Fuel Infrastructure</t>
        </is>
      </c>
      <c r="H358" s="1612" t="inlineStr">
        <is>
          <t>Refinery Applications</t>
        </is>
      </c>
      <c r="I358" s="1612" t="inlineStr">
        <is>
          <t>Infrastructure</t>
        </is>
      </c>
      <c r="J358" s="1612" t="inlineStr">
        <is>
          <t>Fuel Infrastructure</t>
        </is>
      </c>
      <c r="K358" s="1382" t="inlineStr">
        <is>
          <t>Technology Suport</t>
        </is>
      </c>
      <c r="L358" s="1612" t="n"/>
      <c r="M358" s="1613" t="inlineStr">
        <is>
          <t>Australia</t>
        </is>
      </c>
      <c r="N358" s="1614" t="inlineStr">
        <is>
          <t>CIA</t>
        </is>
      </c>
      <c r="O358" s="1614" t="n">
        <v>1</v>
      </c>
      <c r="P358" s="1614" t="n"/>
      <c r="Q358" s="1614" t="inlineStr">
        <is>
          <t>Permanent - Full Time</t>
        </is>
      </c>
      <c r="R358" s="1616" t="n"/>
      <c r="S358" s="1616" t="n"/>
      <c r="T358" s="1627" t="n">
        <v>123906</v>
      </c>
      <c r="U358" s="1626" t="n">
        <v>123906</v>
      </c>
      <c r="V358" s="1619" t="n">
        <v>0.1</v>
      </c>
      <c r="W358" s="1622" t="n">
        <v>0.055</v>
      </c>
      <c r="X358" s="1622" t="n">
        <v>0.12</v>
      </c>
      <c r="Y358" s="1623" t="n"/>
      <c r="Z358" s="1622" t="n">
        <v>0.04</v>
      </c>
      <c r="AA358" s="1621">
        <f>U358*(1+V358+W358+X358+Y358+Z358)</f>
        <v>162936.39</v>
      </c>
      <c r="AC358" s="865" t="inlineStr">
        <is>
          <t>Infrastructure</t>
        </is>
      </c>
      <c r="AD358" s="865" t="inlineStr">
        <is>
          <t>Manufacturing</t>
        </is>
      </c>
      <c r="AE358" s="865" t="inlineStr">
        <is>
          <t>Technology Support</t>
        </is>
      </c>
      <c r="AF358" s="865" t="inlineStr">
        <is>
          <t>Squad</t>
        </is>
      </c>
      <c r="AG358" s="865" t="inlineStr">
        <is>
          <t>Filled</t>
        </is>
      </c>
    </row>
    <row r="359" hidden="1" ht="18" customHeight="1" s="866">
      <c r="A359" s="1566" t="n">
        <v>13925</v>
      </c>
      <c r="B359" s="1382" t="inlineStr">
        <is>
          <t>Allan Francia</t>
        </is>
      </c>
      <c r="C359" s="1611" t="inlineStr">
        <is>
          <t>Technology Manager - T&amp;S</t>
        </is>
      </c>
      <c r="D359" s="1612" t="inlineStr">
        <is>
          <t>Vacant</t>
        </is>
      </c>
      <c r="E359" s="1382" t="inlineStr">
        <is>
          <t>Head of Technology, Commercial Fuels</t>
        </is>
      </c>
      <c r="F359" s="1382" t="inlineStr">
        <is>
          <t>TDD CFE&amp;I</t>
        </is>
      </c>
      <c r="G359" s="1612" t="inlineStr">
        <is>
          <t>Commercial Fuels</t>
        </is>
      </c>
      <c r="H359" s="1612" t="inlineStr">
        <is>
          <t>Technology, Trading &amp; Shipping</t>
        </is>
      </c>
      <c r="I359" s="1612" t="inlineStr">
        <is>
          <t>Commercial Fuels</t>
        </is>
      </c>
      <c r="J359" s="1612" t="inlineStr">
        <is>
          <t>Leadership</t>
        </is>
      </c>
      <c r="K359" s="1612" t="inlineStr">
        <is>
          <t>Leadership</t>
        </is>
      </c>
      <c r="L359" s="1612" t="n"/>
      <c r="M359" s="1613" t="inlineStr">
        <is>
          <t>Australia</t>
        </is>
      </c>
      <c r="N359" s="1616" t="inlineStr">
        <is>
          <t>CSB</t>
        </is>
      </c>
      <c r="O359" s="1616" t="n">
        <v>1</v>
      </c>
      <c r="P359" s="1616" t="n"/>
      <c r="Q359" s="1616" t="inlineStr">
        <is>
          <t>Permanent - Full Time</t>
        </is>
      </c>
      <c r="R359" s="1616" t="n"/>
      <c r="S359" s="1616" t="n"/>
      <c r="T359" s="1627" t="n">
        <v>212020</v>
      </c>
      <c r="U359" s="1626" t="n">
        <v>212020</v>
      </c>
      <c r="V359" s="1619" t="n">
        <v>0.14</v>
      </c>
      <c r="W359" s="1622" t="n">
        <v>0.055</v>
      </c>
      <c r="X359" s="1622" t="n">
        <v>0.12</v>
      </c>
      <c r="Y359" s="1623" t="n"/>
      <c r="Z359" s="1622" t="n">
        <v>0.04</v>
      </c>
      <c r="AA359" s="1621">
        <f>U359*(1+V359+W359+X359+Y359+Z359)</f>
        <v>287287.1</v>
      </c>
      <c r="AC359" s="865" t="inlineStr">
        <is>
          <t>Commercial Fuels</t>
        </is>
      </c>
      <c r="AD359" s="865" t="inlineStr">
        <is>
          <t>Leadership</t>
        </is>
      </c>
      <c r="AE359" s="865" t="inlineStr">
        <is>
          <t>Leadership</t>
        </is>
      </c>
      <c r="AF359" s="865" t="inlineStr">
        <is>
          <t>Leadership</t>
        </is>
      </c>
      <c r="AG359" s="865" t="inlineStr">
        <is>
          <t>Filled</t>
        </is>
      </c>
    </row>
    <row r="360" hidden="1" ht="18" customHeight="1" s="866">
      <c r="A360" s="1566" t="n">
        <v>114366</v>
      </c>
      <c r="B360" s="1382" t="inlineStr">
        <is>
          <t>Allyn Puente</t>
        </is>
      </c>
      <c r="C360" s="1611" t="inlineStr">
        <is>
          <t>Graduate</t>
        </is>
      </c>
      <c r="D360" s="1382" t="inlineStr">
        <is>
          <t>Elle Spencer</t>
        </is>
      </c>
      <c r="E360" s="1382" t="inlineStr">
        <is>
          <t>Technology Manager, Energy Solutions</t>
        </is>
      </c>
      <c r="F360" s="1382" t="inlineStr">
        <is>
          <t>TDD CFE&amp;I</t>
        </is>
      </c>
      <c r="G360" s="1612" t="inlineStr">
        <is>
          <t>B2B &amp; Energy Solutions</t>
        </is>
      </c>
      <c r="H360" s="1612" t="inlineStr">
        <is>
          <t>Technology B2B</t>
        </is>
      </c>
      <c r="I360" s="1612" t="inlineStr">
        <is>
          <t>B2B &amp; Energy Solutions</t>
        </is>
      </c>
      <c r="J360" s="1382" t="inlineStr">
        <is>
          <t>B2B</t>
        </is>
      </c>
      <c r="K360" s="1382" t="inlineStr">
        <is>
          <t>B2B</t>
        </is>
      </c>
      <c r="L360" s="1612" t="n"/>
      <c r="M360" s="1613" t="inlineStr">
        <is>
          <t>Australia</t>
        </is>
      </c>
      <c r="N360" s="1614" t="inlineStr">
        <is>
          <t>CDB</t>
        </is>
      </c>
      <c r="O360" s="1614" t="n">
        <v>1</v>
      </c>
      <c r="P360" s="1614" t="n"/>
      <c r="Q360" s="1614" t="inlineStr">
        <is>
          <t>Permanent - Full Time</t>
        </is>
      </c>
      <c r="R360" s="1616" t="n"/>
      <c r="S360" s="1616" t="n"/>
      <c r="T360" s="1627" t="n">
        <v>85000</v>
      </c>
      <c r="U360" s="1626" t="n">
        <v>85000</v>
      </c>
      <c r="V360" s="1619" t="n">
        <v>0.08</v>
      </c>
      <c r="W360" s="1622" t="n">
        <v>0.055</v>
      </c>
      <c r="X360" s="1622" t="n">
        <v>0.12</v>
      </c>
      <c r="Y360" s="1623" t="n"/>
      <c r="Z360" s="1622" t="n">
        <v>0.04</v>
      </c>
      <c r="AA360" s="1621">
        <f>U360*(1+V360+W360+X360+Y360+Z360)</f>
        <v>110075</v>
      </c>
      <c r="AC360" s="865" t="inlineStr">
        <is>
          <t>Energy Solutions &amp; B2B</t>
        </is>
      </c>
      <c r="AD360" s="865" t="inlineStr">
        <is>
          <t>B2B</t>
        </is>
      </c>
      <c r="AE360" s="865" t="inlineStr">
        <is>
          <t>B2B</t>
        </is>
      </c>
      <c r="AF360" s="865" t="inlineStr">
        <is>
          <t>Squad</t>
        </is>
      </c>
      <c r="AG360" s="865" t="inlineStr">
        <is>
          <t>Filled</t>
        </is>
      </c>
    </row>
    <row r="361" hidden="1" ht="18" customHeight="1" s="866">
      <c r="A361" s="1566" t="n">
        <v>99999101752</v>
      </c>
      <c r="B361" s="1382" t="inlineStr">
        <is>
          <t>Amanda Turnbull</t>
        </is>
      </c>
      <c r="C361" s="1611" t="inlineStr">
        <is>
          <t>Engineer Software</t>
        </is>
      </c>
      <c r="D361" s="1612" t="inlineStr">
        <is>
          <t>Vacant</t>
        </is>
      </c>
      <c r="E361" s="1382" t="inlineStr">
        <is>
          <t>Technology Manager, Engineering</t>
        </is>
      </c>
      <c r="F361" s="1382" t="inlineStr">
        <is>
          <t>TDD CFE&amp;I</t>
        </is>
      </c>
      <c r="G361" s="1612" t="inlineStr">
        <is>
          <t>Commercial Fuels</t>
        </is>
      </c>
      <c r="H361" s="1612" t="inlineStr">
        <is>
          <t>Technology, CF Engineering</t>
        </is>
      </c>
      <c r="I361" s="1612" t="inlineStr">
        <is>
          <t>Commercial Fuels</t>
        </is>
      </c>
      <c r="J361" s="1382" t="inlineStr">
        <is>
          <t>CTRM</t>
        </is>
      </c>
      <c r="K361" s="1382" t="inlineStr">
        <is>
          <t>CTRM</t>
        </is>
      </c>
      <c r="L361" s="1612" t="n"/>
      <c r="M361" s="1613" t="inlineStr">
        <is>
          <t>NZ</t>
        </is>
      </c>
      <c r="N361" s="1614" t="inlineStr">
        <is>
          <t>CDB</t>
        </is>
      </c>
      <c r="O361" s="1615" t="n">
        <v>1</v>
      </c>
      <c r="P361" s="1614" t="n"/>
      <c r="Q361" s="1615" t="inlineStr">
        <is>
          <t>Permanent - Full Time</t>
        </is>
      </c>
      <c r="R361" s="1616" t="n"/>
      <c r="S361" s="1616" t="n"/>
      <c r="T361" s="1627" t="n">
        <v>90760</v>
      </c>
      <c r="U361" s="1626" t="n">
        <v>83499.2</v>
      </c>
      <c r="V361" s="1618" t="n">
        <v>0.1</v>
      </c>
      <c r="W361" s="1615" t="n"/>
      <c r="X361" s="1619" t="n">
        <v>0.05</v>
      </c>
      <c r="Y361" s="1620" t="n">
        <v>2910</v>
      </c>
      <c r="Z361" s="1619" t="n">
        <v>0.03</v>
      </c>
      <c r="AA361" s="1621">
        <f>U361*(1+V361+X361+Z361)+Y361</f>
        <v>101439.056</v>
      </c>
      <c r="AB361" s="865" t="n">
        <v>113505</v>
      </c>
      <c r="AC361" s="865" t="inlineStr">
        <is>
          <t>Commercial Fuels</t>
        </is>
      </c>
      <c r="AD361" s="865" t="inlineStr">
        <is>
          <t>CTRM</t>
        </is>
      </c>
      <c r="AE361" s="865" t="inlineStr">
        <is>
          <t>CTRM</t>
        </is>
      </c>
      <c r="AF361" s="865" t="inlineStr">
        <is>
          <t>Strategic Program</t>
        </is>
      </c>
      <c r="AG361" s="865" t="inlineStr">
        <is>
          <t>Filled</t>
        </is>
      </c>
    </row>
    <row r="362" hidden="1" ht="18" customHeight="1" s="866">
      <c r="A362" s="1566" t="n">
        <v>97098</v>
      </c>
      <c r="B362" s="1382" t="inlineStr">
        <is>
          <t>Amish Pandit</t>
        </is>
      </c>
      <c r="C362" s="1611" t="inlineStr">
        <is>
          <t>Head of Technology, Fuel Infrastructure</t>
        </is>
      </c>
      <c r="D362" s="1382" t="inlineStr">
        <is>
          <t>Roanne Steele</t>
        </is>
      </c>
      <c r="E362" s="1382" t="inlineStr">
        <is>
          <t>GM TDD, CFE&amp;I</t>
        </is>
      </c>
      <c r="F362" s="1382" t="inlineStr">
        <is>
          <t>TDD CFE&amp;I</t>
        </is>
      </c>
      <c r="G362" s="1612" t="inlineStr">
        <is>
          <t>Fuel Infrastructure</t>
        </is>
      </c>
      <c r="H362" s="1612" t="inlineStr">
        <is>
          <t>Leadership</t>
        </is>
      </c>
      <c r="I362" s="1612" t="inlineStr">
        <is>
          <t>Infrastructure</t>
        </is>
      </c>
      <c r="J362" s="1382" t="inlineStr">
        <is>
          <t xml:space="preserve">Leadership </t>
        </is>
      </c>
      <c r="K362" s="1612" t="inlineStr">
        <is>
          <t>Leadership</t>
        </is>
      </c>
      <c r="L362" s="1612" t="n"/>
      <c r="M362" s="1613" t="inlineStr">
        <is>
          <t>Australia</t>
        </is>
      </c>
      <c r="N362" s="1614" t="inlineStr">
        <is>
          <t>CSC</t>
        </is>
      </c>
      <c r="O362" s="1614" t="n">
        <v>1</v>
      </c>
      <c r="P362" s="1614" t="n"/>
      <c r="Q362" s="1614" t="inlineStr">
        <is>
          <t>Permanent - Full Time</t>
        </is>
      </c>
      <c r="R362" s="1616" t="n"/>
      <c r="S362" s="1616" t="n"/>
      <c r="T362" s="1627" t="n">
        <v>256980</v>
      </c>
      <c r="U362" s="1626" t="n">
        <v>256980</v>
      </c>
      <c r="V362" s="1619" t="n">
        <v>0.2</v>
      </c>
      <c r="W362" s="1622" t="n">
        <v>0.055</v>
      </c>
      <c r="X362" s="1622" t="n">
        <v>0.12</v>
      </c>
      <c r="Y362" s="1623" t="n"/>
      <c r="Z362" s="1622" t="n">
        <v>0.04</v>
      </c>
      <c r="AA362" s="1621">
        <f>U362*(1+V362+W362+X362+Y362+Z362)</f>
        <v>363626.7</v>
      </c>
      <c r="AC362" s="865" t="inlineStr">
        <is>
          <t>Infrastructure</t>
        </is>
      </c>
      <c r="AD362" s="865" t="inlineStr">
        <is>
          <t>Leadership</t>
        </is>
      </c>
      <c r="AE362" s="865" t="inlineStr">
        <is>
          <t>Leadership</t>
        </is>
      </c>
      <c r="AF362" s="865" t="inlineStr">
        <is>
          <t>Leadership</t>
        </is>
      </c>
      <c r="AG362" s="865" t="inlineStr">
        <is>
          <t>Filled</t>
        </is>
      </c>
    </row>
    <row r="363" hidden="1" ht="18" customHeight="1" s="866">
      <c r="A363" s="1566" t="n">
        <v>99999100072</v>
      </c>
      <c r="B363" s="1382" t="inlineStr">
        <is>
          <t>Angela Ross</t>
        </is>
      </c>
      <c r="C363" s="1611" t="inlineStr">
        <is>
          <t>Delivery Lead</t>
        </is>
      </c>
      <c r="D363" s="1612" t="inlineStr">
        <is>
          <t>Vacant</t>
        </is>
      </c>
      <c r="E363" s="1382" t="inlineStr">
        <is>
          <t>Delivery Manager</t>
        </is>
      </c>
      <c r="F363" s="1382" t="inlineStr">
        <is>
          <t>TDD CFE&amp;I</t>
        </is>
      </c>
      <c r="G363" s="1612" t="inlineStr">
        <is>
          <t>B2B &amp; Energy Solutions</t>
        </is>
      </c>
      <c r="H363" s="1612" t="inlineStr">
        <is>
          <t>Delivery</t>
        </is>
      </c>
      <c r="I363" s="1612" t="inlineStr">
        <is>
          <t>B2B &amp; Energy Solutions</t>
        </is>
      </c>
      <c r="J363" s="1612" t="inlineStr">
        <is>
          <t>Energy Solutions</t>
        </is>
      </c>
      <c r="K363" s="1382" t="inlineStr">
        <is>
          <t>EVCI</t>
        </is>
      </c>
      <c r="L363" s="1612" t="n"/>
      <c r="M363" s="1613" t="inlineStr">
        <is>
          <t>NZ</t>
        </is>
      </c>
      <c r="N363" s="1614" t="inlineStr">
        <is>
          <t>CIC</t>
        </is>
      </c>
      <c r="O363" s="1615" t="n">
        <v>1</v>
      </c>
      <c r="P363" s="1614" t="n"/>
      <c r="Q363" s="1615" t="inlineStr">
        <is>
          <t>Permanent - Full Time</t>
        </is>
      </c>
      <c r="R363" s="1616" t="n"/>
      <c r="S363" s="1616" t="n"/>
      <c r="T363" s="1627" t="n">
        <v>163830</v>
      </c>
      <c r="U363" s="1626" t="n">
        <v>150723.6</v>
      </c>
      <c r="V363" s="1618" t="n">
        <v>0.15</v>
      </c>
      <c r="W363" s="1615" t="n"/>
      <c r="X363" s="1619" t="n">
        <v>0.05</v>
      </c>
      <c r="Y363" s="1620" t="n">
        <v>2910</v>
      </c>
      <c r="Z363" s="1619" t="n">
        <v>0.03</v>
      </c>
      <c r="AA363" s="1621">
        <f>U363*(1+V363+X363+Z363)+Y363</f>
        <v>188300.028</v>
      </c>
      <c r="AB363" s="865" t="n">
        <v>113509</v>
      </c>
      <c r="AC363" s="865" t="inlineStr">
        <is>
          <t>Energy Solutions &amp; B2B</t>
        </is>
      </c>
      <c r="AD363" s="865" t="inlineStr">
        <is>
          <t>Energy Solutions</t>
        </is>
      </c>
      <c r="AE363" s="865" t="inlineStr">
        <is>
          <t>EVCI</t>
        </is>
      </c>
      <c r="AF363" s="865" t="inlineStr">
        <is>
          <t>Squad</t>
        </is>
      </c>
      <c r="AG363" s="865" t="inlineStr">
        <is>
          <t>Filled</t>
        </is>
      </c>
    </row>
    <row r="364" hidden="1" ht="18" customHeight="1" s="866">
      <c r="A364" s="1566" t="n">
        <v>81395</v>
      </c>
      <c r="B364" s="1382" t="inlineStr">
        <is>
          <t>Angus Gibson</t>
        </is>
      </c>
      <c r="C364" s="1611" t="inlineStr">
        <is>
          <t>Senior Systems Analyst</t>
        </is>
      </c>
      <c r="D364" s="1382" t="inlineStr">
        <is>
          <t>Karla Orozco Loza</t>
        </is>
      </c>
      <c r="E364" s="1382" t="inlineStr">
        <is>
          <t>Technology Manager, Future Infrastructure</t>
        </is>
      </c>
      <c r="F364" s="1382" t="inlineStr">
        <is>
          <t>TDD CFE&amp;I</t>
        </is>
      </c>
      <c r="G364" s="1612" t="inlineStr">
        <is>
          <t>Fuel Infrastructure</t>
        </is>
      </c>
      <c r="H364" s="1612" t="inlineStr">
        <is>
          <t>Technology - Distribution</t>
        </is>
      </c>
      <c r="I364" s="1612" t="inlineStr">
        <is>
          <t>Infrastructure</t>
        </is>
      </c>
      <c r="J364" s="1382" t="inlineStr">
        <is>
          <t>Distribution</t>
        </is>
      </c>
      <c r="K364" s="1382" t="inlineStr">
        <is>
          <t>Distribution, Sales &amp; Services</t>
        </is>
      </c>
      <c r="L364" s="1612" t="n"/>
      <c r="M364" s="1613" t="inlineStr">
        <is>
          <t>Australia</t>
        </is>
      </c>
      <c r="N364" s="1616" t="inlineStr">
        <is>
          <t>CIC</t>
        </is>
      </c>
      <c r="O364" s="1616" t="n">
        <v>1</v>
      </c>
      <c r="P364" s="1616" t="n"/>
      <c r="Q364" s="1616" t="inlineStr">
        <is>
          <t>Permanent - Full Time</t>
        </is>
      </c>
      <c r="R364" s="1616" t="n"/>
      <c r="S364" s="1616" t="n"/>
      <c r="T364" s="1627" t="n">
        <v>176400</v>
      </c>
      <c r="U364" s="1626" t="n">
        <v>176400</v>
      </c>
      <c r="V364" s="1619" t="n">
        <v>0.12</v>
      </c>
      <c r="W364" s="1622" t="n">
        <v>0.055</v>
      </c>
      <c r="X364" s="1622" t="n">
        <v>0.12</v>
      </c>
      <c r="Y364" s="1623" t="n"/>
      <c r="Z364" s="1622" t="n">
        <v>0.04</v>
      </c>
      <c r="AA364" s="1621">
        <f>U364*(1+V364+W364+X364+Y364+Z364)</f>
        <v>235494</v>
      </c>
      <c r="AC364" s="865" t="inlineStr">
        <is>
          <t>Infrastructure</t>
        </is>
      </c>
      <c r="AD364" s="865" t="inlineStr">
        <is>
          <t>Distribution</t>
        </is>
      </c>
      <c r="AE364" s="865" t="inlineStr">
        <is>
          <t>Distribution, Sales &amp; Services</t>
        </is>
      </c>
      <c r="AF364" s="865" t="inlineStr">
        <is>
          <t>Squad</t>
        </is>
      </c>
      <c r="AG364" s="865" t="inlineStr">
        <is>
          <t>Filled</t>
        </is>
      </c>
    </row>
    <row r="365" hidden="1" ht="18" customHeight="1" s="866">
      <c r="A365" s="1566" t="n">
        <v>99999101568</v>
      </c>
      <c r="B365" s="1382" t="inlineStr">
        <is>
          <t>Anie Camerino</t>
        </is>
      </c>
      <c r="C365" s="1611" t="inlineStr">
        <is>
          <t>Snr Quality Assurance</t>
        </is>
      </c>
      <c r="D365" s="1612" t="inlineStr">
        <is>
          <t>Vacant</t>
        </is>
      </c>
      <c r="E365" s="1382" t="inlineStr">
        <is>
          <t>Technology Manager, Energy Solutions</t>
        </is>
      </c>
      <c r="F365" s="1382" t="inlineStr">
        <is>
          <t>TDD CFE&amp;I</t>
        </is>
      </c>
      <c r="G365" s="1612" t="inlineStr">
        <is>
          <t>B2B &amp; Energy Solutions</t>
        </is>
      </c>
      <c r="H365" s="1612" t="inlineStr">
        <is>
          <t>Technology Energy Solutions</t>
        </is>
      </c>
      <c r="I365" s="1612" t="inlineStr">
        <is>
          <t>B2B &amp; Energy Solutions</t>
        </is>
      </c>
      <c r="J365" s="1612" t="inlineStr">
        <is>
          <t>Energy Solutions</t>
        </is>
      </c>
      <c r="K365" s="1382" t="inlineStr">
        <is>
          <t>EVCI</t>
        </is>
      </c>
      <c r="L365" s="1612" t="n"/>
      <c r="M365" s="1613" t="inlineStr">
        <is>
          <t>NZ</t>
        </is>
      </c>
      <c r="N365" s="1614" t="inlineStr">
        <is>
          <t>CIA</t>
        </is>
      </c>
      <c r="O365" s="1615" t="n">
        <v>1</v>
      </c>
      <c r="P365" s="1614" t="n"/>
      <c r="Q365" s="1615" t="inlineStr">
        <is>
          <t>Permanent - Full Time</t>
        </is>
      </c>
      <c r="R365" s="1616" t="n"/>
      <c r="S365" s="1616" t="n"/>
      <c r="T365" s="1627" t="n">
        <v>133080</v>
      </c>
      <c r="U365" s="1626" t="n">
        <v>122433.6</v>
      </c>
      <c r="V365" s="1618" t="n">
        <v>0.15</v>
      </c>
      <c r="W365" s="1615" t="n"/>
      <c r="X365" s="1619" t="n">
        <v>0.05</v>
      </c>
      <c r="Y365" s="1620" t="n">
        <v>2910</v>
      </c>
      <c r="Z365" s="1619" t="n">
        <v>0.03</v>
      </c>
      <c r="AA365" s="1621">
        <f>U365*(1+V365+X365+Z365)+Y365</f>
        <v>153503.328</v>
      </c>
      <c r="AB365" s="865" t="n">
        <v>113511</v>
      </c>
      <c r="AC365" s="865" t="inlineStr">
        <is>
          <t>Energy Solutions &amp; B2B</t>
        </is>
      </c>
      <c r="AD365" s="865" t="inlineStr">
        <is>
          <t>Energy Solutions</t>
        </is>
      </c>
      <c r="AE365" s="865" t="inlineStr">
        <is>
          <t>EVCI</t>
        </is>
      </c>
      <c r="AF365" s="865" t="inlineStr">
        <is>
          <t>Squad</t>
        </is>
      </c>
      <c r="AG365" s="865" t="inlineStr">
        <is>
          <t>Filled</t>
        </is>
      </c>
    </row>
    <row r="366" hidden="1" ht="18" customHeight="1" s="866">
      <c r="A366" s="1566" t="n">
        <v>6851</v>
      </c>
      <c r="B366" s="1382" t="inlineStr">
        <is>
          <t>Ann Aquino</t>
        </is>
      </c>
      <c r="C366" s="1611" t="inlineStr">
        <is>
          <t>Senior Business Analyst</t>
        </is>
      </c>
      <c r="D366" s="1612" t="inlineStr">
        <is>
          <t>Vacant</t>
        </is>
      </c>
      <c r="E366" s="1382" t="inlineStr">
        <is>
          <t>Delivery Manager</t>
        </is>
      </c>
      <c r="F366" s="1382" t="inlineStr">
        <is>
          <t>TDD CFE&amp;I</t>
        </is>
      </c>
      <c r="G366" s="1612" t="inlineStr">
        <is>
          <t>Commercial Fuels</t>
        </is>
      </c>
      <c r="H366" s="1612" t="inlineStr">
        <is>
          <t>Delivery, Commercial Fuels</t>
        </is>
      </c>
      <c r="I366" s="1612" t="inlineStr">
        <is>
          <t>Commercial Fuels</t>
        </is>
      </c>
      <c r="J366" s="1612" t="inlineStr">
        <is>
          <t>Supply</t>
        </is>
      </c>
      <c r="K366" s="1612" t="inlineStr">
        <is>
          <t>Supply</t>
        </is>
      </c>
      <c r="L366" s="1382" t="n"/>
      <c r="M366" s="1613" t="inlineStr">
        <is>
          <t>Australia</t>
        </is>
      </c>
      <c r="N366" s="1616" t="inlineStr">
        <is>
          <t>CIB</t>
        </is>
      </c>
      <c r="O366" s="1616" t="n">
        <v>1</v>
      </c>
      <c r="P366" s="1616" t="n"/>
      <c r="Q366" s="1616" t="inlineStr">
        <is>
          <t>Permanent - Full Time</t>
        </is>
      </c>
      <c r="R366" s="1616" t="n"/>
      <c r="S366" s="1616" t="n"/>
      <c r="T366" s="1627" t="n">
        <v>164050</v>
      </c>
      <c r="U366" s="1626" t="n">
        <v>164050</v>
      </c>
      <c r="V366" s="1619" t="n">
        <v>0.12</v>
      </c>
      <c r="W366" s="1622" t="n">
        <v>0.055</v>
      </c>
      <c r="X366" s="1622" t="n">
        <v>0.12</v>
      </c>
      <c r="Y366" s="1623" t="n"/>
      <c r="Z366" s="1622" t="n">
        <v>0.04</v>
      </c>
      <c r="AA366" s="1621">
        <f>U366*(1+V366+W366+X366+Y366+Z366)</f>
        <v>219006.75</v>
      </c>
      <c r="AC366" s="865" t="inlineStr">
        <is>
          <t>Commercial Fuels</t>
        </is>
      </c>
      <c r="AD366" s="865" t="inlineStr">
        <is>
          <t>Supply</t>
        </is>
      </c>
      <c r="AE366" s="865" t="inlineStr">
        <is>
          <t>Supply</t>
        </is>
      </c>
      <c r="AF366" s="865" t="inlineStr">
        <is>
          <t>Squad</t>
        </is>
      </c>
      <c r="AG366" s="865" t="inlineStr">
        <is>
          <t>Filled</t>
        </is>
      </c>
    </row>
    <row r="367" hidden="1" ht="18" customHeight="1" s="866">
      <c r="A367" s="1566" t="n">
        <v>113039</v>
      </c>
      <c r="B367" s="1382" t="inlineStr">
        <is>
          <t>Anusha Viswanatha</t>
        </is>
      </c>
      <c r="C367" s="1611" t="inlineStr">
        <is>
          <t>Delivery Lead</t>
        </is>
      </c>
      <c r="D367" s="1612" t="inlineStr">
        <is>
          <t>Vacant</t>
        </is>
      </c>
      <c r="E367" s="1382" t="inlineStr">
        <is>
          <t>Technology Manager, Data</t>
        </is>
      </c>
      <c r="F367" s="1382" t="inlineStr">
        <is>
          <t>TDD CFE&amp;I</t>
        </is>
      </c>
      <c r="G367" s="1612" t="inlineStr">
        <is>
          <t>Commercial Fuels</t>
        </is>
      </c>
      <c r="H367" s="1612" t="inlineStr">
        <is>
          <t>Technology, T&amp;S Data</t>
        </is>
      </c>
      <c r="I367" s="1612" t="inlineStr">
        <is>
          <t>Commercial Fuels</t>
        </is>
      </c>
      <c r="J367" s="1612" t="inlineStr">
        <is>
          <t>Trading &amp; Shipping</t>
        </is>
      </c>
      <c r="K367" s="1612" t="inlineStr">
        <is>
          <t>Trading &amp; Shipping Data</t>
        </is>
      </c>
      <c r="L367" s="1612" t="n"/>
      <c r="M367" s="1613" t="inlineStr">
        <is>
          <t>Singapore</t>
        </is>
      </c>
      <c r="N367" s="1614" t="inlineStr">
        <is>
          <t>CIC</t>
        </is>
      </c>
      <c r="O367" s="1614" t="n">
        <v>1</v>
      </c>
      <c r="P367" s="1614" t="n"/>
      <c r="Q367" s="1614" t="inlineStr">
        <is>
          <t>Temporary - Full Time</t>
        </is>
      </c>
      <c r="R367" s="1616" t="n"/>
      <c r="S367" s="1616" t="n"/>
      <c r="T367" s="1627" t="n">
        <v>160000</v>
      </c>
      <c r="U367" s="1626" t="n">
        <v>193600</v>
      </c>
      <c r="V367" s="1619" t="n">
        <v>0.25</v>
      </c>
      <c r="W367" s="1616" t="n"/>
      <c r="X367" s="1619" t="n">
        <v>0.17</v>
      </c>
      <c r="Y367" s="1620" t="n">
        <v>3310</v>
      </c>
      <c r="Z367" s="1638" t="n">
        <v>0.045</v>
      </c>
      <c r="AA367" s="1621">
        <f>U367*(1+V367+X367+Z367)+Y367</f>
        <v>286934</v>
      </c>
      <c r="AC367" s="865" t="inlineStr">
        <is>
          <t>Commercial Fuels</t>
        </is>
      </c>
      <c r="AD367" s="865" t="inlineStr">
        <is>
          <t>Trading &amp; Shipping</t>
        </is>
      </c>
      <c r="AE367" s="865" t="inlineStr">
        <is>
          <t>Trading &amp; Shipping Data</t>
        </is>
      </c>
      <c r="AF367" s="865" t="inlineStr">
        <is>
          <t>Squad</t>
        </is>
      </c>
      <c r="AG367" s="865" t="inlineStr">
        <is>
          <t>Filled</t>
        </is>
      </c>
    </row>
    <row r="368" hidden="1" ht="18" customHeight="1" s="866">
      <c r="A368" s="1566" t="n">
        <v>97776</v>
      </c>
      <c r="B368" s="1382" t="inlineStr">
        <is>
          <t>Anvitha Kurra</t>
        </is>
      </c>
      <c r="C368" s="1611" t="inlineStr">
        <is>
          <t>Senior Systems Analyst</t>
        </is>
      </c>
      <c r="D368" s="1382" t="inlineStr">
        <is>
          <t>Karla Orozco Loza</t>
        </is>
      </c>
      <c r="E368" s="1382" t="inlineStr">
        <is>
          <t>Technology Manager, Future Infrastructure</t>
        </is>
      </c>
      <c r="F368" s="1382" t="inlineStr">
        <is>
          <t>TDD CFE&amp;I</t>
        </is>
      </c>
      <c r="G368" s="1612" t="inlineStr">
        <is>
          <t>Fuel Infrastructure</t>
        </is>
      </c>
      <c r="H368" s="1612" t="inlineStr">
        <is>
          <t>Technology - Distribution</t>
        </is>
      </c>
      <c r="I368" s="1612" t="inlineStr">
        <is>
          <t>Infrastructure</t>
        </is>
      </c>
      <c r="J368" s="1382" t="inlineStr">
        <is>
          <t>Distribution</t>
        </is>
      </c>
      <c r="K368" s="1382" t="inlineStr">
        <is>
          <t>Distribution, Sales &amp; Services</t>
        </is>
      </c>
      <c r="L368" s="1612" t="n"/>
      <c r="M368" s="1613" t="inlineStr">
        <is>
          <t>Australia</t>
        </is>
      </c>
      <c r="N368" s="1614" t="inlineStr">
        <is>
          <t>CIB</t>
        </is>
      </c>
      <c r="O368" s="1614" t="n">
        <v>1</v>
      </c>
      <c r="P368" s="1614" t="n"/>
      <c r="Q368" s="1614" t="inlineStr">
        <is>
          <t>Permanent - Full Time</t>
        </is>
      </c>
      <c r="R368" s="1616" t="n"/>
      <c r="S368" s="1616" t="n"/>
      <c r="T368" s="1627" t="n">
        <v>161340</v>
      </c>
      <c r="U368" s="1626" t="n">
        <v>161340</v>
      </c>
      <c r="V368" s="1619" t="n">
        <v>0.12</v>
      </c>
      <c r="W368" s="1622" t="n">
        <v>0.055</v>
      </c>
      <c r="X368" s="1622" t="n">
        <v>0.12</v>
      </c>
      <c r="Y368" s="1623" t="n"/>
      <c r="Z368" s="1622" t="n">
        <v>0.04</v>
      </c>
      <c r="AA368" s="1621">
        <f>U368*(1+V368+W368+X368+Y368+Z368)</f>
        <v>215388.9</v>
      </c>
      <c r="AC368" s="865" t="inlineStr">
        <is>
          <t>Infrastructure</t>
        </is>
      </c>
      <c r="AD368" s="865" t="inlineStr">
        <is>
          <t>Distribution</t>
        </is>
      </c>
      <c r="AE368" s="865" t="inlineStr">
        <is>
          <t>Distribution, Sales &amp; Services</t>
        </is>
      </c>
      <c r="AF368" s="865" t="inlineStr">
        <is>
          <t>Squad</t>
        </is>
      </c>
      <c r="AG368" s="865" t="inlineStr">
        <is>
          <t>Filled</t>
        </is>
      </c>
    </row>
    <row r="369" hidden="1" ht="18" customHeight="1" s="866">
      <c r="A369" s="1566" t="n">
        <v>111319</v>
      </c>
      <c r="B369" s="1382" t="inlineStr">
        <is>
          <t>Arun Prakash Jayaprakasam</t>
        </is>
      </c>
      <c r="C369" s="1611" t="inlineStr">
        <is>
          <t>Data Engineer Analyst</t>
        </is>
      </c>
      <c r="D369" s="1612" t="inlineStr">
        <is>
          <t>Vacant</t>
        </is>
      </c>
      <c r="E369" s="1382" t="inlineStr">
        <is>
          <t>Technology Manager, Data</t>
        </is>
      </c>
      <c r="F369" s="1382" t="inlineStr">
        <is>
          <t>TDD CFE&amp;I</t>
        </is>
      </c>
      <c r="G369" s="1612" t="inlineStr">
        <is>
          <t>Commercial Fuels</t>
        </is>
      </c>
      <c r="H369" s="1612" t="inlineStr">
        <is>
          <t>Technology, T&amp;S Data</t>
        </is>
      </c>
      <c r="I369" s="1612" t="inlineStr">
        <is>
          <t>Commercial Fuels</t>
        </is>
      </c>
      <c r="J369" s="1612" t="inlineStr">
        <is>
          <t>Trading &amp; Shipping</t>
        </is>
      </c>
      <c r="K369" s="1612" t="inlineStr">
        <is>
          <t>Trading &amp; Shipping Data</t>
        </is>
      </c>
      <c r="L369" s="1612" t="n"/>
      <c r="M369" s="1613" t="inlineStr">
        <is>
          <t>Singapore</t>
        </is>
      </c>
      <c r="N369" s="1614" t="inlineStr">
        <is>
          <t>CIB</t>
        </is>
      </c>
      <c r="O369" s="1614" t="n">
        <v>1</v>
      </c>
      <c r="P369" s="1614" t="n"/>
      <c r="Q369" s="1614" t="inlineStr">
        <is>
          <t>Permanent - Full Time</t>
        </is>
      </c>
      <c r="R369" s="1616" t="n"/>
      <c r="S369" s="1616" t="n"/>
      <c r="T369" s="1627" t="n">
        <v>149480</v>
      </c>
      <c r="U369" s="1626" t="n">
        <v>180870.8</v>
      </c>
      <c r="V369" s="1619" t="n">
        <v>0.25</v>
      </c>
      <c r="W369" s="1616" t="n"/>
      <c r="X369" s="1619" t="n">
        <v>0.17</v>
      </c>
      <c r="Y369" s="1620" t="n">
        <v>3310</v>
      </c>
      <c r="Z369" s="1638" t="n">
        <v>0.045</v>
      </c>
      <c r="AA369" s="1621">
        <f>U369*(1+V369+X369+Z369)+Y369</f>
        <v>268285.722</v>
      </c>
      <c r="AC369" s="865" t="inlineStr">
        <is>
          <t>Commercial Fuels</t>
        </is>
      </c>
      <c r="AD369" s="865" t="inlineStr">
        <is>
          <t>Trading &amp; Shipping</t>
        </is>
      </c>
      <c r="AE369" s="865" t="inlineStr">
        <is>
          <t>Trading &amp; Shipping Data</t>
        </is>
      </c>
      <c r="AF369" s="865" t="inlineStr">
        <is>
          <t>Squad</t>
        </is>
      </c>
      <c r="AG369" s="865" t="inlineStr">
        <is>
          <t>Filled</t>
        </is>
      </c>
    </row>
    <row r="370" hidden="1" ht="18" customHeight="1" s="866">
      <c r="A370" s="1566" t="n">
        <v>108033</v>
      </c>
      <c r="B370" s="1382" t="inlineStr">
        <is>
          <t>Ayushi Agarwal</t>
        </is>
      </c>
      <c r="C370" s="1611" t="inlineStr">
        <is>
          <t>Engineer Data</t>
        </is>
      </c>
      <c r="D370" s="1612" t="inlineStr">
        <is>
          <t>Vacant</t>
        </is>
      </c>
      <c r="E370" s="1382" t="inlineStr">
        <is>
          <t>Technology Manager, Data</t>
        </is>
      </c>
      <c r="F370" s="1382" t="inlineStr">
        <is>
          <t>TDD CFE&amp;I</t>
        </is>
      </c>
      <c r="G370" s="1612" t="inlineStr">
        <is>
          <t>Commercial Fuels</t>
        </is>
      </c>
      <c r="H370" s="1612" t="inlineStr">
        <is>
          <t>Technology, T&amp;S Data</t>
        </is>
      </c>
      <c r="I370" s="1612" t="inlineStr">
        <is>
          <t>Commercial Fuels</t>
        </is>
      </c>
      <c r="J370" s="1612" t="inlineStr">
        <is>
          <t>Trading &amp; Shipping</t>
        </is>
      </c>
      <c r="K370" s="1612" t="inlineStr">
        <is>
          <t>Trading &amp; Shipping Data</t>
        </is>
      </c>
      <c r="L370" s="1612" t="n"/>
      <c r="M370" s="1613" t="inlineStr">
        <is>
          <t>Singapore</t>
        </is>
      </c>
      <c r="N370" s="1614" t="inlineStr">
        <is>
          <t>CIB</t>
        </is>
      </c>
      <c r="O370" s="1614" t="n">
        <v>1</v>
      </c>
      <c r="P370" s="1614" t="n"/>
      <c r="Q370" s="1614" t="inlineStr">
        <is>
          <t>Permanent - Full Time</t>
        </is>
      </c>
      <c r="R370" s="1616" t="n"/>
      <c r="S370" s="1616" t="n"/>
      <c r="T370" s="1627" t="n">
        <v>145320</v>
      </c>
      <c r="U370" s="1626" t="n">
        <v>175837.2</v>
      </c>
      <c r="V370" s="1619" t="n">
        <v>0.25</v>
      </c>
      <c r="W370" s="1616" t="n"/>
      <c r="X370" s="1619" t="n">
        <v>0.17</v>
      </c>
      <c r="Y370" s="1620" t="n">
        <v>3310</v>
      </c>
      <c r="Z370" s="1638" t="n">
        <v>0.045</v>
      </c>
      <c r="AA370" s="1621">
        <f>U370*(1+V370+X370+Z370)+Y370</f>
        <v>260911.498</v>
      </c>
      <c r="AC370" s="865" t="inlineStr">
        <is>
          <t>Commercial Fuels</t>
        </is>
      </c>
      <c r="AD370" s="865" t="inlineStr">
        <is>
          <t>Trading &amp; Shipping</t>
        </is>
      </c>
      <c r="AE370" s="865" t="inlineStr">
        <is>
          <t>Trading &amp; Shipping Data</t>
        </is>
      </c>
      <c r="AF370" s="865" t="inlineStr">
        <is>
          <t>Squad</t>
        </is>
      </c>
      <c r="AG370" s="865" t="inlineStr">
        <is>
          <t>Filled</t>
        </is>
      </c>
    </row>
    <row r="371" hidden="1" ht="18" customHeight="1" s="866">
      <c r="A371" s="1566" t="n">
        <v>14100</v>
      </c>
      <c r="B371" s="1382" t="inlineStr">
        <is>
          <t>Belinda Ford</t>
        </is>
      </c>
      <c r="C371" s="1611" t="inlineStr">
        <is>
          <t>Quality Assurance</t>
        </is>
      </c>
      <c r="D371" s="1382" t="inlineStr">
        <is>
          <t>Elle Spencer</t>
        </is>
      </c>
      <c r="E371" s="1382" t="inlineStr">
        <is>
          <t>Technology Manager, Energy Solutions</t>
        </is>
      </c>
      <c r="F371" s="1382" t="inlineStr">
        <is>
          <t>TDD CFE&amp;I</t>
        </is>
      </c>
      <c r="G371" s="1612" t="inlineStr">
        <is>
          <t>B2B &amp; Energy Solutions</t>
        </is>
      </c>
      <c r="H371" s="1612" t="inlineStr">
        <is>
          <t>Technology B2B</t>
        </is>
      </c>
      <c r="I371" s="1612" t="inlineStr">
        <is>
          <t>B2B &amp; Energy Solutions</t>
        </is>
      </c>
      <c r="J371" s="1382" t="inlineStr">
        <is>
          <t>B2B</t>
        </is>
      </c>
      <c r="K371" s="1382" t="inlineStr">
        <is>
          <t>B2B</t>
        </is>
      </c>
      <c r="L371" s="1612" t="n"/>
      <c r="M371" s="1613" t="inlineStr">
        <is>
          <t>Australia</t>
        </is>
      </c>
      <c r="N371" s="1616" t="inlineStr">
        <is>
          <t>CDC</t>
        </is>
      </c>
      <c r="O371" s="1616" t="n">
        <v>1</v>
      </c>
      <c r="P371" s="1616" t="n"/>
      <c r="Q371" s="1616" t="inlineStr">
        <is>
          <t>Permanent - Full Time</t>
        </is>
      </c>
      <c r="R371" s="1616" t="n"/>
      <c r="S371" s="1616" t="n"/>
      <c r="T371" s="1627" t="n">
        <v>113430</v>
      </c>
      <c r="U371" s="1626" t="n">
        <v>113430</v>
      </c>
      <c r="V371" s="1619" t="n">
        <v>0.1</v>
      </c>
      <c r="W371" s="1622" t="n">
        <v>0.055</v>
      </c>
      <c r="X371" s="1622" t="n">
        <v>0.12</v>
      </c>
      <c r="Y371" s="1623" t="n"/>
      <c r="Z371" s="1622" t="n">
        <v>0.04</v>
      </c>
      <c r="AA371" s="1621">
        <f>U371*(1+V371+W371+X371+Y371+Z371)</f>
        <v>149160.45</v>
      </c>
      <c r="AC371" s="865" t="inlineStr">
        <is>
          <t>Energy Solutions &amp; B2B</t>
        </is>
      </c>
      <c r="AD371" s="865" t="inlineStr">
        <is>
          <t>B2B</t>
        </is>
      </c>
      <c r="AE371" s="865" t="inlineStr">
        <is>
          <t>B2B</t>
        </is>
      </c>
      <c r="AF371" s="865" t="inlineStr">
        <is>
          <t>Squad</t>
        </is>
      </c>
      <c r="AG371" s="865" t="inlineStr">
        <is>
          <t>Filled</t>
        </is>
      </c>
    </row>
    <row r="372" hidden="1" ht="18" customHeight="1" s="866">
      <c r="A372" s="1566" t="n">
        <v>101539</v>
      </c>
      <c r="B372" s="1382" t="inlineStr">
        <is>
          <t>Breanna Hua</t>
        </is>
      </c>
      <c r="C372" s="1611" t="inlineStr">
        <is>
          <t>Systems Analyst</t>
        </is>
      </c>
      <c r="D372" s="1382" t="inlineStr">
        <is>
          <t>Karla Orozco Loza</t>
        </is>
      </c>
      <c r="E372" s="1382" t="inlineStr">
        <is>
          <t>Technology Manager, Future Infrastructure</t>
        </is>
      </c>
      <c r="F372" s="1382" t="inlineStr">
        <is>
          <t>TDD CFE&amp;I</t>
        </is>
      </c>
      <c r="G372" s="1612" t="inlineStr">
        <is>
          <t>Fuel Infrastructure</t>
        </is>
      </c>
      <c r="H372" s="1612" t="inlineStr">
        <is>
          <t>Fuel Infrastructure</t>
        </is>
      </c>
      <c r="I372" s="1612" t="inlineStr">
        <is>
          <t>Infrastructure</t>
        </is>
      </c>
      <c r="J372" s="1612" t="inlineStr">
        <is>
          <t>Distribution</t>
        </is>
      </c>
      <c r="K372" s="1382" t="inlineStr">
        <is>
          <t>Distribution, Sales &amp; Services</t>
        </is>
      </c>
      <c r="L372" s="1612" t="n"/>
      <c r="M372" s="1613" t="inlineStr">
        <is>
          <t>Australia</t>
        </is>
      </c>
      <c r="N372" s="1614" t="inlineStr">
        <is>
          <t>CIA</t>
        </is>
      </c>
      <c r="O372" s="1614" t="n">
        <v>1</v>
      </c>
      <c r="P372" s="1614" t="n"/>
      <c r="Q372" s="1614" t="inlineStr">
        <is>
          <t>Permanent - Full Time</t>
        </is>
      </c>
      <c r="R372" s="1616" t="n"/>
      <c r="S372" s="1616" t="n"/>
      <c r="T372" s="1627" t="n">
        <v>127110</v>
      </c>
      <c r="U372" s="1626" t="n">
        <v>127110</v>
      </c>
      <c r="V372" s="1619" t="n">
        <v>0.1</v>
      </c>
      <c r="W372" s="1622" t="n">
        <v>0.055</v>
      </c>
      <c r="X372" s="1622" t="n">
        <v>0.12</v>
      </c>
      <c r="Y372" s="1623" t="n"/>
      <c r="Z372" s="1622" t="n">
        <v>0.04</v>
      </c>
      <c r="AA372" s="1621">
        <f>U372*(1+V372+W372+X372+Y372+Z372)</f>
        <v>167149.65</v>
      </c>
      <c r="AC372" s="865" t="inlineStr">
        <is>
          <t>Infrastructure</t>
        </is>
      </c>
      <c r="AD372" s="865" t="inlineStr">
        <is>
          <t>Distribution</t>
        </is>
      </c>
      <c r="AE372" s="865" t="inlineStr">
        <is>
          <t>Distribution, Sales &amp; Services</t>
        </is>
      </c>
      <c r="AF372" s="865" t="inlineStr">
        <is>
          <t>Squad</t>
        </is>
      </c>
      <c r="AG372" s="865" t="inlineStr">
        <is>
          <t>Filled</t>
        </is>
      </c>
    </row>
    <row r="373" hidden="1" ht="18" customHeight="1" s="866">
      <c r="A373" s="1566" t="n">
        <v>97284</v>
      </c>
      <c r="B373" s="1382" t="inlineStr">
        <is>
          <t>Byron Leung</t>
        </is>
      </c>
      <c r="C373" s="1611" t="inlineStr">
        <is>
          <t>Solution Architect</t>
        </is>
      </c>
      <c r="D373" s="1612" t="inlineStr">
        <is>
          <t>Vacant</t>
        </is>
      </c>
      <c r="E373" s="1382" t="inlineStr">
        <is>
          <t>Technology Manager, Engineering</t>
        </is>
      </c>
      <c r="F373" s="1382" t="inlineStr">
        <is>
          <t>TDD CFE&amp;I</t>
        </is>
      </c>
      <c r="G373" s="1612" t="inlineStr">
        <is>
          <t>Commercial Fuels</t>
        </is>
      </c>
      <c r="H373" s="1612" t="inlineStr">
        <is>
          <t>Technology, CF Engineering</t>
        </is>
      </c>
      <c r="I373" s="1612" t="inlineStr">
        <is>
          <t>Commercial Fuels</t>
        </is>
      </c>
      <c r="J373" s="1382" t="inlineStr">
        <is>
          <t>CTRM</t>
        </is>
      </c>
      <c r="K373" s="1382" t="inlineStr">
        <is>
          <t>CTRM</t>
        </is>
      </c>
      <c r="L373" s="1612" t="n"/>
      <c r="M373" s="1613" t="inlineStr">
        <is>
          <t>Australia</t>
        </is>
      </c>
      <c r="N373" s="1614" t="inlineStr">
        <is>
          <t>CIC</t>
        </is>
      </c>
      <c r="O373" s="1614" t="n">
        <v>1</v>
      </c>
      <c r="P373" s="1614" t="n"/>
      <c r="Q373" s="1614" t="inlineStr">
        <is>
          <t>Permanent - Full Time</t>
        </is>
      </c>
      <c r="R373" s="1616" t="n"/>
      <c r="S373" s="1616" t="n"/>
      <c r="T373" s="1627" t="n">
        <v>207470</v>
      </c>
      <c r="U373" s="1626" t="n">
        <v>207470</v>
      </c>
      <c r="V373" s="1619" t="n">
        <v>0.12</v>
      </c>
      <c r="W373" s="1622" t="n">
        <v>0.055</v>
      </c>
      <c r="X373" s="1622" t="n">
        <v>0.12</v>
      </c>
      <c r="Y373" s="1623" t="n"/>
      <c r="Z373" s="1622" t="n">
        <v>0.04</v>
      </c>
      <c r="AA373" s="1621">
        <f>U373*(1+V373+W373+X373+Y373+Z373)</f>
        <v>276972.45</v>
      </c>
      <c r="AC373" s="865" t="inlineStr">
        <is>
          <t>Commercial Fuels</t>
        </is>
      </c>
      <c r="AD373" s="865" t="inlineStr">
        <is>
          <t>CTRM</t>
        </is>
      </c>
      <c r="AE373" s="865" t="inlineStr">
        <is>
          <t>CTRM</t>
        </is>
      </c>
      <c r="AF373" s="865" t="inlineStr">
        <is>
          <t>Strategic Program</t>
        </is>
      </c>
      <c r="AG373" s="865" t="inlineStr">
        <is>
          <t>Filled</t>
        </is>
      </c>
    </row>
    <row r="374" hidden="1" ht="18" customHeight="1" s="866">
      <c r="A374" s="1566" t="n">
        <v>99999101505</v>
      </c>
      <c r="B374" s="1382" t="inlineStr">
        <is>
          <t>Caitlin Dyas</t>
        </is>
      </c>
      <c r="C374" s="1611" t="inlineStr">
        <is>
          <t>Snr Engineer Software</t>
        </is>
      </c>
      <c r="D374" s="1612" t="inlineStr">
        <is>
          <t>Vacant</t>
        </is>
      </c>
      <c r="E374" s="1382" t="inlineStr">
        <is>
          <t>Technology Manager, Energy Solutions</t>
        </is>
      </c>
      <c r="F374" s="1382" t="inlineStr">
        <is>
          <t>TDD CFE&amp;I</t>
        </is>
      </c>
      <c r="G374" s="1612" t="inlineStr">
        <is>
          <t>B2B &amp; Energy Solutions</t>
        </is>
      </c>
      <c r="H374" s="1612" t="inlineStr">
        <is>
          <t>Technology Energy Solutions</t>
        </is>
      </c>
      <c r="I374" s="1612" t="inlineStr">
        <is>
          <t>B2B &amp; Energy Solutions</t>
        </is>
      </c>
      <c r="J374" s="1612" t="inlineStr">
        <is>
          <t>Energy Solutions</t>
        </is>
      </c>
      <c r="K374" s="1382" t="inlineStr">
        <is>
          <t>EVCI</t>
        </is>
      </c>
      <c r="L374" s="1612" t="n"/>
      <c r="M374" s="1613" t="inlineStr">
        <is>
          <t>NZ</t>
        </is>
      </c>
      <c r="N374" s="1614" t="inlineStr">
        <is>
          <t>CIB</t>
        </is>
      </c>
      <c r="O374" s="1615" t="n">
        <v>1</v>
      </c>
      <c r="P374" s="1614" t="n"/>
      <c r="Q374" s="1615" t="inlineStr">
        <is>
          <t>Permanent - Full Time</t>
        </is>
      </c>
      <c r="R374" s="1616" t="n"/>
      <c r="S374" s="1616" t="n"/>
      <c r="T374" s="1627" t="n">
        <v>125000</v>
      </c>
      <c r="U374" s="1626" t="n">
        <v>115000</v>
      </c>
      <c r="V374" s="1618" t="n">
        <v>0.15</v>
      </c>
      <c r="W374" s="1615" t="n"/>
      <c r="X374" s="1619" t="n">
        <v>0.05</v>
      </c>
      <c r="Y374" s="1620" t="n">
        <v>2910</v>
      </c>
      <c r="Z374" s="1619" t="n">
        <v>0.03</v>
      </c>
      <c r="AA374" s="1621">
        <f>U374*(1+V374+X374+Z374)+Y374</f>
        <v>144360</v>
      </c>
      <c r="AB374" s="865" t="n">
        <v>113524</v>
      </c>
      <c r="AC374" s="865" t="inlineStr">
        <is>
          <t>Energy Solutions &amp; B2B</t>
        </is>
      </c>
      <c r="AD374" s="865" t="inlineStr">
        <is>
          <t>Energy Solutions</t>
        </is>
      </c>
      <c r="AE374" s="865" t="inlineStr">
        <is>
          <t>EVCI</t>
        </is>
      </c>
      <c r="AF374" s="865" t="inlineStr">
        <is>
          <t>Squad</t>
        </is>
      </c>
      <c r="AG374" s="865" t="inlineStr">
        <is>
          <t>Filled</t>
        </is>
      </c>
    </row>
    <row r="375" hidden="1" ht="18" customHeight="1" s="866">
      <c r="A375" s="1566" t="n">
        <v>99999101895</v>
      </c>
      <c r="B375" s="1382" t="inlineStr">
        <is>
          <t>Caitlin Naylor</t>
        </is>
      </c>
      <c r="C375" s="1611" t="inlineStr">
        <is>
          <t>Associate Engineer- Software</t>
        </is>
      </c>
      <c r="D375" s="1612" t="inlineStr">
        <is>
          <t>Vacant</t>
        </is>
      </c>
      <c r="E375" s="1382" t="inlineStr">
        <is>
          <t>Technology Manager, Energy Solutions</t>
        </is>
      </c>
      <c r="F375" s="1382" t="inlineStr">
        <is>
          <t>TDD CFE&amp;I</t>
        </is>
      </c>
      <c r="G375" s="1612" t="inlineStr">
        <is>
          <t>B2B &amp; Energy Solutions</t>
        </is>
      </c>
      <c r="H375" s="1612" t="inlineStr">
        <is>
          <t>Technology Energy Solutions</t>
        </is>
      </c>
      <c r="I375" s="1612" t="inlineStr">
        <is>
          <t>B2B &amp; Energy Solutions</t>
        </is>
      </c>
      <c r="J375" s="1612" t="inlineStr">
        <is>
          <t>Energy Solutions</t>
        </is>
      </c>
      <c r="K375" s="1382" t="inlineStr">
        <is>
          <t>Energy</t>
        </is>
      </c>
      <c r="L375" s="1612" t="n"/>
      <c r="M375" s="1613" t="inlineStr">
        <is>
          <t>NZ</t>
        </is>
      </c>
      <c r="N375" s="1614" t="inlineStr">
        <is>
          <t>CDA</t>
        </is>
      </c>
      <c r="O375" s="1615" t="n">
        <v>1</v>
      </c>
      <c r="P375" s="1614" t="n"/>
      <c r="Q375" s="1615" t="inlineStr">
        <is>
          <t>Permanent - Full Time</t>
        </is>
      </c>
      <c r="R375" s="1616" t="n"/>
      <c r="S375" s="1616" t="n"/>
      <c r="T375" s="1627" t="n">
        <v>77860</v>
      </c>
      <c r="U375" s="1626" t="n">
        <v>71631.2</v>
      </c>
      <c r="V375" s="1618" t="n">
        <v>0.1</v>
      </c>
      <c r="W375" s="1615" t="n"/>
      <c r="X375" s="1619" t="n">
        <v>0.05</v>
      </c>
      <c r="Y375" s="1620" t="n">
        <v>2910</v>
      </c>
      <c r="Z375" s="1619" t="n">
        <v>0.03</v>
      </c>
      <c r="AA375" s="1621">
        <f>U375*(1+V375+X375+Z375)+Y375</f>
        <v>87434.816</v>
      </c>
      <c r="AB375" s="865" t="n">
        <v>113723</v>
      </c>
      <c r="AC375" s="865" t="inlineStr">
        <is>
          <t>Energy Solutions &amp; B2B</t>
        </is>
      </c>
      <c r="AD375" s="865" t="inlineStr">
        <is>
          <t>Energy Solutions</t>
        </is>
      </c>
      <c r="AE375" s="865" t="inlineStr">
        <is>
          <t>Energy</t>
        </is>
      </c>
      <c r="AF375" s="865" t="inlineStr">
        <is>
          <t>Squad</t>
        </is>
      </c>
      <c r="AG375" s="865" t="inlineStr">
        <is>
          <t>Filled</t>
        </is>
      </c>
    </row>
    <row r="376" hidden="1" ht="18" customHeight="1" s="866">
      <c r="A376" s="1566" t="n">
        <v>106404</v>
      </c>
      <c r="B376" s="1382" t="inlineStr">
        <is>
          <t>Carl Russo</t>
        </is>
      </c>
      <c r="C376" s="1611" t="inlineStr">
        <is>
          <t>Program Manager - CTRM</t>
        </is>
      </c>
      <c r="D376" s="1382" t="inlineStr">
        <is>
          <t>Roanne Steele</t>
        </is>
      </c>
      <c r="E376" s="1382" t="inlineStr">
        <is>
          <t>GM TDD, CFE&amp;I</t>
        </is>
      </c>
      <c r="F376" s="1382" t="inlineStr">
        <is>
          <t>TDD CFE&amp;I</t>
        </is>
      </c>
      <c r="G376" s="1612" t="inlineStr">
        <is>
          <t>Leadership</t>
        </is>
      </c>
      <c r="H376" s="1612" t="inlineStr">
        <is>
          <t>Leadership</t>
        </is>
      </c>
      <c r="I376" s="1612" t="inlineStr">
        <is>
          <t>Commercial Fuels</t>
        </is>
      </c>
      <c r="J376" s="1612" t="inlineStr">
        <is>
          <t>CTRM</t>
        </is>
      </c>
      <c r="K376" s="1382" t="inlineStr">
        <is>
          <t>CTRM</t>
        </is>
      </c>
      <c r="L376" s="1612" t="n"/>
      <c r="M376" s="1613" t="inlineStr">
        <is>
          <t>Australia</t>
        </is>
      </c>
      <c r="N376" s="1614" t="inlineStr">
        <is>
          <t>CSB</t>
        </is>
      </c>
      <c r="O376" s="1614" t="n">
        <v>1</v>
      </c>
      <c r="P376" s="1614" t="n"/>
      <c r="Q376" s="1614" t="inlineStr">
        <is>
          <t>Permanent - Full Time</t>
        </is>
      </c>
      <c r="R376" s="1616" t="n"/>
      <c r="S376" s="1616" t="n"/>
      <c r="T376" s="1627" t="n">
        <v>238890</v>
      </c>
      <c r="U376" s="1626" t="n">
        <v>238890</v>
      </c>
      <c r="V376" s="1619" t="n">
        <v>0.14</v>
      </c>
      <c r="W376" s="1622" t="n">
        <v>0.055</v>
      </c>
      <c r="X376" s="1622" t="n">
        <v>0.12</v>
      </c>
      <c r="Y376" s="1623" t="n"/>
      <c r="Z376" s="1622" t="n">
        <v>0.04</v>
      </c>
      <c r="AA376" s="1621">
        <f>U376*(1+V376+W376+X376+Y376+Z376)</f>
        <v>323695.95</v>
      </c>
      <c r="AC376" s="865" t="inlineStr">
        <is>
          <t>Commercial Fuels</t>
        </is>
      </c>
      <c r="AD376" s="865" t="inlineStr">
        <is>
          <t>CTRM</t>
        </is>
      </c>
      <c r="AE376" s="865" t="inlineStr">
        <is>
          <t>CTRM</t>
        </is>
      </c>
      <c r="AF376" s="865" t="inlineStr">
        <is>
          <t>Strategic Program</t>
        </is>
      </c>
      <c r="AG376" s="865" t="inlineStr">
        <is>
          <t>Filled</t>
        </is>
      </c>
    </row>
    <row r="377" hidden="1" ht="18" customHeight="1" s="866">
      <c r="A377" s="1566" t="n">
        <v>99999101013</v>
      </c>
      <c r="B377" s="1382" t="inlineStr">
        <is>
          <t>Chantal Lynch</t>
        </is>
      </c>
      <c r="C377" s="1611" t="inlineStr">
        <is>
          <t>Lead Quality Assurance</t>
        </is>
      </c>
      <c r="D377" s="1612" t="inlineStr">
        <is>
          <t>Vacant</t>
        </is>
      </c>
      <c r="E377" s="1382" t="inlineStr">
        <is>
          <t>Technology Manager, Engineering</t>
        </is>
      </c>
      <c r="F377" s="1382" t="inlineStr">
        <is>
          <t>TDD CFE&amp;I</t>
        </is>
      </c>
      <c r="G377" s="1612" t="inlineStr">
        <is>
          <t>Commercial Fuels</t>
        </is>
      </c>
      <c r="H377" s="1612" t="inlineStr">
        <is>
          <t>Technology, CF Engineering</t>
        </is>
      </c>
      <c r="I377" s="1612" t="inlineStr">
        <is>
          <t>Commercial Fuels</t>
        </is>
      </c>
      <c r="J377" s="1382" t="inlineStr">
        <is>
          <t>CTRM</t>
        </is>
      </c>
      <c r="K377" s="1382" t="inlineStr">
        <is>
          <t>CTRM</t>
        </is>
      </c>
      <c r="L377" s="1612" t="n"/>
      <c r="M377" s="1613" t="inlineStr">
        <is>
          <t>NZ</t>
        </is>
      </c>
      <c r="N377" s="1614" t="inlineStr">
        <is>
          <t>CIC</t>
        </is>
      </c>
      <c r="O377" s="1615" t="n">
        <v>1</v>
      </c>
      <c r="P377" s="1614" t="n"/>
      <c r="Q377" s="1615" t="inlineStr">
        <is>
          <t>Permanent - Full Time</t>
        </is>
      </c>
      <c r="R377" s="1616" t="n"/>
      <c r="S377" s="1616" t="n"/>
      <c r="T377" s="1627" t="n">
        <v>157060</v>
      </c>
      <c r="U377" s="1626" t="n">
        <v>144495.2</v>
      </c>
      <c r="V377" s="1618" t="n">
        <v>0.15</v>
      </c>
      <c r="W377" s="1615" t="n"/>
      <c r="X377" s="1619" t="n">
        <v>0.05</v>
      </c>
      <c r="Y377" s="1620" t="n">
        <v>2910</v>
      </c>
      <c r="Z377" s="1619" t="n">
        <v>0.03</v>
      </c>
      <c r="AA377" s="1621">
        <f>U377*(1+V377+X377+Z377)+Y377</f>
        <v>180639.096</v>
      </c>
      <c r="AB377" s="865" t="n">
        <v>113529</v>
      </c>
      <c r="AC377" s="865" t="inlineStr">
        <is>
          <t>Commercial Fuels</t>
        </is>
      </c>
      <c r="AD377" s="865" t="inlineStr">
        <is>
          <t>CTRM</t>
        </is>
      </c>
      <c r="AE377" s="865" t="inlineStr">
        <is>
          <t>CTRM</t>
        </is>
      </c>
      <c r="AF377" s="865" t="inlineStr">
        <is>
          <t>Strategic Program</t>
        </is>
      </c>
      <c r="AG377" s="865" t="inlineStr">
        <is>
          <t>Filled</t>
        </is>
      </c>
    </row>
    <row r="378" hidden="1" ht="18" customHeight="1" s="866">
      <c r="A378" s="1566" t="n">
        <v>106547</v>
      </c>
      <c r="B378" s="1382" t="inlineStr">
        <is>
          <t>Chin Fang Kwek</t>
        </is>
      </c>
      <c r="C378" s="1611" t="inlineStr">
        <is>
          <t>System Analyst</t>
        </is>
      </c>
      <c r="D378" s="1382" t="inlineStr">
        <is>
          <t>Allan Francia</t>
        </is>
      </c>
      <c r="E378" s="1382" t="inlineStr">
        <is>
          <t>Technology Manager, T&amp;S</t>
        </is>
      </c>
      <c r="F378" s="1382" t="inlineStr">
        <is>
          <t>TDD CFE&amp;I</t>
        </is>
      </c>
      <c r="G378" s="1612" t="inlineStr">
        <is>
          <t>Commercial Fuels</t>
        </is>
      </c>
      <c r="H378" s="1612" t="inlineStr">
        <is>
          <t>Technology, Trading &amp; Shipping</t>
        </is>
      </c>
      <c r="I378" s="1612" t="inlineStr">
        <is>
          <t>Commercial Fuels</t>
        </is>
      </c>
      <c r="J378" s="1612" t="inlineStr">
        <is>
          <t>Trading &amp; Shipping</t>
        </is>
      </c>
      <c r="K378" s="1382" t="inlineStr">
        <is>
          <t>Trading &amp; Shipping</t>
        </is>
      </c>
      <c r="L378" s="1612" t="n"/>
      <c r="M378" s="1613" t="inlineStr">
        <is>
          <t>Singapore</t>
        </is>
      </c>
      <c r="N378" s="1614" t="inlineStr">
        <is>
          <t>CIC</t>
        </is>
      </c>
      <c r="O378" s="1614" t="n">
        <v>1</v>
      </c>
      <c r="P378" s="1614" t="n"/>
      <c r="Q378" s="1614" t="inlineStr">
        <is>
          <t>Permanent - Full Time</t>
        </is>
      </c>
      <c r="R378" s="1616" t="n"/>
      <c r="S378" s="1616" t="n"/>
      <c r="T378" s="1627" t="n">
        <v>193688</v>
      </c>
      <c r="U378" s="1626" t="n">
        <v>234362.48</v>
      </c>
      <c r="V378" s="1619" t="n">
        <v>0.25</v>
      </c>
      <c r="W378" s="1616" t="n"/>
      <c r="X378" s="1619" t="n">
        <v>0.17</v>
      </c>
      <c r="Y378" s="1620" t="n">
        <v>3310</v>
      </c>
      <c r="Z378" s="1638" t="n">
        <v>0.045</v>
      </c>
      <c r="AA378" s="1621">
        <f>U378*(1+V378+X378+Z378)+Y378</f>
        <v>346651.0332</v>
      </c>
      <c r="AC378" s="865" t="inlineStr">
        <is>
          <t>Commercial Fuels</t>
        </is>
      </c>
      <c r="AD378" s="865" t="inlineStr">
        <is>
          <t>Trading &amp; Shipping</t>
        </is>
      </c>
      <c r="AE378" s="865" t="inlineStr">
        <is>
          <t>Trading &amp; Shipping</t>
        </is>
      </c>
      <c r="AF378" s="865" t="inlineStr">
        <is>
          <t>Squad</t>
        </is>
      </c>
      <c r="AG378" s="865" t="inlineStr">
        <is>
          <t>Filled</t>
        </is>
      </c>
    </row>
    <row r="379" hidden="1" ht="18" customHeight="1" s="866">
      <c r="A379" s="1682" t="n">
        <v>2967</v>
      </c>
      <c r="B379" s="1382" t="inlineStr">
        <is>
          <t>Chris Camacho</t>
        </is>
      </c>
      <c r="C379" s="1611" t="inlineStr">
        <is>
          <t>Senior Systems Analyst</t>
        </is>
      </c>
      <c r="D379" s="1382" t="inlineStr">
        <is>
          <t>Jaya Ganasan</t>
        </is>
      </c>
      <c r="E379" s="1382" t="inlineStr">
        <is>
          <t>Technology Manager, TDD Refinery</t>
        </is>
      </c>
      <c r="F379" s="1382" t="inlineStr">
        <is>
          <t>TDD CFE&amp;I</t>
        </is>
      </c>
      <c r="G379" s="1612" t="inlineStr">
        <is>
          <t>Fuel Infrastructure</t>
        </is>
      </c>
      <c r="H379" s="1612" t="inlineStr">
        <is>
          <t>Refinery Applications</t>
        </is>
      </c>
      <c r="I379" s="1612" t="inlineStr">
        <is>
          <t>Infrastructure</t>
        </is>
      </c>
      <c r="J379" s="1612" t="inlineStr">
        <is>
          <t>Manufacturing</t>
        </is>
      </c>
      <c r="K379" s="1382" t="inlineStr">
        <is>
          <t>Manuacturing Group Projects</t>
        </is>
      </c>
      <c r="L379" s="1612" t="n"/>
      <c r="M379" s="1613" t="inlineStr">
        <is>
          <t>Australia</t>
        </is>
      </c>
      <c r="N379" s="1683" t="inlineStr">
        <is>
          <t xml:space="preserve">CSB </t>
        </is>
      </c>
      <c r="O379" s="1683" t="n">
        <v>1</v>
      </c>
      <c r="P379" s="1683" t="n"/>
      <c r="Q379" s="1683" t="inlineStr">
        <is>
          <t>Permanent - Full Time</t>
        </is>
      </c>
      <c r="R379" s="1382" t="n"/>
      <c r="S379" s="1382" t="n"/>
      <c r="T379" s="1680" t="n">
        <v>166090</v>
      </c>
      <c r="U379" s="1626" t="n">
        <v>166090</v>
      </c>
      <c r="V379" s="1619" t="n">
        <v>0.14</v>
      </c>
      <c r="W379" s="1622" t="n">
        <v>0.055</v>
      </c>
      <c r="X379" s="1622" t="n">
        <v>0.12</v>
      </c>
      <c r="Y379" s="1623" t="n"/>
      <c r="Z379" s="1622" t="n">
        <v>0.04</v>
      </c>
      <c r="AA379" s="1621">
        <f>U379*(1+V379+W379+X379+Y379+Z379)</f>
        <v>225051.95</v>
      </c>
      <c r="AC379" s="865" t="inlineStr">
        <is>
          <t>Infrastructure</t>
        </is>
      </c>
      <c r="AD379" s="865" t="inlineStr">
        <is>
          <t>Manufacturing</t>
        </is>
      </c>
      <c r="AE379" s="865" t="inlineStr">
        <is>
          <t>Manufacturing &amp; Group Projects</t>
        </is>
      </c>
      <c r="AF379" s="865" t="inlineStr">
        <is>
          <t>Squad</t>
        </is>
      </c>
      <c r="AG379" s="865" t="inlineStr">
        <is>
          <t>Filled</t>
        </is>
      </c>
    </row>
    <row r="380" hidden="1" ht="18" customHeight="1" s="866">
      <c r="A380" s="1566" t="n">
        <v>105532</v>
      </c>
      <c r="B380" s="1382" t="inlineStr">
        <is>
          <t>Debbie Gor</t>
        </is>
      </c>
      <c r="C380" s="1611" t="inlineStr">
        <is>
          <t>Delivery Lead</t>
        </is>
      </c>
      <c r="D380" s="1612" t="inlineStr">
        <is>
          <t>Vacant</t>
        </is>
      </c>
      <c r="E380" s="1382" t="inlineStr">
        <is>
          <t>Delivery Manager</t>
        </is>
      </c>
      <c r="F380" s="1382" t="inlineStr">
        <is>
          <t>TDD CFE&amp;I</t>
        </is>
      </c>
      <c r="G380" s="1612" t="inlineStr">
        <is>
          <t>B2B &amp; Energy Solutions</t>
        </is>
      </c>
      <c r="H380" s="1612" t="inlineStr">
        <is>
          <t>Delivery</t>
        </is>
      </c>
      <c r="I380" s="1612" t="inlineStr">
        <is>
          <t>B2B &amp; Energy Solutions</t>
        </is>
      </c>
      <c r="J380" s="1382" t="inlineStr">
        <is>
          <t>B2B</t>
        </is>
      </c>
      <c r="K380" s="1382" t="inlineStr">
        <is>
          <t>B2B</t>
        </is>
      </c>
      <c r="L380" s="1612" t="n"/>
      <c r="M380" s="1613" t="inlineStr">
        <is>
          <t>Australia</t>
        </is>
      </c>
      <c r="N380" s="1614" t="inlineStr">
        <is>
          <t>CIC</t>
        </is>
      </c>
      <c r="O380" s="1614" t="n">
        <v>1</v>
      </c>
      <c r="P380" s="1614" t="n"/>
      <c r="Q380" s="1614" t="inlineStr">
        <is>
          <t>Permanent - Full Time</t>
        </is>
      </c>
      <c r="R380" s="1616" t="n"/>
      <c r="S380" s="1616" t="n"/>
      <c r="T380" s="1627" t="n">
        <v>199710</v>
      </c>
      <c r="U380" s="1626" t="n">
        <v>199710</v>
      </c>
      <c r="V380" s="1619" t="n">
        <v>0.12</v>
      </c>
      <c r="W380" s="1622" t="n">
        <v>0.055</v>
      </c>
      <c r="X380" s="1622" t="n">
        <v>0.12</v>
      </c>
      <c r="Y380" s="1623" t="n"/>
      <c r="Z380" s="1622" t="n">
        <v>0.04</v>
      </c>
      <c r="AA380" s="1621">
        <f>U380*(1+V380+W380+X380+Y380+Z380)</f>
        <v>266612.85</v>
      </c>
      <c r="AC380" s="865" t="inlineStr">
        <is>
          <t>Energy Solutions &amp; B2B</t>
        </is>
      </c>
      <c r="AD380" s="865" t="inlineStr">
        <is>
          <t>B2B</t>
        </is>
      </c>
      <c r="AE380" s="865" t="inlineStr">
        <is>
          <t>B2B</t>
        </is>
      </c>
      <c r="AF380" s="865" t="inlineStr">
        <is>
          <t>Squad</t>
        </is>
      </c>
      <c r="AG380" s="865" t="inlineStr">
        <is>
          <t>Filled</t>
        </is>
      </c>
    </row>
    <row r="381" hidden="1" ht="18" customHeight="1" s="866">
      <c r="A381" s="1566" t="n">
        <v>107463</v>
      </c>
      <c r="B381" s="1382" t="inlineStr">
        <is>
          <t>Deepa Kaur</t>
        </is>
      </c>
      <c r="C381" s="1611" t="inlineStr">
        <is>
          <t>Senior Engineer Automation Testing</t>
        </is>
      </c>
      <c r="D381" s="1612" t="inlineStr">
        <is>
          <t>Vacant</t>
        </is>
      </c>
      <c r="E381" s="1382" t="inlineStr">
        <is>
          <t>Technology Manager, Engineering</t>
        </is>
      </c>
      <c r="F381" s="1382" t="inlineStr">
        <is>
          <t>TDD CFE&amp;I</t>
        </is>
      </c>
      <c r="G381" s="1612" t="inlineStr">
        <is>
          <t>Commercial Fuels</t>
        </is>
      </c>
      <c r="H381" s="1612" t="inlineStr">
        <is>
          <t>Technology, CF Engineering</t>
        </is>
      </c>
      <c r="I381" s="1612" t="inlineStr">
        <is>
          <t>Commercial Fuels</t>
        </is>
      </c>
      <c r="J381" s="1382" t="inlineStr">
        <is>
          <t>CTRM</t>
        </is>
      </c>
      <c r="K381" s="1382" t="inlineStr">
        <is>
          <t>CTRM</t>
        </is>
      </c>
      <c r="L381" s="1612" t="n"/>
      <c r="M381" s="1613" t="inlineStr">
        <is>
          <t>Australia</t>
        </is>
      </c>
      <c r="N381" s="1614" t="inlineStr">
        <is>
          <t>CIB</t>
        </is>
      </c>
      <c r="O381" s="1614" t="n">
        <v>1</v>
      </c>
      <c r="P381" s="1614" t="n"/>
      <c r="Q381" s="1614" t="inlineStr">
        <is>
          <t>Permanent - Full Time</t>
        </is>
      </c>
      <c r="R381" s="1616" t="n"/>
      <c r="S381" s="1616" t="n"/>
      <c r="T381" s="1627" t="n">
        <v>145710</v>
      </c>
      <c r="U381" s="1626" t="n">
        <v>145710</v>
      </c>
      <c r="V381" s="1619" t="n">
        <v>0.12</v>
      </c>
      <c r="W381" s="1622" t="n">
        <v>0.055</v>
      </c>
      <c r="X381" s="1622" t="n">
        <v>0.12</v>
      </c>
      <c r="Y381" s="1623" t="n"/>
      <c r="Z381" s="1622" t="n">
        <v>0.04</v>
      </c>
      <c r="AA381" s="1621">
        <f>U381*(1+V381+W381+X381+Y381+Z381)</f>
        <v>194522.85</v>
      </c>
      <c r="AC381" s="865" t="inlineStr">
        <is>
          <t>Commercial Fuels</t>
        </is>
      </c>
      <c r="AD381" s="865" t="inlineStr">
        <is>
          <t>CTRM</t>
        </is>
      </c>
      <c r="AE381" s="865" t="inlineStr">
        <is>
          <t>CTRM</t>
        </is>
      </c>
      <c r="AF381" s="865" t="inlineStr">
        <is>
          <t>Strategic Program</t>
        </is>
      </c>
      <c r="AG381" s="865" t="inlineStr">
        <is>
          <t>Filled</t>
        </is>
      </c>
    </row>
    <row r="382" hidden="1" ht="18" customHeight="1" s="866">
      <c r="A382" s="1566" t="n">
        <v>6748</v>
      </c>
      <c r="B382" s="1382" t="inlineStr">
        <is>
          <t>Elle Spencer</t>
        </is>
      </c>
      <c r="C382" s="1611" t="inlineStr">
        <is>
          <t>Technology Manager - B2B</t>
        </is>
      </c>
      <c r="D382" s="1612" t="inlineStr">
        <is>
          <t>Liesl Tye</t>
        </is>
      </c>
      <c r="E382" s="1382" t="inlineStr">
        <is>
          <t>Head of Technology, B2B &amp; Energy Solutions</t>
        </is>
      </c>
      <c r="F382" s="1382" t="inlineStr">
        <is>
          <t>TDD CFE&amp;I</t>
        </is>
      </c>
      <c r="G382" s="1612" t="inlineStr">
        <is>
          <t>B2B &amp; Energy Solutions</t>
        </is>
      </c>
      <c r="H382" s="1612" t="inlineStr">
        <is>
          <t>Technology B2B</t>
        </is>
      </c>
      <c r="I382" s="1612" t="inlineStr">
        <is>
          <t>B2B &amp; Energy Solutions</t>
        </is>
      </c>
      <c r="J382" s="1598" t="inlineStr">
        <is>
          <t>Leadership</t>
        </is>
      </c>
      <c r="K382" s="1382" t="inlineStr">
        <is>
          <t>Leadership</t>
        </is>
      </c>
      <c r="L382" s="1612" t="n"/>
      <c r="M382" s="1613" t="inlineStr">
        <is>
          <t>Australia</t>
        </is>
      </c>
      <c r="N382" s="1616" t="inlineStr">
        <is>
          <t>CSB</t>
        </is>
      </c>
      <c r="O382" s="1616" t="n">
        <v>1</v>
      </c>
      <c r="P382" s="1616" t="n"/>
      <c r="Q382" s="1616" t="inlineStr">
        <is>
          <t>Permanent - Full Time</t>
        </is>
      </c>
      <c r="R382" s="1616" t="n"/>
      <c r="S382" s="1616" t="n"/>
      <c r="T382" s="1627" t="n">
        <v>217390</v>
      </c>
      <c r="U382" s="1626" t="n">
        <v>217390</v>
      </c>
      <c r="V382" s="1619" t="n">
        <v>0.14</v>
      </c>
      <c r="W382" s="1622" t="n">
        <v>0.055</v>
      </c>
      <c r="X382" s="1622" t="n">
        <v>0.12</v>
      </c>
      <c r="Y382" s="1623" t="n"/>
      <c r="Z382" s="1622" t="n">
        <v>0.04</v>
      </c>
      <c r="AA382" s="1621">
        <f>U382*(1+V382+W382+X382+Y382+Z382)</f>
        <v>294563.45</v>
      </c>
      <c r="AC382" s="865" t="inlineStr">
        <is>
          <t>Energy Solutions &amp; B2B</t>
        </is>
      </c>
      <c r="AD382" s="865" t="inlineStr">
        <is>
          <t>Leadership</t>
        </is>
      </c>
      <c r="AE382" s="865" t="inlineStr">
        <is>
          <t>Leadership</t>
        </is>
      </c>
      <c r="AF382" s="865" t="inlineStr">
        <is>
          <t>Leadership</t>
        </is>
      </c>
      <c r="AG382" s="865" t="inlineStr">
        <is>
          <t>Filled</t>
        </is>
      </c>
    </row>
    <row r="383" hidden="1" ht="18" customHeight="1" s="866">
      <c r="A383" s="1566" t="n">
        <v>97973</v>
      </c>
      <c r="B383" s="1382" t="inlineStr">
        <is>
          <t>Elma Kurian</t>
        </is>
      </c>
      <c r="C383" s="1611" t="inlineStr">
        <is>
          <t>System Specialist</t>
        </is>
      </c>
      <c r="D383" s="1612" t="inlineStr">
        <is>
          <t>Vacant</t>
        </is>
      </c>
      <c r="E383" s="1382" t="inlineStr">
        <is>
          <t>Technology Manager, Energy Solutions</t>
        </is>
      </c>
      <c r="F383" s="1382" t="inlineStr">
        <is>
          <t>TDD CFE&amp;I</t>
        </is>
      </c>
      <c r="G383" s="1612" t="inlineStr">
        <is>
          <t>B2B &amp; Energy Solutions</t>
        </is>
      </c>
      <c r="H383" s="1612" t="inlineStr">
        <is>
          <t>Technology Energy Solutions</t>
        </is>
      </c>
      <c r="I383" s="1612" t="inlineStr">
        <is>
          <t>B2B &amp; Energy Solutions</t>
        </is>
      </c>
      <c r="J383" s="1612" t="inlineStr">
        <is>
          <t>Energy Solutions</t>
        </is>
      </c>
      <c r="K383" s="1382" t="inlineStr">
        <is>
          <t>Energy</t>
        </is>
      </c>
      <c r="L383" s="1612" t="n"/>
      <c r="M383" s="1613" t="inlineStr">
        <is>
          <t>Australia</t>
        </is>
      </c>
      <c r="N383" s="1614" t="inlineStr">
        <is>
          <t>CIB</t>
        </is>
      </c>
      <c r="O383" s="1614" t="n">
        <v>1</v>
      </c>
      <c r="P383" s="1614" t="n"/>
      <c r="Q383" s="1614" t="inlineStr">
        <is>
          <t>Permanent - Full Time</t>
        </is>
      </c>
      <c r="R383" s="1616" t="n"/>
      <c r="S383" s="1616" t="n"/>
      <c r="T383" s="1627" t="n">
        <v>152250</v>
      </c>
      <c r="U383" s="1626" t="n">
        <v>152250</v>
      </c>
      <c r="V383" s="1619" t="n">
        <v>0.12</v>
      </c>
      <c r="W383" s="1622" t="n">
        <v>0.055</v>
      </c>
      <c r="X383" s="1622" t="n">
        <v>0.12</v>
      </c>
      <c r="Y383" s="1623" t="n"/>
      <c r="Z383" s="1622" t="n">
        <v>0.04</v>
      </c>
      <c r="AA383" s="1621">
        <f>U383*(1+V383+W383+X383+Y383+Z383)</f>
        <v>203253.75</v>
      </c>
      <c r="AC383" s="865" t="inlineStr">
        <is>
          <t>Energy Solutions &amp; B2B</t>
        </is>
      </c>
      <c r="AD383" s="865" t="inlineStr">
        <is>
          <t>Energy Solutions</t>
        </is>
      </c>
      <c r="AE383" s="865" t="inlineStr">
        <is>
          <t>Energy</t>
        </is>
      </c>
      <c r="AF383" s="865" t="inlineStr">
        <is>
          <t>Squad</t>
        </is>
      </c>
      <c r="AG383" s="865" t="inlineStr">
        <is>
          <t>Filled</t>
        </is>
      </c>
    </row>
    <row r="384" hidden="1" ht="18" customHeight="1" s="866">
      <c r="A384" s="1566" t="n">
        <v>116090</v>
      </c>
      <c r="B384" s="1382" t="inlineStr">
        <is>
          <t>Fabian Moreno Cortes</t>
        </is>
      </c>
      <c r="C384" s="1611" t="inlineStr">
        <is>
          <t>Engineer - Software</t>
        </is>
      </c>
      <c r="D384" s="1382" t="inlineStr">
        <is>
          <t>Jaya Ganasan</t>
        </is>
      </c>
      <c r="E384" s="1382" t="inlineStr">
        <is>
          <t>Technology Manager, TDD Refinery</t>
        </is>
      </c>
      <c r="F384" s="1382" t="inlineStr">
        <is>
          <t>TDD CFE&amp;I</t>
        </is>
      </c>
      <c r="G384" s="1612" t="inlineStr">
        <is>
          <t>Fuel Infrastructure</t>
        </is>
      </c>
      <c r="H384" s="1612" t="inlineStr">
        <is>
          <t>Refinery Applications</t>
        </is>
      </c>
      <c r="I384" s="1612" t="inlineStr">
        <is>
          <t>Infrastructure</t>
        </is>
      </c>
      <c r="J384" s="1612" t="inlineStr">
        <is>
          <t>Manufacturing</t>
        </is>
      </c>
      <c r="K384" s="1382" t="inlineStr">
        <is>
          <t>Manuacturing Group Projects</t>
        </is>
      </c>
      <c r="L384" s="1612" t="n"/>
      <c r="M384" s="1613" t="inlineStr">
        <is>
          <t>Australia</t>
        </is>
      </c>
      <c r="N384" s="1614" t="inlineStr">
        <is>
          <t>CIB</t>
        </is>
      </c>
      <c r="O384" s="1614" t="n">
        <v>1</v>
      </c>
      <c r="P384" s="1614" t="n"/>
      <c r="Q384" s="1614" t="inlineStr">
        <is>
          <t>Permanent - Full Time</t>
        </is>
      </c>
      <c r="R384" s="1616" t="n"/>
      <c r="S384" s="1616" t="n"/>
      <c r="T384" s="1627" t="n">
        <v>145000</v>
      </c>
      <c r="U384" s="1626" t="n">
        <v>145000</v>
      </c>
      <c r="V384" s="1619" t="n">
        <v>0.12</v>
      </c>
      <c r="W384" s="1622" t="n">
        <v>0.055</v>
      </c>
      <c r="X384" s="1622" t="n">
        <v>0.12</v>
      </c>
      <c r="Y384" s="1623" t="n"/>
      <c r="Z384" s="1622" t="n">
        <v>0.04</v>
      </c>
      <c r="AA384" s="1621">
        <f>U384*(1+V384+W384+X384+Y384+Z384)</f>
        <v>193575</v>
      </c>
      <c r="AC384" s="865" t="inlineStr">
        <is>
          <t>Infrastructure</t>
        </is>
      </c>
      <c r="AD384" s="865" t="inlineStr">
        <is>
          <t>Manufacturing</t>
        </is>
      </c>
      <c r="AE384" s="865" t="inlineStr">
        <is>
          <t>Manufacturing &amp; Group Projects</t>
        </is>
      </c>
      <c r="AF384" s="865" t="inlineStr">
        <is>
          <t>Squad</t>
        </is>
      </c>
      <c r="AG384" s="865" t="inlineStr">
        <is>
          <t>Filled</t>
        </is>
      </c>
    </row>
    <row r="385" hidden="1" ht="18" customHeight="1" s="866">
      <c r="A385" s="1566" t="n">
        <v>99691</v>
      </c>
      <c r="B385" s="1382" t="inlineStr">
        <is>
          <t>Frank Liang</t>
        </is>
      </c>
      <c r="C385" s="1611" t="inlineStr">
        <is>
          <t>Senior Systems Analyst</t>
        </is>
      </c>
      <c r="D385" s="1382" t="inlineStr">
        <is>
          <t>Elle Spencer</t>
        </is>
      </c>
      <c r="E385" s="1382" t="inlineStr">
        <is>
          <t>Technology Manager, Energy Solutions</t>
        </is>
      </c>
      <c r="F385" s="1382" t="inlineStr">
        <is>
          <t>TDD CFE&amp;I</t>
        </is>
      </c>
      <c r="G385" s="1612" t="inlineStr">
        <is>
          <t>B2B &amp; Energy Solutions</t>
        </is>
      </c>
      <c r="H385" s="1612" t="inlineStr">
        <is>
          <t>Technology B2B</t>
        </is>
      </c>
      <c r="I385" s="1612" t="inlineStr">
        <is>
          <t>B2B &amp; Energy Solutions</t>
        </is>
      </c>
      <c r="J385" s="1382" t="inlineStr">
        <is>
          <t>B2B</t>
        </is>
      </c>
      <c r="K385" s="1382" t="inlineStr">
        <is>
          <t>B2B</t>
        </is>
      </c>
      <c r="L385" s="1612" t="n"/>
      <c r="M385" s="1613" t="inlineStr">
        <is>
          <t>Australia</t>
        </is>
      </c>
      <c r="N385" s="1614" t="inlineStr">
        <is>
          <t>CIC</t>
        </is>
      </c>
      <c r="O385" s="1614" t="n">
        <v>1</v>
      </c>
      <c r="P385" s="1614" t="n"/>
      <c r="Q385" s="1614" t="inlineStr">
        <is>
          <t>Permanent - Full Time</t>
        </is>
      </c>
      <c r="R385" s="1616" t="n"/>
      <c r="S385" s="1616" t="n"/>
      <c r="T385" s="1627" t="n">
        <v>167510</v>
      </c>
      <c r="U385" s="1626" t="n">
        <v>167510</v>
      </c>
      <c r="V385" s="1619" t="n">
        <v>0.12</v>
      </c>
      <c r="W385" s="1622" t="n">
        <v>0.055</v>
      </c>
      <c r="X385" s="1622" t="n">
        <v>0.12</v>
      </c>
      <c r="Y385" s="1623" t="n"/>
      <c r="Z385" s="1622" t="n">
        <v>0.04</v>
      </c>
      <c r="AA385" s="1621">
        <f>U385*(1+V385+W385+X385+Y385+Z385)</f>
        <v>223625.85</v>
      </c>
      <c r="AC385" s="865" t="inlineStr">
        <is>
          <t>Energy Solutions &amp; B2B</t>
        </is>
      </c>
      <c r="AD385" s="865" t="inlineStr">
        <is>
          <t>B2B</t>
        </is>
      </c>
      <c r="AE385" s="865" t="inlineStr">
        <is>
          <t>B2B</t>
        </is>
      </c>
      <c r="AF385" s="865" t="inlineStr">
        <is>
          <t>Squad</t>
        </is>
      </c>
      <c r="AG385" s="865" t="inlineStr">
        <is>
          <t>Filled</t>
        </is>
      </c>
    </row>
    <row r="386" hidden="1" ht="18" customHeight="1" s="866">
      <c r="A386" s="1566" t="n">
        <v>114717</v>
      </c>
      <c r="B386" s="1382" t="inlineStr">
        <is>
          <t>Fransiscus Setiawan</t>
        </is>
      </c>
      <c r="C386" s="1611" t="inlineStr">
        <is>
          <t xml:space="preserve">Integration Architect   </t>
        </is>
      </c>
      <c r="D386" s="1612" t="inlineStr">
        <is>
          <t>Vacant</t>
        </is>
      </c>
      <c r="E386" s="1382" t="inlineStr">
        <is>
          <t>Technology Manager, Engineering</t>
        </is>
      </c>
      <c r="F386" s="1382" t="inlineStr">
        <is>
          <t>TDD CFE&amp;I</t>
        </is>
      </c>
      <c r="G386" s="1612" t="inlineStr">
        <is>
          <t>Commercial Fuels</t>
        </is>
      </c>
      <c r="H386" s="1612" t="inlineStr">
        <is>
          <t>Technology, CF Engineering</t>
        </is>
      </c>
      <c r="I386" s="1612" t="inlineStr">
        <is>
          <t>Commercial Fuels</t>
        </is>
      </c>
      <c r="J386" s="1382" t="inlineStr">
        <is>
          <t>CTRM</t>
        </is>
      </c>
      <c r="K386" s="1382" t="inlineStr">
        <is>
          <t>CTRM</t>
        </is>
      </c>
      <c r="L386" s="1612" t="n"/>
      <c r="M386" s="1613" t="inlineStr">
        <is>
          <t>Australia</t>
        </is>
      </c>
      <c r="N386" s="1614" t="inlineStr">
        <is>
          <t>CIC</t>
        </is>
      </c>
      <c r="O386" s="1614" t="n">
        <v>1</v>
      </c>
      <c r="P386" s="1614" t="n"/>
      <c r="Q386" s="1614" t="inlineStr">
        <is>
          <t>Permanent - Full Time</t>
        </is>
      </c>
      <c r="R386" s="1616" t="n"/>
      <c r="S386" s="1616" t="n"/>
      <c r="T386" s="1627" t="n">
        <v>210000</v>
      </c>
      <c r="U386" s="1626" t="n">
        <v>210000</v>
      </c>
      <c r="V386" s="1619" t="n">
        <v>0.12</v>
      </c>
      <c r="W386" s="1622" t="n">
        <v>0.055</v>
      </c>
      <c r="X386" s="1622" t="n">
        <v>0.12</v>
      </c>
      <c r="Y386" s="1623" t="n"/>
      <c r="Z386" s="1622" t="n">
        <v>0.04</v>
      </c>
      <c r="AA386" s="1621">
        <f>U386*(1+V386+W386+X386+Y386+Z386)</f>
        <v>280350</v>
      </c>
      <c r="AC386" s="865" t="inlineStr">
        <is>
          <t>Commercial Fuels</t>
        </is>
      </c>
      <c r="AD386" s="865" t="inlineStr">
        <is>
          <t>CTRM</t>
        </is>
      </c>
      <c r="AE386" s="865" t="inlineStr">
        <is>
          <t>CTRM</t>
        </is>
      </c>
      <c r="AF386" s="865" t="inlineStr">
        <is>
          <t>Strategic Program</t>
        </is>
      </c>
      <c r="AG386" s="865" t="inlineStr">
        <is>
          <t>Filled</t>
        </is>
      </c>
    </row>
    <row r="387" hidden="1" ht="18" customHeight="1" s="866">
      <c r="A387" s="1566" t="n">
        <v>106201</v>
      </c>
      <c r="B387" s="1628" t="inlineStr">
        <is>
          <t>George Moun</t>
        </is>
      </c>
      <c r="C387" s="1691" t="inlineStr">
        <is>
          <t>Solution Architect</t>
        </is>
      </c>
      <c r="D387" s="1612" t="inlineStr">
        <is>
          <t>Amish Pandit</t>
        </is>
      </c>
      <c r="E387" s="1612" t="inlineStr">
        <is>
          <t>Head of Technology, Infrastructure</t>
        </is>
      </c>
      <c r="F387" s="1382" t="inlineStr">
        <is>
          <t>TDD CFE&amp;I</t>
        </is>
      </c>
      <c r="G387" s="1612" t="inlineStr">
        <is>
          <t>Fuel Infrastructure</t>
        </is>
      </c>
      <c r="H387" s="1612" t="inlineStr">
        <is>
          <t>Fuel Infrastructure</t>
        </is>
      </c>
      <c r="I387" s="1612" t="inlineStr">
        <is>
          <t>Infrastructure</t>
        </is>
      </c>
      <c r="J387" s="1612" t="inlineStr">
        <is>
          <t xml:space="preserve">Leadership </t>
        </is>
      </c>
      <c r="K387" s="1612" t="inlineStr">
        <is>
          <t>Leadership</t>
        </is>
      </c>
      <c r="L387" s="1612" t="n"/>
      <c r="M387" s="1613" t="inlineStr">
        <is>
          <t>Australia</t>
        </is>
      </c>
      <c r="N387" s="1614" t="inlineStr">
        <is>
          <t>CIC</t>
        </is>
      </c>
      <c r="O387" s="1614" t="n">
        <v>1</v>
      </c>
      <c r="P387" s="1614" t="n"/>
      <c r="Q387" s="1614" t="inlineStr">
        <is>
          <t>Permanent - Full Time</t>
        </is>
      </c>
      <c r="R387" s="1616" t="n"/>
      <c r="S387" s="1616" t="n"/>
      <c r="T387" s="1627" t="n">
        <v>192260</v>
      </c>
      <c r="U387" s="1626" t="n">
        <v>192260</v>
      </c>
      <c r="V387" s="1619" t="n">
        <v>0.12</v>
      </c>
      <c r="W387" s="1622" t="n">
        <v>0.055</v>
      </c>
      <c r="X387" s="1622" t="n">
        <v>0.12</v>
      </c>
      <c r="Y387" s="1623" t="n"/>
      <c r="Z387" s="1622" t="n">
        <v>0.04</v>
      </c>
      <c r="AA387" s="1621">
        <f>U387*(1+V387+W387+X387+Y387+Z387)</f>
        <v>256667.1</v>
      </c>
      <c r="AC387" s="865" t="inlineStr">
        <is>
          <t>Infrastructure</t>
        </is>
      </c>
      <c r="AD387" s="865" t="inlineStr">
        <is>
          <t>Leadership</t>
        </is>
      </c>
      <c r="AE387" s="865" t="inlineStr">
        <is>
          <t>Leadership</t>
        </is>
      </c>
      <c r="AF387" s="865" t="inlineStr">
        <is>
          <t>Leadership</t>
        </is>
      </c>
      <c r="AG387" s="865" t="inlineStr">
        <is>
          <t>Filled</t>
        </is>
      </c>
    </row>
    <row r="388" hidden="1" ht="18" customHeight="1" s="866">
      <c r="A388" s="1566" t="n">
        <v>102576</v>
      </c>
      <c r="B388" s="1382" t="inlineStr">
        <is>
          <t>Glenn Earl</t>
        </is>
      </c>
      <c r="C388" s="1611" t="inlineStr">
        <is>
          <t>Lead Technology Support - Infrastructure</t>
        </is>
      </c>
      <c r="D388" s="1382" t="inlineStr">
        <is>
          <t>Jaya Ganasan</t>
        </is>
      </c>
      <c r="E388" s="1382" t="inlineStr">
        <is>
          <t>Technology Manager, TDD Refinery</t>
        </is>
      </c>
      <c r="F388" s="1382" t="inlineStr">
        <is>
          <t>TDD CFE&amp;I</t>
        </is>
      </c>
      <c r="G388" s="1612" t="inlineStr">
        <is>
          <t>Fuel Infrastructure</t>
        </is>
      </c>
      <c r="H388" s="1612" t="inlineStr">
        <is>
          <t>Refinery Applications</t>
        </is>
      </c>
      <c r="I388" s="1612" t="inlineStr">
        <is>
          <t>Infrastructure</t>
        </is>
      </c>
      <c r="J388" s="1612" t="inlineStr">
        <is>
          <t>Fuel Infrastructure</t>
        </is>
      </c>
      <c r="K388" s="1382" t="inlineStr">
        <is>
          <t>Technology Suport</t>
        </is>
      </c>
      <c r="L388" s="1612" t="n"/>
      <c r="M388" s="1613" t="inlineStr">
        <is>
          <t>Australia</t>
        </is>
      </c>
      <c r="N388" s="1614" t="inlineStr">
        <is>
          <t>CIA</t>
        </is>
      </c>
      <c r="O388" s="1614" t="n">
        <v>1</v>
      </c>
      <c r="P388" s="1614" t="n"/>
      <c r="Q388" s="1614" t="inlineStr">
        <is>
          <t>Permanent - Full Time</t>
        </is>
      </c>
      <c r="R388" s="1616" t="n"/>
      <c r="S388" s="1616" t="n"/>
      <c r="T388" s="1627" t="n">
        <v>130260</v>
      </c>
      <c r="U388" s="1626" t="n">
        <v>130260</v>
      </c>
      <c r="V388" s="1619" t="n">
        <v>0.1</v>
      </c>
      <c r="W388" s="1622" t="n">
        <v>0.055</v>
      </c>
      <c r="X388" s="1622" t="n">
        <v>0.12</v>
      </c>
      <c r="Y388" s="1623" t="n"/>
      <c r="Z388" s="1622" t="n">
        <v>0.04</v>
      </c>
      <c r="AA388" s="1621">
        <f>U388*(1+V388+W388+X388+Y388+Z388)</f>
        <v>171291.9</v>
      </c>
      <c r="AC388" s="865" t="inlineStr">
        <is>
          <t>Infrastructure</t>
        </is>
      </c>
      <c r="AD388" s="865" t="inlineStr">
        <is>
          <t>Manufacturing</t>
        </is>
      </c>
      <c r="AE388" s="865" t="inlineStr">
        <is>
          <t>Technology Support</t>
        </is>
      </c>
      <c r="AF388" s="865" t="inlineStr">
        <is>
          <t>Squad</t>
        </is>
      </c>
      <c r="AG388" s="865" t="inlineStr">
        <is>
          <t>Filled</t>
        </is>
      </c>
    </row>
    <row r="389" hidden="1" ht="18" customHeight="1" s="866">
      <c r="A389" s="1566" t="n">
        <v>99999100769</v>
      </c>
      <c r="B389" s="1382" t="inlineStr">
        <is>
          <t>Gokila Mylsamy</t>
        </is>
      </c>
      <c r="C389" s="1611" t="inlineStr">
        <is>
          <t>Lead Engineer Software</t>
        </is>
      </c>
      <c r="D389" s="1612" t="inlineStr">
        <is>
          <t>Vacant</t>
        </is>
      </c>
      <c r="E389" s="1382" t="inlineStr">
        <is>
          <t>Technology Manager, Energy Solutions</t>
        </is>
      </c>
      <c r="F389" s="1382" t="inlineStr">
        <is>
          <t>TDD CFE&amp;I</t>
        </is>
      </c>
      <c r="G389" s="1612" t="inlineStr">
        <is>
          <t>B2B &amp; Energy Solutions</t>
        </is>
      </c>
      <c r="H389" s="1612" t="inlineStr">
        <is>
          <t>Technology Energy Solutions</t>
        </is>
      </c>
      <c r="I389" s="1612" t="inlineStr">
        <is>
          <t>B2B &amp; Energy Solutions</t>
        </is>
      </c>
      <c r="J389" s="1612" t="inlineStr">
        <is>
          <t>Energy Solutions</t>
        </is>
      </c>
      <c r="K389" s="1382" t="inlineStr">
        <is>
          <t>EVCI</t>
        </is>
      </c>
      <c r="L389" s="1612" t="n"/>
      <c r="M389" s="1613" t="inlineStr">
        <is>
          <t>NZ</t>
        </is>
      </c>
      <c r="N389" s="1614" t="inlineStr">
        <is>
          <t>CIC</t>
        </is>
      </c>
      <c r="O389" s="1615" t="n">
        <v>1</v>
      </c>
      <c r="P389" s="1614" t="n"/>
      <c r="Q389" s="1615" t="inlineStr">
        <is>
          <t>Permanent - Full Time</t>
        </is>
      </c>
      <c r="R389" s="1616" t="n"/>
      <c r="S389" s="1616" t="n"/>
      <c r="T389" s="1627" t="n">
        <v>160220</v>
      </c>
      <c r="U389" s="1626" t="n">
        <v>147402.4</v>
      </c>
      <c r="V389" s="1618" t="n">
        <v>0.15</v>
      </c>
      <c r="W389" s="1615" t="n"/>
      <c r="X389" s="1619" t="n">
        <v>0.05</v>
      </c>
      <c r="Y389" s="1620" t="n">
        <v>2910</v>
      </c>
      <c r="Z389" s="1619" t="n">
        <v>0.03</v>
      </c>
      <c r="AA389" s="1621">
        <f>U389*(1+V389+X389+Z389)+Y389</f>
        <v>184214.952</v>
      </c>
      <c r="AB389" s="865" t="n">
        <v>113542</v>
      </c>
      <c r="AC389" s="865" t="inlineStr">
        <is>
          <t>Energy Solutions &amp; B2B</t>
        </is>
      </c>
      <c r="AD389" s="865" t="inlineStr">
        <is>
          <t>Energy Solutions</t>
        </is>
      </c>
      <c r="AE389" s="865" t="inlineStr">
        <is>
          <t>EVCI</t>
        </is>
      </c>
      <c r="AF389" s="865" t="inlineStr">
        <is>
          <t>Squad</t>
        </is>
      </c>
      <c r="AG389" s="865" t="inlineStr">
        <is>
          <t>Filled</t>
        </is>
      </c>
    </row>
    <row r="390" hidden="1" ht="18" customHeight="1" s="866">
      <c r="A390" s="1566" t="n">
        <v>107550</v>
      </c>
      <c r="B390" s="1382" t="inlineStr">
        <is>
          <t>Gunjan Vasudeva</t>
        </is>
      </c>
      <c r="C390" s="1611" t="inlineStr">
        <is>
          <t>Lead Quality Assurance</t>
        </is>
      </c>
      <c r="D390" s="1612" t="inlineStr">
        <is>
          <t>Vacant</t>
        </is>
      </c>
      <c r="E390" s="1382" t="inlineStr">
        <is>
          <t>Technology Manager, Energy Solutions</t>
        </is>
      </c>
      <c r="F390" s="1382" t="inlineStr">
        <is>
          <t>TDD CFE&amp;I</t>
        </is>
      </c>
      <c r="G390" s="1612" t="inlineStr">
        <is>
          <t>B2B &amp; Energy Solutions</t>
        </is>
      </c>
      <c r="H390" s="1612" t="inlineStr">
        <is>
          <t>Technology Energy Solutions</t>
        </is>
      </c>
      <c r="I390" s="1612" t="inlineStr">
        <is>
          <t>B2B &amp; Energy Solutions</t>
        </is>
      </c>
      <c r="J390" s="1612" t="inlineStr">
        <is>
          <t>Energy Solutions</t>
        </is>
      </c>
      <c r="K390" s="1382" t="inlineStr">
        <is>
          <t>Energy</t>
        </is>
      </c>
      <c r="L390" s="1612" t="n"/>
      <c r="M390" s="1613" t="inlineStr">
        <is>
          <t>Australia</t>
        </is>
      </c>
      <c r="N390" s="1614" t="inlineStr">
        <is>
          <t>CIB</t>
        </is>
      </c>
      <c r="O390" s="1614" t="n">
        <v>1</v>
      </c>
      <c r="P390" s="1614" t="n"/>
      <c r="Q390" s="1614" t="inlineStr">
        <is>
          <t>Permanent - Full Time</t>
        </is>
      </c>
      <c r="R390" s="1616" t="n"/>
      <c r="S390" s="1616" t="n"/>
      <c r="T390" s="1627" t="n">
        <v>156160</v>
      </c>
      <c r="U390" s="1626" t="n">
        <v>156160</v>
      </c>
      <c r="V390" s="1619" t="n">
        <v>0.12</v>
      </c>
      <c r="W390" s="1622" t="n">
        <v>0.055</v>
      </c>
      <c r="X390" s="1622" t="n">
        <v>0.12</v>
      </c>
      <c r="Y390" s="1623" t="n"/>
      <c r="Z390" s="1622" t="n">
        <v>0.04</v>
      </c>
      <c r="AA390" s="1621">
        <f>U390*(1+V390+W390+X390+Y390+Z390)</f>
        <v>208473.6</v>
      </c>
      <c r="AC390" s="865" t="inlineStr">
        <is>
          <t>Energy Solutions &amp; B2B</t>
        </is>
      </c>
      <c r="AD390" s="865" t="inlineStr">
        <is>
          <t>Energy Solutions</t>
        </is>
      </c>
      <c r="AE390" s="865" t="inlineStr">
        <is>
          <t>Energy</t>
        </is>
      </c>
      <c r="AF390" s="865" t="inlineStr">
        <is>
          <t>Squad</t>
        </is>
      </c>
      <c r="AG390" s="865" t="inlineStr">
        <is>
          <t>Filled</t>
        </is>
      </c>
    </row>
    <row r="391" hidden="1" ht="18" customHeight="1" s="866">
      <c r="A391" s="1566" t="n">
        <v>103651</v>
      </c>
      <c r="B391" s="1382" t="inlineStr">
        <is>
          <t>Hari Maneti</t>
        </is>
      </c>
      <c r="C391" s="1611" t="inlineStr">
        <is>
          <t>Systems Analyst</t>
        </is>
      </c>
      <c r="D391" s="1382" t="inlineStr">
        <is>
          <t>Allan Francia</t>
        </is>
      </c>
      <c r="E391" s="1382" t="inlineStr">
        <is>
          <t>Technology Manager, T&amp;S</t>
        </is>
      </c>
      <c r="F391" s="1382" t="inlineStr">
        <is>
          <t>TDD CFE&amp;I</t>
        </is>
      </c>
      <c r="G391" s="1612" t="inlineStr">
        <is>
          <t>Commercial Fuels</t>
        </is>
      </c>
      <c r="H391" s="1612" t="inlineStr">
        <is>
          <t>Technology, Trading &amp; Shipping</t>
        </is>
      </c>
      <c r="I391" s="1612" t="inlineStr">
        <is>
          <t>Commercial Fuels</t>
        </is>
      </c>
      <c r="J391" s="1612" t="inlineStr">
        <is>
          <t>Trading &amp; Shipping</t>
        </is>
      </c>
      <c r="K391" s="1382" t="inlineStr">
        <is>
          <t>Trading &amp; Shipping</t>
        </is>
      </c>
      <c r="L391" s="1612" t="n"/>
      <c r="M391" s="1613" t="inlineStr">
        <is>
          <t>Singapore</t>
        </is>
      </c>
      <c r="N391" s="1614" t="inlineStr">
        <is>
          <t>CIB</t>
        </is>
      </c>
      <c r="O391" s="1614" t="n">
        <v>1</v>
      </c>
      <c r="P391" s="1614" t="n"/>
      <c r="Q391" s="1614" t="inlineStr">
        <is>
          <t>Permanent - Full Time</t>
        </is>
      </c>
      <c r="R391" s="1616" t="n"/>
      <c r="S391" s="1616" t="n"/>
      <c r="T391" s="1627" t="n">
        <v>163780</v>
      </c>
      <c r="U391" s="1626" t="n">
        <v>198173.8</v>
      </c>
      <c r="V391" s="1619" t="n">
        <v>0.25</v>
      </c>
      <c r="W391" s="1616" t="n"/>
      <c r="X391" s="1619" t="n">
        <v>0.17</v>
      </c>
      <c r="Y391" s="1620" t="n">
        <v>3310</v>
      </c>
      <c r="Z391" s="1638" t="n">
        <v>0.045</v>
      </c>
      <c r="AA391" s="1621">
        <f>U391*(1+V391+X391+Z391)+Y391</f>
        <v>293634.617</v>
      </c>
      <c r="AC391" s="865" t="inlineStr">
        <is>
          <t>Commercial Fuels</t>
        </is>
      </c>
      <c r="AD391" s="865" t="inlineStr">
        <is>
          <t>Trading &amp; Shipping</t>
        </is>
      </c>
      <c r="AE391" s="865" t="inlineStr">
        <is>
          <t>Trading &amp; Shipping</t>
        </is>
      </c>
      <c r="AF391" s="865" t="inlineStr">
        <is>
          <t>Squad</t>
        </is>
      </c>
      <c r="AG391" s="865" t="inlineStr">
        <is>
          <t>Filled</t>
        </is>
      </c>
    </row>
    <row r="392" hidden="1" ht="18" customHeight="1" s="866">
      <c r="A392" s="1566" t="n">
        <v>99999101143</v>
      </c>
      <c r="B392" s="1382" t="inlineStr">
        <is>
          <t>Hayden Corney</t>
        </is>
      </c>
      <c r="C392" s="1611" t="inlineStr">
        <is>
          <t>Lead Engineer Software</t>
        </is>
      </c>
      <c r="D392" s="1612" t="inlineStr">
        <is>
          <t>Vacant</t>
        </is>
      </c>
      <c r="E392" s="1382" t="inlineStr">
        <is>
          <t>Technology Manager, Engineering</t>
        </is>
      </c>
      <c r="F392" s="1382" t="inlineStr">
        <is>
          <t>TDD CFE&amp;I</t>
        </is>
      </c>
      <c r="G392" s="1612" t="inlineStr">
        <is>
          <t>Commercial Fuels</t>
        </is>
      </c>
      <c r="H392" s="1612" t="inlineStr">
        <is>
          <t>Technology, CF Engineering</t>
        </is>
      </c>
      <c r="I392" s="1612" t="inlineStr">
        <is>
          <t>Commercial Fuels</t>
        </is>
      </c>
      <c r="J392" s="1382" t="inlineStr">
        <is>
          <t>CTRM</t>
        </is>
      </c>
      <c r="K392" s="1382" t="inlineStr">
        <is>
          <t>CTRM</t>
        </is>
      </c>
      <c r="L392" s="1612" t="n"/>
      <c r="M392" s="1613" t="inlineStr">
        <is>
          <t>NZ</t>
        </is>
      </c>
      <c r="N392" s="1614" t="inlineStr">
        <is>
          <t>CIC</t>
        </is>
      </c>
      <c r="O392" s="1615" t="n">
        <v>1</v>
      </c>
      <c r="P392" s="1614" t="n"/>
      <c r="Q392" s="1615" t="inlineStr">
        <is>
          <t>Permanent - Full Time</t>
        </is>
      </c>
      <c r="R392" s="1616" t="n"/>
      <c r="S392" s="1616" t="n"/>
      <c r="T392" s="1627" t="n">
        <v>171800</v>
      </c>
      <c r="U392" s="1626" t="n">
        <v>158056</v>
      </c>
      <c r="V392" s="1618" t="n">
        <v>0.15</v>
      </c>
      <c r="W392" s="1615" t="n"/>
      <c r="X392" s="1619" t="n">
        <v>0.05</v>
      </c>
      <c r="Y392" s="1620" t="n">
        <v>2910</v>
      </c>
      <c r="Z392" s="1619" t="n">
        <v>0.03</v>
      </c>
      <c r="AA392" s="1621">
        <f>U392*(1+V392+X392+Z392)+Y392</f>
        <v>197318.88</v>
      </c>
      <c r="AB392" s="865" t="n">
        <v>113544</v>
      </c>
      <c r="AC392" s="865" t="inlineStr">
        <is>
          <t>Commercial Fuels</t>
        </is>
      </c>
      <c r="AD392" s="865" t="inlineStr">
        <is>
          <t>CTRM</t>
        </is>
      </c>
      <c r="AE392" s="865" t="inlineStr">
        <is>
          <t>CTRM</t>
        </is>
      </c>
      <c r="AF392" s="865" t="inlineStr">
        <is>
          <t>Strategic Program</t>
        </is>
      </c>
      <c r="AG392" s="865" t="inlineStr">
        <is>
          <t>Filled</t>
        </is>
      </c>
    </row>
    <row r="393" hidden="1" ht="18" customHeight="1" s="866">
      <c r="A393" s="1566" t="n">
        <v>108075</v>
      </c>
      <c r="B393" s="1382" t="inlineStr">
        <is>
          <t>Isha Riyat</t>
        </is>
      </c>
      <c r="C393" s="1611" t="inlineStr">
        <is>
          <t>Senior Business Analyst</t>
        </is>
      </c>
      <c r="D393" s="1612" t="inlineStr">
        <is>
          <t>Vacant</t>
        </is>
      </c>
      <c r="E393" s="1382" t="inlineStr">
        <is>
          <t>Delivery Manager</t>
        </is>
      </c>
      <c r="F393" s="1382" t="inlineStr">
        <is>
          <t>TDD CFE&amp;I</t>
        </is>
      </c>
      <c r="G393" s="1612" t="inlineStr">
        <is>
          <t>Commercial Fuels</t>
        </is>
      </c>
      <c r="H393" s="1612" t="inlineStr">
        <is>
          <t>Delivery, Commercial Fuels</t>
        </is>
      </c>
      <c r="I393" s="1612" t="inlineStr">
        <is>
          <t>Commercial Fuels</t>
        </is>
      </c>
      <c r="J393" s="1612" t="inlineStr">
        <is>
          <t>Trading &amp; Shipping</t>
        </is>
      </c>
      <c r="K393" s="1612" t="inlineStr">
        <is>
          <t>Trading &amp; Shipping</t>
        </is>
      </c>
      <c r="L393" s="1382" t="n"/>
      <c r="M393" s="1613" t="inlineStr">
        <is>
          <t>Australia</t>
        </is>
      </c>
      <c r="N393" s="1614" t="inlineStr">
        <is>
          <t>CIB</t>
        </is>
      </c>
      <c r="O393" s="1614" t="n">
        <v>1</v>
      </c>
      <c r="P393" s="1614" t="n"/>
      <c r="Q393" s="1614" t="inlineStr">
        <is>
          <t>Permanent - Full Time</t>
        </is>
      </c>
      <c r="R393" s="1616" t="n"/>
      <c r="S393" s="1616" t="n"/>
      <c r="T393" s="1627" t="n">
        <v>169610</v>
      </c>
      <c r="U393" s="1626" t="n">
        <v>169610</v>
      </c>
      <c r="V393" s="1619" t="n">
        <v>0.12</v>
      </c>
      <c r="W393" s="1622" t="n">
        <v>0.055</v>
      </c>
      <c r="X393" s="1622" t="n">
        <v>0.12</v>
      </c>
      <c r="Y393" s="1623" t="n"/>
      <c r="Z393" s="1622" t="n">
        <v>0.04</v>
      </c>
      <c r="AA393" s="1621">
        <f>U393*(1+V393+W393+X393+Y393+Z393)</f>
        <v>226429.35</v>
      </c>
      <c r="AC393" s="865" t="inlineStr">
        <is>
          <t>Commercial Fuels</t>
        </is>
      </c>
      <c r="AD393" s="865" t="inlineStr">
        <is>
          <t>Trading &amp; Shipping</t>
        </is>
      </c>
      <c r="AE393" s="865" t="inlineStr">
        <is>
          <t>Trading &amp; Shipping</t>
        </is>
      </c>
      <c r="AF393" s="865" t="inlineStr">
        <is>
          <t>Squad</t>
        </is>
      </c>
      <c r="AG393" s="865" t="inlineStr">
        <is>
          <t>Filled</t>
        </is>
      </c>
    </row>
    <row r="394" hidden="1" ht="18" customHeight="1" s="866">
      <c r="A394" s="1566" t="n">
        <v>104159</v>
      </c>
      <c r="B394" s="1382" t="inlineStr">
        <is>
          <t>James Hung</t>
        </is>
      </c>
      <c r="C394" s="1611" t="inlineStr">
        <is>
          <t>System Specialist</t>
        </is>
      </c>
      <c r="D394" s="1612" t="inlineStr">
        <is>
          <t>Vacant</t>
        </is>
      </c>
      <c r="E394" s="1382" t="inlineStr">
        <is>
          <t>Technology Manager, Energy Solutions</t>
        </is>
      </c>
      <c r="F394" s="1382" t="inlineStr">
        <is>
          <t>TDD CFE&amp;I</t>
        </is>
      </c>
      <c r="G394" s="1612" t="inlineStr">
        <is>
          <t>B2B &amp; Energy Solutions</t>
        </is>
      </c>
      <c r="H394" s="1612" t="inlineStr">
        <is>
          <t>Technology Energy Solutions</t>
        </is>
      </c>
      <c r="I394" s="1612" t="inlineStr">
        <is>
          <t>B2B &amp; Energy Solutions</t>
        </is>
      </c>
      <c r="J394" s="1612" t="inlineStr">
        <is>
          <t>Energy Solutions</t>
        </is>
      </c>
      <c r="K394" s="1382" t="inlineStr">
        <is>
          <t>Energy</t>
        </is>
      </c>
      <c r="L394" s="1612" t="n"/>
      <c r="M394" s="1613" t="inlineStr">
        <is>
          <t>Australia</t>
        </is>
      </c>
      <c r="N394" s="1614" t="inlineStr">
        <is>
          <t>CIB</t>
        </is>
      </c>
      <c r="O394" s="1614" t="n">
        <v>1</v>
      </c>
      <c r="P394" s="1614" t="n"/>
      <c r="Q394" s="1614" t="inlineStr">
        <is>
          <t>Permanent - Full Time</t>
        </is>
      </c>
      <c r="R394" s="1616" t="n"/>
      <c r="S394" s="1616" t="n"/>
      <c r="T394" s="1627" t="n">
        <v>159950</v>
      </c>
      <c r="U394" s="1626" t="n">
        <v>159950</v>
      </c>
      <c r="V394" s="1619" t="n">
        <v>0.12</v>
      </c>
      <c r="W394" s="1622" t="n">
        <v>0.055</v>
      </c>
      <c r="X394" s="1622" t="n">
        <v>0.12</v>
      </c>
      <c r="Y394" s="1623" t="n"/>
      <c r="Z394" s="1622" t="n">
        <v>0.04</v>
      </c>
      <c r="AA394" s="1621">
        <f>U394*(1+V394+W394+X394+Y394+Z394)</f>
        <v>213533.25</v>
      </c>
      <c r="AC394" s="865" t="inlineStr">
        <is>
          <t>Energy Solutions &amp; B2B</t>
        </is>
      </c>
      <c r="AD394" s="865" t="inlineStr">
        <is>
          <t>Energy Solutions</t>
        </is>
      </c>
      <c r="AE394" s="865" t="inlineStr">
        <is>
          <t>Energy</t>
        </is>
      </c>
      <c r="AF394" s="865" t="inlineStr">
        <is>
          <t>Squad</t>
        </is>
      </c>
      <c r="AG394" s="865" t="inlineStr">
        <is>
          <t>Filled</t>
        </is>
      </c>
    </row>
    <row r="395" hidden="1" ht="18" customHeight="1" s="866">
      <c r="A395" s="1566" t="n">
        <v>109475</v>
      </c>
      <c r="B395" s="1382" t="inlineStr">
        <is>
          <t>Jaya Ganasan</t>
        </is>
      </c>
      <c r="C395" s="1611" t="inlineStr">
        <is>
          <t>B2B &amp; Energy+B452:I452</t>
        </is>
      </c>
      <c r="D395" s="1382" t="inlineStr">
        <is>
          <t>Amish Pandit</t>
        </is>
      </c>
      <c r="E395" s="1382" t="inlineStr">
        <is>
          <t>Head of Technology, Fuel Infrastructure</t>
        </is>
      </c>
      <c r="F395" s="1382" t="inlineStr">
        <is>
          <t>TDD CFE&amp;I</t>
        </is>
      </c>
      <c r="G395" s="1612" t="inlineStr">
        <is>
          <t>Fuel Infrastructure</t>
        </is>
      </c>
      <c r="H395" s="1612" t="inlineStr">
        <is>
          <t>Refinery Applications</t>
        </is>
      </c>
      <c r="I395" s="1612" t="inlineStr">
        <is>
          <t>Infrastructure</t>
        </is>
      </c>
      <c r="J395" s="1612" t="inlineStr">
        <is>
          <t>Manufacturing</t>
        </is>
      </c>
      <c r="K395" s="1382" t="inlineStr">
        <is>
          <t>Manufacturing Group Projects</t>
        </is>
      </c>
      <c r="L395" s="1612" t="n"/>
      <c r="M395" s="1613" t="inlineStr">
        <is>
          <t>Australia</t>
        </is>
      </c>
      <c r="N395" s="1614" t="inlineStr">
        <is>
          <t>CSB</t>
        </is>
      </c>
      <c r="O395" s="1614" t="n">
        <v>1</v>
      </c>
      <c r="P395" s="1614" t="n"/>
      <c r="Q395" s="1614" t="inlineStr">
        <is>
          <t>Permanent - Full Time</t>
        </is>
      </c>
      <c r="R395" s="1616" t="n"/>
      <c r="S395" s="1616" t="n"/>
      <c r="T395" s="1627" t="n">
        <v>190180</v>
      </c>
      <c r="U395" s="1626" t="n">
        <v>190180</v>
      </c>
      <c r="V395" s="1619" t="n">
        <v>0.14</v>
      </c>
      <c r="W395" s="1622" t="n">
        <v>0.055</v>
      </c>
      <c r="X395" s="1622" t="n">
        <v>0.12</v>
      </c>
      <c r="Y395" s="1623" t="n"/>
      <c r="Z395" s="1622" t="n">
        <v>0.04</v>
      </c>
      <c r="AA395" s="1621">
        <f>U395*(1+V395+W395+X395+Y395+Z395)</f>
        <v>257693.9</v>
      </c>
      <c r="AC395" s="865" t="inlineStr">
        <is>
          <t>Infrastructure</t>
        </is>
      </c>
      <c r="AD395" s="865" t="inlineStr">
        <is>
          <t>Manufacturing</t>
        </is>
      </c>
      <c r="AE395" s="865" t="inlineStr">
        <is>
          <t>Manufacturing &amp; Group Projects</t>
        </is>
      </c>
      <c r="AF395" s="865" t="inlineStr">
        <is>
          <t>Squad</t>
        </is>
      </c>
      <c r="AG395" s="865" t="inlineStr">
        <is>
          <t>Filled</t>
        </is>
      </c>
    </row>
    <row r="396" hidden="1" ht="18" customHeight="1" s="866">
      <c r="A396" s="1566" t="n">
        <v>14013</v>
      </c>
      <c r="B396" s="1382" t="inlineStr">
        <is>
          <t>Jem Cruz</t>
        </is>
      </c>
      <c r="C396" s="1611" t="inlineStr">
        <is>
          <t>System Specialist</t>
        </is>
      </c>
      <c r="D396" s="1382" t="inlineStr">
        <is>
          <t>Allan Francia</t>
        </is>
      </c>
      <c r="E396" s="1382" t="inlineStr">
        <is>
          <t>Technology Manager, T&amp;S</t>
        </is>
      </c>
      <c r="F396" s="1382" t="inlineStr">
        <is>
          <t>TDD CFE&amp;I</t>
        </is>
      </c>
      <c r="G396" s="1612" t="inlineStr">
        <is>
          <t>Commercial Fuels</t>
        </is>
      </c>
      <c r="H396" s="1612" t="inlineStr">
        <is>
          <t>Technology, Trading &amp; Shipping</t>
        </is>
      </c>
      <c r="I396" s="1612" t="inlineStr">
        <is>
          <t>Commercial Fuels</t>
        </is>
      </c>
      <c r="J396" s="1612" t="inlineStr">
        <is>
          <t>Trading &amp; Shipping</t>
        </is>
      </c>
      <c r="K396" s="1382" t="inlineStr">
        <is>
          <t>Trading &amp; Shipping</t>
        </is>
      </c>
      <c r="L396" s="1612" t="n"/>
      <c r="M396" s="1613" t="inlineStr">
        <is>
          <t>Australia</t>
        </is>
      </c>
      <c r="N396" s="1616" t="inlineStr">
        <is>
          <t>CIA</t>
        </is>
      </c>
      <c r="O396" s="1616" t="n">
        <v>1</v>
      </c>
      <c r="P396" s="1616" t="n"/>
      <c r="Q396" s="1616" t="inlineStr">
        <is>
          <t>Permanent - Full Time</t>
        </is>
      </c>
      <c r="R396" s="1616" t="n"/>
      <c r="S396" s="1616" t="n"/>
      <c r="T396" s="1627" t="n">
        <v>136890</v>
      </c>
      <c r="U396" s="1626" t="n">
        <v>136890</v>
      </c>
      <c r="V396" s="1619" t="n">
        <v>0.1</v>
      </c>
      <c r="W396" s="1622" t="n">
        <v>0.055</v>
      </c>
      <c r="X396" s="1622" t="n">
        <v>0.12</v>
      </c>
      <c r="Y396" s="1623" t="n"/>
      <c r="Z396" s="1622" t="n">
        <v>0.04</v>
      </c>
      <c r="AA396" s="1621">
        <f>U396*(1+V396+W396+X396+Y396+Z396)</f>
        <v>180010.35</v>
      </c>
      <c r="AC396" s="865" t="inlineStr">
        <is>
          <t>Commercial Fuels</t>
        </is>
      </c>
      <c r="AD396" s="865" t="inlineStr">
        <is>
          <t>Trading &amp; Shipping</t>
        </is>
      </c>
      <c r="AE396" s="865" t="inlineStr">
        <is>
          <t>Trading &amp; Shipping</t>
        </is>
      </c>
      <c r="AF396" s="865" t="inlineStr">
        <is>
          <t>Squad</t>
        </is>
      </c>
      <c r="AG396" s="865" t="inlineStr">
        <is>
          <t>Filled</t>
        </is>
      </c>
    </row>
    <row r="397" hidden="1" ht="18" customHeight="1" s="866">
      <c r="A397" s="1566" t="n">
        <v>101157</v>
      </c>
      <c r="B397" s="1382" t="inlineStr">
        <is>
          <t>Jessica Calla</t>
        </is>
      </c>
      <c r="C397" s="1611" t="inlineStr">
        <is>
          <t>System Analyst Card</t>
        </is>
      </c>
      <c r="D397" s="1382" t="inlineStr">
        <is>
          <t>Elle Spencer</t>
        </is>
      </c>
      <c r="E397" s="1382" t="inlineStr">
        <is>
          <t>Technology Manager, Energy Solutions</t>
        </is>
      </c>
      <c r="F397" s="1382" t="inlineStr">
        <is>
          <t>TDD CFE&amp;I</t>
        </is>
      </c>
      <c r="G397" s="1612" t="inlineStr">
        <is>
          <t>B2B &amp; Energy Solutions</t>
        </is>
      </c>
      <c r="H397" s="1612" t="inlineStr">
        <is>
          <t>Technology B2B</t>
        </is>
      </c>
      <c r="I397" s="1612" t="inlineStr">
        <is>
          <t>B2B &amp; Energy Solutions</t>
        </is>
      </c>
      <c r="J397" s="1382" t="inlineStr">
        <is>
          <t>B2B</t>
        </is>
      </c>
      <c r="K397" s="1382" t="inlineStr">
        <is>
          <t>B2B</t>
        </is>
      </c>
      <c r="L397" s="1612" t="n"/>
      <c r="M397" s="1613" t="inlineStr">
        <is>
          <t>Australia</t>
        </is>
      </c>
      <c r="N397" s="1614" t="inlineStr">
        <is>
          <t>CDC</t>
        </is>
      </c>
      <c r="O397" s="1614" t="n">
        <v>1</v>
      </c>
      <c r="P397" s="1614" t="n"/>
      <c r="Q397" s="1614" t="inlineStr">
        <is>
          <t>Permanent - Full Time</t>
        </is>
      </c>
      <c r="R397" s="1616" t="n"/>
      <c r="S397" s="1616" t="n"/>
      <c r="T397" s="1627" t="n">
        <v>104570</v>
      </c>
      <c r="U397" s="1626" t="n">
        <v>104570</v>
      </c>
      <c r="V397" s="1619" t="n">
        <v>0.1</v>
      </c>
      <c r="W397" s="1622" t="n">
        <v>0.055</v>
      </c>
      <c r="X397" s="1622" t="n">
        <v>0.12</v>
      </c>
      <c r="Y397" s="1623" t="n"/>
      <c r="Z397" s="1622" t="n">
        <v>0.04</v>
      </c>
      <c r="AA397" s="1621">
        <f>U397*(1+V397+W397+X397+Y397+Z397)</f>
        <v>137509.55</v>
      </c>
      <c r="AC397" s="865" t="inlineStr">
        <is>
          <t>Energy Solutions &amp; B2B</t>
        </is>
      </c>
      <c r="AD397" s="865" t="inlineStr">
        <is>
          <t>B2B</t>
        </is>
      </c>
      <c r="AE397" s="865" t="inlineStr">
        <is>
          <t>B2B</t>
        </is>
      </c>
      <c r="AF397" s="865" t="inlineStr">
        <is>
          <t>Squad</t>
        </is>
      </c>
      <c r="AG397" s="865" t="inlineStr">
        <is>
          <t>Filled</t>
        </is>
      </c>
    </row>
    <row r="398" hidden="1" ht="18" customHeight="1" s="866">
      <c r="A398" s="1566" t="n">
        <v>105531</v>
      </c>
      <c r="B398" s="1382" t="inlineStr">
        <is>
          <t>Jodi Higgins</t>
        </is>
      </c>
      <c r="C398" s="1611" t="inlineStr">
        <is>
          <t>Delivery Lead</t>
        </is>
      </c>
      <c r="D398" s="1612" t="inlineStr">
        <is>
          <t>Vacant</t>
        </is>
      </c>
      <c r="E398" s="1382" t="inlineStr">
        <is>
          <t>Delivery Manager</t>
        </is>
      </c>
      <c r="F398" s="1382" t="inlineStr">
        <is>
          <t>TDD CFE&amp;I</t>
        </is>
      </c>
      <c r="G398" s="1635" t="inlineStr">
        <is>
          <t>Fuel Infrastructure</t>
        </is>
      </c>
      <c r="H398" s="1612" t="inlineStr">
        <is>
          <t>Fuel Infrastructure, Delivery</t>
        </is>
      </c>
      <c r="I398" s="1612" t="inlineStr">
        <is>
          <t>Infrastructure</t>
        </is>
      </c>
      <c r="J398" s="1612" t="inlineStr">
        <is>
          <t>Distribution</t>
        </is>
      </c>
      <c r="K398" s="1382" t="inlineStr">
        <is>
          <t>Distribution, Sales &amp; Services</t>
        </is>
      </c>
      <c r="L398" s="1612" t="n"/>
      <c r="M398" s="1613" t="inlineStr">
        <is>
          <t>Australia</t>
        </is>
      </c>
      <c r="N398" s="1614" t="inlineStr">
        <is>
          <t>CIC</t>
        </is>
      </c>
      <c r="O398" s="1614" t="n">
        <v>1</v>
      </c>
      <c r="P398" s="1614" t="n"/>
      <c r="Q398" s="1614" t="inlineStr">
        <is>
          <t>Permanent - Full Time</t>
        </is>
      </c>
      <c r="R398" s="1616" t="n"/>
      <c r="S398" s="1616" t="n"/>
      <c r="T398" s="1627" t="n">
        <v>192870</v>
      </c>
      <c r="U398" s="1626" t="n">
        <v>192870</v>
      </c>
      <c r="V398" s="1619" t="n">
        <v>0.12</v>
      </c>
      <c r="W398" s="1622" t="n">
        <v>0.055</v>
      </c>
      <c r="X398" s="1622" t="n">
        <v>0.12</v>
      </c>
      <c r="Y398" s="1623" t="n"/>
      <c r="Z398" s="1622" t="n">
        <v>0.04</v>
      </c>
      <c r="AA398" s="1621">
        <f>U398*(1+V398+W398+X398+Y398+Z398)</f>
        <v>257481.45</v>
      </c>
      <c r="AC398" s="865" t="inlineStr">
        <is>
          <t>Infrastructure</t>
        </is>
      </c>
      <c r="AD398" s="865" t="inlineStr">
        <is>
          <t>Distribution</t>
        </is>
      </c>
      <c r="AE398" s="865" t="inlineStr">
        <is>
          <t>Distribution, Sales &amp; Services</t>
        </is>
      </c>
      <c r="AF398" s="865" t="inlineStr">
        <is>
          <t>Squad</t>
        </is>
      </c>
      <c r="AG398" s="865" t="inlineStr">
        <is>
          <t>Filled</t>
        </is>
      </c>
    </row>
    <row r="399" hidden="1" ht="18" customHeight="1" s="866">
      <c r="A399" s="1566" t="n">
        <v>115847</v>
      </c>
      <c r="B399" s="1382" t="inlineStr">
        <is>
          <t>Jonathan Wong</t>
        </is>
      </c>
      <c r="C399" s="1611" t="inlineStr">
        <is>
          <t>Senior Business Analyst</t>
        </is>
      </c>
      <c r="D399" s="1612" t="inlineStr">
        <is>
          <t>Vacant</t>
        </is>
      </c>
      <c r="E399" s="1382" t="inlineStr">
        <is>
          <t>Technology Manager, Data</t>
        </is>
      </c>
      <c r="F399" s="1382" t="inlineStr">
        <is>
          <t>TDD CFE&amp;I</t>
        </is>
      </c>
      <c r="G399" s="1612" t="inlineStr">
        <is>
          <t>Commercial Fuels</t>
        </is>
      </c>
      <c r="H399" s="1612" t="inlineStr">
        <is>
          <t>Technology, T&amp;S Data</t>
        </is>
      </c>
      <c r="I399" s="1612" t="inlineStr">
        <is>
          <t>Commercial Fuels</t>
        </is>
      </c>
      <c r="J399" s="1612" t="inlineStr">
        <is>
          <t>Trading &amp; Shipping</t>
        </is>
      </c>
      <c r="K399" s="1612" t="inlineStr">
        <is>
          <t>Trading &amp; Shipping Data</t>
        </is>
      </c>
      <c r="L399" s="1612" t="n"/>
      <c r="M399" s="1613" t="inlineStr">
        <is>
          <t>Singapore</t>
        </is>
      </c>
      <c r="N399" s="1614" t="inlineStr">
        <is>
          <t>CIC</t>
        </is>
      </c>
      <c r="O399" s="1614" t="n">
        <v>1</v>
      </c>
      <c r="P399" s="1614" t="n"/>
      <c r="Q399" s="1614" t="inlineStr">
        <is>
          <t>Permanent - Full Time</t>
        </is>
      </c>
      <c r="R399" s="1616" t="n"/>
      <c r="S399" s="1616" t="n"/>
      <c r="T399" s="1627" t="n">
        <v>180000</v>
      </c>
      <c r="U399" s="1626" t="n">
        <v>217800</v>
      </c>
      <c r="V399" s="1619" t="n">
        <v>0.25</v>
      </c>
      <c r="W399" s="1616" t="n"/>
      <c r="X399" s="1619" t="n">
        <v>0.17</v>
      </c>
      <c r="Y399" s="1620" t="n">
        <v>3310</v>
      </c>
      <c r="Z399" s="1638" t="n">
        <v>0.045</v>
      </c>
      <c r="AA399" s="1621">
        <f>U399*(1+V399+X399+Z399)+Y399</f>
        <v>322387</v>
      </c>
      <c r="AC399" s="865" t="inlineStr">
        <is>
          <t>Commercial Fuels</t>
        </is>
      </c>
      <c r="AD399" s="865" t="inlineStr">
        <is>
          <t>Trading &amp; Shipping</t>
        </is>
      </c>
      <c r="AE399" s="865" t="inlineStr">
        <is>
          <t>Trading &amp; Shipping Data</t>
        </is>
      </c>
      <c r="AF399" s="865" t="inlineStr">
        <is>
          <t>Squad</t>
        </is>
      </c>
      <c r="AG399" s="865" t="inlineStr">
        <is>
          <t>Filled</t>
        </is>
      </c>
    </row>
    <row r="400" hidden="1" ht="18" customHeight="1" s="866">
      <c r="A400" s="1566" t="n">
        <v>99999101545</v>
      </c>
      <c r="B400" s="1382" t="inlineStr">
        <is>
          <t>Josh Campbell</t>
        </is>
      </c>
      <c r="C400" s="1611" t="inlineStr">
        <is>
          <t>Engineer Software</t>
        </is>
      </c>
      <c r="D400" s="1612" t="inlineStr">
        <is>
          <t>Vacant</t>
        </is>
      </c>
      <c r="E400" s="1382" t="inlineStr">
        <is>
          <t>Technology Manager, Energy Solutions</t>
        </is>
      </c>
      <c r="F400" s="1382" t="inlineStr">
        <is>
          <t>TDD CFE&amp;I</t>
        </is>
      </c>
      <c r="G400" s="1612" t="inlineStr">
        <is>
          <t>B2B &amp; Energy Solutions</t>
        </is>
      </c>
      <c r="H400" s="1612" t="inlineStr">
        <is>
          <t>Technology Energy Solutions</t>
        </is>
      </c>
      <c r="I400" s="1612" t="inlineStr">
        <is>
          <t>B2B &amp; Energy Solutions</t>
        </is>
      </c>
      <c r="J400" s="1612" t="inlineStr">
        <is>
          <t>Energy Solutions</t>
        </is>
      </c>
      <c r="K400" s="1382" t="inlineStr">
        <is>
          <t>EVCI</t>
        </is>
      </c>
      <c r="L400" s="1612" t="n"/>
      <c r="M400" s="1613" t="inlineStr">
        <is>
          <t>NZ</t>
        </is>
      </c>
      <c r="N400" s="1614" t="inlineStr">
        <is>
          <t>CDB</t>
        </is>
      </c>
      <c r="O400" s="1615" t="n">
        <v>1</v>
      </c>
      <c r="P400" s="1614" t="n"/>
      <c r="Q400" s="1615" t="inlineStr">
        <is>
          <t>Permanent - Full Time</t>
        </is>
      </c>
      <c r="R400" s="1616" t="n"/>
      <c r="S400" s="1616" t="n"/>
      <c r="T400" s="1627" t="n">
        <v>90970</v>
      </c>
      <c r="U400" s="1626" t="n">
        <v>83692.39999999999</v>
      </c>
      <c r="V400" s="1618" t="n">
        <v>0.1</v>
      </c>
      <c r="W400" s="1615" t="n"/>
      <c r="X400" s="1619" t="n">
        <v>0.05</v>
      </c>
      <c r="Y400" s="1620" t="n">
        <v>2910</v>
      </c>
      <c r="Z400" s="1619" t="n">
        <v>0.03</v>
      </c>
      <c r="AA400" s="1621">
        <f>U400*(1+V400+X400+Z400)+Y400</f>
        <v>101667.032</v>
      </c>
      <c r="AB400" s="865" t="n">
        <v>113561</v>
      </c>
      <c r="AC400" s="865" t="inlineStr">
        <is>
          <t>Energy Solutions &amp; B2B</t>
        </is>
      </c>
      <c r="AD400" s="865" t="inlineStr">
        <is>
          <t>Energy Solutions</t>
        </is>
      </c>
      <c r="AE400" s="865" t="inlineStr">
        <is>
          <t>EVCI</t>
        </is>
      </c>
      <c r="AF400" s="865" t="inlineStr">
        <is>
          <t>Squad</t>
        </is>
      </c>
      <c r="AG400" s="865" t="inlineStr">
        <is>
          <t>Filled</t>
        </is>
      </c>
    </row>
    <row r="401" hidden="1" ht="18" customHeight="1" s="866">
      <c r="A401" s="1566" t="n">
        <v>115836</v>
      </c>
      <c r="B401" s="1382" t="inlineStr">
        <is>
          <t>JR Panganiban</t>
        </is>
      </c>
      <c r="C401" s="1611" t="inlineStr">
        <is>
          <t>Technology Support Engineer</t>
        </is>
      </c>
      <c r="D401" s="1382" t="inlineStr">
        <is>
          <t>Allan Francia</t>
        </is>
      </c>
      <c r="E401" s="1382" t="inlineStr">
        <is>
          <t>Technology Manager, T&amp;S</t>
        </is>
      </c>
      <c r="F401" s="1382" t="inlineStr">
        <is>
          <t>TDD CFE&amp;I</t>
        </is>
      </c>
      <c r="G401" s="1612" t="inlineStr">
        <is>
          <t>Commercial Fuels</t>
        </is>
      </c>
      <c r="H401" s="1612" t="inlineStr">
        <is>
          <t>Technology, Trading &amp; Shipping</t>
        </is>
      </c>
      <c r="I401" s="1612" t="inlineStr">
        <is>
          <t>Commercial Fuels</t>
        </is>
      </c>
      <c r="J401" s="1612" t="inlineStr">
        <is>
          <t>Trading &amp; Shipping</t>
        </is>
      </c>
      <c r="K401" s="1382" t="inlineStr">
        <is>
          <t>Trading &amp; Shipping</t>
        </is>
      </c>
      <c r="L401" s="1612" t="n"/>
      <c r="M401" s="1692" t="inlineStr">
        <is>
          <t>USA</t>
        </is>
      </c>
      <c r="N401" s="1614" t="inlineStr">
        <is>
          <t>CIA</t>
        </is>
      </c>
      <c r="O401" s="1614" t="n">
        <v>1</v>
      </c>
      <c r="P401" s="1614" t="n"/>
      <c r="Q401" s="1614" t="inlineStr">
        <is>
          <t>Permanent - Full Time</t>
        </is>
      </c>
      <c r="R401" s="1616" t="n"/>
      <c r="S401" s="1616" t="n"/>
      <c r="T401" s="1693" t="n">
        <v>92000</v>
      </c>
      <c r="U401" s="1694" t="n">
        <v>140760</v>
      </c>
      <c r="V401" s="1616" t="n">
        <v>0</v>
      </c>
      <c r="W401" s="1616" t="n">
        <v>0</v>
      </c>
      <c r="X401" s="1619" t="n">
        <v>0</v>
      </c>
      <c r="Y401" s="1612" t="n">
        <v>0</v>
      </c>
      <c r="Z401" s="1619" t="n">
        <v>0.04</v>
      </c>
      <c r="AA401" s="1621">
        <f>U401*(1+V401+W401+X401+Y401+Z401)</f>
        <v>146390.4</v>
      </c>
      <c r="AC401" s="865" t="inlineStr">
        <is>
          <t>Commercial Fuels</t>
        </is>
      </c>
      <c r="AD401" s="865" t="inlineStr">
        <is>
          <t>Trading &amp; Shipping</t>
        </is>
      </c>
      <c r="AE401" s="865" t="inlineStr">
        <is>
          <t>Trading &amp; Shipping</t>
        </is>
      </c>
      <c r="AF401" s="865" t="inlineStr">
        <is>
          <t>Squad</t>
        </is>
      </c>
      <c r="AG401" s="865" t="inlineStr">
        <is>
          <t>Filled</t>
        </is>
      </c>
    </row>
    <row r="402" hidden="1" ht="18" customHeight="1" s="866">
      <c r="A402" s="1583" t="n">
        <v>11661</v>
      </c>
      <c r="B402" s="1689" t="inlineStr">
        <is>
          <t>Kevin Li</t>
        </is>
      </c>
      <c r="C402" s="1695" t="inlineStr">
        <is>
          <t>System Specialist</t>
        </is>
      </c>
      <c r="D402" s="1690" t="inlineStr">
        <is>
          <t>Allan Francia</t>
        </is>
      </c>
      <c r="E402" s="1584" t="inlineStr">
        <is>
          <t>Technology Manager, T&amp;S</t>
        </is>
      </c>
      <c r="F402" s="1584" t="inlineStr">
        <is>
          <t>TDD CFE&amp;I</t>
        </is>
      </c>
      <c r="G402" s="1690" t="inlineStr">
        <is>
          <t>Commercial Fuels</t>
        </is>
      </c>
      <c r="H402" s="1690" t="inlineStr">
        <is>
          <t>Technology, Trading &amp; Shipping</t>
        </is>
      </c>
      <c r="I402" s="1690" t="inlineStr">
        <is>
          <t>Commercial Fuels</t>
        </is>
      </c>
      <c r="J402" s="1690" t="inlineStr">
        <is>
          <t>Trading &amp; Shipping</t>
        </is>
      </c>
      <c r="K402" s="1690" t="inlineStr">
        <is>
          <t>Trading &amp; Shipping</t>
        </is>
      </c>
      <c r="L402" s="1690" t="n"/>
      <c r="M402" s="1696" t="inlineStr">
        <is>
          <t>Australia</t>
        </is>
      </c>
      <c r="N402" s="1632" t="inlineStr">
        <is>
          <t>CIA</t>
        </is>
      </c>
      <c r="O402" s="1632" t="n">
        <v>1</v>
      </c>
      <c r="P402" s="1632" t="n"/>
      <c r="Q402" s="1632" t="inlineStr">
        <is>
          <t>Permanent - Full Time</t>
        </is>
      </c>
      <c r="R402" s="1632" t="n"/>
      <c r="S402" s="1632" t="n"/>
      <c r="T402" s="1697" t="n">
        <v>136860</v>
      </c>
      <c r="U402" s="1698" t="n">
        <v>136860</v>
      </c>
      <c r="V402" s="1699" t="n">
        <v>0.1</v>
      </c>
      <c r="W402" s="1700" t="n">
        <v>0.055</v>
      </c>
      <c r="X402" s="1700" t="n">
        <v>0.12</v>
      </c>
      <c r="Y402" s="1701" t="n"/>
      <c r="Z402" s="1700" t="n">
        <v>0.04</v>
      </c>
      <c r="AA402" s="1702">
        <f>U402*(1+V402+W402+X402+Y402+Z402)</f>
        <v>179970.9</v>
      </c>
      <c r="AB402" s="1637" t="n"/>
      <c r="AC402" s="1637" t="inlineStr">
        <is>
          <t>Commercial Fuels</t>
        </is>
      </c>
      <c r="AD402" s="865" t="inlineStr">
        <is>
          <t>Trading &amp; Shipping</t>
        </is>
      </c>
      <c r="AE402" s="865" t="inlineStr">
        <is>
          <t>Trading &amp; Shipping</t>
        </is>
      </c>
      <c r="AF402" s="865" t="inlineStr">
        <is>
          <t>Squad</t>
        </is>
      </c>
      <c r="AG402" s="865" t="inlineStr">
        <is>
          <t>Filled</t>
        </is>
      </c>
    </row>
    <row r="403" hidden="1" ht="18" customHeight="1" s="866">
      <c r="A403" s="1566" t="n">
        <v>110044</v>
      </c>
      <c r="B403" s="1382" t="inlineStr">
        <is>
          <t>Kevin Nelson</t>
        </is>
      </c>
      <c r="C403" s="1611" t="inlineStr">
        <is>
          <t>Delivery Lead</t>
        </is>
      </c>
      <c r="D403" s="1612" t="inlineStr">
        <is>
          <t>Vacant</t>
        </is>
      </c>
      <c r="E403" s="1382" t="inlineStr">
        <is>
          <t>Delivery Manager</t>
        </is>
      </c>
      <c r="F403" s="1382" t="inlineStr">
        <is>
          <t>TDD CFE&amp;I</t>
        </is>
      </c>
      <c r="G403" s="1635" t="inlineStr">
        <is>
          <t>Fuel Infrastructure</t>
        </is>
      </c>
      <c r="H403" s="1612" t="inlineStr">
        <is>
          <t>Fuel Infrastructure, Delivery</t>
        </is>
      </c>
      <c r="I403" s="1612" t="inlineStr">
        <is>
          <t>RETAIL</t>
        </is>
      </c>
      <c r="J403" s="1612" t="inlineStr">
        <is>
          <t>AMPOS</t>
        </is>
      </c>
      <c r="K403" s="1382" t="inlineStr">
        <is>
          <t>AmPos</t>
        </is>
      </c>
      <c r="L403" s="1612" t="n"/>
      <c r="M403" s="1613" t="inlineStr">
        <is>
          <t>Australia</t>
        </is>
      </c>
      <c r="N403" s="1614" t="inlineStr">
        <is>
          <t>CIC</t>
        </is>
      </c>
      <c r="O403" s="1614" t="n">
        <v>1</v>
      </c>
      <c r="P403" s="1614" t="n"/>
      <c r="Q403" s="1614" t="inlineStr">
        <is>
          <t>Permanent - Full Time</t>
        </is>
      </c>
      <c r="R403" s="1616" t="n"/>
      <c r="S403" s="1616" t="n"/>
      <c r="T403" s="1627" t="n">
        <v>189620</v>
      </c>
      <c r="U403" s="1626" t="n">
        <v>189620</v>
      </c>
      <c r="V403" s="1619" t="n">
        <v>0.12</v>
      </c>
      <c r="W403" s="1622" t="n">
        <v>0.055</v>
      </c>
      <c r="X403" s="1622" t="n">
        <v>0.12</v>
      </c>
      <c r="Y403" s="1623" t="n"/>
      <c r="Z403" s="1622" t="n">
        <v>0.04</v>
      </c>
      <c r="AA403" s="1621">
        <f>U403*(1+V403+W403+X403+Y403+Z403)</f>
        <v>253142.7</v>
      </c>
      <c r="AC403" s="865" t="inlineStr">
        <is>
          <t>Ampol Retail</t>
        </is>
      </c>
      <c r="AD403" s="865" t="inlineStr">
        <is>
          <t>AmPOS</t>
        </is>
      </c>
      <c r="AE403" s="865" t="inlineStr">
        <is>
          <t>AmPOS</t>
        </is>
      </c>
      <c r="AF403" s="865" t="inlineStr">
        <is>
          <t>Strategic Program</t>
        </is>
      </c>
      <c r="AG403" s="865" t="inlineStr">
        <is>
          <t>Filled</t>
        </is>
      </c>
    </row>
    <row r="404" hidden="1" ht="18" customHeight="1" s="866">
      <c r="A404" s="1566" t="n">
        <v>115723</v>
      </c>
      <c r="B404" s="1382" t="inlineStr">
        <is>
          <t>Kumar Siva</t>
        </is>
      </c>
      <c r="C404" s="1611" t="inlineStr">
        <is>
          <t>Lead engineer Data</t>
        </is>
      </c>
      <c r="D404" s="1612" t="inlineStr">
        <is>
          <t>Vacant</t>
        </is>
      </c>
      <c r="E404" s="1382" t="inlineStr">
        <is>
          <t>Technology Manager, Data</t>
        </is>
      </c>
      <c r="F404" s="1382" t="inlineStr">
        <is>
          <t>TDD CFE&amp;I</t>
        </is>
      </c>
      <c r="G404" s="1612" t="inlineStr">
        <is>
          <t>Commercial Fuels</t>
        </is>
      </c>
      <c r="H404" s="1612" t="inlineStr">
        <is>
          <t>Technology, T&amp;S Data</t>
        </is>
      </c>
      <c r="I404" s="1612" t="inlineStr">
        <is>
          <t>Commercial Fuels</t>
        </is>
      </c>
      <c r="J404" s="1612" t="inlineStr">
        <is>
          <t>Trading &amp; Shipping</t>
        </is>
      </c>
      <c r="K404" s="1612" t="inlineStr">
        <is>
          <t>Trading &amp; Shipping Data</t>
        </is>
      </c>
      <c r="L404" s="1612" t="n"/>
      <c r="M404" s="1613" t="inlineStr">
        <is>
          <t>Singapore</t>
        </is>
      </c>
      <c r="N404" s="1614" t="inlineStr">
        <is>
          <t>CIC</t>
        </is>
      </c>
      <c r="O404" s="1614" t="n">
        <v>1</v>
      </c>
      <c r="P404" s="1614" t="n"/>
      <c r="Q404" s="1614" t="inlineStr">
        <is>
          <t>Permanent - Full Time</t>
        </is>
      </c>
      <c r="R404" s="1616" t="n"/>
      <c r="S404" s="1616" t="n"/>
      <c r="T404" s="1627" t="n">
        <v>210000</v>
      </c>
      <c r="U404" s="1626" t="n">
        <v>254100</v>
      </c>
      <c r="V404" s="1619" t="n">
        <v>0.25</v>
      </c>
      <c r="W404" s="1616" t="n"/>
      <c r="X404" s="1619" t="n">
        <v>0.17</v>
      </c>
      <c r="Y404" s="1620" t="n">
        <v>3310</v>
      </c>
      <c r="Z404" s="1638" t="n">
        <v>0.045</v>
      </c>
      <c r="AA404" s="1621">
        <f>U404*(1+V404+X404+Z404)+Y404</f>
        <v>375566.5</v>
      </c>
      <c r="AC404" s="865" t="inlineStr">
        <is>
          <t>Commercial Fuels</t>
        </is>
      </c>
      <c r="AD404" s="865" t="inlineStr">
        <is>
          <t>Trading &amp; Shipping</t>
        </is>
      </c>
      <c r="AE404" s="865" t="inlineStr">
        <is>
          <t>Trading &amp; Shipping Data</t>
        </is>
      </c>
      <c r="AF404" s="865" t="inlineStr">
        <is>
          <t>Squad</t>
        </is>
      </c>
      <c r="AG404" s="865" t="inlineStr">
        <is>
          <t>Filled</t>
        </is>
      </c>
    </row>
    <row r="405" hidden="1" ht="18" customHeight="1" s="866">
      <c r="A405" s="1566" t="n">
        <v>99999101421</v>
      </c>
      <c r="B405" s="1382" t="inlineStr">
        <is>
          <t>Lana Wagner</t>
        </is>
      </c>
      <c r="C405" s="1611" t="inlineStr">
        <is>
          <t>Senior Business Analyst</t>
        </is>
      </c>
      <c r="D405" s="1612" t="inlineStr">
        <is>
          <t>Vacant</t>
        </is>
      </c>
      <c r="E405" s="1382" t="inlineStr">
        <is>
          <t>Delivery Manager</t>
        </is>
      </c>
      <c r="F405" s="1382" t="inlineStr">
        <is>
          <t>TDD CFE&amp;I</t>
        </is>
      </c>
      <c r="G405" s="1612" t="inlineStr">
        <is>
          <t>B2B &amp; Energy Solutions</t>
        </is>
      </c>
      <c r="H405" s="1612" t="inlineStr">
        <is>
          <t>Delivery</t>
        </is>
      </c>
      <c r="I405" s="1612" t="inlineStr">
        <is>
          <t>B2B &amp; Energy Solutions</t>
        </is>
      </c>
      <c r="J405" s="1612" t="inlineStr">
        <is>
          <t>Energy Solutions</t>
        </is>
      </c>
      <c r="K405" s="1382" t="inlineStr">
        <is>
          <t>EVCI</t>
        </is>
      </c>
      <c r="L405" s="1612" t="n"/>
      <c r="M405" s="1613" t="inlineStr">
        <is>
          <t>NZ</t>
        </is>
      </c>
      <c r="N405" s="1614" t="inlineStr">
        <is>
          <t>CIA</t>
        </is>
      </c>
      <c r="O405" s="1615" t="n">
        <v>1</v>
      </c>
      <c r="P405" s="1614" t="n"/>
      <c r="Q405" s="1615" t="inlineStr">
        <is>
          <t>Permanent - Full Time</t>
        </is>
      </c>
      <c r="R405" s="1616" t="n"/>
      <c r="S405" s="1616" t="n"/>
      <c r="T405" s="1627" t="n">
        <v>137720</v>
      </c>
      <c r="U405" s="1626" t="n">
        <v>126702.4</v>
      </c>
      <c r="V405" s="1618" t="n">
        <v>0.15</v>
      </c>
      <c r="W405" s="1616" t="n"/>
      <c r="X405" s="1619" t="n">
        <v>0.05</v>
      </c>
      <c r="Y405" s="1620" t="n">
        <v>2910</v>
      </c>
      <c r="Z405" s="1619" t="n">
        <v>0.03</v>
      </c>
      <c r="AA405" s="1621">
        <f>U405*(1+V405+X405+Z405)+Y405</f>
        <v>158753.952</v>
      </c>
      <c r="AB405" s="865" t="n">
        <v>113570</v>
      </c>
      <c r="AC405" s="865" t="inlineStr">
        <is>
          <t>Energy Solutions &amp; B2B</t>
        </is>
      </c>
      <c r="AD405" s="865" t="inlineStr">
        <is>
          <t>Energy Solutions</t>
        </is>
      </c>
      <c r="AE405" s="865" t="inlineStr">
        <is>
          <t>EVCI</t>
        </is>
      </c>
      <c r="AF405" s="865" t="inlineStr">
        <is>
          <t>Squad</t>
        </is>
      </c>
      <c r="AG405" s="865" t="inlineStr">
        <is>
          <t>Filled</t>
        </is>
      </c>
    </row>
    <row r="406" hidden="1" ht="18" customHeight="1" s="866">
      <c r="A406" s="1566" t="n">
        <v>99999101325</v>
      </c>
      <c r="B406" s="1382" t="inlineStr">
        <is>
          <t>Laura Roberts</t>
        </is>
      </c>
      <c r="C406" s="1611" t="inlineStr">
        <is>
          <t>Senior Engineer Software</t>
        </is>
      </c>
      <c r="D406" s="1612" t="inlineStr">
        <is>
          <t>Vacant</t>
        </is>
      </c>
      <c r="E406" s="1382" t="inlineStr">
        <is>
          <t>Technology Manager, Engineering</t>
        </is>
      </c>
      <c r="F406" s="1382" t="inlineStr">
        <is>
          <t>TDD CFE&amp;I</t>
        </is>
      </c>
      <c r="G406" s="1612" t="inlineStr">
        <is>
          <t>Commercial Fuels</t>
        </is>
      </c>
      <c r="H406" s="1612" t="inlineStr">
        <is>
          <t>Technology, CF Engineering</t>
        </is>
      </c>
      <c r="I406" s="1612" t="inlineStr">
        <is>
          <t>Commercial Fuels</t>
        </is>
      </c>
      <c r="J406" s="1382" t="inlineStr">
        <is>
          <t>CTRM</t>
        </is>
      </c>
      <c r="K406" s="1382" t="inlineStr">
        <is>
          <t>CTRM</t>
        </is>
      </c>
      <c r="L406" s="1612" t="n"/>
      <c r="M406" s="1613" t="inlineStr">
        <is>
          <t>NZ</t>
        </is>
      </c>
      <c r="N406" s="1614" t="inlineStr">
        <is>
          <t>CIA</t>
        </is>
      </c>
      <c r="O406" s="1615" t="n">
        <v>1</v>
      </c>
      <c r="P406" s="1614" t="n"/>
      <c r="Q406" s="1615" t="inlineStr">
        <is>
          <t>Permanent - Full Time</t>
        </is>
      </c>
      <c r="R406" s="1616" t="n"/>
      <c r="S406" s="1616" t="n"/>
      <c r="T406" s="1627" t="n">
        <v>135720</v>
      </c>
      <c r="U406" s="1626" t="n">
        <v>124862.4</v>
      </c>
      <c r="V406" s="1618" t="n">
        <v>0.15</v>
      </c>
      <c r="W406" s="1616" t="n"/>
      <c r="X406" s="1619" t="n">
        <v>0.05</v>
      </c>
      <c r="Y406" s="1620" t="n">
        <v>2910</v>
      </c>
      <c r="Z406" s="1619" t="n">
        <v>0.03</v>
      </c>
      <c r="AA406" s="1621">
        <f>U406*(1+V406+X406+Z406)+Y406</f>
        <v>156490.752</v>
      </c>
      <c r="AB406" s="865" t="n">
        <v>113571</v>
      </c>
      <c r="AC406" s="865" t="inlineStr">
        <is>
          <t>Commercial Fuels</t>
        </is>
      </c>
      <c r="AD406" s="865" t="inlineStr">
        <is>
          <t>CTRM</t>
        </is>
      </c>
      <c r="AE406" s="865" t="inlineStr">
        <is>
          <t>CTRM</t>
        </is>
      </c>
      <c r="AF406" s="865" t="inlineStr">
        <is>
          <t>Strategic Program</t>
        </is>
      </c>
      <c r="AG406" s="865" t="inlineStr">
        <is>
          <t>Filled</t>
        </is>
      </c>
    </row>
    <row r="407" hidden="1" ht="18" customHeight="1" s="866">
      <c r="A407" s="1566" t="n">
        <v>6511</v>
      </c>
      <c r="B407" s="1382" t="inlineStr">
        <is>
          <t>Leo Machin</t>
        </is>
      </c>
      <c r="C407" s="1611" t="inlineStr">
        <is>
          <t>Lead Engineer Applications</t>
        </is>
      </c>
      <c r="D407" s="1382" t="inlineStr">
        <is>
          <t>Allan Francia</t>
        </is>
      </c>
      <c r="E407" s="1382" t="inlineStr">
        <is>
          <t>Technology Manager, T&amp;S</t>
        </is>
      </c>
      <c r="F407" s="1382" t="inlineStr">
        <is>
          <t>TDD CFE&amp;I</t>
        </is>
      </c>
      <c r="G407" s="1612" t="inlineStr">
        <is>
          <t>Commercial Fuels</t>
        </is>
      </c>
      <c r="H407" s="1612" t="inlineStr">
        <is>
          <t>Technology, Trading &amp; Shipping</t>
        </is>
      </c>
      <c r="I407" s="1612" t="inlineStr">
        <is>
          <t>Commercial Fuels</t>
        </is>
      </c>
      <c r="J407" s="1612" t="inlineStr">
        <is>
          <t>Trading &amp; Shipping</t>
        </is>
      </c>
      <c r="K407" s="1382" t="inlineStr">
        <is>
          <t>Trading &amp; Shipping</t>
        </is>
      </c>
      <c r="L407" s="1612" t="n"/>
      <c r="M407" s="1613" t="inlineStr">
        <is>
          <t>Australia</t>
        </is>
      </c>
      <c r="N407" s="1616" t="inlineStr">
        <is>
          <t>CIB</t>
        </is>
      </c>
      <c r="O407" s="1616" t="n">
        <v>1</v>
      </c>
      <c r="P407" s="1616" t="n"/>
      <c r="Q407" s="1616" t="inlineStr">
        <is>
          <t>Permanent - Full Time</t>
        </is>
      </c>
      <c r="R407" s="1616" t="n"/>
      <c r="S407" s="1616" t="n"/>
      <c r="T407" s="1627" t="n">
        <v>159220</v>
      </c>
      <c r="U407" s="1626" t="n">
        <v>159220</v>
      </c>
      <c r="V407" s="1619" t="n">
        <v>0.12</v>
      </c>
      <c r="W407" s="1622" t="n">
        <v>0.055</v>
      </c>
      <c r="X407" s="1622" t="n">
        <v>0.12</v>
      </c>
      <c r="Y407" s="1623" t="n"/>
      <c r="Z407" s="1622" t="n">
        <v>0.04</v>
      </c>
      <c r="AA407" s="1621">
        <f>U407*(1+V407+W407+X407+Y407+Z407)</f>
        <v>212558.7</v>
      </c>
      <c r="AC407" s="865" t="inlineStr">
        <is>
          <t>Commercial Fuels</t>
        </is>
      </c>
      <c r="AD407" s="865" t="inlineStr">
        <is>
          <t>Trading &amp; Shipping</t>
        </is>
      </c>
      <c r="AE407" s="865" t="inlineStr">
        <is>
          <t>Trading &amp; Shipping</t>
        </is>
      </c>
      <c r="AF407" s="865" t="inlineStr">
        <is>
          <t>Squad</t>
        </is>
      </c>
      <c r="AG407" s="865" t="inlineStr">
        <is>
          <t>Filled</t>
        </is>
      </c>
    </row>
    <row r="408" hidden="1" ht="18" customHeight="1" s="866">
      <c r="A408" s="1566" t="n">
        <v>99999101304</v>
      </c>
      <c r="B408" s="1382" t="inlineStr">
        <is>
          <t>Liesl Tye</t>
        </is>
      </c>
      <c r="C408" s="1611" t="inlineStr">
        <is>
          <t>Head of Technology, B2B &amp; Energy Solutions</t>
        </is>
      </c>
      <c r="D408" s="1382" t="inlineStr">
        <is>
          <t xml:space="preserve">Roanne Steele </t>
        </is>
      </c>
      <c r="E408" s="1382" t="inlineStr">
        <is>
          <t>GM TDD, CFE&amp;I</t>
        </is>
      </c>
      <c r="F408" s="1382" t="inlineStr">
        <is>
          <t>TDD CFE&amp;I</t>
        </is>
      </c>
      <c r="G408" s="1612" t="inlineStr">
        <is>
          <t>B2B &amp; Energy Solutions</t>
        </is>
      </c>
      <c r="H408" s="1612" t="inlineStr">
        <is>
          <t>Leadership</t>
        </is>
      </c>
      <c r="I408" s="1612" t="inlineStr">
        <is>
          <t>B2B &amp; Energy Solutions</t>
        </is>
      </c>
      <c r="J408" s="1612" t="inlineStr">
        <is>
          <t>Leadership</t>
        </is>
      </c>
      <c r="K408" s="1382" t="inlineStr">
        <is>
          <t>Leadership</t>
        </is>
      </c>
      <c r="L408" s="1612" t="n"/>
      <c r="M408" s="1613" t="inlineStr">
        <is>
          <t>NZ</t>
        </is>
      </c>
      <c r="N408" s="1614" t="inlineStr">
        <is>
          <t>CSC</t>
        </is>
      </c>
      <c r="O408" s="1615" t="n">
        <v>1</v>
      </c>
      <c r="P408" s="1614" t="n"/>
      <c r="Q408" s="1615" t="inlineStr">
        <is>
          <t>Permanent - Full Time</t>
        </is>
      </c>
      <c r="R408" s="1616" t="n"/>
      <c r="S408" s="1616" t="n"/>
      <c r="T408" s="1627" t="n">
        <v>230000</v>
      </c>
      <c r="U408" s="1626" t="n">
        <v>211600</v>
      </c>
      <c r="V408" s="1618" t="n">
        <v>0.2</v>
      </c>
      <c r="W408" s="1616" t="n"/>
      <c r="X408" s="1619" t="n">
        <v>0.05</v>
      </c>
      <c r="Y408" s="1620" t="n">
        <v>2910</v>
      </c>
      <c r="Z408" s="1619" t="n">
        <v>0.03</v>
      </c>
      <c r="AA408" s="1621">
        <f>U408*(1+V408+X408+Z408)+Y408</f>
        <v>273758</v>
      </c>
      <c r="AB408" s="865" t="n">
        <v>113574</v>
      </c>
      <c r="AC408" s="865" t="inlineStr">
        <is>
          <t>Energy Solutions &amp; B2B</t>
        </is>
      </c>
      <c r="AD408" s="865" t="inlineStr">
        <is>
          <t>Leadership</t>
        </is>
      </c>
      <c r="AE408" s="865" t="inlineStr">
        <is>
          <t>Leadership</t>
        </is>
      </c>
      <c r="AF408" s="865" t="inlineStr">
        <is>
          <t>Leadership</t>
        </is>
      </c>
      <c r="AG408" s="865" t="inlineStr">
        <is>
          <t>Filled</t>
        </is>
      </c>
    </row>
    <row r="409" hidden="1" ht="18" customHeight="1" s="866">
      <c r="A409" s="1566" t="n">
        <v>105799</v>
      </c>
      <c r="B409" s="1382" t="inlineStr">
        <is>
          <t>Lindsay Baipas</t>
        </is>
      </c>
      <c r="C409" s="1611" t="inlineStr">
        <is>
          <t>System Analyst Card</t>
        </is>
      </c>
      <c r="D409" s="1382" t="inlineStr">
        <is>
          <t>Elle Spencer</t>
        </is>
      </c>
      <c r="E409" s="1382" t="inlineStr">
        <is>
          <t>Technology Manager, Energy Solutions</t>
        </is>
      </c>
      <c r="F409" s="1382" t="inlineStr">
        <is>
          <t>TDD CFE&amp;I</t>
        </is>
      </c>
      <c r="G409" s="1612" t="inlineStr">
        <is>
          <t>B2B &amp; Energy Solutions</t>
        </is>
      </c>
      <c r="H409" s="1612" t="inlineStr">
        <is>
          <t>Technology B2B</t>
        </is>
      </c>
      <c r="I409" s="1612" t="inlineStr">
        <is>
          <t>B2B &amp; Energy Solutions</t>
        </is>
      </c>
      <c r="J409" s="1382" t="inlineStr">
        <is>
          <t>B2B</t>
        </is>
      </c>
      <c r="K409" s="1382" t="inlineStr">
        <is>
          <t>B2B</t>
        </is>
      </c>
      <c r="L409" s="1612" t="n"/>
      <c r="M409" s="1613" t="inlineStr">
        <is>
          <t>Australia</t>
        </is>
      </c>
      <c r="N409" s="1614" t="inlineStr">
        <is>
          <t>CIA</t>
        </is>
      </c>
      <c r="O409" s="1614" t="n">
        <v>1</v>
      </c>
      <c r="P409" s="1614" t="n"/>
      <c r="Q409" s="1614" t="inlineStr">
        <is>
          <t>Permanent - Full Time</t>
        </is>
      </c>
      <c r="R409" s="1616" t="n"/>
      <c r="S409" s="1616" t="n"/>
      <c r="T409" s="1627" t="n">
        <v>144720</v>
      </c>
      <c r="U409" s="1626" t="n">
        <v>144720</v>
      </c>
      <c r="V409" s="1619" t="n">
        <v>0.1</v>
      </c>
      <c r="W409" s="1622" t="n">
        <v>0.055</v>
      </c>
      <c r="X409" s="1622" t="n">
        <v>0.12</v>
      </c>
      <c r="Y409" s="1623" t="n"/>
      <c r="Z409" s="1622" t="n">
        <v>0.04</v>
      </c>
      <c r="AA409" s="1621">
        <f>U409*(1+V409+W409+X409+Y409+Z409)</f>
        <v>190306.8</v>
      </c>
      <c r="AC409" s="865" t="inlineStr">
        <is>
          <t>Energy Solutions &amp; B2B</t>
        </is>
      </c>
      <c r="AD409" s="865" t="inlineStr">
        <is>
          <t>B2B</t>
        </is>
      </c>
      <c r="AE409" s="865" t="inlineStr">
        <is>
          <t>B2B</t>
        </is>
      </c>
      <c r="AF409" s="865" t="inlineStr">
        <is>
          <t>Squad</t>
        </is>
      </c>
      <c r="AG409" s="865" t="inlineStr">
        <is>
          <t>Filled</t>
        </is>
      </c>
    </row>
    <row r="410" hidden="1" ht="18" customHeight="1" s="866">
      <c r="A410" s="1566" t="n">
        <v>105488</v>
      </c>
      <c r="B410" s="1382" t="inlineStr">
        <is>
          <t>Louis Ballington</t>
        </is>
      </c>
      <c r="C410" s="1611" t="inlineStr">
        <is>
          <t>Delivery Lead</t>
        </is>
      </c>
      <c r="D410" s="1612" t="inlineStr">
        <is>
          <t>Vacant</t>
        </is>
      </c>
      <c r="E410" s="1382" t="inlineStr">
        <is>
          <t>Delivery Manager</t>
        </is>
      </c>
      <c r="F410" s="1382" t="inlineStr">
        <is>
          <t>TDD CFE&amp;I</t>
        </is>
      </c>
      <c r="G410" s="1635" t="inlineStr">
        <is>
          <t>Fuel Infrastructure</t>
        </is>
      </c>
      <c r="H410" s="1612" t="inlineStr">
        <is>
          <t>Fuel Infrastructure, Delivery</t>
        </is>
      </c>
      <c r="I410" s="1612" t="inlineStr">
        <is>
          <t>Infrastructure</t>
        </is>
      </c>
      <c r="J410" s="1612" t="inlineStr">
        <is>
          <t>Manufacturing</t>
        </is>
      </c>
      <c r="K410" s="1382" t="inlineStr">
        <is>
          <t>Manufacturing Group Projects</t>
        </is>
      </c>
      <c r="L410" s="1612" t="n"/>
      <c r="M410" s="1613" t="inlineStr">
        <is>
          <t>Australia</t>
        </is>
      </c>
      <c r="N410" s="1614" t="inlineStr">
        <is>
          <t>CIC</t>
        </is>
      </c>
      <c r="O410" s="1614" t="n">
        <v>1</v>
      </c>
      <c r="P410" s="1614" t="n"/>
      <c r="Q410" s="1614" t="inlineStr">
        <is>
          <t>Permanent - Full Time</t>
        </is>
      </c>
      <c r="R410" s="1616" t="n"/>
      <c r="S410" s="1616" t="n"/>
      <c r="T410" s="1627" t="n">
        <v>192110</v>
      </c>
      <c r="U410" s="1626" t="n">
        <v>192110</v>
      </c>
      <c r="V410" s="1619" t="n">
        <v>0.12</v>
      </c>
      <c r="W410" s="1622" t="n">
        <v>0.055</v>
      </c>
      <c r="X410" s="1622" t="n">
        <v>0.12</v>
      </c>
      <c r="Y410" s="1623" t="n"/>
      <c r="Z410" s="1622" t="n">
        <v>0.04</v>
      </c>
      <c r="AA410" s="1621">
        <f>U410*(1+V410+W410+X410+Y410+Z410)</f>
        <v>256466.85</v>
      </c>
      <c r="AC410" s="865" t="inlineStr">
        <is>
          <t>Infrastructure</t>
        </is>
      </c>
      <c r="AD410" s="865" t="inlineStr">
        <is>
          <t>Manufacturing</t>
        </is>
      </c>
      <c r="AE410" s="865" t="inlineStr">
        <is>
          <t>Manufacturing &amp; Group Projects</t>
        </is>
      </c>
      <c r="AF410" s="865" t="inlineStr">
        <is>
          <t>Squad</t>
        </is>
      </c>
      <c r="AG410" s="865" t="inlineStr">
        <is>
          <t>Filled</t>
        </is>
      </c>
    </row>
    <row r="411" hidden="1" ht="18" customHeight="1" s="866">
      <c r="A411" s="1566" t="n">
        <v>8367</v>
      </c>
      <c r="B411" s="1382" t="inlineStr">
        <is>
          <t>Marcela Gonzalez</t>
        </is>
      </c>
      <c r="C411" s="1611" t="inlineStr">
        <is>
          <t>Energy Platforms Lead</t>
        </is>
      </c>
      <c r="D411" s="1612" t="inlineStr">
        <is>
          <t>Vacant</t>
        </is>
      </c>
      <c r="E411" s="1382" t="inlineStr">
        <is>
          <t>Technology Manager, Energy Solutions</t>
        </is>
      </c>
      <c r="F411" s="1382" t="inlineStr">
        <is>
          <t>TDD CFE&amp;I</t>
        </is>
      </c>
      <c r="G411" s="1612" t="inlineStr">
        <is>
          <t>B2B &amp; Energy Solutions</t>
        </is>
      </c>
      <c r="H411" s="1612" t="inlineStr">
        <is>
          <t>Technology Energy Solutions</t>
        </is>
      </c>
      <c r="I411" s="1612" t="inlineStr">
        <is>
          <t>B2B &amp; Energy Solutions</t>
        </is>
      </c>
      <c r="J411" s="1612" t="inlineStr">
        <is>
          <t>Energy Solutions</t>
        </is>
      </c>
      <c r="K411" s="1382" t="inlineStr">
        <is>
          <t>Energy</t>
        </is>
      </c>
      <c r="L411" s="1612" t="n"/>
      <c r="M411" s="1613" t="inlineStr">
        <is>
          <t>Australia</t>
        </is>
      </c>
      <c r="N411" s="1616" t="inlineStr">
        <is>
          <t>cic</t>
        </is>
      </c>
      <c r="O411" s="1616" t="n">
        <v>1</v>
      </c>
      <c r="P411" s="1616" t="n"/>
      <c r="Q411" s="1616" t="inlineStr">
        <is>
          <t>Permanent - Full Time</t>
        </is>
      </c>
      <c r="R411" s="1616" t="n"/>
      <c r="S411" s="1616" t="n"/>
      <c r="T411" s="1627" t="n">
        <v>187730</v>
      </c>
      <c r="U411" s="1626" t="n">
        <v>187730</v>
      </c>
      <c r="V411" s="1619" t="n">
        <v>0.12</v>
      </c>
      <c r="W411" s="1622" t="n">
        <v>0.055</v>
      </c>
      <c r="X411" s="1622" t="n">
        <v>0.12</v>
      </c>
      <c r="Y411" s="1623" t="n"/>
      <c r="Z411" s="1622" t="n">
        <v>0.04</v>
      </c>
      <c r="AA411" s="1621">
        <f>U411*(1+V411+W411+X411+Y411+Z411)</f>
        <v>250619.55</v>
      </c>
      <c r="AC411" s="865" t="inlineStr">
        <is>
          <t>Energy Solutions &amp; B2B</t>
        </is>
      </c>
      <c r="AD411" s="865" t="inlineStr">
        <is>
          <t>Energy Solutions</t>
        </is>
      </c>
      <c r="AE411" s="865" t="inlineStr">
        <is>
          <t>Energy</t>
        </is>
      </c>
      <c r="AF411" s="865" t="inlineStr">
        <is>
          <t>Squad</t>
        </is>
      </c>
      <c r="AG411" s="865" t="inlineStr">
        <is>
          <t>Filled</t>
        </is>
      </c>
    </row>
    <row r="412" hidden="1" ht="18" customHeight="1" s="866">
      <c r="A412" s="1566" t="n">
        <v>85491</v>
      </c>
      <c r="B412" s="1382" t="inlineStr">
        <is>
          <t>Mick DaSilva</t>
        </is>
      </c>
      <c r="C412" s="1611" t="inlineStr">
        <is>
          <t>Senior Business Analyst</t>
        </is>
      </c>
      <c r="D412" s="1612" t="inlineStr">
        <is>
          <t>Vacant</t>
        </is>
      </c>
      <c r="E412" s="1382" t="inlineStr">
        <is>
          <t>Delivery Manager</t>
        </is>
      </c>
      <c r="F412" s="1382" t="inlineStr">
        <is>
          <t>TDD CFE&amp;I</t>
        </is>
      </c>
      <c r="G412" s="1612" t="inlineStr">
        <is>
          <t>B2B &amp; Energy Solutions</t>
        </is>
      </c>
      <c r="H412" s="1612" t="inlineStr">
        <is>
          <t>Delivery</t>
        </is>
      </c>
      <c r="I412" s="1612" t="inlineStr">
        <is>
          <t>B2B &amp; Energy Solutions</t>
        </is>
      </c>
      <c r="J412" s="1382" t="inlineStr">
        <is>
          <t>B2B</t>
        </is>
      </c>
      <c r="K412" s="1382" t="inlineStr">
        <is>
          <t>B2B</t>
        </is>
      </c>
      <c r="L412" s="1612" t="n"/>
      <c r="M412" s="1613" t="inlineStr">
        <is>
          <t>Australia</t>
        </is>
      </c>
      <c r="N412" s="1616" t="inlineStr">
        <is>
          <t>CIB</t>
        </is>
      </c>
      <c r="O412" s="1616" t="n">
        <v>1</v>
      </c>
      <c r="P412" s="1616" t="n"/>
      <c r="Q412" s="1616" t="inlineStr">
        <is>
          <t>Permanent - Full Time</t>
        </is>
      </c>
      <c r="R412" s="1616" t="n"/>
      <c r="S412" s="1616" t="n"/>
      <c r="T412" s="1627" t="n">
        <v>164380</v>
      </c>
      <c r="U412" s="1626" t="n">
        <v>164380</v>
      </c>
      <c r="V412" s="1619" t="n">
        <v>0.12</v>
      </c>
      <c r="W412" s="1622" t="n">
        <v>0.055</v>
      </c>
      <c r="X412" s="1622" t="n">
        <v>0.12</v>
      </c>
      <c r="Y412" s="1623" t="n"/>
      <c r="Z412" s="1622" t="n">
        <v>0.04</v>
      </c>
      <c r="AA412" s="1621">
        <f>U412*(1+V412+W412+X412+Y412+Z412)</f>
        <v>219447.3</v>
      </c>
      <c r="AC412" s="865" t="inlineStr">
        <is>
          <t>Energy Solutions &amp; B2B</t>
        </is>
      </c>
      <c r="AD412" s="865" t="inlineStr">
        <is>
          <t>B2B</t>
        </is>
      </c>
      <c r="AE412" s="865" t="inlineStr">
        <is>
          <t>B2B</t>
        </is>
      </c>
      <c r="AF412" s="865" t="inlineStr">
        <is>
          <t>Squad</t>
        </is>
      </c>
      <c r="AG412" s="865" t="inlineStr">
        <is>
          <t>Filled</t>
        </is>
      </c>
    </row>
    <row r="413" hidden="1" ht="18" customHeight="1" s="866">
      <c r="A413" s="1566" t="n">
        <v>90813</v>
      </c>
      <c r="B413" s="1382" t="inlineStr">
        <is>
          <t>Mikey Tran</t>
        </is>
      </c>
      <c r="C413" s="1611" t="inlineStr">
        <is>
          <t>Senior Systems Analyst - Card</t>
        </is>
      </c>
      <c r="D413" s="1382" t="inlineStr">
        <is>
          <t>Elle Spencer</t>
        </is>
      </c>
      <c r="E413" s="1382" t="inlineStr">
        <is>
          <t>Technology Manager, Energy Solutions</t>
        </is>
      </c>
      <c r="F413" s="1382" t="inlineStr">
        <is>
          <t>TDD CFE&amp;I</t>
        </is>
      </c>
      <c r="G413" s="1612" t="inlineStr">
        <is>
          <t>B2B &amp; Energy Solutions</t>
        </is>
      </c>
      <c r="H413" s="1612" t="inlineStr">
        <is>
          <t>Technology B2B</t>
        </is>
      </c>
      <c r="I413" s="1612" t="inlineStr">
        <is>
          <t>B2B &amp; Energy Solutions</t>
        </is>
      </c>
      <c r="J413" s="1382" t="inlineStr">
        <is>
          <t>B2B</t>
        </is>
      </c>
      <c r="K413" s="1382" t="inlineStr">
        <is>
          <t>B2B</t>
        </is>
      </c>
      <c r="L413" s="1612" t="n"/>
      <c r="M413" s="1613" t="inlineStr">
        <is>
          <t>Australia</t>
        </is>
      </c>
      <c r="N413" s="1614" t="inlineStr">
        <is>
          <t>CIB</t>
        </is>
      </c>
      <c r="O413" s="1614" t="n">
        <v>1</v>
      </c>
      <c r="P413" s="1614" t="n"/>
      <c r="Q413" s="1614" t="inlineStr">
        <is>
          <t>Permanent - Full Time</t>
        </is>
      </c>
      <c r="R413" s="1616" t="n"/>
      <c r="S413" s="1616" t="n"/>
      <c r="T413" s="1627" t="n">
        <v>140000</v>
      </c>
      <c r="U413" s="1626" t="n">
        <v>140000</v>
      </c>
      <c r="V413" s="1619" t="n">
        <v>0.12</v>
      </c>
      <c r="W413" s="1622" t="n">
        <v>0.055</v>
      </c>
      <c r="X413" s="1622" t="n">
        <v>0.12</v>
      </c>
      <c r="Y413" s="1623" t="n"/>
      <c r="Z413" s="1622" t="n">
        <v>0.04</v>
      </c>
      <c r="AA413" s="1621">
        <f>U413*(1+V413+W413+X413+Y413+Z413)</f>
        <v>186900</v>
      </c>
      <c r="AC413" s="865" t="inlineStr">
        <is>
          <t>Energy Solutions &amp; B2B</t>
        </is>
      </c>
      <c r="AD413" s="865" t="inlineStr">
        <is>
          <t>B2B</t>
        </is>
      </c>
      <c r="AE413" s="865" t="inlineStr">
        <is>
          <t>B2B</t>
        </is>
      </c>
      <c r="AF413" s="865" t="inlineStr">
        <is>
          <t>Squad</t>
        </is>
      </c>
      <c r="AG413" s="865" t="inlineStr">
        <is>
          <t>Filled</t>
        </is>
      </c>
    </row>
    <row r="414" hidden="1" ht="18" customHeight="1" s="866">
      <c r="A414" s="1566" t="n">
        <v>114723</v>
      </c>
      <c r="B414" s="1382" t="inlineStr">
        <is>
          <t>Ming Shao</t>
        </is>
      </c>
      <c r="C414" s="1611" t="inlineStr">
        <is>
          <t>Senior Systems Analyst Card</t>
        </is>
      </c>
      <c r="D414" s="1382" t="inlineStr">
        <is>
          <t>Elle Spencer</t>
        </is>
      </c>
      <c r="E414" s="1382" t="inlineStr">
        <is>
          <t>Technology Manager, Energy Solutions</t>
        </is>
      </c>
      <c r="F414" s="1382" t="inlineStr">
        <is>
          <t>TDD CFE&amp;I</t>
        </is>
      </c>
      <c r="G414" s="1612" t="inlineStr">
        <is>
          <t>B2B &amp; Energy Solutions</t>
        </is>
      </c>
      <c r="H414" s="1612" t="inlineStr">
        <is>
          <t>Technology B2B</t>
        </is>
      </c>
      <c r="I414" s="1612" t="inlineStr">
        <is>
          <t>B2B &amp; Energy Solutions</t>
        </is>
      </c>
      <c r="J414" s="1382" t="inlineStr">
        <is>
          <t>B2B</t>
        </is>
      </c>
      <c r="K414" s="1382" t="inlineStr">
        <is>
          <t>B2B</t>
        </is>
      </c>
      <c r="L414" s="1612" t="n"/>
      <c r="M414" s="1613" t="inlineStr">
        <is>
          <t>Australia</t>
        </is>
      </c>
      <c r="N414" s="1614" t="inlineStr">
        <is>
          <t>CIC</t>
        </is>
      </c>
      <c r="O414" s="1614" t="n">
        <v>1</v>
      </c>
      <c r="P414" s="1614" t="n"/>
      <c r="Q414" s="1614" t="inlineStr">
        <is>
          <t>Permanent - Full Time</t>
        </is>
      </c>
      <c r="R414" s="1616" t="n"/>
      <c r="S414" s="1616" t="n"/>
      <c r="T414" s="1627" t="n">
        <v>166000</v>
      </c>
      <c r="U414" s="1626" t="n">
        <v>166000</v>
      </c>
      <c r="V414" s="1619" t="n">
        <v>0.12</v>
      </c>
      <c r="W414" s="1622" t="n">
        <v>0.055</v>
      </c>
      <c r="X414" s="1622" t="n">
        <v>0.12</v>
      </c>
      <c r="Y414" s="1623" t="n"/>
      <c r="Z414" s="1622" t="n">
        <v>0.04</v>
      </c>
      <c r="AA414" s="1621">
        <f>U414*(1+V414+W414+X414+Y414+Z414)</f>
        <v>221610</v>
      </c>
      <c r="AC414" s="865" t="inlineStr">
        <is>
          <t>Energy Solutions &amp; B2B</t>
        </is>
      </c>
      <c r="AD414" s="865" t="inlineStr">
        <is>
          <t>B2B</t>
        </is>
      </c>
      <c r="AE414" s="865" t="inlineStr">
        <is>
          <t>B2B</t>
        </is>
      </c>
      <c r="AF414" s="865" t="inlineStr">
        <is>
          <t>Squad</t>
        </is>
      </c>
      <c r="AG414" s="865" t="inlineStr">
        <is>
          <t>Filled</t>
        </is>
      </c>
    </row>
    <row r="415" hidden="1" ht="18" customHeight="1" s="866">
      <c r="A415" s="1566" t="n">
        <v>99999101224</v>
      </c>
      <c r="B415" s="1382" t="inlineStr">
        <is>
          <t>Nakul Bharade</t>
        </is>
      </c>
      <c r="C415" s="1611" t="inlineStr">
        <is>
          <t>Head of Technology, Commercial Fuels</t>
        </is>
      </c>
      <c r="D415" s="1382" t="inlineStr">
        <is>
          <t xml:space="preserve">Roanne Steele </t>
        </is>
      </c>
      <c r="E415" s="1382" t="inlineStr">
        <is>
          <t>GM TDD, CFE&amp;I</t>
        </is>
      </c>
      <c r="F415" s="1382" t="inlineStr">
        <is>
          <t>TDD CFE&amp;I</t>
        </is>
      </c>
      <c r="G415" s="1612" t="inlineStr">
        <is>
          <t>Commercial Fuels</t>
        </is>
      </c>
      <c r="H415" s="1612" t="inlineStr">
        <is>
          <t>Leadership</t>
        </is>
      </c>
      <c r="I415" s="1612" t="inlineStr">
        <is>
          <t>Commercial Fuels</t>
        </is>
      </c>
      <c r="J415" s="1612" t="inlineStr">
        <is>
          <t>Leadership</t>
        </is>
      </c>
      <c r="K415" s="1612" t="inlineStr">
        <is>
          <t>Leadership</t>
        </is>
      </c>
      <c r="L415" s="1612" t="n"/>
      <c r="M415" s="1613" t="inlineStr">
        <is>
          <t>NZ</t>
        </is>
      </c>
      <c r="N415" s="1614" t="inlineStr">
        <is>
          <t>CSC</t>
        </is>
      </c>
      <c r="O415" s="1615" t="n">
        <v>1</v>
      </c>
      <c r="P415" s="1614" t="n"/>
      <c r="Q415" s="1615" t="inlineStr">
        <is>
          <t>Permanent - Full Time</t>
        </is>
      </c>
      <c r="R415" s="1616" t="n"/>
      <c r="S415" s="1616" t="n"/>
      <c r="T415" s="1627" t="n">
        <v>245860</v>
      </c>
      <c r="U415" s="1617" t="n">
        <v>226191.2</v>
      </c>
      <c r="V415" s="1656" t="n">
        <v>0.2</v>
      </c>
      <c r="X415" s="1652" t="n">
        <v>0.05</v>
      </c>
      <c r="Y415" s="1657" t="n">
        <v>2910</v>
      </c>
      <c r="Z415" s="1652" t="n">
        <v>0.03</v>
      </c>
      <c r="AA415" s="1655">
        <f>U415*(1+V415+X415+Z415)+Y415</f>
        <v>292434.736</v>
      </c>
      <c r="AB415" s="865" t="n">
        <v>15174</v>
      </c>
      <c r="AC415" s="865" t="inlineStr">
        <is>
          <t>Commercial Fuels</t>
        </is>
      </c>
      <c r="AD415" s="865" t="inlineStr">
        <is>
          <t>Leadership</t>
        </is>
      </c>
      <c r="AE415" s="865" t="inlineStr">
        <is>
          <t>Leadership</t>
        </is>
      </c>
      <c r="AF415" s="865" t="inlineStr">
        <is>
          <t>Leadership</t>
        </is>
      </c>
      <c r="AG415" s="865" t="inlineStr">
        <is>
          <t>Filled</t>
        </is>
      </c>
    </row>
    <row r="416" hidden="1" ht="18" customHeight="1" s="866">
      <c r="A416" s="1566" t="n">
        <v>99999101908</v>
      </c>
      <c r="B416" s="1382" t="inlineStr">
        <is>
          <t>Oliver Shanks</t>
        </is>
      </c>
      <c r="C416" s="1611" t="inlineStr">
        <is>
          <t>Associate Engineer Software</t>
        </is>
      </c>
      <c r="D416" s="1612" t="inlineStr">
        <is>
          <t>Vacant</t>
        </is>
      </c>
      <c r="E416" s="1382" t="inlineStr">
        <is>
          <t>Technology Manager, Engineering</t>
        </is>
      </c>
      <c r="F416" s="1382" t="inlineStr">
        <is>
          <t>TDD CFE&amp;I</t>
        </is>
      </c>
      <c r="G416" s="1612" t="inlineStr">
        <is>
          <t>Commercial Fuels</t>
        </is>
      </c>
      <c r="H416" s="1612" t="inlineStr">
        <is>
          <t>Technology, CF Engineering</t>
        </is>
      </c>
      <c r="I416" s="1612" t="inlineStr">
        <is>
          <t>Commercial Fuels</t>
        </is>
      </c>
      <c r="J416" s="1382" t="inlineStr">
        <is>
          <t>CTRM</t>
        </is>
      </c>
      <c r="K416" s="1382" t="inlineStr">
        <is>
          <t>CTRM</t>
        </is>
      </c>
      <c r="L416" s="1612" t="n"/>
      <c r="M416" s="1613" t="inlineStr">
        <is>
          <t>NZ</t>
        </is>
      </c>
      <c r="N416" s="1614" t="inlineStr">
        <is>
          <t>CDA</t>
        </is>
      </c>
      <c r="O416" s="1615" t="n">
        <v>1</v>
      </c>
      <c r="P416" s="1614" t="n"/>
      <c r="Q416" s="1615" t="inlineStr">
        <is>
          <t>Permanent - Full Time</t>
        </is>
      </c>
      <c r="R416" s="1616" t="n"/>
      <c r="S416" s="1616" t="n"/>
      <c r="T416" s="1627" t="n">
        <v>75170</v>
      </c>
      <c r="U416" s="1626" t="n">
        <v>69156.39999999999</v>
      </c>
      <c r="V416" s="1618" t="n">
        <v>0.1</v>
      </c>
      <c r="W416" s="1616" t="n"/>
      <c r="X416" s="1619" t="n">
        <v>0.05</v>
      </c>
      <c r="Y416" s="1620" t="n">
        <v>2910</v>
      </c>
      <c r="Z416" s="1619" t="n">
        <v>0.03</v>
      </c>
      <c r="AA416" s="1621">
        <f>U416*(1+V416+X416+Z416)+Y416</f>
        <v>84514.552</v>
      </c>
      <c r="AB416" s="865" t="n">
        <v>113924</v>
      </c>
      <c r="AC416" s="865" t="inlineStr">
        <is>
          <t>Commercial Fuels</t>
        </is>
      </c>
      <c r="AD416" s="865" t="inlineStr">
        <is>
          <t>CTRM</t>
        </is>
      </c>
      <c r="AE416" s="865" t="inlineStr">
        <is>
          <t>CTRM</t>
        </is>
      </c>
      <c r="AF416" s="865" t="inlineStr">
        <is>
          <t>Strategic Program</t>
        </is>
      </c>
      <c r="AG416" s="865" t="inlineStr">
        <is>
          <t>Filled</t>
        </is>
      </c>
    </row>
    <row r="417" hidden="1" ht="18" customHeight="1" s="866">
      <c r="A417" s="1566" t="n">
        <v>106907</v>
      </c>
      <c r="B417" s="1382" t="inlineStr">
        <is>
          <t>Oz Shaaban</t>
        </is>
      </c>
      <c r="C417" s="1611" t="inlineStr">
        <is>
          <t>Delivery Lead</t>
        </is>
      </c>
      <c r="D417" s="1612" t="inlineStr">
        <is>
          <t>Vacant</t>
        </is>
      </c>
      <c r="E417" s="1382" t="inlineStr">
        <is>
          <t>Delivery Manager</t>
        </is>
      </c>
      <c r="F417" s="1382" t="inlineStr">
        <is>
          <t>TDD CFE&amp;I</t>
        </is>
      </c>
      <c r="G417" s="1612" t="inlineStr">
        <is>
          <t>Commercial Fuels</t>
        </is>
      </c>
      <c r="H417" s="1612" t="inlineStr">
        <is>
          <t>Delivery, Commercial Fuels</t>
        </is>
      </c>
      <c r="I417" s="1612" t="inlineStr">
        <is>
          <t>Commercial Fuels</t>
        </is>
      </c>
      <c r="J417" s="1612" t="inlineStr">
        <is>
          <t>CTRM</t>
        </is>
      </c>
      <c r="K417" s="1612" t="inlineStr">
        <is>
          <t>CTRM</t>
        </is>
      </c>
      <c r="L417" s="1382" t="n"/>
      <c r="M417" s="1613" t="inlineStr">
        <is>
          <t>Australia</t>
        </is>
      </c>
      <c r="N417" s="1614" t="inlineStr">
        <is>
          <t>CIC</t>
        </is>
      </c>
      <c r="O417" s="1614" t="n">
        <v>1</v>
      </c>
      <c r="P417" s="1614" t="n"/>
      <c r="Q417" s="1614" t="inlineStr">
        <is>
          <t>Permanent - Full Time</t>
        </is>
      </c>
      <c r="R417" s="1616" t="n"/>
      <c r="S417" s="1616" t="n"/>
      <c r="T417" s="1627" t="n">
        <v>190260</v>
      </c>
      <c r="U417" s="1626" t="n">
        <v>190260</v>
      </c>
      <c r="V417" s="1619" t="n">
        <v>0.12</v>
      </c>
      <c r="W417" s="1622" t="n">
        <v>0.055</v>
      </c>
      <c r="X417" s="1622" t="n">
        <v>0.12</v>
      </c>
      <c r="Y417" s="1623" t="n"/>
      <c r="Z417" s="1622" t="n">
        <v>0.04</v>
      </c>
      <c r="AA417" s="1621">
        <f>U417*(1+V417+W417+X417+Y417+Z417)</f>
        <v>253997.1</v>
      </c>
      <c r="AC417" s="865" t="inlineStr">
        <is>
          <t>Commercial Fuels</t>
        </is>
      </c>
      <c r="AD417" s="865" t="inlineStr">
        <is>
          <t>CTRM</t>
        </is>
      </c>
      <c r="AE417" s="865" t="inlineStr">
        <is>
          <t>CTRM</t>
        </is>
      </c>
      <c r="AF417" s="865" t="inlineStr">
        <is>
          <t>Strategic Program</t>
        </is>
      </c>
      <c r="AG417" s="865" t="inlineStr">
        <is>
          <t>Filled</t>
        </is>
      </c>
    </row>
    <row r="418" hidden="1" ht="18" customHeight="1" s="866">
      <c r="A418" s="1566" t="n">
        <v>14920</v>
      </c>
      <c r="B418" s="1382" t="inlineStr">
        <is>
          <t>Poch Fernandez</t>
        </is>
      </c>
      <c r="C418" s="1611" t="inlineStr">
        <is>
          <t xml:space="preserve">Lead Technology Support  </t>
        </is>
      </c>
      <c r="D418" s="1382" t="inlineStr">
        <is>
          <t>Allan Francia</t>
        </is>
      </c>
      <c r="E418" s="1382" t="inlineStr">
        <is>
          <t>Technology Manager, T&amp;S</t>
        </is>
      </c>
      <c r="F418" s="1382" t="inlineStr">
        <is>
          <t>TDD CFE&amp;I</t>
        </is>
      </c>
      <c r="G418" s="1612" t="inlineStr">
        <is>
          <t>Commercial Fuels</t>
        </is>
      </c>
      <c r="H418" s="1612" t="inlineStr">
        <is>
          <t>Technology, Trading &amp; Shipping</t>
        </is>
      </c>
      <c r="I418" s="1612" t="inlineStr">
        <is>
          <t>Commercial Fuels</t>
        </is>
      </c>
      <c r="J418" s="1598" t="inlineStr">
        <is>
          <t>Trading &amp; Shipping</t>
        </is>
      </c>
      <c r="K418" s="1382" t="inlineStr">
        <is>
          <t>Trading &amp; Shipping</t>
        </is>
      </c>
      <c r="L418" s="1612" t="n"/>
      <c r="M418" s="1613" t="inlineStr">
        <is>
          <t>Singapore</t>
        </is>
      </c>
      <c r="N418" s="1616" t="inlineStr">
        <is>
          <t>CIA</t>
        </is>
      </c>
      <c r="O418" s="1616" t="n">
        <v>1</v>
      </c>
      <c r="P418" s="1616" t="n"/>
      <c r="Q418" s="1616" t="inlineStr">
        <is>
          <t>Permanent - Full Time</t>
        </is>
      </c>
      <c r="R418" s="1616" t="n"/>
      <c r="S418" s="1616" t="n"/>
      <c r="T418" s="1627" t="n">
        <v>126380</v>
      </c>
      <c r="U418" s="1626" t="n">
        <v>152919.8</v>
      </c>
      <c r="V418" s="1619" t="n">
        <v>0.18</v>
      </c>
      <c r="W418" s="1616" t="n"/>
      <c r="X418" s="1619" t="n">
        <v>0.17</v>
      </c>
      <c r="Y418" s="1620" t="n">
        <v>3310</v>
      </c>
      <c r="Z418" s="1638" t="n">
        <v>0.045</v>
      </c>
      <c r="AA418" s="1621">
        <f>U418*(1+V418+X418+Z418)+Y418</f>
        <v>216633.121</v>
      </c>
      <c r="AC418" s="865" t="inlineStr">
        <is>
          <t>Commercial Fuels</t>
        </is>
      </c>
      <c r="AD418" s="865" t="inlineStr">
        <is>
          <t>Trading &amp; Shipping</t>
        </is>
      </c>
      <c r="AE418" s="865" t="inlineStr">
        <is>
          <t>Trading &amp; Shipping</t>
        </is>
      </c>
      <c r="AF418" s="865" t="inlineStr">
        <is>
          <t>Squad</t>
        </is>
      </c>
      <c r="AG418" s="865" t="inlineStr">
        <is>
          <t>Filled</t>
        </is>
      </c>
    </row>
    <row r="419" hidden="1" ht="18" customHeight="1" s="866">
      <c r="A419" s="1566" t="n">
        <v>92697</v>
      </c>
      <c r="B419" s="1382" t="inlineStr">
        <is>
          <t>Radek Rybar</t>
        </is>
      </c>
      <c r="C419" s="1611" t="inlineStr">
        <is>
          <t>Technology Support Engineer - Infrastructure</t>
        </is>
      </c>
      <c r="D419" s="1382" t="inlineStr">
        <is>
          <t>Glenn Earl</t>
        </is>
      </c>
      <c r="E419" s="1382" t="inlineStr">
        <is>
          <t>Lead Support, Infrastructure</t>
        </is>
      </c>
      <c r="F419" s="1382" t="inlineStr">
        <is>
          <t>TDD CFE&amp;I</t>
        </is>
      </c>
      <c r="G419" s="1612" t="inlineStr">
        <is>
          <t>Fuel Infrastructure</t>
        </is>
      </c>
      <c r="H419" s="1612" t="inlineStr">
        <is>
          <t>Refinery Applications</t>
        </is>
      </c>
      <c r="I419" s="1612" t="inlineStr">
        <is>
          <t>Infrastructure</t>
        </is>
      </c>
      <c r="J419" s="1598" t="inlineStr">
        <is>
          <t>Fuel Infrastructure</t>
        </is>
      </c>
      <c r="K419" s="1382" t="inlineStr">
        <is>
          <t>Technology Suport</t>
        </is>
      </c>
      <c r="L419" s="1612" t="n"/>
      <c r="M419" s="1613" t="inlineStr">
        <is>
          <t>Australia</t>
        </is>
      </c>
      <c r="N419" s="1614" t="inlineStr">
        <is>
          <t>CIA</t>
        </is>
      </c>
      <c r="O419" s="1614" t="n">
        <v>1</v>
      </c>
      <c r="P419" s="1614" t="n"/>
      <c r="Q419" s="1614" t="inlineStr">
        <is>
          <t>Permanent - Full Time</t>
        </is>
      </c>
      <c r="R419" s="1616" t="n"/>
      <c r="S419" s="1616" t="n"/>
      <c r="T419" s="1627" t="n">
        <v>116880</v>
      </c>
      <c r="U419" s="1626" t="n">
        <v>116880</v>
      </c>
      <c r="V419" s="1619" t="n">
        <v>0.1</v>
      </c>
      <c r="W419" s="1622" t="n">
        <v>0.055</v>
      </c>
      <c r="X419" s="1622" t="n">
        <v>0.12</v>
      </c>
      <c r="Y419" s="1623" t="n"/>
      <c r="Z419" s="1622" t="n">
        <v>0.04</v>
      </c>
      <c r="AA419" s="1621">
        <f>U419*(1+V419+W419+X419+Y419+Z419)</f>
        <v>153697.2</v>
      </c>
      <c r="AC419" s="865" t="inlineStr">
        <is>
          <t>Infrastructure</t>
        </is>
      </c>
      <c r="AD419" s="865" t="inlineStr">
        <is>
          <t>Manufacturing</t>
        </is>
      </c>
      <c r="AE419" s="865" t="inlineStr">
        <is>
          <t>Technology Support</t>
        </is>
      </c>
      <c r="AF419" s="865" t="inlineStr">
        <is>
          <t>Squad</t>
        </is>
      </c>
      <c r="AG419" s="865" t="inlineStr">
        <is>
          <t>Filled</t>
        </is>
      </c>
    </row>
    <row r="420" hidden="1" ht="18" customHeight="1" s="866">
      <c r="A420" s="1566" t="n">
        <v>97884</v>
      </c>
      <c r="B420" s="1382" t="inlineStr">
        <is>
          <t>Rebecca Estepa</t>
        </is>
      </c>
      <c r="C420" s="1611" t="inlineStr">
        <is>
          <t>Snr Business Analyst</t>
        </is>
      </c>
      <c r="D420" s="1612" t="inlineStr">
        <is>
          <t>Vacant</t>
        </is>
      </c>
      <c r="E420" s="1382" t="inlineStr">
        <is>
          <t>Delivery Manager</t>
        </is>
      </c>
      <c r="F420" s="1382" t="inlineStr">
        <is>
          <t>TDD CFE&amp;I</t>
        </is>
      </c>
      <c r="G420" s="1635" t="inlineStr">
        <is>
          <t>Fuel Infrastructure</t>
        </is>
      </c>
      <c r="H420" s="1612" t="inlineStr">
        <is>
          <t>Fuel Infrastructure, Delivery</t>
        </is>
      </c>
      <c r="I420" s="1612" t="inlineStr">
        <is>
          <t>Infrastructure</t>
        </is>
      </c>
      <c r="J420" s="1382" t="inlineStr">
        <is>
          <t>Distribution</t>
        </is>
      </c>
      <c r="K420" s="1382" t="inlineStr">
        <is>
          <t>Distribution, Sales &amp; Services</t>
        </is>
      </c>
      <c r="L420" s="1612" t="n"/>
      <c r="M420" s="1613" t="inlineStr">
        <is>
          <t>Australia</t>
        </is>
      </c>
      <c r="N420" s="1614" t="inlineStr">
        <is>
          <t>CIB</t>
        </is>
      </c>
      <c r="O420" s="1614" t="n">
        <v>1</v>
      </c>
      <c r="P420" s="1614" t="n"/>
      <c r="Q420" s="1614" t="inlineStr">
        <is>
          <t>Permanent - Full Time</t>
        </is>
      </c>
      <c r="R420" s="1616" t="n"/>
      <c r="S420" s="1616" t="n"/>
      <c r="T420" s="1627" t="n">
        <v>174780</v>
      </c>
      <c r="U420" s="1626" t="n">
        <v>174780</v>
      </c>
      <c r="V420" s="1619" t="n">
        <v>0.12</v>
      </c>
      <c r="W420" s="1622" t="n">
        <v>0.055</v>
      </c>
      <c r="X420" s="1622" t="n">
        <v>0.12</v>
      </c>
      <c r="Y420" s="1623" t="n"/>
      <c r="Z420" s="1622" t="n">
        <v>0.04</v>
      </c>
      <c r="AA420" s="1621">
        <f>U420*(1+V420+W420+X420+Y420+Z420)</f>
        <v>233331.3</v>
      </c>
      <c r="AC420" s="865" t="inlineStr">
        <is>
          <t>Infrastructure</t>
        </is>
      </c>
      <c r="AD420" s="865" t="inlineStr">
        <is>
          <t>Distribution</t>
        </is>
      </c>
      <c r="AE420" s="865" t="inlineStr">
        <is>
          <t>Distribution, Sales &amp; Services</t>
        </is>
      </c>
      <c r="AF420" s="865" t="inlineStr">
        <is>
          <t>Squad</t>
        </is>
      </c>
      <c r="AG420" s="865" t="inlineStr">
        <is>
          <t>Filled</t>
        </is>
      </c>
    </row>
    <row r="421" hidden="1" ht="18" customHeight="1" s="866">
      <c r="A421" s="1566" t="n">
        <v>115935</v>
      </c>
      <c r="B421" s="1382" t="inlineStr">
        <is>
          <t>Rick Abainza</t>
        </is>
      </c>
      <c r="C421" s="1611" t="inlineStr">
        <is>
          <t>Lead Business Analyst</t>
        </is>
      </c>
      <c r="D421" s="1612" t="inlineStr">
        <is>
          <t>Vacant</t>
        </is>
      </c>
      <c r="E421" s="1382" t="inlineStr">
        <is>
          <t>Delivery Manager</t>
        </is>
      </c>
      <c r="F421" s="1382" t="inlineStr">
        <is>
          <t>TDD CFE&amp;I</t>
        </is>
      </c>
      <c r="G421" s="1612" t="inlineStr">
        <is>
          <t>Commercial Fuels</t>
        </is>
      </c>
      <c r="H421" s="1612" t="inlineStr">
        <is>
          <t>Delivery, Commercial Fuels</t>
        </is>
      </c>
      <c r="I421" s="1612" t="inlineStr">
        <is>
          <t>Commercial Fuels</t>
        </is>
      </c>
      <c r="J421" s="1612" t="inlineStr">
        <is>
          <t>CTRM</t>
        </is>
      </c>
      <c r="K421" s="1612" t="inlineStr">
        <is>
          <t>CTRM</t>
        </is>
      </c>
      <c r="L421" s="1382" t="n"/>
      <c r="M421" s="1613" t="inlineStr">
        <is>
          <t>Singapore</t>
        </is>
      </c>
      <c r="N421" s="1614" t="inlineStr">
        <is>
          <t>CIC</t>
        </is>
      </c>
      <c r="O421" s="1614" t="n">
        <v>1</v>
      </c>
      <c r="P421" s="1614" t="n"/>
      <c r="Q421" s="1614" t="inlineStr">
        <is>
          <t>Permanent - Full Time</t>
        </is>
      </c>
      <c r="R421" s="1616" t="n"/>
      <c r="S421" s="1616" t="n"/>
      <c r="T421" s="1627" t="n">
        <v>205000</v>
      </c>
      <c r="U421" s="1626" t="n">
        <v>248050</v>
      </c>
      <c r="V421" s="1619" t="n">
        <v>0.25</v>
      </c>
      <c r="W421" s="1616" t="n"/>
      <c r="X421" s="1619" t="n">
        <v>0.17</v>
      </c>
      <c r="Y421" s="1620" t="n">
        <v>3310</v>
      </c>
      <c r="Z421" s="1638" t="n">
        <v>0.045</v>
      </c>
      <c r="AA421" s="1621">
        <f>U421*(1+V421+X421+Z421)+Y421</f>
        <v>366703.25</v>
      </c>
      <c r="AC421" s="865" t="inlineStr">
        <is>
          <t>Commercial Fuels</t>
        </is>
      </c>
      <c r="AD421" s="865" t="inlineStr">
        <is>
          <t>CTRM</t>
        </is>
      </c>
      <c r="AE421" s="865" t="inlineStr">
        <is>
          <t>CTRM</t>
        </is>
      </c>
      <c r="AF421" s="865" t="inlineStr">
        <is>
          <t>Strategic Program</t>
        </is>
      </c>
      <c r="AG421" s="865" t="inlineStr">
        <is>
          <t>Filled</t>
        </is>
      </c>
    </row>
    <row r="422" hidden="1" ht="18" customHeight="1" s="866">
      <c r="A422" s="1566" t="n">
        <v>99999101636</v>
      </c>
      <c r="B422" s="1382" t="inlineStr">
        <is>
          <t>Rod Santillan</t>
        </is>
      </c>
      <c r="C422" s="1611" t="inlineStr">
        <is>
          <t>Snr Engineer Software</t>
        </is>
      </c>
      <c r="D422" s="1382" t="inlineStr">
        <is>
          <t>Elle Spencer</t>
        </is>
      </c>
      <c r="E422" s="1382" t="inlineStr">
        <is>
          <t>Technology Manager, Energy Solutions</t>
        </is>
      </c>
      <c r="F422" s="1382" t="inlineStr">
        <is>
          <t>TDD CFE&amp;I</t>
        </is>
      </c>
      <c r="G422" s="1612" t="inlineStr">
        <is>
          <t>B2B &amp; Energy Solutions</t>
        </is>
      </c>
      <c r="H422" s="1612" t="inlineStr">
        <is>
          <t>Technology B2B</t>
        </is>
      </c>
      <c r="I422" s="1612" t="inlineStr">
        <is>
          <t>B2B &amp; Energy Solutions</t>
        </is>
      </c>
      <c r="J422" s="1382" t="inlineStr">
        <is>
          <t>B2B</t>
        </is>
      </c>
      <c r="K422" s="1382" t="inlineStr">
        <is>
          <t>B2B</t>
        </is>
      </c>
      <c r="L422" s="1612" t="n"/>
      <c r="M422" s="1613" t="inlineStr">
        <is>
          <t>NZ</t>
        </is>
      </c>
      <c r="N422" s="1614" t="inlineStr">
        <is>
          <t>CIA</t>
        </is>
      </c>
      <c r="O422" s="1615" t="n">
        <v>1</v>
      </c>
      <c r="P422" s="1614" t="n"/>
      <c r="Q422" s="1615" t="inlineStr">
        <is>
          <t>Permanent - Full Time</t>
        </is>
      </c>
      <c r="R422" s="1616" t="n"/>
      <c r="S422" s="1616" t="n"/>
      <c r="T422" s="1627" t="n">
        <v>142200</v>
      </c>
      <c r="U422" s="1626" t="n">
        <v>130824</v>
      </c>
      <c r="V422" s="1618" t="n">
        <v>0.15</v>
      </c>
      <c r="W422" s="1616" t="n"/>
      <c r="X422" s="1619" t="n">
        <v>0.05</v>
      </c>
      <c r="Y422" s="1620" t="n">
        <v>2910</v>
      </c>
      <c r="Z422" s="1619" t="n">
        <v>0.03</v>
      </c>
      <c r="AA422" s="1621">
        <f>U422*(1+V422+X422+Z422)+Y422</f>
        <v>163823.52</v>
      </c>
      <c r="AB422" s="865" t="n">
        <v>113606</v>
      </c>
      <c r="AC422" s="865" t="inlineStr">
        <is>
          <t>Energy Solutions &amp; B2B</t>
        </is>
      </c>
      <c r="AD422" s="865" t="inlineStr">
        <is>
          <t>B2B</t>
        </is>
      </c>
      <c r="AE422" s="865" t="inlineStr">
        <is>
          <t>B2B</t>
        </is>
      </c>
      <c r="AF422" s="865" t="inlineStr">
        <is>
          <t>Squad</t>
        </is>
      </c>
      <c r="AG422" s="865" t="inlineStr">
        <is>
          <t>Filled</t>
        </is>
      </c>
    </row>
    <row r="423" hidden="1" ht="18" customHeight="1" s="866">
      <c r="A423" s="1566" t="n">
        <v>113202</v>
      </c>
      <c r="B423" s="1382" t="inlineStr">
        <is>
          <t>Rohan Patel</t>
        </is>
      </c>
      <c r="C423" s="1611" t="inlineStr">
        <is>
          <t>Senior Systems Analyst</t>
        </is>
      </c>
      <c r="D423" s="1382" t="inlineStr">
        <is>
          <t>Karla Orozco Loza</t>
        </is>
      </c>
      <c r="E423" s="1382" t="inlineStr">
        <is>
          <t>Technology Manager, Future Infrastructure</t>
        </is>
      </c>
      <c r="F423" s="1382" t="inlineStr">
        <is>
          <t>TDD CFE&amp;I</t>
        </is>
      </c>
      <c r="G423" s="1612" t="inlineStr">
        <is>
          <t>Fuel Infrastructure</t>
        </is>
      </c>
      <c r="H423" s="1612" t="inlineStr">
        <is>
          <t>Technology - Distribution</t>
        </is>
      </c>
      <c r="I423" s="1612" t="inlineStr">
        <is>
          <t>Infrastructure</t>
        </is>
      </c>
      <c r="J423" s="1612" t="inlineStr">
        <is>
          <t>Distribution</t>
        </is>
      </c>
      <c r="K423" s="1382" t="inlineStr">
        <is>
          <t>Distribution, Sales &amp; Services</t>
        </is>
      </c>
      <c r="L423" s="1612" t="n"/>
      <c r="M423" s="1613" t="inlineStr">
        <is>
          <t>Australia</t>
        </is>
      </c>
      <c r="N423" s="1614" t="inlineStr">
        <is>
          <t>CIB</t>
        </is>
      </c>
      <c r="O423" s="1614" t="n">
        <v>1</v>
      </c>
      <c r="P423" s="1614" t="n"/>
      <c r="Q423" s="1614" t="inlineStr">
        <is>
          <t>Permanent - Full Time</t>
        </is>
      </c>
      <c r="R423" s="1616" t="n"/>
      <c r="S423" s="1616" t="n"/>
      <c r="T423" s="1627" t="n">
        <v>156850</v>
      </c>
      <c r="U423" s="1626" t="n">
        <v>156850</v>
      </c>
      <c r="V423" s="1619" t="n">
        <v>0.12</v>
      </c>
      <c r="W423" s="1622" t="n">
        <v>0.055</v>
      </c>
      <c r="X423" s="1622" t="n">
        <v>0.12</v>
      </c>
      <c r="Y423" s="1623" t="n"/>
      <c r="Z423" s="1622" t="n">
        <v>0.04</v>
      </c>
      <c r="AA423" s="1621">
        <f>U423*(1+V423+W423+X423+Y423+Z423)</f>
        <v>209394.75</v>
      </c>
      <c r="AC423" s="865" t="inlineStr">
        <is>
          <t>Infrastructure</t>
        </is>
      </c>
      <c r="AD423" s="865" t="inlineStr">
        <is>
          <t>Distribution</t>
        </is>
      </c>
      <c r="AE423" s="865" t="inlineStr">
        <is>
          <t>Distribution, Sales &amp; Services</t>
        </is>
      </c>
      <c r="AF423" s="865" t="inlineStr">
        <is>
          <t>Squad</t>
        </is>
      </c>
      <c r="AG423" s="865" t="inlineStr">
        <is>
          <t>Filled</t>
        </is>
      </c>
    </row>
    <row r="424" hidden="1" ht="18" customHeight="1" s="866">
      <c r="A424" s="1566" t="n">
        <v>109362</v>
      </c>
      <c r="B424" s="1382" t="inlineStr">
        <is>
          <t>Scott Hasson</t>
        </is>
      </c>
      <c r="C424" s="1611" t="inlineStr">
        <is>
          <t>Technology Support Engineer - Infrastructure</t>
        </is>
      </c>
      <c r="D424" s="1382" t="inlineStr">
        <is>
          <t>Glenn Earl</t>
        </is>
      </c>
      <c r="E424" s="1382" t="inlineStr">
        <is>
          <t>Lead Support, Infrastructure</t>
        </is>
      </c>
      <c r="F424" s="1382" t="inlineStr">
        <is>
          <t>TDD CFE&amp;I</t>
        </is>
      </c>
      <c r="G424" s="1612" t="inlineStr">
        <is>
          <t>Fuel Infrastructure</t>
        </is>
      </c>
      <c r="H424" s="1612" t="inlineStr">
        <is>
          <t>Refinery Applications</t>
        </is>
      </c>
      <c r="I424" s="1612" t="inlineStr">
        <is>
          <t>Infrastructure</t>
        </is>
      </c>
      <c r="J424" s="1612" t="inlineStr">
        <is>
          <t>Fuel Infrastructure</t>
        </is>
      </c>
      <c r="K424" s="1382" t="inlineStr">
        <is>
          <t>Technology Suport</t>
        </is>
      </c>
      <c r="L424" s="1612" t="n"/>
      <c r="M424" s="1613" t="inlineStr">
        <is>
          <t>Australia</t>
        </is>
      </c>
      <c r="N424" s="1614" t="inlineStr">
        <is>
          <t>CIA</t>
        </is>
      </c>
      <c r="O424" s="1614" t="n">
        <v>1</v>
      </c>
      <c r="P424" s="1614" t="n"/>
      <c r="Q424" s="1614" t="inlineStr">
        <is>
          <t>Permanent - Full Time</t>
        </is>
      </c>
      <c r="R424" s="1616" t="n"/>
      <c r="S424" s="1616" t="n"/>
      <c r="T424" s="1627" t="n">
        <v>111580</v>
      </c>
      <c r="U424" s="1626" t="n">
        <v>111580</v>
      </c>
      <c r="V424" s="1619" t="n">
        <v>0.1</v>
      </c>
      <c r="W424" s="1622" t="n">
        <v>0.055</v>
      </c>
      <c r="X424" s="1622" t="n">
        <v>0.12</v>
      </c>
      <c r="Y424" s="1623" t="n"/>
      <c r="Z424" s="1622" t="n">
        <v>0.04</v>
      </c>
      <c r="AA424" s="1621">
        <f>U424*(1+V424+W424+X424+Y424+Z424)</f>
        <v>146727.7</v>
      </c>
      <c r="AC424" s="865" t="inlineStr">
        <is>
          <t>Infrastructure</t>
        </is>
      </c>
      <c r="AD424" s="865" t="inlineStr">
        <is>
          <t>Manufacturing</t>
        </is>
      </c>
      <c r="AE424" s="865" t="inlineStr">
        <is>
          <t>Technology Support</t>
        </is>
      </c>
      <c r="AF424" s="865" t="inlineStr">
        <is>
          <t>Squad</t>
        </is>
      </c>
      <c r="AG424" s="865" t="inlineStr">
        <is>
          <t>Filled</t>
        </is>
      </c>
    </row>
    <row r="425" hidden="1" ht="18" customHeight="1" s="866">
      <c r="A425" s="1566" t="n">
        <v>102187</v>
      </c>
      <c r="B425" s="1382" t="inlineStr">
        <is>
          <t>Sijin Zhu</t>
        </is>
      </c>
      <c r="C425" s="1611" t="inlineStr">
        <is>
          <t>Business Analyst</t>
        </is>
      </c>
      <c r="D425" s="1612" t="inlineStr">
        <is>
          <t>Vacant</t>
        </is>
      </c>
      <c r="E425" s="1382" t="inlineStr">
        <is>
          <t>Delivery Manager</t>
        </is>
      </c>
      <c r="F425" s="1382" t="inlineStr">
        <is>
          <t>TDD CFE&amp;I</t>
        </is>
      </c>
      <c r="G425" s="1612" t="inlineStr">
        <is>
          <t>Commercial Fuels</t>
        </is>
      </c>
      <c r="H425" s="1612" t="inlineStr">
        <is>
          <t>Delivery, Commercial Fuels</t>
        </is>
      </c>
      <c r="I425" s="1612" t="inlineStr">
        <is>
          <t>Commercial Fuels</t>
        </is>
      </c>
      <c r="J425" s="1612" t="inlineStr">
        <is>
          <t>CTRM</t>
        </is>
      </c>
      <c r="K425" s="1612" t="inlineStr">
        <is>
          <t>CTRM</t>
        </is>
      </c>
      <c r="L425" s="1382" t="n"/>
      <c r="M425" s="1613" t="inlineStr">
        <is>
          <t>Singapore</t>
        </is>
      </c>
      <c r="N425" s="1614" t="inlineStr">
        <is>
          <t>CIB</t>
        </is>
      </c>
      <c r="O425" s="1614" t="n">
        <v>1</v>
      </c>
      <c r="P425" s="1614" t="n"/>
      <c r="Q425" s="1614" t="inlineStr">
        <is>
          <t>Permanent - Full Time</t>
        </is>
      </c>
      <c r="R425" s="1616" t="n"/>
      <c r="S425" s="1616" t="n"/>
      <c r="T425" s="1627" t="n">
        <v>155640</v>
      </c>
      <c r="U425" s="1626" t="n">
        <v>188324.4</v>
      </c>
      <c r="V425" s="1619" t="n">
        <v>0.25</v>
      </c>
      <c r="W425" s="1616" t="n"/>
      <c r="X425" s="1619" t="n">
        <v>0.17</v>
      </c>
      <c r="Y425" s="1620" t="n">
        <v>3310</v>
      </c>
      <c r="Z425" s="1638" t="n">
        <v>0.045</v>
      </c>
      <c r="AA425" s="1621">
        <f>U425*(1+V425+X425+Z425)+Y425</f>
        <v>279205.246</v>
      </c>
      <c r="AC425" s="865" t="inlineStr">
        <is>
          <t>Commercial Fuels</t>
        </is>
      </c>
      <c r="AD425" s="865" t="inlineStr">
        <is>
          <t>CTRM</t>
        </is>
      </c>
      <c r="AE425" s="865" t="inlineStr">
        <is>
          <t>CTRM</t>
        </is>
      </c>
      <c r="AF425" s="865" t="inlineStr">
        <is>
          <t>Strategic Program</t>
        </is>
      </c>
      <c r="AG425" s="865" t="inlineStr">
        <is>
          <t>Filled</t>
        </is>
      </c>
    </row>
    <row r="426" hidden="1" ht="18" customHeight="1" s="866">
      <c r="A426" s="1566" t="inlineStr">
        <is>
          <t>C</t>
        </is>
      </c>
      <c r="B426" s="1382" t="inlineStr">
        <is>
          <t>Simrat Singh</t>
        </is>
      </c>
      <c r="C426" s="1611" t="inlineStr">
        <is>
          <t>Reporting Analyst</t>
        </is>
      </c>
      <c r="D426" s="1382" t="inlineStr">
        <is>
          <t>Jaya Ganasan</t>
        </is>
      </c>
      <c r="E426" s="1382" t="inlineStr">
        <is>
          <t>Technology Manager, TDD Refinery</t>
        </is>
      </c>
      <c r="F426" s="1382" t="inlineStr">
        <is>
          <t>TDD CFE&amp;I</t>
        </is>
      </c>
      <c r="G426" s="1612" t="inlineStr">
        <is>
          <t>Fuel Infrastructure</t>
        </is>
      </c>
      <c r="H426" s="1612" t="inlineStr">
        <is>
          <t>Refinery Applications</t>
        </is>
      </c>
      <c r="I426" s="1612" t="inlineStr">
        <is>
          <t>Infrastructure</t>
        </is>
      </c>
      <c r="J426" s="1382" t="inlineStr">
        <is>
          <t xml:space="preserve">Data &amp; Insights </t>
        </is>
      </c>
      <c r="K426" s="1382" t="inlineStr">
        <is>
          <t xml:space="preserve">Data &amp; Insights </t>
        </is>
      </c>
      <c r="L426" s="1612" t="n"/>
      <c r="M426" s="1613" t="inlineStr">
        <is>
          <t>Australia</t>
        </is>
      </c>
      <c r="N426" s="1616" t="inlineStr">
        <is>
          <t>NA</t>
        </is>
      </c>
      <c r="O426" s="1614" t="n">
        <v>1</v>
      </c>
      <c r="P426" s="1616" t="n"/>
      <c r="Q426" s="1616" t="inlineStr">
        <is>
          <t>cxc</t>
        </is>
      </c>
      <c r="R426" s="1624" t="inlineStr">
        <is>
          <t>Daily</t>
        </is>
      </c>
      <c r="S426" s="1616" t="n">
        <v>890</v>
      </c>
      <c r="T426" s="1627" t="n">
        <v>0</v>
      </c>
      <c r="U426" s="1627" t="n"/>
      <c r="V426" s="1612" t="n"/>
      <c r="W426" s="1612" t="n"/>
      <c r="X426" s="1612" t="n"/>
      <c r="Y426" s="1612" t="n"/>
      <c r="Z426" s="1612" t="n"/>
      <c r="AA426" s="1625">
        <f>S426*222</f>
        <v>197580</v>
      </c>
      <c r="AC426" s="865" t="inlineStr">
        <is>
          <t>Infrastructure</t>
        </is>
      </c>
      <c r="AD426" s="865" t="inlineStr">
        <is>
          <t>Data &amp; Insights</t>
        </is>
      </c>
      <c r="AE426" s="865" t="inlineStr">
        <is>
          <t>Data &amp; Insights</t>
        </is>
      </c>
      <c r="AF426" s="865" t="inlineStr">
        <is>
          <t>Squad</t>
        </is>
      </c>
      <c r="AG426" s="865" t="inlineStr">
        <is>
          <t>Filled</t>
        </is>
      </c>
    </row>
    <row r="427" hidden="1" ht="18" customHeight="1" s="866">
      <c r="A427" s="1566" t="n">
        <v>116253</v>
      </c>
      <c r="B427" s="1382" t="inlineStr">
        <is>
          <t>Siva Chimmani</t>
        </is>
      </c>
      <c r="C427" s="1611" t="inlineStr">
        <is>
          <t>Senior Engineer</t>
        </is>
      </c>
      <c r="D427" s="1382" t="inlineStr">
        <is>
          <t>Karla Orozco Loza</t>
        </is>
      </c>
      <c r="E427" s="1382" t="inlineStr">
        <is>
          <t>Technology Manager, Future Infrastructure</t>
        </is>
      </c>
      <c r="F427" s="1382" t="inlineStr">
        <is>
          <t>TDD CFE&amp;I</t>
        </is>
      </c>
      <c r="G427" s="1612" t="inlineStr">
        <is>
          <t>Fuel Infrastructure</t>
        </is>
      </c>
      <c r="H427" s="1612" t="inlineStr">
        <is>
          <t>Technology - Distribution</t>
        </is>
      </c>
      <c r="I427" s="1612" t="inlineStr">
        <is>
          <t>Infrastructure</t>
        </is>
      </c>
      <c r="J427" s="1612" t="inlineStr">
        <is>
          <t>Distribution</t>
        </is>
      </c>
      <c r="K427" s="1382" t="inlineStr">
        <is>
          <t>Distribution, Sales &amp; Services</t>
        </is>
      </c>
      <c r="L427" s="1612" t="n"/>
      <c r="M427" s="1613" t="inlineStr">
        <is>
          <t>Australia</t>
        </is>
      </c>
      <c r="N427" s="1614" t="inlineStr">
        <is>
          <t>CIB</t>
        </is>
      </c>
      <c r="O427" s="1614" t="n">
        <v>1</v>
      </c>
      <c r="P427" s="1614" t="n"/>
      <c r="Q427" s="1614" t="inlineStr">
        <is>
          <t>Permanent - Full Time</t>
        </is>
      </c>
      <c r="R427" s="1616" t="n"/>
      <c r="S427" s="1616" t="n"/>
      <c r="T427" s="1627" t="n">
        <v>160000</v>
      </c>
      <c r="U427" s="1626" t="n">
        <v>160000</v>
      </c>
      <c r="V427" s="1619" t="n">
        <v>0.12</v>
      </c>
      <c r="W427" s="1622" t="n">
        <v>0.055</v>
      </c>
      <c r="X427" s="1622" t="n">
        <v>0.12</v>
      </c>
      <c r="Y427" s="1623" t="n"/>
      <c r="Z427" s="1622" t="n">
        <v>0.04</v>
      </c>
      <c r="AA427" s="1621">
        <f>U427*(1+V427+W427+X427+Y427+Z427)</f>
        <v>213600</v>
      </c>
      <c r="AC427" s="865" t="inlineStr">
        <is>
          <t>Infrastructure</t>
        </is>
      </c>
      <c r="AD427" s="865" t="inlineStr">
        <is>
          <t>Distribution</t>
        </is>
      </c>
      <c r="AE427" s="865" t="inlineStr">
        <is>
          <t>Distribution, Sales &amp; Services</t>
        </is>
      </c>
      <c r="AF427" s="865" t="inlineStr">
        <is>
          <t>Squad</t>
        </is>
      </c>
      <c r="AG427" s="865" t="inlineStr">
        <is>
          <t>Filled</t>
        </is>
      </c>
    </row>
    <row r="428" hidden="1" ht="18" customHeight="1" s="866">
      <c r="A428" s="1566" t="n">
        <v>110185</v>
      </c>
      <c r="B428" s="1382" t="inlineStr">
        <is>
          <t>Soumya Choudhury</t>
        </is>
      </c>
      <c r="C428" s="1611" t="inlineStr">
        <is>
          <t xml:space="preserve">Data Application Specialist </t>
        </is>
      </c>
      <c r="D428" s="1612" t="inlineStr">
        <is>
          <t>Vacant</t>
        </is>
      </c>
      <c r="E428" s="1382" t="inlineStr">
        <is>
          <t>Technology Manager, Data</t>
        </is>
      </c>
      <c r="F428" s="1382" t="inlineStr">
        <is>
          <t>TDD CFE&amp;I</t>
        </is>
      </c>
      <c r="G428" s="1612" t="inlineStr">
        <is>
          <t>Commercial Fuels</t>
        </is>
      </c>
      <c r="H428" s="1612" t="inlineStr">
        <is>
          <t>Technology, T&amp;S Data</t>
        </is>
      </c>
      <c r="I428" s="1612" t="inlineStr">
        <is>
          <t>Commercial Fuels</t>
        </is>
      </c>
      <c r="J428" s="1612" t="inlineStr">
        <is>
          <t>Trading &amp; Shipping</t>
        </is>
      </c>
      <c r="K428" s="1612" t="inlineStr">
        <is>
          <t>Trading &amp; Shipping Data</t>
        </is>
      </c>
      <c r="L428" s="1612" t="n"/>
      <c r="M428" s="1613" t="inlineStr">
        <is>
          <t>Singapore</t>
        </is>
      </c>
      <c r="N428" s="1614" t="inlineStr">
        <is>
          <t>CIC</t>
        </is>
      </c>
      <c r="O428" s="1614" t="n">
        <v>1</v>
      </c>
      <c r="P428" s="1614" t="n"/>
      <c r="Q428" s="1614" t="inlineStr">
        <is>
          <t>Permanent - Full Time</t>
        </is>
      </c>
      <c r="R428" s="1616" t="n"/>
      <c r="S428" s="1616" t="n"/>
      <c r="T428" s="1627" t="n">
        <v>181860</v>
      </c>
      <c r="U428" s="1626" t="n">
        <v>220050.6</v>
      </c>
      <c r="V428" s="1619" t="n">
        <v>0.25</v>
      </c>
      <c r="W428" s="1616" t="n"/>
      <c r="X428" s="1619" t="n">
        <v>0.17</v>
      </c>
      <c r="Y428" s="1620" t="n">
        <v>3310</v>
      </c>
      <c r="Z428" s="1638" t="n">
        <v>0.045</v>
      </c>
      <c r="AA428" s="1621">
        <f>U428*(1+V428+X428+Z428)+Y428</f>
        <v>325684.129</v>
      </c>
      <c r="AC428" s="865" t="inlineStr">
        <is>
          <t>Commercial Fuels</t>
        </is>
      </c>
      <c r="AD428" s="865" t="inlineStr">
        <is>
          <t>Trading &amp; Shipping</t>
        </is>
      </c>
      <c r="AE428" s="865" t="inlineStr">
        <is>
          <t>Trading &amp; Shipping Data</t>
        </is>
      </c>
      <c r="AF428" s="865" t="inlineStr">
        <is>
          <t>Squad</t>
        </is>
      </c>
      <c r="AG428" s="865" t="inlineStr">
        <is>
          <t>Filled</t>
        </is>
      </c>
    </row>
    <row r="429" hidden="1" ht="18" customHeight="1" s="866">
      <c r="A429" s="1566" t="n">
        <v>101059</v>
      </c>
      <c r="B429" s="1382" t="inlineStr">
        <is>
          <t>Sriramani Deyyala</t>
        </is>
      </c>
      <c r="C429" s="1611" t="inlineStr">
        <is>
          <t>Systems Analyst</t>
        </is>
      </c>
      <c r="D429" s="1382" t="inlineStr">
        <is>
          <t>Karla Orozco Loza</t>
        </is>
      </c>
      <c r="E429" s="1382" t="inlineStr">
        <is>
          <t>Technology Manager, Future Infrastructure</t>
        </is>
      </c>
      <c r="F429" s="1382" t="inlineStr">
        <is>
          <t>TDD CFE&amp;I</t>
        </is>
      </c>
      <c r="G429" s="1612" t="inlineStr">
        <is>
          <t>Fuel Infrastructure</t>
        </is>
      </c>
      <c r="H429" s="1612" t="inlineStr">
        <is>
          <t>Technology - Distribution</t>
        </is>
      </c>
      <c r="I429" s="1612" t="inlineStr">
        <is>
          <t>Infrastructure</t>
        </is>
      </c>
      <c r="J429" s="1612" t="inlineStr">
        <is>
          <t>Distribution</t>
        </is>
      </c>
      <c r="K429" s="1382" t="inlineStr">
        <is>
          <t>Distribution, Sales &amp; Services</t>
        </is>
      </c>
      <c r="L429" s="1612" t="n"/>
      <c r="M429" s="1613" t="inlineStr">
        <is>
          <t>Australia</t>
        </is>
      </c>
      <c r="N429" s="1614" t="inlineStr">
        <is>
          <t>CIB</t>
        </is>
      </c>
      <c r="O429" s="1614" t="n">
        <v>1</v>
      </c>
      <c r="P429" s="1614" t="n"/>
      <c r="Q429" s="1614" t="inlineStr">
        <is>
          <t>Permanent - Full Time</t>
        </is>
      </c>
      <c r="R429" s="1616" t="n"/>
      <c r="S429" s="1616" t="n"/>
      <c r="T429" s="1627" t="n">
        <v>166360</v>
      </c>
      <c r="U429" s="1626" t="n">
        <v>166360</v>
      </c>
      <c r="V429" s="1619" t="n">
        <v>0.12</v>
      </c>
      <c r="W429" s="1622" t="n">
        <v>0.055</v>
      </c>
      <c r="X429" s="1622" t="n">
        <v>0.12</v>
      </c>
      <c r="Y429" s="1623" t="n"/>
      <c r="Z429" s="1622" t="n">
        <v>0.04</v>
      </c>
      <c r="AA429" s="1621">
        <f>U429*(1+V429+W429+X429+Y429+Z429)</f>
        <v>222090.6</v>
      </c>
      <c r="AC429" s="865" t="inlineStr">
        <is>
          <t>Infrastructure</t>
        </is>
      </c>
      <c r="AD429" s="865" t="inlineStr">
        <is>
          <t>Distribution</t>
        </is>
      </c>
      <c r="AE429" s="865" t="inlineStr">
        <is>
          <t>Distribution, Sales &amp; Services</t>
        </is>
      </c>
      <c r="AF429" s="865" t="inlineStr">
        <is>
          <t>Squad</t>
        </is>
      </c>
      <c r="AG429" s="865" t="inlineStr">
        <is>
          <t>Filled</t>
        </is>
      </c>
    </row>
    <row r="430" hidden="1" ht="18" customHeight="1" s="866">
      <c r="A430" s="1566" t="n">
        <v>10572</v>
      </c>
      <c r="B430" s="1382" t="inlineStr">
        <is>
          <t>Stevani Kho</t>
        </is>
      </c>
      <c r="C430" s="1611" t="inlineStr">
        <is>
          <t>Delivery Lead</t>
        </is>
      </c>
      <c r="D430" s="1382" t="inlineStr">
        <is>
          <t>Vacant</t>
        </is>
      </c>
      <c r="E430" s="1382" t="inlineStr">
        <is>
          <t>Technology Manger, Data</t>
        </is>
      </c>
      <c r="F430" s="1382" t="inlineStr">
        <is>
          <t>TDD CFE&amp;I</t>
        </is>
      </c>
      <c r="G430" s="1612" t="inlineStr">
        <is>
          <t>Fuel Infrastructure</t>
        </is>
      </c>
      <c r="H430" s="1612" t="inlineStr">
        <is>
          <t>Fuel Infrastructure, Data</t>
        </is>
      </c>
      <c r="I430" s="1612" t="inlineStr">
        <is>
          <t>Infrastructure</t>
        </is>
      </c>
      <c r="J430" s="1382" t="inlineStr">
        <is>
          <t xml:space="preserve">Data &amp; Insights </t>
        </is>
      </c>
      <c r="K430" s="1382" t="inlineStr">
        <is>
          <t xml:space="preserve">Data &amp; Insights </t>
        </is>
      </c>
      <c r="L430" s="1612" t="n"/>
      <c r="M430" s="1613" t="inlineStr">
        <is>
          <t>Australia</t>
        </is>
      </c>
      <c r="N430" s="1616" t="inlineStr">
        <is>
          <t>CSB</t>
        </is>
      </c>
      <c r="O430" s="1616" t="n">
        <v>1</v>
      </c>
      <c r="P430" s="1616" t="n"/>
      <c r="Q430" s="1616" t="inlineStr">
        <is>
          <t>Permanent - Full Time</t>
        </is>
      </c>
      <c r="R430" s="1616" t="n"/>
      <c r="S430" s="1616" t="n"/>
      <c r="T430" s="1627" t="n">
        <v>205050</v>
      </c>
      <c r="U430" s="1626" t="n">
        <v>205050</v>
      </c>
      <c r="V430" s="1619" t="n">
        <v>0.14</v>
      </c>
      <c r="W430" s="1622" t="n">
        <v>0.055</v>
      </c>
      <c r="X430" s="1622" t="n">
        <v>0.12</v>
      </c>
      <c r="Y430" s="1623" t="n"/>
      <c r="Z430" s="1622" t="n">
        <v>0.04</v>
      </c>
      <c r="AA430" s="1621">
        <f>U430*(1+V430+W430+X430+Y430+Z430)</f>
        <v>277842.75</v>
      </c>
      <c r="AC430" s="865" t="inlineStr">
        <is>
          <t>Infrastructure</t>
        </is>
      </c>
      <c r="AD430" s="865" t="inlineStr">
        <is>
          <t>Data &amp; Insights</t>
        </is>
      </c>
      <c r="AE430" s="865" t="inlineStr">
        <is>
          <t>Data &amp; Insights</t>
        </is>
      </c>
      <c r="AF430" s="865" t="inlineStr">
        <is>
          <t>Squad</t>
        </is>
      </c>
      <c r="AG430" s="865" t="inlineStr">
        <is>
          <t>Filled</t>
        </is>
      </c>
    </row>
    <row r="431" hidden="1" ht="18" customHeight="1" s="866">
      <c r="A431" s="1566" t="n">
        <v>106221</v>
      </c>
      <c r="B431" s="1382" t="inlineStr">
        <is>
          <t>Suja Sugathan</t>
        </is>
      </c>
      <c r="C431" s="1611" t="inlineStr">
        <is>
          <t>Senior Business Analyst</t>
        </is>
      </c>
      <c r="D431" s="1612" t="inlineStr">
        <is>
          <t>Vacant</t>
        </is>
      </c>
      <c r="E431" s="1382" t="inlineStr">
        <is>
          <t>Delivery Manager</t>
        </is>
      </c>
      <c r="F431" s="1382" t="inlineStr">
        <is>
          <t>TDD CFE&amp;I</t>
        </is>
      </c>
      <c r="G431" s="1612" t="inlineStr">
        <is>
          <t>Commercial Fuels</t>
        </is>
      </c>
      <c r="H431" s="1612" t="inlineStr">
        <is>
          <t>Delivery, Commercial Fuels</t>
        </is>
      </c>
      <c r="I431" s="1612" t="inlineStr">
        <is>
          <t>Commercial Fuels</t>
        </is>
      </c>
      <c r="J431" s="1612" t="inlineStr">
        <is>
          <t>Trading &amp; Shipping</t>
        </is>
      </c>
      <c r="K431" s="1612" t="inlineStr">
        <is>
          <t>Trading &amp; Shipping</t>
        </is>
      </c>
      <c r="L431" s="1382" t="n"/>
      <c r="M431" s="1613" t="inlineStr">
        <is>
          <t>Singapore</t>
        </is>
      </c>
      <c r="N431" s="1614" t="inlineStr">
        <is>
          <t>CIC</t>
        </is>
      </c>
      <c r="O431" s="1614" t="n">
        <v>1</v>
      </c>
      <c r="P431" s="1614" t="n"/>
      <c r="Q431" s="1614" t="inlineStr">
        <is>
          <t>Permanent - Full Time</t>
        </is>
      </c>
      <c r="R431" s="1616" t="n"/>
      <c r="S431" s="1616" t="n"/>
      <c r="T431" s="1627" t="n">
        <v>196770</v>
      </c>
      <c r="U431" s="1626" t="n">
        <v>238091.7</v>
      </c>
      <c r="V431" s="1619" t="n">
        <v>0.25</v>
      </c>
      <c r="W431" s="1616" t="n"/>
      <c r="X431" s="1619" t="n">
        <v>0.17</v>
      </c>
      <c r="Y431" s="1620" t="n">
        <v>3310</v>
      </c>
      <c r="Z431" s="1638" t="n">
        <v>0.045</v>
      </c>
      <c r="AA431" s="1621">
        <f>U431*(1+V431+X431+Z431)+Y431</f>
        <v>352114.3405</v>
      </c>
      <c r="AC431" s="865" t="inlineStr">
        <is>
          <t>Commercial Fuels</t>
        </is>
      </c>
      <c r="AD431" s="865" t="inlineStr">
        <is>
          <t>Trading &amp; Shipping</t>
        </is>
      </c>
      <c r="AE431" s="865" t="inlineStr">
        <is>
          <t>Trading &amp; Shipping</t>
        </is>
      </c>
      <c r="AF431" s="865" t="inlineStr">
        <is>
          <t>Squad</t>
        </is>
      </c>
      <c r="AG431" s="865" t="inlineStr">
        <is>
          <t>Filled</t>
        </is>
      </c>
    </row>
    <row r="432" hidden="1" ht="18" customHeight="1" s="866">
      <c r="A432" s="1566" t="n">
        <v>113333</v>
      </c>
      <c r="B432" s="1382" t="inlineStr">
        <is>
          <t>Tom Moore</t>
        </is>
      </c>
      <c r="C432" s="1611" t="inlineStr">
        <is>
          <t>Technology Support Engineer - Infrastructure</t>
        </is>
      </c>
      <c r="D432" s="1382" t="inlineStr">
        <is>
          <t>Glenn Earl</t>
        </is>
      </c>
      <c r="E432" s="1382" t="inlineStr">
        <is>
          <t>Lead Support, Infrastructure</t>
        </is>
      </c>
      <c r="F432" s="1382" t="inlineStr">
        <is>
          <t>TDD CFE&amp;I</t>
        </is>
      </c>
      <c r="G432" s="1612" t="inlineStr">
        <is>
          <t>Fuel Infrastructure</t>
        </is>
      </c>
      <c r="H432" s="1612" t="inlineStr">
        <is>
          <t>Refinery Applications</t>
        </is>
      </c>
      <c r="I432" s="1612" t="inlineStr">
        <is>
          <t>Infrastructure</t>
        </is>
      </c>
      <c r="J432" s="1612" t="inlineStr">
        <is>
          <t>Fuel Infrastructure</t>
        </is>
      </c>
      <c r="K432" s="1382" t="inlineStr">
        <is>
          <t>Technology Suport</t>
        </is>
      </c>
      <c r="L432" s="1612" t="n"/>
      <c r="M432" s="1613" t="inlineStr">
        <is>
          <t>Australia</t>
        </is>
      </c>
      <c r="N432" s="1614" t="inlineStr">
        <is>
          <t>CDA</t>
        </is>
      </c>
      <c r="O432" s="1614" t="n">
        <v>1</v>
      </c>
      <c r="P432" s="1614" t="n"/>
      <c r="Q432" s="1614" t="inlineStr">
        <is>
          <t>Permanent - Full Time</t>
        </is>
      </c>
      <c r="R432" s="1616" t="n"/>
      <c r="S432" s="1616" t="n"/>
      <c r="T432" s="1627" t="n">
        <v>82380</v>
      </c>
      <c r="U432" s="1626" t="n">
        <v>82380</v>
      </c>
      <c r="V432" s="1619" t="n">
        <v>0.08</v>
      </c>
      <c r="W432" s="1622" t="n">
        <v>0.055</v>
      </c>
      <c r="X432" s="1622" t="n">
        <v>0.12</v>
      </c>
      <c r="Y432" s="1623" t="n"/>
      <c r="Z432" s="1622" t="n">
        <v>0.04</v>
      </c>
      <c r="AA432" s="1621">
        <f>U432*(1+V432+W432+X432+Y432+Z432)</f>
        <v>106682.1</v>
      </c>
      <c r="AC432" s="865" t="inlineStr">
        <is>
          <t>Infrastructure</t>
        </is>
      </c>
      <c r="AD432" s="865" t="inlineStr">
        <is>
          <t>Manufacturing</t>
        </is>
      </c>
      <c r="AE432" s="865" t="inlineStr">
        <is>
          <t>Technology Support</t>
        </is>
      </c>
      <c r="AF432" s="865" t="inlineStr">
        <is>
          <t>Squad</t>
        </is>
      </c>
      <c r="AG432" s="865" t="inlineStr">
        <is>
          <t>Filled</t>
        </is>
      </c>
    </row>
    <row r="433" hidden="1" ht="18" customHeight="1" s="866">
      <c r="A433" s="1566" t="n">
        <v>116312</v>
      </c>
      <c r="B433" s="1382" t="inlineStr">
        <is>
          <t>Trung Truong</t>
        </is>
      </c>
      <c r="C433" s="1611" t="inlineStr">
        <is>
          <t>Engineer Applications</t>
        </is>
      </c>
      <c r="D433" s="1382" t="inlineStr">
        <is>
          <t>Allan Francia</t>
        </is>
      </c>
      <c r="E433" s="1382" t="inlineStr">
        <is>
          <t>Technology Manager, T&amp;S</t>
        </is>
      </c>
      <c r="F433" s="1382" t="inlineStr">
        <is>
          <t>TDD CFE&amp;I</t>
        </is>
      </c>
      <c r="G433" s="1612" t="inlineStr">
        <is>
          <t>Commercial Fuels</t>
        </is>
      </c>
      <c r="H433" s="1612" t="inlineStr">
        <is>
          <t>Technology, Trading &amp; Shipping</t>
        </is>
      </c>
      <c r="I433" s="1612" t="inlineStr">
        <is>
          <t>Commercial Fuels</t>
        </is>
      </c>
      <c r="J433" s="1382" t="inlineStr">
        <is>
          <t>CTRM</t>
        </is>
      </c>
      <c r="K433" s="1382" t="inlineStr">
        <is>
          <t>CTRM</t>
        </is>
      </c>
      <c r="L433" s="1612" t="n"/>
      <c r="M433" s="1613" t="inlineStr">
        <is>
          <t>Singapore</t>
        </is>
      </c>
      <c r="N433" s="1614" t="inlineStr">
        <is>
          <t>CIC</t>
        </is>
      </c>
      <c r="O433" s="1614" t="n">
        <v>1</v>
      </c>
      <c r="P433" s="1614" t="n"/>
      <c r="Q433" s="1614" t="inlineStr">
        <is>
          <t>Permanent - Full Time</t>
        </is>
      </c>
      <c r="R433" s="1616" t="n"/>
      <c r="S433" s="1616" t="n"/>
      <c r="T433" s="1627" t="n">
        <v>170000</v>
      </c>
      <c r="U433" s="1626" t="n">
        <v>205700</v>
      </c>
      <c r="V433" s="1619" t="n">
        <v>0.25</v>
      </c>
      <c r="W433" s="1616" t="n"/>
      <c r="X433" s="1619" t="n">
        <v>0.17</v>
      </c>
      <c r="Y433" s="1620" t="n">
        <v>3310</v>
      </c>
      <c r="Z433" s="1638" t="n">
        <v>0.045</v>
      </c>
      <c r="AA433" s="1621">
        <f>U433*(1+V433+X433+Z433)+Y433</f>
        <v>304660.5</v>
      </c>
      <c r="AC433" s="865" t="inlineStr">
        <is>
          <t>Commercial Fuels</t>
        </is>
      </c>
      <c r="AD433" s="865" t="inlineStr">
        <is>
          <t>CTRM</t>
        </is>
      </c>
      <c r="AE433" s="865" t="inlineStr">
        <is>
          <t>CTRM</t>
        </is>
      </c>
      <c r="AF433" s="865" t="inlineStr">
        <is>
          <t>Strategic Program</t>
        </is>
      </c>
      <c r="AG433" s="865" t="inlineStr">
        <is>
          <t>Filled</t>
        </is>
      </c>
    </row>
    <row r="434" hidden="1" ht="18" customHeight="1" s="866">
      <c r="A434" s="1566" t="n">
        <v>110040</v>
      </c>
      <c r="B434" s="1382" t="inlineStr">
        <is>
          <t>Tyler Meggs</t>
        </is>
      </c>
      <c r="C434" s="1611" t="inlineStr">
        <is>
          <t>System Analyst</t>
        </is>
      </c>
      <c r="D434" s="1382" t="inlineStr">
        <is>
          <t>Jaya Ganasan</t>
        </is>
      </c>
      <c r="E434" s="1382" t="inlineStr">
        <is>
          <t>Technology Manager, TDD Refinery</t>
        </is>
      </c>
      <c r="F434" s="1382" t="inlineStr">
        <is>
          <t>TDD CFE&amp;I</t>
        </is>
      </c>
      <c r="G434" s="1612" t="inlineStr">
        <is>
          <t>Fuel Infrastructure</t>
        </is>
      </c>
      <c r="H434" s="1612" t="inlineStr">
        <is>
          <t>Refinery Applications</t>
        </is>
      </c>
      <c r="I434" s="1612" t="inlineStr">
        <is>
          <t>Infrastructure</t>
        </is>
      </c>
      <c r="J434" s="1612" t="inlineStr">
        <is>
          <t>Manufacturing</t>
        </is>
      </c>
      <c r="K434" s="1382" t="inlineStr">
        <is>
          <t>Manufacturing Group Projects</t>
        </is>
      </c>
      <c r="L434" s="1612" t="n"/>
      <c r="M434" s="1613" t="inlineStr">
        <is>
          <t>Australia</t>
        </is>
      </c>
      <c r="N434" s="1614" t="inlineStr">
        <is>
          <t>CIA</t>
        </is>
      </c>
      <c r="O434" s="1614" t="n">
        <v>1</v>
      </c>
      <c r="P434" s="1614" t="n"/>
      <c r="Q434" s="1614" t="inlineStr">
        <is>
          <t>Permanent - Full Time</t>
        </is>
      </c>
      <c r="R434" s="1616" t="n"/>
      <c r="S434" s="1616" t="n"/>
      <c r="T434" s="1627" t="n">
        <v>110000</v>
      </c>
      <c r="U434" s="1626" t="n">
        <v>110000</v>
      </c>
      <c r="V434" s="1619" t="n">
        <v>0.1</v>
      </c>
      <c r="W434" s="1622" t="n">
        <v>0.055</v>
      </c>
      <c r="X434" s="1622" t="n">
        <v>0.12</v>
      </c>
      <c r="Y434" s="1623" t="n"/>
      <c r="Z434" s="1622" t="n">
        <v>0.04</v>
      </c>
      <c r="AA434" s="1621">
        <f>U434*(1+V434+W434+X434+Y434+Z434)</f>
        <v>144650</v>
      </c>
      <c r="AC434" s="865" t="inlineStr">
        <is>
          <t>Infrastructure</t>
        </is>
      </c>
      <c r="AD434" s="865" t="inlineStr">
        <is>
          <t>Manufacturing</t>
        </is>
      </c>
      <c r="AE434" s="865" t="inlineStr">
        <is>
          <t>Manufacturing &amp; Group Projects</t>
        </is>
      </c>
      <c r="AF434" s="865" t="inlineStr">
        <is>
          <t>Squad</t>
        </is>
      </c>
      <c r="AG434" s="865" t="inlineStr">
        <is>
          <t>Filled</t>
        </is>
      </c>
    </row>
    <row r="435" hidden="1" ht="18" customHeight="1" s="866">
      <c r="A435" s="1566" t="inlineStr">
        <is>
          <t>V</t>
        </is>
      </c>
      <c r="B435" s="1382" t="inlineStr">
        <is>
          <t>Vacant</t>
        </is>
      </c>
      <c r="C435" s="1611" t="inlineStr">
        <is>
          <t>Engineer Software</t>
        </is>
      </c>
      <c r="D435" s="1382" t="inlineStr">
        <is>
          <t>Elle Spencer</t>
        </is>
      </c>
      <c r="E435" s="1382" t="inlineStr">
        <is>
          <t>Technology Manager, Energy Solutions</t>
        </is>
      </c>
      <c r="F435" s="1382" t="inlineStr">
        <is>
          <t>TDD CFE&amp;I</t>
        </is>
      </c>
      <c r="G435" s="1612" t="inlineStr">
        <is>
          <t>B2B &amp; Energy Solutions</t>
        </is>
      </c>
      <c r="H435" s="1612" t="inlineStr">
        <is>
          <t>Technology B2B</t>
        </is>
      </c>
      <c r="I435" s="1612" t="inlineStr">
        <is>
          <t>B2B &amp; Energy Solutions</t>
        </is>
      </c>
      <c r="J435" s="1382" t="inlineStr">
        <is>
          <t>B2B</t>
        </is>
      </c>
      <c r="K435" s="1382" t="inlineStr">
        <is>
          <t>B2B</t>
        </is>
      </c>
      <c r="L435" s="1612" t="n"/>
      <c r="M435" s="1613" t="inlineStr">
        <is>
          <t>Australia</t>
        </is>
      </c>
      <c r="N435" s="1614" t="inlineStr">
        <is>
          <t>CIB</t>
        </is>
      </c>
      <c r="O435" s="1614" t="n">
        <v>1</v>
      </c>
      <c r="P435" s="1614" t="n"/>
      <c r="Q435" s="1614" t="inlineStr">
        <is>
          <t>V</t>
        </is>
      </c>
      <c r="R435" s="1616" t="n"/>
      <c r="S435" s="1616" t="n"/>
      <c r="T435" s="1627" t="n">
        <v>151950</v>
      </c>
      <c r="U435" s="1626" t="n">
        <v>151950</v>
      </c>
      <c r="V435" s="1619" t="n">
        <v>0.12</v>
      </c>
      <c r="W435" s="1622" t="n">
        <v>0.055</v>
      </c>
      <c r="X435" s="1622" t="n">
        <v>0.12</v>
      </c>
      <c r="Y435" s="1623" t="n"/>
      <c r="Z435" s="1622" t="n">
        <v>0.04</v>
      </c>
      <c r="AA435" s="1621">
        <f>U435*(1+V435+W435+X435+Y435+Z435)</f>
        <v>202853.25</v>
      </c>
      <c r="AC435" s="865" t="inlineStr">
        <is>
          <t>Energy Solutions &amp; B2B</t>
        </is>
      </c>
      <c r="AD435" s="865" t="inlineStr">
        <is>
          <t>B2B</t>
        </is>
      </c>
      <c r="AE435" s="865" t="inlineStr">
        <is>
          <t>B2B</t>
        </is>
      </c>
      <c r="AF435" s="865" t="inlineStr">
        <is>
          <t>Squad</t>
        </is>
      </c>
      <c r="AG435" s="865" t="inlineStr">
        <is>
          <t>Vacant</t>
        </is>
      </c>
    </row>
    <row r="436" hidden="1" ht="18" customHeight="1" s="866">
      <c r="A436" s="1566" t="inlineStr">
        <is>
          <t>V</t>
        </is>
      </c>
      <c r="B436" s="1382" t="inlineStr">
        <is>
          <t>Vacant</t>
        </is>
      </c>
      <c r="C436" s="1611" t="inlineStr">
        <is>
          <t>Solution Architect</t>
        </is>
      </c>
      <c r="D436" s="1382" t="inlineStr">
        <is>
          <t>Elle Spencer</t>
        </is>
      </c>
      <c r="E436" s="1382" t="inlineStr">
        <is>
          <t>Technology Manager, Energy Solutions</t>
        </is>
      </c>
      <c r="F436" s="1382" t="inlineStr">
        <is>
          <t>TDD CFE&amp;I</t>
        </is>
      </c>
      <c r="G436" s="1612" t="inlineStr">
        <is>
          <t>B2B &amp; Energy Solutions</t>
        </is>
      </c>
      <c r="H436" s="1612" t="inlineStr">
        <is>
          <t>Technology B2B</t>
        </is>
      </c>
      <c r="I436" s="1612" t="inlineStr">
        <is>
          <t>B2B &amp; Energy Solutions</t>
        </is>
      </c>
      <c r="J436" s="1382" t="inlineStr">
        <is>
          <t>B2B</t>
        </is>
      </c>
      <c r="K436" s="1382" t="inlineStr">
        <is>
          <t>B2B</t>
        </is>
      </c>
      <c r="L436" s="1612" t="n"/>
      <c r="M436" s="1613" t="inlineStr">
        <is>
          <t>australia</t>
        </is>
      </c>
      <c r="N436" s="1614" t="inlineStr">
        <is>
          <t>CIC</t>
        </is>
      </c>
      <c r="O436" s="1614" t="n">
        <v>1</v>
      </c>
      <c r="P436" s="1614" t="n"/>
      <c r="Q436" s="1614" t="inlineStr">
        <is>
          <t>v</t>
        </is>
      </c>
      <c r="R436" s="1616" t="n"/>
      <c r="S436" s="1616" t="n"/>
      <c r="T436" s="1627" t="n">
        <v>173550</v>
      </c>
      <c r="U436" s="1626" t="n">
        <v>173550</v>
      </c>
      <c r="V436" s="1619" t="n">
        <v>0.12</v>
      </c>
      <c r="W436" s="1622" t="n">
        <v>0.055</v>
      </c>
      <c r="X436" s="1622" t="n">
        <v>0.12</v>
      </c>
      <c r="Y436" s="1623" t="n"/>
      <c r="Z436" s="1622" t="n">
        <v>0.04</v>
      </c>
      <c r="AA436" s="1621">
        <f>U436*(1+V436+W436+X436+Y436+Z436)</f>
        <v>231689.25</v>
      </c>
      <c r="AC436" s="865" t="inlineStr">
        <is>
          <t>Energy Solutions &amp; B2B</t>
        </is>
      </c>
      <c r="AD436" s="865" t="inlineStr">
        <is>
          <t>B2B</t>
        </is>
      </c>
      <c r="AE436" s="865" t="inlineStr">
        <is>
          <t>B2B</t>
        </is>
      </c>
      <c r="AF436" s="865" t="inlineStr">
        <is>
          <t>Squad</t>
        </is>
      </c>
      <c r="AG436" s="865" t="inlineStr">
        <is>
          <t>Vacant</t>
        </is>
      </c>
    </row>
    <row r="437" hidden="1" ht="18" customHeight="1" s="866">
      <c r="A437" s="1566" t="inlineStr">
        <is>
          <t>V</t>
        </is>
      </c>
      <c r="B437" s="1382" t="inlineStr">
        <is>
          <t>Vacant</t>
        </is>
      </c>
      <c r="C437" s="1611" t="inlineStr">
        <is>
          <t>Delivery manager</t>
        </is>
      </c>
      <c r="D437" s="1612" t="inlineStr">
        <is>
          <t>Liesl Tye</t>
        </is>
      </c>
      <c r="E437" s="1382" t="inlineStr">
        <is>
          <t>Head of Technology, B2B &amp; Energy Solutions</t>
        </is>
      </c>
      <c r="F437" s="1382" t="inlineStr">
        <is>
          <t>TDD CFE&amp;I</t>
        </is>
      </c>
      <c r="G437" s="1612" t="inlineStr">
        <is>
          <t>B2B &amp; Energy Solutions</t>
        </is>
      </c>
      <c r="H437" s="1612" t="inlineStr">
        <is>
          <t>Leadership</t>
        </is>
      </c>
      <c r="I437" s="1612" t="inlineStr">
        <is>
          <t>B2B &amp; Energy Solutions</t>
        </is>
      </c>
      <c r="J437" s="1612" t="inlineStr">
        <is>
          <t>Leadership</t>
        </is>
      </c>
      <c r="K437" s="1382" t="inlineStr">
        <is>
          <t>Leadership</t>
        </is>
      </c>
      <c r="L437" s="1612" t="n"/>
      <c r="M437" s="1613" t="inlineStr">
        <is>
          <t>Australia</t>
        </is>
      </c>
      <c r="N437" s="1614" t="inlineStr">
        <is>
          <t>CSB</t>
        </is>
      </c>
      <c r="O437" s="1614" t="n">
        <v>1</v>
      </c>
      <c r="P437" s="1614" t="n"/>
      <c r="Q437" s="1614" t="inlineStr">
        <is>
          <t>V</t>
        </is>
      </c>
      <c r="R437" s="1616" t="n"/>
      <c r="S437" s="1616" t="n"/>
      <c r="T437" s="1627" t="n">
        <v>203550</v>
      </c>
      <c r="U437" s="1626" t="n">
        <v>203550</v>
      </c>
      <c r="V437" s="1619" t="n">
        <v>0.14</v>
      </c>
      <c r="W437" s="1622" t="n">
        <v>0.055</v>
      </c>
      <c r="X437" s="1622" t="n">
        <v>0.12</v>
      </c>
      <c r="Y437" s="1623" t="n"/>
      <c r="Z437" s="1622" t="n">
        <v>0.04</v>
      </c>
      <c r="AA437" s="1621">
        <f>U437*(1+V437+W437+X437+Y437+Z437)</f>
        <v>275810.25</v>
      </c>
      <c r="AC437" s="865" t="inlineStr">
        <is>
          <t>Energy Solutions &amp; B2B</t>
        </is>
      </c>
      <c r="AD437" s="865" t="inlineStr">
        <is>
          <t>Leadership</t>
        </is>
      </c>
      <c r="AE437" s="865" t="inlineStr">
        <is>
          <t>Leadership</t>
        </is>
      </c>
      <c r="AF437" s="865" t="inlineStr">
        <is>
          <t>Leadership</t>
        </is>
      </c>
      <c r="AG437" s="865" t="inlineStr">
        <is>
          <t>Vacant</t>
        </is>
      </c>
    </row>
    <row r="438" hidden="1" ht="18" customHeight="1" s="866">
      <c r="A438" s="1566" t="inlineStr">
        <is>
          <t>V</t>
        </is>
      </c>
      <c r="B438" s="1382" t="inlineStr">
        <is>
          <t>Vacant</t>
        </is>
      </c>
      <c r="C438" s="1611" t="inlineStr">
        <is>
          <t>Technology Manager, Energy Solutions</t>
        </is>
      </c>
      <c r="D438" s="1612" t="inlineStr">
        <is>
          <t>Liesl Tye</t>
        </is>
      </c>
      <c r="E438" s="1382" t="inlineStr">
        <is>
          <t>Head of Technology, B2B &amp; Energy Solutions</t>
        </is>
      </c>
      <c r="F438" s="1382" t="inlineStr">
        <is>
          <t>TDD CFE&amp;I</t>
        </is>
      </c>
      <c r="G438" s="1612" t="inlineStr">
        <is>
          <t>B2B &amp; Energy Solutions</t>
        </is>
      </c>
      <c r="H438" s="1612" t="inlineStr">
        <is>
          <t>Technology Energy Solutions</t>
        </is>
      </c>
      <c r="I438" s="1612" t="inlineStr">
        <is>
          <t>B2B &amp; Energy Solutions</t>
        </is>
      </c>
      <c r="J438" s="1703" t="inlineStr">
        <is>
          <t>Leadership</t>
        </is>
      </c>
      <c r="K438" s="1382" t="inlineStr">
        <is>
          <t>Leadership</t>
        </is>
      </c>
      <c r="L438" s="1612" t="n"/>
      <c r="M438" s="1613" t="inlineStr">
        <is>
          <t>Australia</t>
        </is>
      </c>
      <c r="N438" s="1614" t="inlineStr">
        <is>
          <t>CSB</t>
        </is>
      </c>
      <c r="O438" s="1614" t="n">
        <v>1</v>
      </c>
      <c r="P438" s="1614" t="n"/>
      <c r="Q438" s="1614" t="inlineStr">
        <is>
          <t>v</t>
        </is>
      </c>
      <c r="R438" s="1616" t="n"/>
      <c r="S438" s="1616" t="n"/>
      <c r="T438" s="1627" t="n">
        <v>203550</v>
      </c>
      <c r="U438" s="1626" t="n">
        <v>203550</v>
      </c>
      <c r="V438" s="1619" t="n">
        <v>0.14</v>
      </c>
      <c r="W438" s="1622" t="n">
        <v>0.055</v>
      </c>
      <c r="X438" s="1622" t="n">
        <v>0.12</v>
      </c>
      <c r="Y438" s="1623" t="n"/>
      <c r="Z438" s="1622" t="n">
        <v>0.04</v>
      </c>
      <c r="AA438" s="1621">
        <f>U438*(1+V438+W438+X438+Y438+Z438)</f>
        <v>275810.25</v>
      </c>
      <c r="AC438" s="865" t="inlineStr">
        <is>
          <t>Energy Solutions &amp; B2B</t>
        </is>
      </c>
      <c r="AD438" s="865" t="inlineStr">
        <is>
          <t>Leadership</t>
        </is>
      </c>
      <c r="AE438" s="865" t="inlineStr">
        <is>
          <t>Leadership</t>
        </is>
      </c>
      <c r="AF438" s="865" t="inlineStr">
        <is>
          <t>Leadership</t>
        </is>
      </c>
      <c r="AG438" s="865" t="inlineStr">
        <is>
          <t>Vacant</t>
        </is>
      </c>
    </row>
    <row r="439" hidden="1" ht="18" customHeight="1" s="866">
      <c r="A439" s="1566" t="inlineStr">
        <is>
          <t>V</t>
        </is>
      </c>
      <c r="B439" s="1382" t="inlineStr">
        <is>
          <t>Vacant</t>
        </is>
      </c>
      <c r="C439" s="1611" t="inlineStr">
        <is>
          <t>Engineer Automation - Testing</t>
        </is>
      </c>
      <c r="D439" s="1612" t="inlineStr">
        <is>
          <t>Vacant</t>
        </is>
      </c>
      <c r="E439" s="1382" t="inlineStr">
        <is>
          <t>Technology Manager, Energy Solutions</t>
        </is>
      </c>
      <c r="F439" s="1382" t="inlineStr">
        <is>
          <t>TDD CFE&amp;I</t>
        </is>
      </c>
      <c r="G439" s="1612" t="inlineStr">
        <is>
          <t>B2B &amp; Energy Solutions</t>
        </is>
      </c>
      <c r="H439" s="1612" t="inlineStr">
        <is>
          <t>Technology Energy Solutions</t>
        </is>
      </c>
      <c r="I439" s="1612" t="inlineStr">
        <is>
          <t>B2B &amp; Energy Solutions</t>
        </is>
      </c>
      <c r="J439" s="1612" t="inlineStr">
        <is>
          <t>Energy Solutions</t>
        </is>
      </c>
      <c r="K439" s="1382" t="inlineStr">
        <is>
          <t>Energy</t>
        </is>
      </c>
      <c r="L439" s="1612" t="n"/>
      <c r="M439" s="1613" t="inlineStr">
        <is>
          <t>Australia</t>
        </is>
      </c>
      <c r="N439" s="1614" t="inlineStr">
        <is>
          <t>CIB</t>
        </is>
      </c>
      <c r="O439" s="1614" t="n">
        <v>1</v>
      </c>
      <c r="P439" s="1614" t="n"/>
      <c r="Q439" s="1614" t="inlineStr">
        <is>
          <t>V</t>
        </is>
      </c>
      <c r="R439" s="1616" t="n"/>
      <c r="S439" s="1616" t="n"/>
      <c r="T439" s="1627" t="n">
        <v>151950</v>
      </c>
      <c r="U439" s="1626" t="n">
        <v>151950</v>
      </c>
      <c r="V439" s="1619" t="n">
        <v>0.12</v>
      </c>
      <c r="W439" s="1622" t="n">
        <v>0.055</v>
      </c>
      <c r="X439" s="1622" t="n">
        <v>0.12</v>
      </c>
      <c r="Y439" s="1623" t="n"/>
      <c r="Z439" s="1622" t="n">
        <v>0.04</v>
      </c>
      <c r="AA439" s="1621">
        <f>U439*(1+V439+W439+X439+Y439+Z439)</f>
        <v>202853.25</v>
      </c>
      <c r="AC439" s="865" t="inlineStr">
        <is>
          <t>Energy Solutions &amp; B2B</t>
        </is>
      </c>
      <c r="AD439" s="865" t="inlineStr">
        <is>
          <t>Energy Solutions</t>
        </is>
      </c>
      <c r="AE439" s="865" t="inlineStr">
        <is>
          <t>Energy</t>
        </is>
      </c>
      <c r="AF439" s="865" t="inlineStr">
        <is>
          <t>Squad</t>
        </is>
      </c>
      <c r="AG439" s="865" t="inlineStr">
        <is>
          <t>Vacant</t>
        </is>
      </c>
    </row>
    <row r="440" hidden="1" ht="18" customHeight="1" s="866">
      <c r="A440" s="1566" t="inlineStr">
        <is>
          <t>V</t>
        </is>
      </c>
      <c r="B440" s="1382" t="inlineStr">
        <is>
          <t>Vacant</t>
        </is>
      </c>
      <c r="C440" s="1611" t="inlineStr">
        <is>
          <t>Snr Engineer Software</t>
        </is>
      </c>
      <c r="D440" s="1612" t="inlineStr">
        <is>
          <t>Vacant</t>
        </is>
      </c>
      <c r="E440" s="1382" t="inlineStr">
        <is>
          <t>Technology Manager, Energy Solutions</t>
        </is>
      </c>
      <c r="F440" s="1382" t="inlineStr">
        <is>
          <t>TDD CFE&amp;I</t>
        </is>
      </c>
      <c r="G440" s="1612" t="inlineStr">
        <is>
          <t>B2B &amp; Energy Solutions</t>
        </is>
      </c>
      <c r="H440" s="1612" t="inlineStr">
        <is>
          <t>Technology Energy Solutions</t>
        </is>
      </c>
      <c r="I440" s="1612" t="inlineStr">
        <is>
          <t>B2B &amp; Energy Solutions</t>
        </is>
      </c>
      <c r="J440" s="1612" t="inlineStr">
        <is>
          <t>Energy Solutions</t>
        </is>
      </c>
      <c r="K440" s="1382" t="inlineStr">
        <is>
          <t>Energy</t>
        </is>
      </c>
      <c r="L440" s="1612" t="n"/>
      <c r="M440" s="1613" t="inlineStr">
        <is>
          <t>Australia</t>
        </is>
      </c>
      <c r="N440" s="1614" t="inlineStr">
        <is>
          <t>CIB</t>
        </is>
      </c>
      <c r="O440" s="1614" t="n">
        <v>1</v>
      </c>
      <c r="P440" s="1614" t="n"/>
      <c r="Q440" s="1614" t="inlineStr">
        <is>
          <t>v</t>
        </is>
      </c>
      <c r="R440" s="1616" t="n"/>
      <c r="S440" s="1616" t="n"/>
      <c r="T440" s="1627" t="n">
        <v>151950</v>
      </c>
      <c r="U440" s="1626" t="n">
        <v>151950</v>
      </c>
      <c r="V440" s="1619" t="n">
        <v>0.12</v>
      </c>
      <c r="W440" s="1622" t="n">
        <v>0.055</v>
      </c>
      <c r="X440" s="1622" t="n">
        <v>0.12</v>
      </c>
      <c r="Y440" s="1623" t="n"/>
      <c r="Z440" s="1622" t="n">
        <v>0.04</v>
      </c>
      <c r="AA440" s="1621">
        <f>U440*(1+V440+W440+X440+Y440+Z440)</f>
        <v>202853.25</v>
      </c>
      <c r="AC440" s="865" t="inlineStr">
        <is>
          <t>Energy Solutions &amp; B2B</t>
        </is>
      </c>
      <c r="AD440" s="865" t="inlineStr">
        <is>
          <t>Energy Solutions</t>
        </is>
      </c>
      <c r="AE440" s="865" t="inlineStr">
        <is>
          <t>Energy</t>
        </is>
      </c>
      <c r="AF440" s="865" t="inlineStr">
        <is>
          <t>Squad</t>
        </is>
      </c>
      <c r="AG440" s="865" t="inlineStr">
        <is>
          <t>Vacant</t>
        </is>
      </c>
    </row>
    <row r="441" hidden="1" ht="18" customHeight="1" s="866">
      <c r="A441" s="1566" t="inlineStr">
        <is>
          <t>V</t>
        </is>
      </c>
      <c r="B441" s="1382" t="inlineStr">
        <is>
          <t>Vacant</t>
        </is>
      </c>
      <c r="C441" s="1611" t="inlineStr">
        <is>
          <t>Solution Architect</t>
        </is>
      </c>
      <c r="D441" s="1612" t="inlineStr">
        <is>
          <t>Vacant</t>
        </is>
      </c>
      <c r="E441" s="1382" t="inlineStr">
        <is>
          <t>Technology Manager, Energy Solutions</t>
        </is>
      </c>
      <c r="F441" s="1382" t="inlineStr">
        <is>
          <t>TDD CFE&amp;I</t>
        </is>
      </c>
      <c r="G441" s="1612" t="inlineStr">
        <is>
          <t>B2B &amp; Energy Solutions</t>
        </is>
      </c>
      <c r="H441" s="1612" t="inlineStr">
        <is>
          <t>Technology Energy Solutions</t>
        </is>
      </c>
      <c r="I441" s="1612" t="inlineStr">
        <is>
          <t>B2B &amp; Energy Solutions</t>
        </is>
      </c>
      <c r="J441" s="1612" t="inlineStr">
        <is>
          <t>Energy Solutions</t>
        </is>
      </c>
      <c r="K441" s="1382" t="inlineStr">
        <is>
          <t>Energy</t>
        </is>
      </c>
      <c r="L441" s="1612" t="n"/>
      <c r="M441" s="1613" t="inlineStr">
        <is>
          <t>australia</t>
        </is>
      </c>
      <c r="N441" s="1614" t="inlineStr">
        <is>
          <t>CIC</t>
        </is>
      </c>
      <c r="O441" s="1614" t="n">
        <v>1</v>
      </c>
      <c r="P441" s="1614" t="n"/>
      <c r="Q441" s="1614" t="inlineStr">
        <is>
          <t>v</t>
        </is>
      </c>
      <c r="R441" s="1616" t="n"/>
      <c r="S441" s="1616" t="n"/>
      <c r="T441" s="1627" t="n">
        <v>173550</v>
      </c>
      <c r="U441" s="1626" t="n">
        <v>173550</v>
      </c>
      <c r="V441" s="1619" t="n">
        <v>0.12</v>
      </c>
      <c r="W441" s="1622" t="n">
        <v>0.055</v>
      </c>
      <c r="X441" s="1622" t="n">
        <v>0.12</v>
      </c>
      <c r="Y441" s="1623" t="n"/>
      <c r="Z441" s="1622" t="n">
        <v>0.04</v>
      </c>
      <c r="AA441" s="1621">
        <f>U441*(1+V441+W441+X441+Y441+Z441)</f>
        <v>231689.25</v>
      </c>
      <c r="AC441" s="865" t="inlineStr">
        <is>
          <t>Energy Solutions &amp; B2B</t>
        </is>
      </c>
      <c r="AD441" s="865" t="inlineStr">
        <is>
          <t>Energy Solutions</t>
        </is>
      </c>
      <c r="AE441" s="865" t="inlineStr">
        <is>
          <t>Energy</t>
        </is>
      </c>
      <c r="AF441" s="865" t="inlineStr">
        <is>
          <t>Squad</t>
        </is>
      </c>
      <c r="AG441" s="865" t="inlineStr">
        <is>
          <t>Vacant</t>
        </is>
      </c>
    </row>
    <row r="442" hidden="1" ht="18" customHeight="1" s="866">
      <c r="A442" s="1566" t="inlineStr">
        <is>
          <t>V</t>
        </is>
      </c>
      <c r="B442" s="1382" t="inlineStr">
        <is>
          <t>Vacant</t>
        </is>
      </c>
      <c r="C442" s="1611" t="inlineStr">
        <is>
          <t>System Specialist</t>
        </is>
      </c>
      <c r="D442" s="1382" t="inlineStr">
        <is>
          <t>Allan Francia</t>
        </is>
      </c>
      <c r="E442" s="1382" t="inlineStr">
        <is>
          <t>Technology Manager, T&amp;S</t>
        </is>
      </c>
      <c r="F442" s="1382" t="inlineStr">
        <is>
          <t>TDD CFE&amp;I</t>
        </is>
      </c>
      <c r="G442" s="1612" t="inlineStr">
        <is>
          <t>Commercial Fuels</t>
        </is>
      </c>
      <c r="H442" s="1612" t="inlineStr">
        <is>
          <t>Technology, Trading &amp; Shipping</t>
        </is>
      </c>
      <c r="I442" s="1612" t="inlineStr">
        <is>
          <t>Commercial Fuels</t>
        </is>
      </c>
      <c r="J442" s="1612" t="inlineStr">
        <is>
          <t>Supply</t>
        </is>
      </c>
      <c r="K442" s="1382" t="inlineStr">
        <is>
          <t>Supply</t>
        </is>
      </c>
      <c r="L442" s="1612" t="n"/>
      <c r="M442" s="1613" t="inlineStr">
        <is>
          <t>Australia</t>
        </is>
      </c>
      <c r="N442" s="1614" t="inlineStr">
        <is>
          <t>CIB</t>
        </is>
      </c>
      <c r="O442" s="1614" t="n">
        <v>1</v>
      </c>
      <c r="P442" s="1614" t="n"/>
      <c r="Q442" s="1614" t="inlineStr">
        <is>
          <t>v</t>
        </is>
      </c>
      <c r="R442" s="1616" t="n"/>
      <c r="S442" s="1616" t="n"/>
      <c r="T442" s="1627" t="n">
        <v>151950</v>
      </c>
      <c r="U442" s="1626" t="n">
        <v>151950</v>
      </c>
      <c r="V442" s="1619" t="n">
        <v>0.12</v>
      </c>
      <c r="W442" s="1622" t="n">
        <v>0.055</v>
      </c>
      <c r="X442" s="1622" t="n">
        <v>0.12</v>
      </c>
      <c r="Y442" s="1623" t="n"/>
      <c r="Z442" s="1622" t="n">
        <v>0.04</v>
      </c>
      <c r="AA442" s="1621">
        <f>U442*(1+V442+W442+X442+Y442+Z442)</f>
        <v>202853.25</v>
      </c>
      <c r="AC442" s="865" t="inlineStr">
        <is>
          <t>Commercial Fuels</t>
        </is>
      </c>
      <c r="AD442" s="865" t="inlineStr">
        <is>
          <t>Supply</t>
        </is>
      </c>
      <c r="AE442" s="865" t="inlineStr">
        <is>
          <t>Supply</t>
        </is>
      </c>
      <c r="AF442" s="865" t="inlineStr">
        <is>
          <t>Squad</t>
        </is>
      </c>
      <c r="AG442" s="865" t="inlineStr">
        <is>
          <t>Vacant</t>
        </is>
      </c>
    </row>
    <row r="443" hidden="1" ht="18" customHeight="1" s="866">
      <c r="A443" s="1566" t="inlineStr">
        <is>
          <t>V</t>
        </is>
      </c>
      <c r="B443" s="1382" t="inlineStr">
        <is>
          <t>Vacant</t>
        </is>
      </c>
      <c r="C443" s="1611" t="inlineStr">
        <is>
          <t>Tech Support Technician</t>
        </is>
      </c>
      <c r="D443" s="1382" t="inlineStr">
        <is>
          <t>Allan Francia</t>
        </is>
      </c>
      <c r="E443" s="1382" t="inlineStr">
        <is>
          <t>Technology Manager, T&amp;S</t>
        </is>
      </c>
      <c r="F443" s="1382" t="inlineStr">
        <is>
          <t>TDD CFE&amp;I</t>
        </is>
      </c>
      <c r="G443" s="1612" t="inlineStr">
        <is>
          <t>Commercial Fuels</t>
        </is>
      </c>
      <c r="H443" s="1612" t="inlineStr">
        <is>
          <t>Technology, Trading &amp; Shipping</t>
        </is>
      </c>
      <c r="I443" s="1612" t="inlineStr">
        <is>
          <t>Commercial Fuels</t>
        </is>
      </c>
      <c r="J443" s="1612" t="inlineStr">
        <is>
          <t>Trading &amp; Shipping</t>
        </is>
      </c>
      <c r="K443" s="1382" t="inlineStr">
        <is>
          <t>Trading &amp; Shipping</t>
        </is>
      </c>
      <c r="L443" s="1612" t="n"/>
      <c r="M443" s="1613" t="inlineStr">
        <is>
          <t>Australia</t>
        </is>
      </c>
      <c r="N443" s="1614" t="inlineStr">
        <is>
          <t>CDB</t>
        </is>
      </c>
      <c r="O443" s="1614" t="n">
        <v>1</v>
      </c>
      <c r="P443" s="1614" t="n"/>
      <c r="Q443" s="1614" t="inlineStr">
        <is>
          <t>v</t>
        </is>
      </c>
      <c r="R443" s="1616" t="n"/>
      <c r="S443" s="1616" t="n"/>
      <c r="T443" s="1627" t="n">
        <v>94650</v>
      </c>
      <c r="U443" s="1626" t="n">
        <v>94650</v>
      </c>
      <c r="V443" s="1619" t="n">
        <v>0.08</v>
      </c>
      <c r="W443" s="1622" t="n">
        <v>0.055</v>
      </c>
      <c r="X443" s="1622" t="n">
        <v>0.12</v>
      </c>
      <c r="Y443" s="1623" t="n"/>
      <c r="Z443" s="1622" t="n">
        <v>0.04</v>
      </c>
      <c r="AA443" s="1621">
        <f>U443*(1+V443+W443+X443+Y443+Z443)</f>
        <v>122571.75</v>
      </c>
      <c r="AC443" s="865" t="inlineStr">
        <is>
          <t>Commercial Fuels</t>
        </is>
      </c>
      <c r="AD443" s="865" t="inlineStr">
        <is>
          <t>Trading &amp; Shipping</t>
        </is>
      </c>
      <c r="AE443" s="865" t="inlineStr">
        <is>
          <t>Trading &amp; Shipping</t>
        </is>
      </c>
      <c r="AF443" s="865" t="inlineStr">
        <is>
          <t>Squad</t>
        </is>
      </c>
      <c r="AG443" s="865" t="inlineStr">
        <is>
          <t>Vacant</t>
        </is>
      </c>
    </row>
    <row r="444" hidden="1" ht="18" customHeight="1" s="866">
      <c r="A444" s="1566" t="inlineStr">
        <is>
          <t>V</t>
        </is>
      </c>
      <c r="B444" s="1382" t="inlineStr">
        <is>
          <t>Vacant</t>
        </is>
      </c>
      <c r="C444" s="1611" t="inlineStr">
        <is>
          <t>Delivery Manager</t>
        </is>
      </c>
      <c r="D444" s="1612" t="inlineStr">
        <is>
          <t>Nakul Bharade</t>
        </is>
      </c>
      <c r="E444" s="1382" t="inlineStr">
        <is>
          <t>Head of Technology, Commercial Fuels</t>
        </is>
      </c>
      <c r="F444" s="1382" t="inlineStr">
        <is>
          <t>TDD CFE&amp;I</t>
        </is>
      </c>
      <c r="G444" s="1612" t="inlineStr">
        <is>
          <t>Commercial Fuels</t>
        </is>
      </c>
      <c r="H444" s="1598" t="inlineStr">
        <is>
          <t>Delivery, Commercial Fuels</t>
        </is>
      </c>
      <c r="I444" s="1612" t="inlineStr">
        <is>
          <t>Commercial Fuels</t>
        </is>
      </c>
      <c r="J444" s="1612" t="inlineStr">
        <is>
          <t>Leadership</t>
        </is>
      </c>
      <c r="K444" s="1612" t="inlineStr">
        <is>
          <t>Leadership</t>
        </is>
      </c>
      <c r="L444" s="1612" t="n"/>
      <c r="M444" s="1613" t="inlineStr">
        <is>
          <t>Australia</t>
        </is>
      </c>
      <c r="N444" s="1614" t="inlineStr">
        <is>
          <t>CSB</t>
        </is>
      </c>
      <c r="O444" s="1614" t="n">
        <v>1</v>
      </c>
      <c r="P444" s="1614" t="n"/>
      <c r="Q444" s="1614" t="inlineStr">
        <is>
          <t>V</t>
        </is>
      </c>
      <c r="R444" s="1616" t="n"/>
      <c r="S444" s="1616" t="n"/>
      <c r="T444" s="1627" t="n">
        <v>203550</v>
      </c>
      <c r="U444" s="1626" t="n">
        <v>203550</v>
      </c>
      <c r="V444" s="1619" t="n">
        <v>0.14</v>
      </c>
      <c r="W444" s="1622" t="n">
        <v>0.055</v>
      </c>
      <c r="X444" s="1622" t="n">
        <v>0.12</v>
      </c>
      <c r="Y444" s="1623" t="n"/>
      <c r="Z444" s="1622" t="n">
        <v>0.04</v>
      </c>
      <c r="AA444" s="1621">
        <f>U444*(1+V444+W444+X444+Y444+Z444)</f>
        <v>275810.25</v>
      </c>
      <c r="AC444" s="865" t="inlineStr">
        <is>
          <t>Commercial Fuels</t>
        </is>
      </c>
      <c r="AD444" s="865" t="inlineStr">
        <is>
          <t>Leadership</t>
        </is>
      </c>
      <c r="AE444" s="865" t="inlineStr">
        <is>
          <t>Leadership</t>
        </is>
      </c>
      <c r="AF444" s="865" t="inlineStr">
        <is>
          <t>Leadership</t>
        </is>
      </c>
      <c r="AG444" s="865" t="inlineStr">
        <is>
          <t>Vacant</t>
        </is>
      </c>
    </row>
    <row r="445" hidden="1" ht="18" customHeight="1" s="866">
      <c r="A445" s="1566" t="inlineStr">
        <is>
          <t>V</t>
        </is>
      </c>
      <c r="B445" s="1382" t="inlineStr">
        <is>
          <t>Vacant</t>
        </is>
      </c>
      <c r="C445" s="1611" t="inlineStr">
        <is>
          <t>Technology Manager, Data</t>
        </is>
      </c>
      <c r="D445" s="1612" t="inlineStr">
        <is>
          <t>Nakul Bharade</t>
        </is>
      </c>
      <c r="E445" s="1382" t="inlineStr">
        <is>
          <t>Head of Technology, Commercial Fuels</t>
        </is>
      </c>
      <c r="F445" s="1382" t="inlineStr">
        <is>
          <t>TDD CFE&amp;I</t>
        </is>
      </c>
      <c r="G445" s="1612" t="inlineStr">
        <is>
          <t>Commercial Fuels</t>
        </is>
      </c>
      <c r="H445" s="1612" t="inlineStr">
        <is>
          <t>Technology, T&amp;S Data</t>
        </is>
      </c>
      <c r="I445" s="1612" t="inlineStr">
        <is>
          <t>Commercial Fuels</t>
        </is>
      </c>
      <c r="J445" s="1612" t="inlineStr">
        <is>
          <t>Leadership</t>
        </is>
      </c>
      <c r="K445" s="1612" t="inlineStr">
        <is>
          <t>Leadership</t>
        </is>
      </c>
      <c r="L445" s="1612" t="n"/>
      <c r="M445" s="1613" t="inlineStr">
        <is>
          <t>Australia</t>
        </is>
      </c>
      <c r="N445" s="1614" t="inlineStr">
        <is>
          <t>CSB</t>
        </is>
      </c>
      <c r="O445" s="1614" t="n">
        <v>1</v>
      </c>
      <c r="P445" s="1614" t="n"/>
      <c r="Q445" s="1614" t="inlineStr">
        <is>
          <t>v</t>
        </is>
      </c>
      <c r="R445" s="1616" t="n"/>
      <c r="S445" s="1616" t="n"/>
      <c r="T445" s="1627" t="n">
        <v>203550</v>
      </c>
      <c r="U445" s="1626" t="n">
        <v>203550</v>
      </c>
      <c r="V445" s="1619" t="n">
        <v>0.14</v>
      </c>
      <c r="W445" s="1622" t="n">
        <v>0.055</v>
      </c>
      <c r="X445" s="1622" t="n">
        <v>0.12</v>
      </c>
      <c r="Y445" s="1623" t="n"/>
      <c r="Z445" s="1622" t="n">
        <v>0.04</v>
      </c>
      <c r="AA445" s="1621">
        <f>U445*(1+V445+W445+X445+Y445+Z445)</f>
        <v>275810.25</v>
      </c>
      <c r="AC445" s="865" t="inlineStr">
        <is>
          <t>Commercial Fuels</t>
        </is>
      </c>
      <c r="AD445" s="865" t="inlineStr">
        <is>
          <t>Leadership</t>
        </is>
      </c>
      <c r="AE445" s="865" t="inlineStr">
        <is>
          <t>Leadership</t>
        </is>
      </c>
      <c r="AF445" s="865" t="inlineStr">
        <is>
          <t>Leadership</t>
        </is>
      </c>
      <c r="AG445" s="865" t="inlineStr">
        <is>
          <t>Vacant</t>
        </is>
      </c>
    </row>
    <row r="446" hidden="1" ht="18" customHeight="1" s="866">
      <c r="A446" s="1566" t="inlineStr">
        <is>
          <t>V</t>
        </is>
      </c>
      <c r="B446" s="1382" t="inlineStr">
        <is>
          <t>Vacant</t>
        </is>
      </c>
      <c r="C446" s="1611" t="inlineStr">
        <is>
          <t>Delivery Lead</t>
        </is>
      </c>
      <c r="D446" s="1612" t="inlineStr">
        <is>
          <t>Vacant</t>
        </is>
      </c>
      <c r="E446" s="1382" t="inlineStr">
        <is>
          <t>Delivery Manager</t>
        </is>
      </c>
      <c r="F446" s="1382" t="inlineStr">
        <is>
          <t>TDD CFE&amp;I</t>
        </is>
      </c>
      <c r="G446" s="1612" t="inlineStr">
        <is>
          <t>Commercial Fuels</t>
        </is>
      </c>
      <c r="H446" s="1612" t="inlineStr">
        <is>
          <t>Delivery, Commercial Fuels</t>
        </is>
      </c>
      <c r="I446" s="1612" t="inlineStr">
        <is>
          <t>Commercial Fuels</t>
        </is>
      </c>
      <c r="J446" s="1612" t="inlineStr">
        <is>
          <t>Supply</t>
        </is>
      </c>
      <c r="K446" s="1612" t="inlineStr">
        <is>
          <t>Supply</t>
        </is>
      </c>
      <c r="L446" s="1382" t="n"/>
      <c r="M446" s="1613" t="inlineStr">
        <is>
          <t>Australia</t>
        </is>
      </c>
      <c r="N446" s="1614" t="inlineStr">
        <is>
          <t>CIC</t>
        </is>
      </c>
      <c r="O446" s="1614" t="n">
        <v>1</v>
      </c>
      <c r="P446" s="1614" t="n"/>
      <c r="Q446" s="1614" t="inlineStr">
        <is>
          <t>V</t>
        </is>
      </c>
      <c r="R446" s="1616" t="n"/>
      <c r="S446" s="1616" t="n"/>
      <c r="T446" s="1627" t="n">
        <v>173550</v>
      </c>
      <c r="U446" s="1626" t="n">
        <v>173550</v>
      </c>
      <c r="V446" s="1619" t="n">
        <v>0.12</v>
      </c>
      <c r="W446" s="1622" t="n">
        <v>0.055</v>
      </c>
      <c r="X446" s="1622" t="n">
        <v>0.12</v>
      </c>
      <c r="Y446" s="1623" t="n"/>
      <c r="Z446" s="1622" t="n">
        <v>0.04</v>
      </c>
      <c r="AA446" s="1621">
        <f>U446*(1+V446+W446+X446+Y446+Z446)</f>
        <v>231689.25</v>
      </c>
      <c r="AC446" s="865" t="inlineStr">
        <is>
          <t>Commercial Fuels</t>
        </is>
      </c>
      <c r="AD446" s="865" t="inlineStr">
        <is>
          <t>Supply</t>
        </is>
      </c>
      <c r="AE446" s="865" t="inlineStr">
        <is>
          <t>Supply</t>
        </is>
      </c>
      <c r="AF446" s="865" t="inlineStr">
        <is>
          <t>Squad</t>
        </is>
      </c>
      <c r="AG446" s="865" t="inlineStr">
        <is>
          <t>Vacant</t>
        </is>
      </c>
    </row>
    <row r="447" hidden="1" ht="18" customHeight="1" s="866">
      <c r="A447" s="1566" t="inlineStr">
        <is>
          <t>V</t>
        </is>
      </c>
      <c r="B447" s="1382" t="inlineStr">
        <is>
          <t>Vacant</t>
        </is>
      </c>
      <c r="C447" s="1611" t="inlineStr">
        <is>
          <t>Delivery Lead</t>
        </is>
      </c>
      <c r="D447" s="1612" t="inlineStr">
        <is>
          <t>Vacant</t>
        </is>
      </c>
      <c r="E447" s="1382" t="inlineStr">
        <is>
          <t>Delivery Manager</t>
        </is>
      </c>
      <c r="F447" s="1382" t="inlineStr">
        <is>
          <t>TDD CFE&amp;I</t>
        </is>
      </c>
      <c r="G447" s="1612" t="inlineStr">
        <is>
          <t>Commercial Fuels</t>
        </is>
      </c>
      <c r="H447" s="1612" t="inlineStr">
        <is>
          <t>Delivery, Commercial Fuels</t>
        </is>
      </c>
      <c r="I447" s="1612" t="inlineStr">
        <is>
          <t>Commercial Fuels</t>
        </is>
      </c>
      <c r="J447" s="1612" t="inlineStr">
        <is>
          <t>Trading &amp; Shipping</t>
        </is>
      </c>
      <c r="K447" s="1612" t="inlineStr">
        <is>
          <t>Trading &amp; Shipping</t>
        </is>
      </c>
      <c r="L447" s="1382" t="n"/>
      <c r="M447" s="1613" t="inlineStr">
        <is>
          <t>Australia</t>
        </is>
      </c>
      <c r="N447" s="1614" t="inlineStr">
        <is>
          <t>CIC</t>
        </is>
      </c>
      <c r="O447" s="1614" t="n">
        <v>1</v>
      </c>
      <c r="P447" s="1614" t="n"/>
      <c r="Q447" s="1614" t="inlineStr">
        <is>
          <t>V</t>
        </is>
      </c>
      <c r="R447" s="1616" t="n"/>
      <c r="S447" s="1616" t="n"/>
      <c r="T447" s="1627" t="n">
        <v>173550</v>
      </c>
      <c r="U447" s="1626" t="n">
        <v>173550</v>
      </c>
      <c r="V447" s="1619" t="n">
        <v>0.12</v>
      </c>
      <c r="W447" s="1622" t="n">
        <v>0.055</v>
      </c>
      <c r="X447" s="1622" t="n">
        <v>0.12</v>
      </c>
      <c r="Y447" s="1623" t="n"/>
      <c r="Z447" s="1622" t="n">
        <v>0.04</v>
      </c>
      <c r="AA447" s="1621">
        <f>U447*(1+V447+W447+X447+Y447+Z447)</f>
        <v>231689.25</v>
      </c>
      <c r="AC447" s="865" t="inlineStr">
        <is>
          <t>Commercial Fuels</t>
        </is>
      </c>
      <c r="AD447" s="865" t="inlineStr">
        <is>
          <t>Trading &amp; Shipping</t>
        </is>
      </c>
      <c r="AE447" s="865" t="inlineStr">
        <is>
          <t>Trading &amp; Shipping</t>
        </is>
      </c>
      <c r="AF447" s="865" t="inlineStr">
        <is>
          <t>Squad</t>
        </is>
      </c>
      <c r="AG447" s="865" t="inlineStr">
        <is>
          <t>Vacant</t>
        </is>
      </c>
    </row>
    <row r="448" hidden="1" ht="18" customHeight="1" s="866">
      <c r="A448" s="1566" t="inlineStr">
        <is>
          <t>V</t>
        </is>
      </c>
      <c r="B448" s="1382" t="inlineStr">
        <is>
          <t>Vacant</t>
        </is>
      </c>
      <c r="C448" s="1611" t="inlineStr">
        <is>
          <t>Quality Assurance</t>
        </is>
      </c>
      <c r="D448" s="1612" t="inlineStr">
        <is>
          <t>Vacant</t>
        </is>
      </c>
      <c r="E448" s="1382" t="inlineStr">
        <is>
          <t>Technology Manager, Engineering</t>
        </is>
      </c>
      <c r="F448" s="1382" t="inlineStr">
        <is>
          <t>TDD CFE&amp;I</t>
        </is>
      </c>
      <c r="G448" s="1612" t="inlineStr">
        <is>
          <t>Commercial Fuels</t>
        </is>
      </c>
      <c r="H448" s="1612" t="inlineStr">
        <is>
          <t>Technology, CF Engineering</t>
        </is>
      </c>
      <c r="I448" s="1612" t="inlineStr">
        <is>
          <t>Commercial Fuels</t>
        </is>
      </c>
      <c r="J448" s="1612" t="inlineStr">
        <is>
          <t>Trading &amp; Shipping</t>
        </is>
      </c>
      <c r="K448" s="1382" t="inlineStr">
        <is>
          <t>Trading &amp; Shipping</t>
        </is>
      </c>
      <c r="L448" s="1612" t="n"/>
      <c r="M448" s="1613" t="inlineStr">
        <is>
          <t>Australia</t>
        </is>
      </c>
      <c r="N448" s="1614" t="inlineStr">
        <is>
          <t>CIA</t>
        </is>
      </c>
      <c r="O448" s="1614" t="n">
        <v>1</v>
      </c>
      <c r="P448" s="1614" t="n"/>
      <c r="Q448" s="1614" t="inlineStr">
        <is>
          <t>v</t>
        </is>
      </c>
      <c r="R448" s="1616" t="n"/>
      <c r="S448" s="1616" t="n"/>
      <c r="T448" s="1627" t="n">
        <v>129650</v>
      </c>
      <c r="U448" s="1626" t="n">
        <v>129650</v>
      </c>
      <c r="V448" s="1619" t="n">
        <v>0.1</v>
      </c>
      <c r="W448" s="1622" t="n">
        <v>0.055</v>
      </c>
      <c r="X448" s="1622" t="n">
        <v>0.12</v>
      </c>
      <c r="Y448" s="1623" t="n"/>
      <c r="Z448" s="1622" t="n">
        <v>0.04</v>
      </c>
      <c r="AA448" s="1621">
        <f>U448*(1+V448+W448+X448+Y448+Z448)</f>
        <v>170489.75</v>
      </c>
      <c r="AC448" s="865" t="inlineStr">
        <is>
          <t>Commercial Fuels</t>
        </is>
      </c>
      <c r="AD448" s="865" t="inlineStr">
        <is>
          <t>Trading &amp; Shipping</t>
        </is>
      </c>
      <c r="AE448" s="865" t="inlineStr">
        <is>
          <t>Trading &amp; Shipping</t>
        </is>
      </c>
      <c r="AF448" s="865" t="inlineStr">
        <is>
          <t>Squad</t>
        </is>
      </c>
      <c r="AG448" s="865" t="inlineStr">
        <is>
          <t>Vacant</t>
        </is>
      </c>
    </row>
    <row r="449" hidden="1" ht="18" customHeight="1" s="866">
      <c r="A449" s="1566" t="inlineStr">
        <is>
          <t>V</t>
        </is>
      </c>
      <c r="B449" s="1382" t="inlineStr">
        <is>
          <t>vacant</t>
        </is>
      </c>
      <c r="C449" s="1611" t="inlineStr">
        <is>
          <t>Delivery manager</t>
        </is>
      </c>
      <c r="D449" s="1382" t="inlineStr">
        <is>
          <t>Amish Pandit</t>
        </is>
      </c>
      <c r="E449" s="1382" t="inlineStr">
        <is>
          <t>Head of Technology, Fuel Infrastructure</t>
        </is>
      </c>
      <c r="F449" s="1382" t="inlineStr">
        <is>
          <t>TDD CFE&amp;I</t>
        </is>
      </c>
      <c r="G449" s="1612" t="inlineStr">
        <is>
          <t>Fuel Infrastructure</t>
        </is>
      </c>
      <c r="H449" s="1612" t="inlineStr">
        <is>
          <t>Fuel Infrastructure, Delivery</t>
        </is>
      </c>
      <c r="I449" s="1612" t="inlineStr">
        <is>
          <t>Infrastructure</t>
        </is>
      </c>
      <c r="J449" s="1612" t="inlineStr">
        <is>
          <t xml:space="preserve">Leadership </t>
        </is>
      </c>
      <c r="K449" s="1382" t="inlineStr">
        <is>
          <t>Leadership</t>
        </is>
      </c>
      <c r="L449" s="1612" t="n"/>
      <c r="M449" s="1613" t="inlineStr">
        <is>
          <t>Australia</t>
        </is>
      </c>
      <c r="N449" s="1614" t="inlineStr">
        <is>
          <t>CSB</t>
        </is>
      </c>
      <c r="O449" s="1614" t="n">
        <v>1</v>
      </c>
      <c r="P449" s="1614" t="n"/>
      <c r="Q449" s="1614" t="inlineStr">
        <is>
          <t>V</t>
        </is>
      </c>
      <c r="R449" s="1616" t="n"/>
      <c r="S449" s="1616" t="n"/>
      <c r="T449" s="1627" t="n">
        <v>203550</v>
      </c>
      <c r="U449" s="1626" t="n">
        <v>203550</v>
      </c>
      <c r="V449" s="1619" t="n">
        <v>0.14</v>
      </c>
      <c r="W449" s="1622" t="n">
        <v>0.055</v>
      </c>
      <c r="X449" s="1622" t="n">
        <v>0.12</v>
      </c>
      <c r="Y449" s="1623" t="n"/>
      <c r="Z449" s="1622" t="n">
        <v>0.04</v>
      </c>
      <c r="AA449" s="1621">
        <f>U449*(1+V449+W449+X449+Y449+Z449)</f>
        <v>275810.25</v>
      </c>
      <c r="AC449" s="865" t="inlineStr">
        <is>
          <t>Infrastructure</t>
        </is>
      </c>
      <c r="AD449" s="865" t="inlineStr">
        <is>
          <t>Leadership</t>
        </is>
      </c>
      <c r="AE449" s="865" t="inlineStr">
        <is>
          <t>Leadership</t>
        </is>
      </c>
      <c r="AF449" s="865" t="inlineStr">
        <is>
          <t>Leadership</t>
        </is>
      </c>
      <c r="AG449" s="865" t="inlineStr">
        <is>
          <t>Vacant</t>
        </is>
      </c>
    </row>
    <row r="450" hidden="1" ht="18" customHeight="1" s="866">
      <c r="A450" s="1566" t="inlineStr">
        <is>
          <t>V</t>
        </is>
      </c>
      <c r="B450" s="1382" t="inlineStr">
        <is>
          <t>Vacant</t>
        </is>
      </c>
      <c r="C450" s="1611" t="inlineStr">
        <is>
          <t>Technology Manager Data</t>
        </is>
      </c>
      <c r="D450" s="1382" t="inlineStr">
        <is>
          <t>Amish Pandit</t>
        </is>
      </c>
      <c r="E450" s="1382" t="inlineStr">
        <is>
          <t>Head of Technology, Fuel Infrastructure</t>
        </is>
      </c>
      <c r="F450" s="1382" t="inlineStr">
        <is>
          <t>TDD CFE&amp;I</t>
        </is>
      </c>
      <c r="G450" s="1612" t="inlineStr">
        <is>
          <t>Fuel Infrastructure</t>
        </is>
      </c>
      <c r="H450" s="1612" t="inlineStr">
        <is>
          <t>Fuel Infrastructure, Data</t>
        </is>
      </c>
      <c r="I450" s="1612" t="inlineStr">
        <is>
          <t>Infrastructure</t>
        </is>
      </c>
      <c r="J450" s="1382" t="inlineStr">
        <is>
          <t>Leadership</t>
        </is>
      </c>
      <c r="K450" s="1382" t="inlineStr">
        <is>
          <t>Leadership</t>
        </is>
      </c>
      <c r="L450" s="1612" t="n"/>
      <c r="M450" s="1613" t="inlineStr">
        <is>
          <t>Australia</t>
        </is>
      </c>
      <c r="N450" s="1614" t="inlineStr">
        <is>
          <t>CSB</t>
        </is>
      </c>
      <c r="O450" s="1614" t="n">
        <v>1</v>
      </c>
      <c r="P450" s="1614" t="n"/>
      <c r="Q450" s="1614" t="inlineStr">
        <is>
          <t>v</t>
        </is>
      </c>
      <c r="R450" s="1616" t="n"/>
      <c r="S450" s="1616" t="n"/>
      <c r="T450" s="1627" t="n">
        <v>203550</v>
      </c>
      <c r="U450" s="1626" t="n">
        <v>203550</v>
      </c>
      <c r="V450" s="1619" t="n">
        <v>0.14</v>
      </c>
      <c r="W450" s="1622" t="n">
        <v>0.055</v>
      </c>
      <c r="X450" s="1622" t="n">
        <v>0.12</v>
      </c>
      <c r="Y450" s="1623" t="n"/>
      <c r="Z450" s="1622" t="n">
        <v>0.04</v>
      </c>
      <c r="AA450" s="1621">
        <f>U450*(1+V450+W450+X450+Y450+Z450)</f>
        <v>275810.25</v>
      </c>
      <c r="AC450" s="865" t="inlineStr">
        <is>
          <t>Infrastructure</t>
        </is>
      </c>
      <c r="AD450" s="865" t="inlineStr">
        <is>
          <t>Leadership</t>
        </is>
      </c>
      <c r="AE450" s="865" t="inlineStr">
        <is>
          <t>Leadership</t>
        </is>
      </c>
      <c r="AF450" s="865" t="inlineStr">
        <is>
          <t>Leadership</t>
        </is>
      </c>
      <c r="AG450" s="865" t="inlineStr">
        <is>
          <t>Vacant</t>
        </is>
      </c>
    </row>
    <row r="451" hidden="1" ht="18" customHeight="1" s="866">
      <c r="A451" s="1566" t="inlineStr">
        <is>
          <t>V</t>
        </is>
      </c>
      <c r="B451" s="1382" t="inlineStr">
        <is>
          <t>Vacant</t>
        </is>
      </c>
      <c r="C451" s="1611" t="inlineStr">
        <is>
          <t xml:space="preserve">Technology Manager, Future Infrastructure </t>
        </is>
      </c>
      <c r="D451" s="1382" t="inlineStr">
        <is>
          <t>Amish Pandit</t>
        </is>
      </c>
      <c r="E451" s="1382" t="inlineStr">
        <is>
          <t>Head of Technology, Fuel Infrastructure</t>
        </is>
      </c>
      <c r="F451" s="1382" t="inlineStr">
        <is>
          <t>TDD CFE&amp;I</t>
        </is>
      </c>
      <c r="G451" s="1612" t="inlineStr">
        <is>
          <t>Fuel Infrastructure</t>
        </is>
      </c>
      <c r="H451" s="1612" t="inlineStr">
        <is>
          <t>Technology - Distribution</t>
        </is>
      </c>
      <c r="I451" s="1612" t="inlineStr">
        <is>
          <t>Infrastructure</t>
        </is>
      </c>
      <c r="J451" s="1612" t="inlineStr">
        <is>
          <t>Distribution</t>
        </is>
      </c>
      <c r="K451" s="1382" t="inlineStr">
        <is>
          <t>Leadership</t>
        </is>
      </c>
      <c r="L451" s="1612" t="n"/>
      <c r="M451" s="1613" t="inlineStr">
        <is>
          <t>Australia</t>
        </is>
      </c>
      <c r="N451" s="1614" t="inlineStr">
        <is>
          <t>CSB</t>
        </is>
      </c>
      <c r="O451" s="1614" t="n">
        <v>1</v>
      </c>
      <c r="P451" s="1614" t="n"/>
      <c r="Q451" s="1614" t="inlineStr">
        <is>
          <t>v</t>
        </is>
      </c>
      <c r="R451" s="1616" t="n"/>
      <c r="S451" s="1616" t="n"/>
      <c r="T451" s="1627" t="n">
        <v>203550</v>
      </c>
      <c r="U451" s="1626" t="n">
        <v>203550</v>
      </c>
      <c r="V451" s="1619" t="n">
        <v>0.14</v>
      </c>
      <c r="W451" s="1622" t="n">
        <v>0.055</v>
      </c>
      <c r="X451" s="1622" t="n">
        <v>0.12</v>
      </c>
      <c r="Y451" s="1623" t="n"/>
      <c r="Z451" s="1622" t="n">
        <v>0.04</v>
      </c>
      <c r="AA451" s="1621">
        <f>U451*(1+V451+W451+X451+Y451+Z451)</f>
        <v>275810.25</v>
      </c>
      <c r="AC451" s="1633" t="inlineStr">
        <is>
          <t>Infrastructure</t>
        </is>
      </c>
      <c r="AD451" s="865" t="inlineStr">
        <is>
          <t>Leadership</t>
        </is>
      </c>
      <c r="AE451" s="865" t="inlineStr">
        <is>
          <t>Leadership</t>
        </is>
      </c>
      <c r="AF451" s="865" t="inlineStr">
        <is>
          <t>Leadership</t>
        </is>
      </c>
      <c r="AG451" s="865" t="inlineStr">
        <is>
          <t>Vacant</t>
        </is>
      </c>
    </row>
    <row r="452" hidden="1" ht="18" customHeight="1" s="866">
      <c r="A452" s="1566" t="inlineStr">
        <is>
          <t>V</t>
        </is>
      </c>
      <c r="B452" s="1382" t="inlineStr">
        <is>
          <t>Vacant</t>
        </is>
      </c>
      <c r="C452" s="1611" t="inlineStr">
        <is>
          <t>Quality Assurance</t>
        </is>
      </c>
      <c r="D452" s="1382" t="inlineStr">
        <is>
          <t>Jaya Ganasan</t>
        </is>
      </c>
      <c r="E452" s="1382" t="inlineStr">
        <is>
          <t>Technology Manager, TDD Refinery</t>
        </is>
      </c>
      <c r="F452" s="1382" t="inlineStr">
        <is>
          <t>TDD CFE&amp;I</t>
        </is>
      </c>
      <c r="G452" s="1612" t="inlineStr">
        <is>
          <t>Fuel Infrastructure</t>
        </is>
      </c>
      <c r="H452" s="1612" t="inlineStr">
        <is>
          <t>Refinery Applications</t>
        </is>
      </c>
      <c r="I452" s="1612" t="inlineStr">
        <is>
          <t>Infrastructure</t>
        </is>
      </c>
      <c r="J452" s="1612" t="inlineStr">
        <is>
          <t>Manufacturing</t>
        </is>
      </c>
      <c r="K452" s="1382" t="inlineStr">
        <is>
          <t>Manufacturing Group Projects</t>
        </is>
      </c>
      <c r="L452" s="1612" t="n"/>
      <c r="M452" s="1613" t="inlineStr">
        <is>
          <t>Australia</t>
        </is>
      </c>
      <c r="N452" s="1614" t="inlineStr">
        <is>
          <t>CIA</t>
        </is>
      </c>
      <c r="O452" s="1614" t="n">
        <v>1</v>
      </c>
      <c r="P452" s="1614" t="n"/>
      <c r="Q452" s="1614" t="inlineStr">
        <is>
          <t>v</t>
        </is>
      </c>
      <c r="R452" s="1616" t="n"/>
      <c r="S452" s="1616" t="n"/>
      <c r="T452" s="1627" t="n">
        <v>129650</v>
      </c>
      <c r="U452" s="1626" t="n">
        <v>129650</v>
      </c>
      <c r="V452" s="1619" t="n">
        <v>0.1</v>
      </c>
      <c r="W452" s="1622" t="n">
        <v>0.055</v>
      </c>
      <c r="X452" s="1622" t="n">
        <v>0.12</v>
      </c>
      <c r="Y452" s="1623" t="n"/>
      <c r="Z452" s="1622" t="n">
        <v>0.04</v>
      </c>
      <c r="AA452" s="1621">
        <f>U452*(1+V452+W452+X452+Y452+Z452)</f>
        <v>170489.75</v>
      </c>
      <c r="AC452" s="865" t="inlineStr">
        <is>
          <t>Infrastructure</t>
        </is>
      </c>
      <c r="AD452" s="865" t="inlineStr">
        <is>
          <t>Manufacturing</t>
        </is>
      </c>
      <c r="AE452" s="865" t="inlineStr">
        <is>
          <t>Manufacturing &amp; Group Projects</t>
        </is>
      </c>
      <c r="AF452" s="865" t="inlineStr">
        <is>
          <t>Squad</t>
        </is>
      </c>
      <c r="AG452" s="865" t="inlineStr">
        <is>
          <t>Vacant</t>
        </is>
      </c>
    </row>
    <row r="453" hidden="1" ht="18" customHeight="1" s="866">
      <c r="A453" s="1566" t="inlineStr">
        <is>
          <t>V</t>
        </is>
      </c>
      <c r="B453" s="1382" t="inlineStr">
        <is>
          <t>Vacant</t>
        </is>
      </c>
      <c r="C453" s="1611" t="inlineStr">
        <is>
          <t>Solution Architect</t>
        </is>
      </c>
      <c r="D453" s="1382" t="inlineStr">
        <is>
          <t>Jaya Ganasan</t>
        </is>
      </c>
      <c r="E453" s="1382" t="inlineStr">
        <is>
          <t>Technology Manager, TDD Refinery</t>
        </is>
      </c>
      <c r="F453" s="1382" t="inlineStr">
        <is>
          <t>TDD CFE&amp;I</t>
        </is>
      </c>
      <c r="G453" s="1612" t="inlineStr">
        <is>
          <t>Fuel Infrastructure</t>
        </is>
      </c>
      <c r="H453" s="1612" t="inlineStr">
        <is>
          <t>Refinery Applications</t>
        </is>
      </c>
      <c r="I453" s="1612" t="inlineStr">
        <is>
          <t>Infrastructure</t>
        </is>
      </c>
      <c r="J453" s="1612" t="inlineStr">
        <is>
          <t>Manufacturing</t>
        </is>
      </c>
      <c r="K453" s="1382" t="inlineStr">
        <is>
          <t>Manufacturing Group Projects</t>
        </is>
      </c>
      <c r="L453" s="1612" t="n"/>
      <c r="M453" s="1613" t="inlineStr">
        <is>
          <t>australia</t>
        </is>
      </c>
      <c r="N453" s="1614" t="inlineStr">
        <is>
          <t>CIC</t>
        </is>
      </c>
      <c r="O453" s="1614" t="n">
        <v>1</v>
      </c>
      <c r="P453" s="1614" t="n"/>
      <c r="Q453" s="1614" t="inlineStr">
        <is>
          <t>v</t>
        </is>
      </c>
      <c r="R453" s="1616" t="n"/>
      <c r="S453" s="1616" t="n"/>
      <c r="T453" s="1627" t="n">
        <v>173550</v>
      </c>
      <c r="U453" s="1626" t="n">
        <v>173550</v>
      </c>
      <c r="V453" s="1619" t="n">
        <v>0.12</v>
      </c>
      <c r="W453" s="1622" t="n">
        <v>0.055</v>
      </c>
      <c r="X453" s="1622" t="n">
        <v>0.12</v>
      </c>
      <c r="Y453" s="1623" t="n"/>
      <c r="Z453" s="1622" t="n">
        <v>0.04</v>
      </c>
      <c r="AA453" s="1621">
        <f>U453*(1+V453+W453+X453+Y453+Z453)</f>
        <v>231689.25</v>
      </c>
      <c r="AC453" s="865" t="inlineStr">
        <is>
          <t>Infrastructure</t>
        </is>
      </c>
      <c r="AD453" s="865" t="inlineStr">
        <is>
          <t>Manufacturing</t>
        </is>
      </c>
      <c r="AE453" s="865" t="inlineStr">
        <is>
          <t>Manufacturing &amp; Group Projects</t>
        </is>
      </c>
      <c r="AF453" s="865" t="inlineStr">
        <is>
          <t>Squad</t>
        </is>
      </c>
      <c r="AG453" s="865" t="inlineStr">
        <is>
          <t>Vacant</t>
        </is>
      </c>
    </row>
    <row r="454" hidden="1" ht="18" customHeight="1" s="866">
      <c r="A454" s="1566" t="inlineStr">
        <is>
          <t>V</t>
        </is>
      </c>
      <c r="B454" s="1382" t="inlineStr">
        <is>
          <t>Vacant</t>
        </is>
      </c>
      <c r="C454" s="1611" t="inlineStr">
        <is>
          <t>Quality Assurance</t>
        </is>
      </c>
      <c r="D454" s="1382" t="inlineStr">
        <is>
          <t>Karla Orozco Loza</t>
        </is>
      </c>
      <c r="E454" s="1382" t="inlineStr">
        <is>
          <t>Technology Manager, Future Infrastructure</t>
        </is>
      </c>
      <c r="F454" s="1382" t="inlineStr">
        <is>
          <t>TDD CFE&amp;I</t>
        </is>
      </c>
      <c r="G454" s="1612" t="inlineStr">
        <is>
          <t>Fuel Infrastructure</t>
        </is>
      </c>
      <c r="H454" s="1612" t="inlineStr">
        <is>
          <t>Technology - Distribution</t>
        </is>
      </c>
      <c r="I454" s="1612" t="inlineStr">
        <is>
          <t>Infrastructure</t>
        </is>
      </c>
      <c r="J454" s="1612" t="inlineStr">
        <is>
          <t>Distribution</t>
        </is>
      </c>
      <c r="K454" s="1382" t="inlineStr">
        <is>
          <t>Distribution, Sales &amp; Services</t>
        </is>
      </c>
      <c r="L454" s="1612" t="n"/>
      <c r="M454" s="1613" t="inlineStr">
        <is>
          <t>Australia</t>
        </is>
      </c>
      <c r="N454" s="1614" t="inlineStr">
        <is>
          <t>CIA</t>
        </is>
      </c>
      <c r="O454" s="1614" t="n">
        <v>1</v>
      </c>
      <c r="P454" s="1614" t="n"/>
      <c r="Q454" s="1614" t="inlineStr">
        <is>
          <t>v</t>
        </is>
      </c>
      <c r="R454" s="1616" t="n"/>
      <c r="S454" s="1616" t="n"/>
      <c r="T454" s="1627" t="n">
        <v>129650</v>
      </c>
      <c r="U454" s="1626" t="n">
        <v>129650</v>
      </c>
      <c r="V454" s="1619" t="n">
        <v>0.1</v>
      </c>
      <c r="W454" s="1622" t="n">
        <v>0.055</v>
      </c>
      <c r="X454" s="1622" t="n">
        <v>0.12</v>
      </c>
      <c r="Y454" s="1623" t="n"/>
      <c r="Z454" s="1622" t="n">
        <v>0.04</v>
      </c>
      <c r="AA454" s="1621">
        <f>U454*(1+V454+W454+X454+Y454+Z454)</f>
        <v>170489.75</v>
      </c>
      <c r="AC454" s="865" t="inlineStr">
        <is>
          <t>Infrastructure</t>
        </is>
      </c>
      <c r="AD454" s="865" t="inlineStr">
        <is>
          <t>Distribution</t>
        </is>
      </c>
      <c r="AE454" s="865" t="inlineStr">
        <is>
          <t>Distribution, Sales &amp; Services</t>
        </is>
      </c>
      <c r="AF454" s="865" t="inlineStr">
        <is>
          <t>Squad</t>
        </is>
      </c>
      <c r="AG454" s="865" t="inlineStr">
        <is>
          <t>Vacant</t>
        </is>
      </c>
    </row>
    <row r="455" hidden="1" ht="18" customHeight="1" s="866">
      <c r="A455" s="1566" t="inlineStr">
        <is>
          <t>V</t>
        </is>
      </c>
      <c r="B455" s="1382" t="inlineStr">
        <is>
          <t>Vacant</t>
        </is>
      </c>
      <c r="C455" s="1611" t="inlineStr">
        <is>
          <t>Business Analyst</t>
        </is>
      </c>
      <c r="D455" s="1612" t="inlineStr">
        <is>
          <t>Vacant</t>
        </is>
      </c>
      <c r="E455" s="1382" t="inlineStr">
        <is>
          <t>Delivery Manager</t>
        </is>
      </c>
      <c r="F455" s="1382" t="inlineStr">
        <is>
          <t>TDD CFE&amp;I</t>
        </is>
      </c>
      <c r="G455" s="1635" t="inlineStr">
        <is>
          <t>Fuel Infrastructure</t>
        </is>
      </c>
      <c r="H455" s="1612" t="inlineStr">
        <is>
          <t>Fuel Infrastructure, Delivery</t>
        </is>
      </c>
      <c r="I455" s="1612" t="inlineStr">
        <is>
          <t>Infrastructure</t>
        </is>
      </c>
      <c r="J455" s="1612" t="inlineStr">
        <is>
          <t>Distribution</t>
        </is>
      </c>
      <c r="K455" s="1382" t="inlineStr">
        <is>
          <t>Distribution, Sales &amp; Services</t>
        </is>
      </c>
      <c r="L455" s="1612" t="n"/>
      <c r="M455" s="1613" t="inlineStr">
        <is>
          <t>Australia</t>
        </is>
      </c>
      <c r="N455" s="1614" t="inlineStr">
        <is>
          <t>CIB</t>
        </is>
      </c>
      <c r="O455" s="1614" t="n">
        <v>1</v>
      </c>
      <c r="P455" s="1614" t="n"/>
      <c r="Q455" s="1614" t="inlineStr">
        <is>
          <t>V</t>
        </is>
      </c>
      <c r="R455" s="1616" t="n"/>
      <c r="S455" s="1616" t="n"/>
      <c r="T455" s="1627" t="n">
        <v>151950</v>
      </c>
      <c r="U455" s="1626" t="n">
        <v>151950</v>
      </c>
      <c r="V455" s="1619" t="n">
        <v>0.12</v>
      </c>
      <c r="W455" s="1622" t="n">
        <v>0.055</v>
      </c>
      <c r="X455" s="1622" t="n">
        <v>0.12</v>
      </c>
      <c r="Y455" s="1623" t="n"/>
      <c r="Z455" s="1622" t="n">
        <v>0.04</v>
      </c>
      <c r="AA455" s="1621">
        <f>U455*(1+V455+W455+X455+Y455+Z455)</f>
        <v>202853.25</v>
      </c>
      <c r="AC455" s="865" t="inlineStr">
        <is>
          <t>COE</t>
        </is>
      </c>
      <c r="AD455" s="865" t="inlineStr">
        <is>
          <t>COE - Strategy Architecture</t>
        </is>
      </c>
      <c r="AE455" s="865" t="inlineStr">
        <is>
          <t>COE - Strategy Architecture</t>
        </is>
      </c>
      <c r="AF455" s="865" t="inlineStr">
        <is>
          <t>COE</t>
        </is>
      </c>
      <c r="AG455" s="865" t="inlineStr">
        <is>
          <t>Vacant</t>
        </is>
      </c>
    </row>
    <row r="456" hidden="1" ht="18" customHeight="1" s="866">
      <c r="A456" s="1566" t="inlineStr">
        <is>
          <t>V</t>
        </is>
      </c>
      <c r="B456" s="1382" t="inlineStr">
        <is>
          <t>Vacant</t>
        </is>
      </c>
      <c r="C456" s="1611" t="inlineStr">
        <is>
          <t>Data Analyst</t>
        </is>
      </c>
      <c r="D456" s="1382" t="inlineStr">
        <is>
          <t>Vacant</t>
        </is>
      </c>
      <c r="E456" s="1382" t="inlineStr">
        <is>
          <t>Technology Manger, Data</t>
        </is>
      </c>
      <c r="F456" s="1382" t="inlineStr">
        <is>
          <t>TDD CFE&amp;I</t>
        </is>
      </c>
      <c r="G456" s="1612" t="inlineStr">
        <is>
          <t>Fuel Infrastructure</t>
        </is>
      </c>
      <c r="H456" s="1612" t="inlineStr">
        <is>
          <t>Fuel Infrastructure, Data</t>
        </is>
      </c>
      <c r="I456" s="1612" t="inlineStr">
        <is>
          <t>Infrastructure</t>
        </is>
      </c>
      <c r="J456" s="1382" t="inlineStr">
        <is>
          <t xml:space="preserve">Data &amp; Insights </t>
        </is>
      </c>
      <c r="K456" s="1382" t="inlineStr">
        <is>
          <t xml:space="preserve">Data &amp; Insights </t>
        </is>
      </c>
      <c r="L456" s="1612" t="n"/>
      <c r="M456" s="1613" t="inlineStr">
        <is>
          <t>Australia</t>
        </is>
      </c>
      <c r="N456" s="1614" t="inlineStr">
        <is>
          <t>CIB</t>
        </is>
      </c>
      <c r="O456" s="1614" t="n">
        <v>1</v>
      </c>
      <c r="P456" s="1614" t="n"/>
      <c r="Q456" s="1614" t="inlineStr">
        <is>
          <t>V</t>
        </is>
      </c>
      <c r="R456" s="1616" t="n"/>
      <c r="S456" s="1616" t="n"/>
      <c r="T456" s="1627" t="n">
        <v>151000</v>
      </c>
      <c r="U456" s="1626" t="n">
        <v>151000</v>
      </c>
      <c r="V456" s="1619" t="n">
        <v>0.12</v>
      </c>
      <c r="W456" s="1622" t="n">
        <v>0.055</v>
      </c>
      <c r="X456" s="1622" t="n">
        <v>0.12</v>
      </c>
      <c r="Y456" s="1623" t="n"/>
      <c r="Z456" s="1622" t="n">
        <v>0.04</v>
      </c>
      <c r="AA456" s="1621">
        <f>U456*(1+V456+W456+X456+Y456+Z456)</f>
        <v>201585</v>
      </c>
      <c r="AC456" s="865" t="inlineStr">
        <is>
          <t>Infrastructure</t>
        </is>
      </c>
      <c r="AD456" s="865" t="inlineStr">
        <is>
          <t>Data &amp; Insights</t>
        </is>
      </c>
      <c r="AE456" s="865" t="inlineStr">
        <is>
          <t>Data &amp; Insights</t>
        </is>
      </c>
      <c r="AF456" s="865" t="inlineStr">
        <is>
          <t>Squad</t>
        </is>
      </c>
      <c r="AG456" s="865" t="inlineStr">
        <is>
          <t>Vacant</t>
        </is>
      </c>
    </row>
    <row r="457" hidden="1" ht="18" customHeight="1" s="866">
      <c r="A457" s="1566" t="inlineStr">
        <is>
          <t>V</t>
        </is>
      </c>
      <c r="B457" s="1382" t="inlineStr">
        <is>
          <t>Vacant</t>
        </is>
      </c>
      <c r="C457" s="1611" t="inlineStr">
        <is>
          <t>Engineer Data</t>
        </is>
      </c>
      <c r="D457" s="1382" t="inlineStr">
        <is>
          <t>Vacant</t>
        </is>
      </c>
      <c r="E457" s="1382" t="inlineStr">
        <is>
          <t>Technology Manger, Data</t>
        </is>
      </c>
      <c r="F457" s="1382" t="inlineStr">
        <is>
          <t>TDD CFE&amp;I</t>
        </is>
      </c>
      <c r="G457" s="1612" t="inlineStr">
        <is>
          <t>Fuel Infrastructure</t>
        </is>
      </c>
      <c r="H457" s="1612" t="inlineStr">
        <is>
          <t>Fuel Infrastructure, Data</t>
        </is>
      </c>
      <c r="I457" s="1612" t="inlineStr">
        <is>
          <t>Infrastructure</t>
        </is>
      </c>
      <c r="J457" s="1382" t="inlineStr">
        <is>
          <t xml:space="preserve">Data &amp; Insights </t>
        </is>
      </c>
      <c r="K457" s="1382" t="inlineStr">
        <is>
          <t xml:space="preserve">Data &amp; Insights </t>
        </is>
      </c>
      <c r="L457" s="1612" t="n"/>
      <c r="M457" s="1613" t="inlineStr">
        <is>
          <t>Australia</t>
        </is>
      </c>
      <c r="N457" s="1614" t="inlineStr">
        <is>
          <t>CIB</t>
        </is>
      </c>
      <c r="O457" s="1614" t="n">
        <v>1</v>
      </c>
      <c r="P457" s="1614" t="n"/>
      <c r="Q457" s="1614" t="inlineStr">
        <is>
          <t>V</t>
        </is>
      </c>
      <c r="R457" s="1616" t="n"/>
      <c r="S457" s="1616" t="n"/>
      <c r="T457" s="1627" t="n">
        <v>151950</v>
      </c>
      <c r="U457" s="1626" t="n">
        <v>151950</v>
      </c>
      <c r="V457" s="1619" t="n">
        <v>0.12</v>
      </c>
      <c r="W457" s="1622" t="n">
        <v>0.055</v>
      </c>
      <c r="X457" s="1622" t="n">
        <v>0.12</v>
      </c>
      <c r="Y457" s="1623" t="n"/>
      <c r="Z457" s="1622" t="n">
        <v>0.04</v>
      </c>
      <c r="AA457" s="1621">
        <f>U457*(1+V457+W457+X457+Y457+Z457)</f>
        <v>202853.25</v>
      </c>
      <c r="AC457" s="865" t="inlineStr">
        <is>
          <t>Infrastructure</t>
        </is>
      </c>
      <c r="AD457" s="865" t="inlineStr">
        <is>
          <t>Data &amp; Insights</t>
        </is>
      </c>
      <c r="AE457" s="865" t="inlineStr">
        <is>
          <t>Data &amp; Insights</t>
        </is>
      </c>
      <c r="AF457" s="865" t="inlineStr">
        <is>
          <t>Squad</t>
        </is>
      </c>
      <c r="AG457" s="865" t="inlineStr">
        <is>
          <t>Vacant</t>
        </is>
      </c>
    </row>
    <row r="458" hidden="1" ht="18" customHeight="1" s="866">
      <c r="A458" s="1566" t="inlineStr">
        <is>
          <t>V</t>
        </is>
      </c>
      <c r="B458" s="1382" t="inlineStr">
        <is>
          <t>Vacant</t>
        </is>
      </c>
      <c r="C458" s="1611" t="inlineStr">
        <is>
          <t>Lead Data Analyst</t>
        </is>
      </c>
      <c r="D458" s="1382" t="inlineStr">
        <is>
          <t>Vacant</t>
        </is>
      </c>
      <c r="E458" s="1382" t="inlineStr">
        <is>
          <t>Technology Manger, Data</t>
        </is>
      </c>
      <c r="F458" s="1382" t="inlineStr">
        <is>
          <t>TDD CFE&amp;I</t>
        </is>
      </c>
      <c r="G458" s="1612" t="inlineStr">
        <is>
          <t>Fuel Infrastructure</t>
        </is>
      </c>
      <c r="H458" s="1612" t="inlineStr">
        <is>
          <t>Fuel Infrastructure, Data</t>
        </is>
      </c>
      <c r="I458" s="1612" t="inlineStr">
        <is>
          <t>Infrastructure</t>
        </is>
      </c>
      <c r="J458" s="1382" t="inlineStr">
        <is>
          <t xml:space="preserve">Data &amp; Insights </t>
        </is>
      </c>
      <c r="K458" s="1382" t="inlineStr">
        <is>
          <t xml:space="preserve">Data &amp; Insights </t>
        </is>
      </c>
      <c r="L458" s="1612" t="n"/>
      <c r="M458" s="1613" t="inlineStr">
        <is>
          <t>Australia</t>
        </is>
      </c>
      <c r="N458" s="1614" t="inlineStr">
        <is>
          <t>CIC</t>
        </is>
      </c>
      <c r="O458" s="1614" t="n">
        <v>1</v>
      </c>
      <c r="P458" s="1614" t="n"/>
      <c r="Q458" s="1614" t="inlineStr">
        <is>
          <t>v</t>
        </is>
      </c>
      <c r="R458" s="1616" t="n"/>
      <c r="S458" s="1616" t="n"/>
      <c r="T458" s="1627" t="n">
        <v>173550</v>
      </c>
      <c r="U458" s="1626" t="n">
        <v>173550</v>
      </c>
      <c r="V458" s="1619" t="n">
        <v>0.12</v>
      </c>
      <c r="W458" s="1622" t="n">
        <v>0.055</v>
      </c>
      <c r="X458" s="1622" t="n">
        <v>0.12</v>
      </c>
      <c r="Y458" s="1623" t="n"/>
      <c r="Z458" s="1622" t="n">
        <v>0.04</v>
      </c>
      <c r="AA458" s="1621">
        <f>U458*(1+V458+W458+X458+Y458+Z458)</f>
        <v>231689.25</v>
      </c>
      <c r="AC458" s="865" t="inlineStr">
        <is>
          <t>Infrastructure</t>
        </is>
      </c>
      <c r="AD458" s="865" t="inlineStr">
        <is>
          <t>Data &amp; Insights</t>
        </is>
      </c>
      <c r="AE458" s="865" t="inlineStr">
        <is>
          <t>Data &amp; Insights</t>
        </is>
      </c>
      <c r="AF458" s="865" t="inlineStr">
        <is>
          <t>Squad</t>
        </is>
      </c>
      <c r="AG458" s="865" t="inlineStr">
        <is>
          <t>Vacant</t>
        </is>
      </c>
    </row>
    <row r="459" hidden="1" ht="18" customHeight="1" s="866">
      <c r="A459" s="1566" t="inlineStr">
        <is>
          <t>V</t>
        </is>
      </c>
      <c r="B459" s="1382" t="inlineStr">
        <is>
          <t>Vacant</t>
        </is>
      </c>
      <c r="C459" s="1611" t="inlineStr">
        <is>
          <t>Reporting Analyst</t>
        </is>
      </c>
      <c r="D459" s="1382" t="inlineStr">
        <is>
          <t>Vacant</t>
        </is>
      </c>
      <c r="E459" s="1382" t="inlineStr">
        <is>
          <t>Technology Manger, Data</t>
        </is>
      </c>
      <c r="F459" s="1382" t="inlineStr">
        <is>
          <t>TDD CFE&amp;I</t>
        </is>
      </c>
      <c r="G459" s="1612" t="inlineStr">
        <is>
          <t>Fuel Infrastructure</t>
        </is>
      </c>
      <c r="H459" s="1612" t="inlineStr">
        <is>
          <t>Fuel Infrastructure, Data</t>
        </is>
      </c>
      <c r="I459" s="1612" t="inlineStr">
        <is>
          <t>Infrastructure</t>
        </is>
      </c>
      <c r="J459" s="1382" t="inlineStr">
        <is>
          <t xml:space="preserve">Data &amp; Insights </t>
        </is>
      </c>
      <c r="K459" s="1382" t="inlineStr">
        <is>
          <t xml:space="preserve">Data &amp; Insights </t>
        </is>
      </c>
      <c r="L459" s="1612" t="n"/>
      <c r="M459" s="1613" t="inlineStr">
        <is>
          <t>Australia</t>
        </is>
      </c>
      <c r="N459" s="1614" t="inlineStr">
        <is>
          <t>CIB</t>
        </is>
      </c>
      <c r="O459" s="1614" t="n">
        <v>1</v>
      </c>
      <c r="P459" s="1614" t="n"/>
      <c r="Q459" s="1614" t="inlineStr">
        <is>
          <t>v</t>
        </is>
      </c>
      <c r="R459" s="1616" t="n"/>
      <c r="S459" s="1616" t="n"/>
      <c r="T459" s="1627" t="n">
        <v>151950</v>
      </c>
      <c r="U459" s="1626" t="n">
        <v>151950</v>
      </c>
      <c r="V459" s="1619" t="n">
        <v>0.12</v>
      </c>
      <c r="W459" s="1622" t="n">
        <v>0.055</v>
      </c>
      <c r="X459" s="1622" t="n">
        <v>0.12</v>
      </c>
      <c r="Y459" s="1623" t="n"/>
      <c r="Z459" s="1622" t="n">
        <v>0.04</v>
      </c>
      <c r="AA459" s="1621">
        <f>U459*(1+V459+W459+X459+Y459+Z459)</f>
        <v>202853.25</v>
      </c>
      <c r="AC459" s="865" t="inlineStr">
        <is>
          <t>Infrastructure</t>
        </is>
      </c>
      <c r="AD459" s="865" t="inlineStr">
        <is>
          <t>Data &amp; Insights</t>
        </is>
      </c>
      <c r="AE459" s="865" t="inlineStr">
        <is>
          <t>Data &amp; Insights</t>
        </is>
      </c>
      <c r="AF459" s="865" t="inlineStr">
        <is>
          <t>Squad</t>
        </is>
      </c>
      <c r="AG459" s="865" t="inlineStr">
        <is>
          <t>Vacant</t>
        </is>
      </c>
    </row>
    <row r="460" hidden="1" ht="18" customHeight="1" s="866">
      <c r="A460" s="1566" t="inlineStr">
        <is>
          <t>V</t>
        </is>
      </c>
      <c r="B460" s="1382" t="inlineStr">
        <is>
          <t>Vacant</t>
        </is>
      </c>
      <c r="C460" s="1611" t="inlineStr">
        <is>
          <t>Senior Engineer Data</t>
        </is>
      </c>
      <c r="D460" s="1382" t="inlineStr">
        <is>
          <t>Vacant</t>
        </is>
      </c>
      <c r="E460" s="1382" t="inlineStr">
        <is>
          <t>Technology Manger, Data</t>
        </is>
      </c>
      <c r="F460" s="1382" t="inlineStr">
        <is>
          <t>TDD CFE&amp;I</t>
        </is>
      </c>
      <c r="G460" s="1612" t="inlineStr">
        <is>
          <t>Fuel Infrastructure</t>
        </is>
      </c>
      <c r="H460" s="1612" t="inlineStr">
        <is>
          <t>Fuel Infrastructure, Data</t>
        </is>
      </c>
      <c r="I460" s="1612" t="inlineStr">
        <is>
          <t>Infrastructure</t>
        </is>
      </c>
      <c r="J460" s="1382" t="inlineStr">
        <is>
          <t xml:space="preserve">Data &amp; Insights </t>
        </is>
      </c>
      <c r="K460" s="1382" t="inlineStr">
        <is>
          <t xml:space="preserve">Data &amp; Insights </t>
        </is>
      </c>
      <c r="L460" s="1612" t="n"/>
      <c r="M460" s="1613" t="inlineStr">
        <is>
          <t>Australia</t>
        </is>
      </c>
      <c r="N460" s="1614" t="inlineStr">
        <is>
          <t>CIB</t>
        </is>
      </c>
      <c r="O460" s="1614" t="n">
        <v>1</v>
      </c>
      <c r="P460" s="1614" t="n"/>
      <c r="Q460" s="1614" t="inlineStr">
        <is>
          <t>v</t>
        </is>
      </c>
      <c r="R460" s="1616" t="n"/>
      <c r="S460" s="1616" t="n"/>
      <c r="T460" s="1627" t="n">
        <v>151950</v>
      </c>
      <c r="U460" s="1626" t="n">
        <v>151950</v>
      </c>
      <c r="V460" s="1619" t="n">
        <v>0.12</v>
      </c>
      <c r="W460" s="1622" t="n">
        <v>0.055</v>
      </c>
      <c r="X460" s="1622" t="n">
        <v>0.12</v>
      </c>
      <c r="Y460" s="1623" t="n"/>
      <c r="Z460" s="1622" t="n">
        <v>0.04</v>
      </c>
      <c r="AA460" s="1621">
        <f>U460*(1+V460+W460+X460+Y460+Z460)</f>
        <v>202853.25</v>
      </c>
      <c r="AC460" s="865" t="inlineStr">
        <is>
          <t>Infrastructure</t>
        </is>
      </c>
      <c r="AD460" s="865" t="inlineStr">
        <is>
          <t>Data &amp; Insights</t>
        </is>
      </c>
      <c r="AE460" s="865" t="inlineStr">
        <is>
          <t>Data &amp; Insights</t>
        </is>
      </c>
      <c r="AF460" s="865" t="inlineStr">
        <is>
          <t>Squad</t>
        </is>
      </c>
      <c r="AG460" s="865" t="inlineStr">
        <is>
          <t>Vacant</t>
        </is>
      </c>
    </row>
    <row r="461" hidden="1" ht="18" customHeight="1" s="866">
      <c r="A461" s="1566" t="inlineStr">
        <is>
          <t>V</t>
        </is>
      </c>
      <c r="B461" s="1382" t="inlineStr">
        <is>
          <t xml:space="preserve">Vacant </t>
        </is>
      </c>
      <c r="C461" s="1611" t="inlineStr">
        <is>
          <t>Business Analyst</t>
        </is>
      </c>
      <c r="D461" s="1612" t="inlineStr">
        <is>
          <t>Vacant</t>
        </is>
      </c>
      <c r="E461" s="1382" t="inlineStr">
        <is>
          <t>Delivery Manager</t>
        </is>
      </c>
      <c r="F461" s="1382" t="inlineStr">
        <is>
          <t>TDD CFE&amp;I</t>
        </is>
      </c>
      <c r="G461" s="1612" t="inlineStr">
        <is>
          <t>B2B &amp; Energy Solutions</t>
        </is>
      </c>
      <c r="H461" s="1612" t="inlineStr">
        <is>
          <t>Delivery</t>
        </is>
      </c>
      <c r="I461" s="1612" t="inlineStr">
        <is>
          <t>B2B &amp; Energy Solutions</t>
        </is>
      </c>
      <c r="J461" s="1382" t="inlineStr">
        <is>
          <t>B2B</t>
        </is>
      </c>
      <c r="K461" s="1382" t="inlineStr">
        <is>
          <t>B2B</t>
        </is>
      </c>
      <c r="L461" s="1612" t="n"/>
      <c r="M461" s="1613" t="inlineStr">
        <is>
          <t>Australia</t>
        </is>
      </c>
      <c r="N461" s="1614" t="inlineStr">
        <is>
          <t>CIB</t>
        </is>
      </c>
      <c r="O461" s="1614" t="n">
        <v>1</v>
      </c>
      <c r="P461" s="1614" t="n"/>
      <c r="Q461" s="1614" t="inlineStr">
        <is>
          <t>V</t>
        </is>
      </c>
      <c r="R461" s="1616" t="n"/>
      <c r="S461" s="1616" t="n"/>
      <c r="T461" s="1627" t="n">
        <v>151950</v>
      </c>
      <c r="U461" s="1626" t="n">
        <v>151950</v>
      </c>
      <c r="V461" s="1619" t="n">
        <v>0.12</v>
      </c>
      <c r="W461" s="1622" t="n">
        <v>0.055</v>
      </c>
      <c r="X461" s="1622" t="n">
        <v>0.12</v>
      </c>
      <c r="Y461" s="1623" t="n"/>
      <c r="Z461" s="1622" t="n">
        <v>0.04</v>
      </c>
      <c r="AA461" s="1621">
        <f>U461*(1+V461+W461+X461+Y461+Z461)</f>
        <v>202853.25</v>
      </c>
      <c r="AC461" s="865" t="inlineStr">
        <is>
          <t>COE</t>
        </is>
      </c>
      <c r="AD461" s="865" t="inlineStr">
        <is>
          <t>COE - Strategy Architecture</t>
        </is>
      </c>
      <c r="AE461" s="865" t="inlineStr">
        <is>
          <t>COE - Strategy Architecture</t>
        </is>
      </c>
      <c r="AF461" s="865" t="inlineStr">
        <is>
          <t>COE</t>
        </is>
      </c>
      <c r="AG461" s="865" t="inlineStr">
        <is>
          <t>Vacant</t>
        </is>
      </c>
    </row>
    <row r="462" hidden="1" ht="18" customHeight="1" s="866">
      <c r="A462" s="1566" t="inlineStr">
        <is>
          <t>V</t>
        </is>
      </c>
      <c r="B462" s="1382" t="inlineStr">
        <is>
          <t xml:space="preserve">Vacant </t>
        </is>
      </c>
      <c r="C462" s="1611" t="inlineStr">
        <is>
          <t>Business Analyst</t>
        </is>
      </c>
      <c r="D462" s="1612" t="inlineStr">
        <is>
          <t>Vacant</t>
        </is>
      </c>
      <c r="E462" s="1382" t="inlineStr">
        <is>
          <t>Delivery Manager</t>
        </is>
      </c>
      <c r="F462" s="1382" t="inlineStr">
        <is>
          <t>TDD CFE&amp;I</t>
        </is>
      </c>
      <c r="G462" s="1612" t="inlineStr">
        <is>
          <t>B2B &amp; Energy Solutions</t>
        </is>
      </c>
      <c r="H462" s="1612" t="inlineStr">
        <is>
          <t>Delivery</t>
        </is>
      </c>
      <c r="I462" s="1612" t="inlineStr">
        <is>
          <t>B2B &amp; Energy Solutions</t>
        </is>
      </c>
      <c r="J462" s="1612" t="inlineStr">
        <is>
          <t>Energy Solutions</t>
        </is>
      </c>
      <c r="K462" s="1382" t="inlineStr">
        <is>
          <t>Energy</t>
        </is>
      </c>
      <c r="L462" s="1612" t="n"/>
      <c r="M462" s="1613" t="inlineStr">
        <is>
          <t>Australia</t>
        </is>
      </c>
      <c r="N462" s="1614" t="inlineStr">
        <is>
          <t>CIB</t>
        </is>
      </c>
      <c r="O462" s="1614" t="n">
        <v>1</v>
      </c>
      <c r="P462" s="1614" t="n"/>
      <c r="Q462" s="1614" t="inlineStr">
        <is>
          <t>V</t>
        </is>
      </c>
      <c r="R462" s="1616" t="n"/>
      <c r="S462" s="1616" t="n"/>
      <c r="T462" s="1627" t="n">
        <v>151950</v>
      </c>
      <c r="U462" s="1626" t="n">
        <v>151950</v>
      </c>
      <c r="V462" s="1619" t="n">
        <v>0.12</v>
      </c>
      <c r="W462" s="1622" t="n">
        <v>0.055</v>
      </c>
      <c r="X462" s="1622" t="n">
        <v>0.12</v>
      </c>
      <c r="Y462" s="1623" t="n"/>
      <c r="Z462" s="1622" t="n">
        <v>0.04</v>
      </c>
      <c r="AA462" s="1621">
        <f>U462*(1+V462+W462+X462+Y462+Z462)</f>
        <v>202853.25</v>
      </c>
      <c r="AC462" s="865" t="inlineStr">
        <is>
          <t>COE</t>
        </is>
      </c>
      <c r="AD462" s="865" t="inlineStr">
        <is>
          <t>COE - Strategy Architecture</t>
        </is>
      </c>
      <c r="AE462" s="865" t="inlineStr">
        <is>
          <t>COE - Strategy Architecture</t>
        </is>
      </c>
      <c r="AF462" s="865" t="inlineStr">
        <is>
          <t>COE</t>
        </is>
      </c>
      <c r="AG462" s="865" t="inlineStr">
        <is>
          <t>Vacant</t>
        </is>
      </c>
    </row>
    <row r="463" hidden="1" ht="18" customHeight="1" s="866">
      <c r="A463" s="1566" t="inlineStr">
        <is>
          <t>V</t>
        </is>
      </c>
      <c r="B463" s="1382" t="inlineStr">
        <is>
          <t xml:space="preserve">Vacant </t>
        </is>
      </c>
      <c r="C463" s="1611" t="inlineStr">
        <is>
          <t>Engineer Software</t>
        </is>
      </c>
      <c r="D463" s="1612" t="inlineStr">
        <is>
          <t>Vacant</t>
        </is>
      </c>
      <c r="E463" s="1382" t="inlineStr">
        <is>
          <t>Technology Manager, Engineering</t>
        </is>
      </c>
      <c r="F463" s="1382" t="inlineStr">
        <is>
          <t>TDD CFE&amp;I</t>
        </is>
      </c>
      <c r="G463" s="1612" t="inlineStr">
        <is>
          <t>Commercial Fuels</t>
        </is>
      </c>
      <c r="H463" s="1598" t="inlineStr">
        <is>
          <t>Technology, CF Engineering</t>
        </is>
      </c>
      <c r="I463" s="1612" t="inlineStr">
        <is>
          <t>Commercial Fuels</t>
        </is>
      </c>
      <c r="J463" s="1612" t="inlineStr">
        <is>
          <t>Supply</t>
        </is>
      </c>
      <c r="K463" s="1382" t="inlineStr">
        <is>
          <t>Supply</t>
        </is>
      </c>
      <c r="L463" s="1612" t="n"/>
      <c r="M463" s="1613" t="inlineStr">
        <is>
          <t>Australia</t>
        </is>
      </c>
      <c r="N463" s="1614" t="inlineStr">
        <is>
          <t>CIB</t>
        </is>
      </c>
      <c r="O463" s="1614" t="n">
        <v>1</v>
      </c>
      <c r="P463" s="1614" t="n"/>
      <c r="Q463" s="1614" t="inlineStr">
        <is>
          <t>V</t>
        </is>
      </c>
      <c r="R463" s="1616" t="n"/>
      <c r="S463" s="1616" t="n"/>
      <c r="T463" s="1627" t="n">
        <v>151950</v>
      </c>
      <c r="U463" s="1626" t="n">
        <v>151950</v>
      </c>
      <c r="V463" s="1619" t="n">
        <v>0.12</v>
      </c>
      <c r="W463" s="1622" t="n">
        <v>0.055</v>
      </c>
      <c r="X463" s="1622" t="n">
        <v>0.12</v>
      </c>
      <c r="Y463" s="1623" t="n"/>
      <c r="Z463" s="1622" t="n">
        <v>0.04</v>
      </c>
      <c r="AA463" s="1621">
        <f>U463*(1+V463+W463+X463+Y463+Z463)</f>
        <v>202853.25</v>
      </c>
      <c r="AC463" s="865" t="inlineStr">
        <is>
          <t>Commercial Fuels</t>
        </is>
      </c>
      <c r="AD463" s="865" t="inlineStr">
        <is>
          <t>Supply</t>
        </is>
      </c>
      <c r="AE463" s="865" t="inlineStr">
        <is>
          <t>Supply</t>
        </is>
      </c>
      <c r="AF463" s="865" t="inlineStr">
        <is>
          <t>Squad</t>
        </is>
      </c>
      <c r="AG463" s="865" t="inlineStr">
        <is>
          <t>Vacant</t>
        </is>
      </c>
    </row>
    <row r="464" hidden="1" ht="18" customHeight="1" s="866">
      <c r="A464" s="1566" t="inlineStr">
        <is>
          <t>V</t>
        </is>
      </c>
      <c r="B464" s="1382" t="inlineStr">
        <is>
          <t>Vacant (anaplan)</t>
        </is>
      </c>
      <c r="C464" s="1611" t="inlineStr">
        <is>
          <t>System Specialist</t>
        </is>
      </c>
      <c r="D464" s="1382" t="inlineStr">
        <is>
          <t>Allan Francia</t>
        </is>
      </c>
      <c r="E464" s="1382" t="inlineStr">
        <is>
          <t>Technology Manager, T&amp;S</t>
        </is>
      </c>
      <c r="F464" s="1382" t="inlineStr">
        <is>
          <t>TDD CFE&amp;I</t>
        </is>
      </c>
      <c r="G464" s="1612" t="inlineStr">
        <is>
          <t>Commercial Fuels</t>
        </is>
      </c>
      <c r="H464" s="1612" t="inlineStr">
        <is>
          <t>Technology, Trading &amp; Shipping</t>
        </is>
      </c>
      <c r="I464" s="1612" t="inlineStr">
        <is>
          <t>Commercial Fuels</t>
        </is>
      </c>
      <c r="J464" s="1612" t="inlineStr">
        <is>
          <t>Supply</t>
        </is>
      </c>
      <c r="K464" s="1382" t="inlineStr">
        <is>
          <t>Supply</t>
        </is>
      </c>
      <c r="L464" s="1612" t="n"/>
      <c r="M464" s="1613" t="inlineStr">
        <is>
          <t>Australia</t>
        </is>
      </c>
      <c r="N464" s="1616" t="inlineStr">
        <is>
          <t>CIB</t>
        </is>
      </c>
      <c r="O464" s="1614" t="n">
        <v>1</v>
      </c>
      <c r="P464" s="1616" t="n"/>
      <c r="Q464" s="1614" t="inlineStr">
        <is>
          <t>v</t>
        </is>
      </c>
      <c r="R464" s="1616" t="n"/>
      <c r="S464" s="1616" t="n"/>
      <c r="T464" s="1627" t="n">
        <v>151950</v>
      </c>
      <c r="U464" s="1626" t="n">
        <v>151950</v>
      </c>
      <c r="V464" s="1619" t="n">
        <v>0.12</v>
      </c>
      <c r="W464" s="1622" t="n">
        <v>0.055</v>
      </c>
      <c r="X464" s="1622" t="n">
        <v>0.12</v>
      </c>
      <c r="Y464" s="1623" t="n"/>
      <c r="Z464" s="1622" t="n">
        <v>0.04</v>
      </c>
      <c r="AA464" s="1621">
        <f>U464*(1+V464+W464+X464+Y464+Z464)</f>
        <v>202853.25</v>
      </c>
      <c r="AC464" s="865" t="inlineStr">
        <is>
          <t>Commercial Fuels</t>
        </is>
      </c>
      <c r="AD464" s="865" t="inlineStr">
        <is>
          <t>Supply</t>
        </is>
      </c>
      <c r="AE464" s="865" t="inlineStr">
        <is>
          <t>Supply</t>
        </is>
      </c>
      <c r="AF464" s="865" t="inlineStr">
        <is>
          <t>Squad</t>
        </is>
      </c>
      <c r="AG464" s="865" t="inlineStr">
        <is>
          <t>Filled</t>
        </is>
      </c>
    </row>
    <row r="465" hidden="1" ht="18" customHeight="1" s="866">
      <c r="A465" s="1566" t="n">
        <v>106791</v>
      </c>
      <c r="B465" s="1382" t="inlineStr">
        <is>
          <t>Victor Beuk</t>
        </is>
      </c>
      <c r="C465" s="1611" t="inlineStr">
        <is>
          <t>Delivery Lead</t>
        </is>
      </c>
      <c r="D465" s="1612" t="inlineStr">
        <is>
          <t>Vacant</t>
        </is>
      </c>
      <c r="E465" s="1382" t="inlineStr">
        <is>
          <t>Delivery Manager</t>
        </is>
      </c>
      <c r="F465" s="1382" t="inlineStr">
        <is>
          <t>TDD CFE&amp;I</t>
        </is>
      </c>
      <c r="G465" s="1612" t="inlineStr">
        <is>
          <t>B2B &amp; Energy Solutions</t>
        </is>
      </c>
      <c r="H465" s="1612" t="inlineStr">
        <is>
          <t>Delivery</t>
        </is>
      </c>
      <c r="I465" s="1612" t="inlineStr">
        <is>
          <t>RETAIL</t>
        </is>
      </c>
      <c r="J465" s="1612" t="inlineStr">
        <is>
          <t>AMPOS</t>
        </is>
      </c>
      <c r="K465" s="1382" t="inlineStr">
        <is>
          <t>AmPos</t>
        </is>
      </c>
      <c r="L465" s="1612" t="n"/>
      <c r="M465" s="1613" t="inlineStr">
        <is>
          <t>Australia</t>
        </is>
      </c>
      <c r="N465" s="1614" t="inlineStr">
        <is>
          <t>CIC</t>
        </is>
      </c>
      <c r="O465" s="1614" t="n">
        <v>1</v>
      </c>
      <c r="P465" s="1614" t="n"/>
      <c r="Q465" s="1614" t="inlineStr">
        <is>
          <t>Permanent - Full Time</t>
        </is>
      </c>
      <c r="R465" s="1616" t="n"/>
      <c r="S465" s="1616" t="n"/>
      <c r="T465" s="1627" t="n">
        <v>185360</v>
      </c>
      <c r="U465" s="1626" t="n">
        <v>185360</v>
      </c>
      <c r="V465" s="1619" t="n">
        <v>0.12</v>
      </c>
      <c r="W465" s="1622" t="n">
        <v>0.055</v>
      </c>
      <c r="X465" s="1622" t="n">
        <v>0.12</v>
      </c>
      <c r="Y465" s="1623" t="n"/>
      <c r="Z465" s="1622" t="n">
        <v>0.04</v>
      </c>
      <c r="AA465" s="1621">
        <f>U465*(1+V465+W465+X465+Y465+Z465)</f>
        <v>247455.6</v>
      </c>
      <c r="AC465" s="865" t="inlineStr">
        <is>
          <t>Ampol Retail</t>
        </is>
      </c>
      <c r="AD465" s="865" t="inlineStr">
        <is>
          <t>AmPOS</t>
        </is>
      </c>
      <c r="AE465" s="865" t="inlineStr">
        <is>
          <t>AmPOS</t>
        </is>
      </c>
      <c r="AF465" s="865" t="inlineStr">
        <is>
          <t>Strategic Program</t>
        </is>
      </c>
      <c r="AG465" s="865" t="inlineStr">
        <is>
          <t>Filled</t>
        </is>
      </c>
    </row>
    <row r="466" hidden="1" ht="18" customHeight="1" s="866">
      <c r="A466" s="1566" t="n">
        <v>98087</v>
      </c>
      <c r="B466" s="1382" t="inlineStr">
        <is>
          <t>Victor Olasanoye</t>
        </is>
      </c>
      <c r="C466" s="1611" t="inlineStr">
        <is>
          <t>Senior Systems Analyst</t>
        </is>
      </c>
      <c r="D466" s="1382" t="inlineStr">
        <is>
          <t>Jaya Ganasan</t>
        </is>
      </c>
      <c r="E466" s="1382" t="inlineStr">
        <is>
          <t>Technology Manager, TDD Refinery</t>
        </is>
      </c>
      <c r="F466" s="1382" t="inlineStr">
        <is>
          <t>TDD CFE&amp;I</t>
        </is>
      </c>
      <c r="G466" s="1612" t="inlineStr">
        <is>
          <t>Fuel Infrastructure</t>
        </is>
      </c>
      <c r="H466" s="1612" t="inlineStr">
        <is>
          <t>Refinery Applications</t>
        </is>
      </c>
      <c r="I466" s="1612" t="inlineStr">
        <is>
          <t>Infrastructure</t>
        </is>
      </c>
      <c r="J466" s="1612" t="inlineStr">
        <is>
          <t>Manufacturing</t>
        </is>
      </c>
      <c r="K466" s="1382" t="inlineStr">
        <is>
          <t>Manufacturing Group Projects</t>
        </is>
      </c>
      <c r="L466" s="1612" t="n"/>
      <c r="M466" s="1613" t="inlineStr">
        <is>
          <t>Australia</t>
        </is>
      </c>
      <c r="N466" s="1614" t="inlineStr">
        <is>
          <t>CIB</t>
        </is>
      </c>
      <c r="O466" s="1614" t="n">
        <v>1</v>
      </c>
      <c r="P466" s="1614" t="n"/>
      <c r="Q466" s="1614" t="inlineStr">
        <is>
          <t>Permanent - Full Time</t>
        </is>
      </c>
      <c r="R466" s="1616" t="n"/>
      <c r="S466" s="1616" t="n"/>
      <c r="T466" s="1627" t="n">
        <v>159820</v>
      </c>
      <c r="U466" s="1626" t="n">
        <v>159820</v>
      </c>
      <c r="V466" s="1619" t="n">
        <v>0.12</v>
      </c>
      <c r="W466" s="1622" t="n">
        <v>0.055</v>
      </c>
      <c r="X466" s="1622" t="n">
        <v>0.12</v>
      </c>
      <c r="Y466" s="1623" t="n"/>
      <c r="Z466" s="1622" t="n">
        <v>0.04</v>
      </c>
      <c r="AA466" s="1621">
        <f>U466*(1+V466+W466+X466+Y466+Z466)</f>
        <v>213359.7</v>
      </c>
      <c r="AC466" s="865" t="inlineStr">
        <is>
          <t>Infrastructure</t>
        </is>
      </c>
      <c r="AD466" s="865" t="inlineStr">
        <is>
          <t>Manufacturing</t>
        </is>
      </c>
      <c r="AE466" s="865" t="inlineStr">
        <is>
          <t>Manufacturing &amp; Group Projects</t>
        </is>
      </c>
      <c r="AF466" s="865" t="inlineStr">
        <is>
          <t>Squad</t>
        </is>
      </c>
      <c r="AG466" s="865" t="inlineStr">
        <is>
          <t>Filled</t>
        </is>
      </c>
    </row>
    <row r="467" hidden="1" ht="18" customHeight="1" s="866">
      <c r="A467" s="1566" t="n">
        <v>96270</v>
      </c>
      <c r="B467" s="1382" t="inlineStr">
        <is>
          <t>Zhan Liu</t>
        </is>
      </c>
      <c r="C467" s="1611" t="inlineStr">
        <is>
          <t>Engineer Applications</t>
        </is>
      </c>
      <c r="D467" s="1382" t="inlineStr">
        <is>
          <t>Allan Francia</t>
        </is>
      </c>
      <c r="E467" s="1382" t="inlineStr">
        <is>
          <t>Technology Manager, T&amp;S</t>
        </is>
      </c>
      <c r="F467" s="1382" t="inlineStr">
        <is>
          <t>TDD CFE&amp;I</t>
        </is>
      </c>
      <c r="G467" s="1612" t="inlineStr">
        <is>
          <t>Commercial Fuels</t>
        </is>
      </c>
      <c r="H467" s="1612" t="inlineStr">
        <is>
          <t>Technology, Trading &amp; Shipping</t>
        </is>
      </c>
      <c r="I467" s="1612" t="inlineStr">
        <is>
          <t>Commercial Fuels</t>
        </is>
      </c>
      <c r="J467" s="1382" t="inlineStr">
        <is>
          <t>CTRM</t>
        </is>
      </c>
      <c r="K467" s="1382" t="inlineStr">
        <is>
          <t>CTRM</t>
        </is>
      </c>
      <c r="L467" s="1612" t="n"/>
      <c r="M467" s="1613" t="inlineStr">
        <is>
          <t>Australia</t>
        </is>
      </c>
      <c r="N467" s="1614" t="inlineStr">
        <is>
          <t>CIC</t>
        </is>
      </c>
      <c r="O467" s="1614" t="n">
        <v>1</v>
      </c>
      <c r="P467" s="1614" t="n"/>
      <c r="Q467" s="1614" t="inlineStr">
        <is>
          <t>Permanent - Full Time</t>
        </is>
      </c>
      <c r="R467" s="1616" t="n"/>
      <c r="S467" s="1616" t="n"/>
      <c r="T467" s="1627" t="n">
        <v>165730</v>
      </c>
      <c r="U467" s="1626" t="n">
        <v>165730</v>
      </c>
      <c r="V467" s="1619" t="n">
        <v>0.12</v>
      </c>
      <c r="W467" s="1622" t="n">
        <v>0.055</v>
      </c>
      <c r="X467" s="1622" t="n">
        <v>0.12</v>
      </c>
      <c r="Y467" s="1623" t="n"/>
      <c r="Z467" s="1622" t="n">
        <v>0.04</v>
      </c>
      <c r="AA467" s="1621">
        <f>U467*(1+V467+W467+X467+Y467+Z467)</f>
        <v>221249.55</v>
      </c>
      <c r="AC467" s="865" t="inlineStr">
        <is>
          <t>Commercial Fuels</t>
        </is>
      </c>
      <c r="AD467" s="865" t="inlineStr">
        <is>
          <t>CTRM</t>
        </is>
      </c>
      <c r="AE467" s="865" t="inlineStr">
        <is>
          <t>CTRM</t>
        </is>
      </c>
      <c r="AF467" s="865" t="inlineStr">
        <is>
          <t>Strategic Program</t>
        </is>
      </c>
      <c r="AG467" s="865" t="inlineStr">
        <is>
          <t>Filled</t>
        </is>
      </c>
    </row>
    <row r="468" hidden="1" ht="18" customHeight="1" s="866">
      <c r="A468" s="1566" t="inlineStr">
        <is>
          <t>c</t>
        </is>
      </c>
      <c r="B468" s="1382" t="inlineStr">
        <is>
          <t>Zijie Zhang</t>
        </is>
      </c>
      <c r="C468" s="1611" t="inlineStr">
        <is>
          <t>Senior Data Analyst</t>
        </is>
      </c>
      <c r="D468" s="1612" t="inlineStr">
        <is>
          <t>Vacant</t>
        </is>
      </c>
      <c r="E468" s="1382" t="inlineStr">
        <is>
          <t>Technology Manager, Data</t>
        </is>
      </c>
      <c r="F468" s="1382" t="inlineStr">
        <is>
          <t>TDD CFE&amp;I</t>
        </is>
      </c>
      <c r="G468" s="1612" t="inlineStr">
        <is>
          <t>Commercial Fuels</t>
        </is>
      </c>
      <c r="H468" s="1612" t="inlineStr">
        <is>
          <t>Technology, T&amp;S Data</t>
        </is>
      </c>
      <c r="I468" s="1612" t="inlineStr">
        <is>
          <t>Commercial Fuels</t>
        </is>
      </c>
      <c r="J468" s="1612" t="inlineStr">
        <is>
          <t>Trading &amp; Shipping</t>
        </is>
      </c>
      <c r="K468" s="1612" t="inlineStr">
        <is>
          <t>Trading &amp; Shipping Data</t>
        </is>
      </c>
      <c r="L468" s="1612" t="n"/>
      <c r="M468" s="1613" t="inlineStr">
        <is>
          <t>Singapore</t>
        </is>
      </c>
      <c r="N468" s="1616" t="n">
        <v>0</v>
      </c>
      <c r="O468" s="1616" t="n">
        <v>1</v>
      </c>
      <c r="P468" s="1616" t="n"/>
      <c r="Q468" s="1616" t="inlineStr">
        <is>
          <t>cant find this person</t>
        </is>
      </c>
      <c r="R468" s="1624" t="inlineStr">
        <is>
          <t>Daily</t>
        </is>
      </c>
      <c r="S468" s="1640" t="n">
        <v>1200</v>
      </c>
      <c r="T468" s="1627" t="n">
        <v>0</v>
      </c>
      <c r="U468" s="1627" t="n"/>
      <c r="V468" s="1612" t="n"/>
      <c r="W468" s="1612" t="n"/>
      <c r="X468" s="1612" t="n"/>
      <c r="Y468" s="1612" t="n"/>
      <c r="Z468" s="1612" t="n"/>
      <c r="AA468" s="1625">
        <f>S468*222</f>
        <v>266400</v>
      </c>
      <c r="AC468" s="865" t="inlineStr">
        <is>
          <t>Commercial Fuels</t>
        </is>
      </c>
      <c r="AD468" s="865" t="inlineStr">
        <is>
          <t>Trading &amp; Shipping</t>
        </is>
      </c>
      <c r="AE468" s="865" t="inlineStr">
        <is>
          <t>Trading &amp; Shipping Data</t>
        </is>
      </c>
      <c r="AF468" s="865" t="inlineStr">
        <is>
          <t>Squad</t>
        </is>
      </c>
      <c r="AG468" s="865" t="inlineStr">
        <is>
          <t>Filled</t>
        </is>
      </c>
    </row>
    <row r="469" hidden="1" ht="18" customHeight="1" s="866">
      <c r="A469" s="1566" t="n">
        <v>109092</v>
      </c>
      <c r="B469" s="1382" t="inlineStr">
        <is>
          <t>Anjali Patra</t>
        </is>
      </c>
      <c r="C469" s="1611" t="inlineStr">
        <is>
          <t>Delivery Lead - EGI</t>
        </is>
      </c>
      <c r="D469" s="1612" t="inlineStr">
        <is>
          <t>Vacant</t>
        </is>
      </c>
      <c r="E469" s="1628" t="inlineStr">
        <is>
          <t xml:space="preserve">Delivery Manager </t>
        </is>
      </c>
      <c r="F469" s="1382" t="inlineStr">
        <is>
          <t>TDD Group Functions</t>
        </is>
      </c>
      <c r="G469" s="1612" t="inlineStr">
        <is>
          <t>TDD &amp; Engineering</t>
        </is>
      </c>
      <c r="H469" s="1382" t="inlineStr">
        <is>
          <t>Delivery, TDD &amp; Engineering</t>
        </is>
      </c>
      <c r="I469" s="1382" t="inlineStr">
        <is>
          <t>EGI</t>
        </is>
      </c>
      <c r="J469" s="1612" t="inlineStr">
        <is>
          <t>EGI</t>
        </is>
      </c>
      <c r="K469" s="1612" t="inlineStr">
        <is>
          <t>EGI TDD</t>
        </is>
      </c>
      <c r="L469" s="1612" t="n"/>
      <c r="M469" s="1613" t="inlineStr">
        <is>
          <t>Australia</t>
        </is>
      </c>
      <c r="N469" s="1614" t="inlineStr">
        <is>
          <t>CIB</t>
        </is>
      </c>
      <c r="O469" s="1614" t="n">
        <v>1</v>
      </c>
      <c r="P469" s="1614" t="n"/>
      <c r="Q469" s="1614" t="inlineStr">
        <is>
          <t>Permanent - Full Time</t>
        </is>
      </c>
      <c r="R469" s="1616" t="n"/>
      <c r="S469" s="1616" t="n"/>
      <c r="T469" s="1627" t="n">
        <v>158050</v>
      </c>
      <c r="U469" s="1626" t="n">
        <v>158050</v>
      </c>
      <c r="V469" s="1619" t="n">
        <v>0.12</v>
      </c>
      <c r="W469" s="1622" t="n">
        <v>0.055</v>
      </c>
      <c r="X469" s="1622" t="n">
        <v>0.12</v>
      </c>
      <c r="Y469" s="1623" t="n"/>
      <c r="Z469" s="1622" t="n">
        <v>0.04</v>
      </c>
      <c r="AA469" s="1621">
        <f>U469*(1+V469+W469+X469+Y469+Z469)</f>
        <v>210996.75</v>
      </c>
      <c r="AC469" s="865" t="inlineStr">
        <is>
          <t>TDD Group Functions</t>
        </is>
      </c>
      <c r="AD469" s="865" t="inlineStr">
        <is>
          <t>EGI TDD</t>
        </is>
      </c>
      <c r="AE469" s="865" t="inlineStr">
        <is>
          <t>EGI TDD</t>
        </is>
      </c>
      <c r="AF469" s="865" t="inlineStr">
        <is>
          <t>Strategic Program</t>
        </is>
      </c>
      <c r="AG469" s="865" t="inlineStr">
        <is>
          <t>Filled</t>
        </is>
      </c>
    </row>
    <row r="470" hidden="1" ht="18" customHeight="1" s="866">
      <c r="A470" s="1566" t="n">
        <v>114573</v>
      </c>
      <c r="B470" s="1628" t="inlineStr">
        <is>
          <t>Archana Chetiwal</t>
        </is>
      </c>
      <c r="C470" s="1691" t="inlineStr">
        <is>
          <t>Snr Engineer</t>
        </is>
      </c>
      <c r="D470" s="1612" t="inlineStr">
        <is>
          <t>Vacant</t>
        </is>
      </c>
      <c r="E470" s="1628" t="inlineStr">
        <is>
          <t>RPA Lead</t>
        </is>
      </c>
      <c r="F470" s="1382" t="inlineStr">
        <is>
          <t>TDD Group Functions</t>
        </is>
      </c>
      <c r="G470" s="1612" t="inlineStr">
        <is>
          <t xml:space="preserve">TDD &amp; Engineering </t>
        </is>
      </c>
      <c r="H470" s="1612" t="inlineStr">
        <is>
          <t>Integration &amp; Process automation</t>
        </is>
      </c>
      <c r="I470" s="1382" t="inlineStr">
        <is>
          <t>TDD</t>
        </is>
      </c>
      <c r="J470" s="1612" t="inlineStr">
        <is>
          <t>TDD</t>
        </is>
      </c>
      <c r="K470" s="1612" t="inlineStr">
        <is>
          <t>Integration &amp; Process automation</t>
        </is>
      </c>
      <c r="L470" s="1612" t="n"/>
      <c r="M470" s="1613" t="inlineStr">
        <is>
          <t>Australia</t>
        </is>
      </c>
      <c r="N470" s="1614" t="inlineStr">
        <is>
          <t>CIB</t>
        </is>
      </c>
      <c r="O470" s="1614" t="n">
        <v>1</v>
      </c>
      <c r="P470" s="1614" t="n"/>
      <c r="Q470" s="1614" t="inlineStr">
        <is>
          <t>Permanent - Full Time</t>
        </is>
      </c>
      <c r="R470" s="1616" t="n"/>
      <c r="S470" s="1616" t="n"/>
      <c r="T470" s="1627" t="n">
        <v>140000</v>
      </c>
      <c r="U470" s="1626" t="n">
        <v>140000</v>
      </c>
      <c r="V470" s="1619" t="n">
        <v>0.12</v>
      </c>
      <c r="W470" s="1622" t="n">
        <v>0.055</v>
      </c>
      <c r="X470" s="1622" t="n">
        <v>0.12</v>
      </c>
      <c r="Y470" s="1623" t="n"/>
      <c r="Z470" s="1622" t="n">
        <v>0.04</v>
      </c>
      <c r="AA470" s="1621">
        <f>U470*(1+V470+W470+X470+Y470+Z470)</f>
        <v>186900</v>
      </c>
      <c r="AC470" s="865" t="inlineStr">
        <is>
          <t>TDD Group Functions</t>
        </is>
      </c>
      <c r="AD470" s="865" t="inlineStr">
        <is>
          <t>TDD Group Functions</t>
        </is>
      </c>
      <c r="AE470" s="865" t="inlineStr">
        <is>
          <t>Integration</t>
        </is>
      </c>
      <c r="AF470" s="865" t="inlineStr">
        <is>
          <t>Squad</t>
        </is>
      </c>
      <c r="AG470" s="865" t="inlineStr">
        <is>
          <t>Filled</t>
        </is>
      </c>
    </row>
    <row r="471" hidden="1" ht="18" customHeight="1" s="866">
      <c r="A471" s="1566" t="inlineStr">
        <is>
          <t>C</t>
        </is>
      </c>
      <c r="B471" s="1658" t="inlineStr">
        <is>
          <t>Arun Tahlan</t>
        </is>
      </c>
      <c r="C471" s="1691" t="inlineStr">
        <is>
          <t>Integration Architect (C) - Boomi</t>
        </is>
      </c>
      <c r="D471" s="1382" t="inlineStr">
        <is>
          <t>Mike Seales</t>
        </is>
      </c>
      <c r="E471" s="1382" t="inlineStr">
        <is>
          <t>Technology Manager Integration &amp; Process Managemetn</t>
        </is>
      </c>
      <c r="F471" s="1382" t="inlineStr">
        <is>
          <t>TDD Group Functions</t>
        </is>
      </c>
      <c r="G471" s="1612" t="inlineStr">
        <is>
          <t xml:space="preserve">TDD &amp; Engineering </t>
        </is>
      </c>
      <c r="H471" s="1382" t="inlineStr">
        <is>
          <t>Integration &amp; Process Management</t>
        </is>
      </c>
      <c r="I471" s="1382" t="inlineStr">
        <is>
          <t>EGI</t>
        </is>
      </c>
      <c r="J471" s="1612" t="inlineStr">
        <is>
          <t>EGI</t>
        </is>
      </c>
      <c r="K471" s="1612" t="inlineStr">
        <is>
          <t>EGI TDD</t>
        </is>
      </c>
      <c r="L471" s="1612" t="n"/>
      <c r="M471" s="1613" t="inlineStr">
        <is>
          <t>Australia</t>
        </is>
      </c>
      <c r="N471" s="1616" t="inlineStr">
        <is>
          <t>NA</t>
        </is>
      </c>
      <c r="O471" s="1614" t="n">
        <v>1</v>
      </c>
      <c r="P471" s="1616" t="n"/>
      <c r="Q471" s="1616" t="inlineStr">
        <is>
          <t>cxc</t>
        </is>
      </c>
      <c r="R471" s="1624" t="inlineStr">
        <is>
          <t>Daily</t>
        </is>
      </c>
      <c r="S471" s="1616" t="n">
        <v>1568</v>
      </c>
      <c r="T471" s="1627" t="n">
        <v>0</v>
      </c>
      <c r="U471" s="1627" t="n"/>
      <c r="V471" s="1612" t="n"/>
      <c r="W471" s="1612" t="n"/>
      <c r="X471" s="1612" t="n"/>
      <c r="Y471" s="1612" t="n"/>
      <c r="Z471" s="1612" t="n"/>
      <c r="AA471" s="1625">
        <f>S471*222</f>
        <v>348096</v>
      </c>
      <c r="AC471" s="865" t="inlineStr">
        <is>
          <t>TDD Group Functions</t>
        </is>
      </c>
      <c r="AD471" s="865" t="inlineStr">
        <is>
          <t>EGI TDD</t>
        </is>
      </c>
      <c r="AE471" s="865" t="inlineStr">
        <is>
          <t>EGI TDD</t>
        </is>
      </c>
      <c r="AF471" s="865" t="inlineStr">
        <is>
          <t>Strategic Program</t>
        </is>
      </c>
      <c r="AG471" s="865" t="inlineStr">
        <is>
          <t>Filled</t>
        </is>
      </c>
    </row>
    <row r="472" hidden="1" ht="18" customHeight="1" s="866">
      <c r="A472" s="1566" t="n">
        <v>91635</v>
      </c>
      <c r="B472" s="1382" t="inlineStr">
        <is>
          <t>Bala Thiruvadi</t>
        </is>
      </c>
      <c r="C472" s="1611" t="inlineStr">
        <is>
          <t>Integration Architect - Boomi</t>
        </is>
      </c>
      <c r="D472" s="1382" t="inlineStr">
        <is>
          <t>Mike Seales</t>
        </is>
      </c>
      <c r="E472" s="1382" t="inlineStr">
        <is>
          <t>Technology Manager Integration &amp; Process Managemetn</t>
        </is>
      </c>
      <c r="F472" s="1382" t="inlineStr">
        <is>
          <t>TDD Group Functions</t>
        </is>
      </c>
      <c r="G472" s="1612" t="inlineStr">
        <is>
          <t xml:space="preserve">TDD &amp; Engineering </t>
        </is>
      </c>
      <c r="H472" s="1382" t="inlineStr">
        <is>
          <t>Integration &amp; Process Management</t>
        </is>
      </c>
      <c r="I472" s="1382" t="inlineStr">
        <is>
          <t>TDD</t>
        </is>
      </c>
      <c r="J472" s="1612" t="inlineStr">
        <is>
          <t>TDD</t>
        </is>
      </c>
      <c r="K472" s="1612" t="inlineStr">
        <is>
          <t>Integration &amp; Process automation</t>
        </is>
      </c>
      <c r="L472" s="1612" t="n"/>
      <c r="M472" s="1613" t="inlineStr">
        <is>
          <t>Australia</t>
        </is>
      </c>
      <c r="N472" s="1614" t="inlineStr">
        <is>
          <t>CIC</t>
        </is>
      </c>
      <c r="O472" s="1614" t="n">
        <v>1</v>
      </c>
      <c r="P472" s="1614" t="n"/>
      <c r="Q472" s="1614" t="inlineStr">
        <is>
          <t>Permanent - Full Time</t>
        </is>
      </c>
      <c r="R472" s="1616" t="n"/>
      <c r="S472" s="1616" t="n"/>
      <c r="T472" s="1627" t="n">
        <v>203672</v>
      </c>
      <c r="U472" s="1626" t="n">
        <v>203672</v>
      </c>
      <c r="V472" s="1619" t="n">
        <v>0.12</v>
      </c>
      <c r="W472" s="1622" t="n">
        <v>0.055</v>
      </c>
      <c r="X472" s="1622" t="n">
        <v>0.12</v>
      </c>
      <c r="Y472" s="1623" t="n"/>
      <c r="Z472" s="1622" t="n">
        <v>0.04</v>
      </c>
      <c r="AA472" s="1621">
        <f>U472*(1+V472+W472+X472+Y472+Z472)</f>
        <v>271902.12</v>
      </c>
      <c r="AC472" s="865" t="inlineStr">
        <is>
          <t>TDD Group Functions</t>
        </is>
      </c>
      <c r="AD472" s="865" t="inlineStr">
        <is>
          <t>TDD Group Functions</t>
        </is>
      </c>
      <c r="AE472" s="865" t="inlineStr">
        <is>
          <t>Integration</t>
        </is>
      </c>
      <c r="AF472" s="865" t="inlineStr">
        <is>
          <t>Squad</t>
        </is>
      </c>
      <c r="AG472" s="865" t="inlineStr">
        <is>
          <t>Filled</t>
        </is>
      </c>
    </row>
    <row r="473" hidden="1" ht="18" customHeight="1" s="866">
      <c r="A473" s="1566" t="n">
        <v>99999101229</v>
      </c>
      <c r="B473" s="1382" t="inlineStr">
        <is>
          <t>Billie Connolly</t>
        </is>
      </c>
      <c r="C473" s="1611" t="inlineStr">
        <is>
          <t>Engineer - Modern Workplaces</t>
        </is>
      </c>
      <c r="D473" s="1612" t="inlineStr">
        <is>
          <t>Vacant</t>
        </is>
      </c>
      <c r="E473" s="1382" t="inlineStr">
        <is>
          <t>Technology Manager, Enterprise Tooling</t>
        </is>
      </c>
      <c r="F473" s="1382" t="inlineStr">
        <is>
          <t>TDD Group Functions</t>
        </is>
      </c>
      <c r="G473" s="1612" t="inlineStr">
        <is>
          <t xml:space="preserve">TDD &amp; Engineering </t>
        </is>
      </c>
      <c r="H473" s="1382" t="inlineStr">
        <is>
          <t>Workplace &amp; Enterprise Tooling</t>
        </is>
      </c>
      <c r="I473" s="1382" t="inlineStr">
        <is>
          <t>TDD</t>
        </is>
      </c>
      <c r="J473" s="1612" t="inlineStr">
        <is>
          <t>TDD</t>
        </is>
      </c>
      <c r="K473" s="1612" t="inlineStr">
        <is>
          <t>Workplace &amp; Enterprise Tooling</t>
        </is>
      </c>
      <c r="L473" s="1612" t="n"/>
      <c r="M473" s="1613" t="inlineStr">
        <is>
          <t>NZ</t>
        </is>
      </c>
      <c r="N473" s="1614" t="inlineStr">
        <is>
          <t>CIA</t>
        </is>
      </c>
      <c r="O473" s="1615" t="n">
        <v>1</v>
      </c>
      <c r="P473" s="1614" t="n"/>
      <c r="Q473" s="1615" t="inlineStr">
        <is>
          <t>Permanent - Full Time</t>
        </is>
      </c>
      <c r="R473" s="1616" t="n"/>
      <c r="S473" s="1616" t="n"/>
      <c r="T473" s="1627" t="n">
        <v>117530</v>
      </c>
      <c r="U473" s="1626" t="n">
        <v>108127.6</v>
      </c>
      <c r="V473" s="1618" t="n">
        <v>0.15</v>
      </c>
      <c r="W473" s="1615" t="n"/>
      <c r="X473" s="1619" t="n">
        <v>0.05</v>
      </c>
      <c r="Y473" s="1620" t="n">
        <v>2910</v>
      </c>
      <c r="Z473" s="1619" t="n">
        <v>0.03</v>
      </c>
      <c r="AA473" s="1621">
        <f>U473*(1+V473+X473+Z473)+Y473</f>
        <v>135906.948</v>
      </c>
      <c r="AB473" s="865" t="n">
        <v>113520</v>
      </c>
      <c r="AC473" s="865" t="inlineStr">
        <is>
          <t>TDD Group Functions</t>
        </is>
      </c>
      <c r="AD473" s="865" t="inlineStr">
        <is>
          <t>TDD Group Functions</t>
        </is>
      </c>
      <c r="AE473" s="865" t="inlineStr">
        <is>
          <t>Workplace &amp; Enterprise Tooling</t>
        </is>
      </c>
      <c r="AF473" s="865" t="inlineStr">
        <is>
          <t>Squad</t>
        </is>
      </c>
      <c r="AG473" s="865" t="inlineStr">
        <is>
          <t>Filled</t>
        </is>
      </c>
    </row>
    <row r="474" hidden="1" ht="18" customHeight="1" s="866">
      <c r="A474" s="1566" t="n">
        <v>106829</v>
      </c>
      <c r="B474" s="1382" t="inlineStr">
        <is>
          <t>C K Lau</t>
        </is>
      </c>
      <c r="C474" s="1611" t="inlineStr">
        <is>
          <t>Delivery Lead (Cloud &amp; Network)</t>
        </is>
      </c>
      <c r="D474" s="1382" t="inlineStr">
        <is>
          <t>Vacant</t>
        </is>
      </c>
      <c r="E474" s="1382" t="inlineStr">
        <is>
          <t>Delivery Manager</t>
        </is>
      </c>
      <c r="F474" s="1382" t="inlineStr">
        <is>
          <t>TDD Group Functions</t>
        </is>
      </c>
      <c r="G474" s="1612" t="inlineStr">
        <is>
          <t xml:space="preserve">TDD &amp; Engineering </t>
        </is>
      </c>
      <c r="H474" s="865" t="inlineStr">
        <is>
          <t>Delivery, TDD &amp; Engineering</t>
        </is>
      </c>
      <c r="I474" s="1382" t="inlineStr">
        <is>
          <t>TDD</t>
        </is>
      </c>
      <c r="J474" s="1612" t="inlineStr">
        <is>
          <t>TDD</t>
        </is>
      </c>
      <c r="K474" s="1612" t="inlineStr">
        <is>
          <t>Cloud, Network &amp; Infra Ops</t>
        </is>
      </c>
      <c r="L474" s="1612" t="n"/>
      <c r="M474" s="1613" t="inlineStr">
        <is>
          <t>Australia</t>
        </is>
      </c>
      <c r="N474" s="1614" t="inlineStr">
        <is>
          <t>CIC</t>
        </is>
      </c>
      <c r="O474" s="1614" t="n">
        <v>1</v>
      </c>
      <c r="P474" s="1614" t="n"/>
      <c r="Q474" s="1614" t="inlineStr">
        <is>
          <t>Permanent - Full Time</t>
        </is>
      </c>
      <c r="R474" s="1616" t="n"/>
      <c r="S474" s="1616" t="n"/>
      <c r="T474" s="1627" t="n">
        <v>186640</v>
      </c>
      <c r="U474" s="1626" t="n">
        <v>186640</v>
      </c>
      <c r="V474" s="1619" t="n">
        <v>0.12</v>
      </c>
      <c r="W474" s="1622" t="n">
        <v>0.055</v>
      </c>
      <c r="X474" s="1622" t="n">
        <v>0.12</v>
      </c>
      <c r="Y474" s="1623" t="n"/>
      <c r="Z474" s="1622" t="n">
        <v>0.04</v>
      </c>
      <c r="AA474" s="1621">
        <f>U474*(1+V474+W474+X474+Y474+Z474)</f>
        <v>249164.4</v>
      </c>
      <c r="AC474" s="865" t="inlineStr">
        <is>
          <t>TDD Group Functions</t>
        </is>
      </c>
      <c r="AD474" s="865" t="inlineStr">
        <is>
          <t>TDD Group Functions</t>
        </is>
      </c>
      <c r="AE474" s="865" t="inlineStr">
        <is>
          <t>Network &amp; Infrastructure</t>
        </is>
      </c>
      <c r="AF474" s="865" t="inlineStr">
        <is>
          <t>Squad</t>
        </is>
      </c>
      <c r="AG474" s="865" t="inlineStr">
        <is>
          <t>Filled</t>
        </is>
      </c>
    </row>
    <row r="475" hidden="1" ht="18" customHeight="1" s="866">
      <c r="A475" s="1566" t="n">
        <v>14148</v>
      </c>
      <c r="B475" s="1628" t="inlineStr">
        <is>
          <t>Ee Lynn Yap</t>
        </is>
      </c>
      <c r="C475" s="1691" t="inlineStr">
        <is>
          <t>SAP ERP Application Lead</t>
        </is>
      </c>
      <c r="D475" s="1612" t="inlineStr">
        <is>
          <t>Shane Ker</t>
        </is>
      </c>
      <c r="E475" s="1628" t="inlineStr">
        <is>
          <t>Technology Manager Finance Platforms</t>
        </is>
      </c>
      <c r="F475" s="1382" t="inlineStr">
        <is>
          <t>TDD Group Functions</t>
        </is>
      </c>
      <c r="G475" s="1628" t="inlineStr">
        <is>
          <t>P&amp;C, Finance &amp; Legal</t>
        </is>
      </c>
      <c r="H475" s="1598" t="inlineStr">
        <is>
          <t>Tech, Finance Platforms</t>
        </is>
      </c>
      <c r="I475" s="1612" t="inlineStr">
        <is>
          <t>EGI</t>
        </is>
      </c>
      <c r="J475" s="1612" t="inlineStr">
        <is>
          <t>EGI</t>
        </is>
      </c>
      <c r="K475" s="1612" t="inlineStr">
        <is>
          <t>EGI Finance</t>
        </is>
      </c>
      <c r="L475" s="1612" t="n"/>
      <c r="M475" s="1613" t="inlineStr">
        <is>
          <t>Australia</t>
        </is>
      </c>
      <c r="N475" s="1616" t="inlineStr">
        <is>
          <t>CIC</t>
        </is>
      </c>
      <c r="O475" s="1616" t="n">
        <v>1</v>
      </c>
      <c r="P475" s="1616" t="n"/>
      <c r="Q475" s="1616" t="inlineStr">
        <is>
          <t>Permanent - Full Time</t>
        </is>
      </c>
      <c r="R475" s="1616" t="n"/>
      <c r="S475" s="1616" t="n"/>
      <c r="T475" s="1627" t="n">
        <v>181070</v>
      </c>
      <c r="U475" s="1626" t="n">
        <v>181070</v>
      </c>
      <c r="V475" s="1619" t="n">
        <v>0.12</v>
      </c>
      <c r="W475" s="1622" t="n">
        <v>0.055</v>
      </c>
      <c r="X475" s="1622" t="n">
        <v>0.12</v>
      </c>
      <c r="Y475" s="1623" t="n"/>
      <c r="Z475" s="1622" t="n">
        <v>0.04</v>
      </c>
      <c r="AA475" s="1681">
        <f>U475*(1+V475+W475+X475+Y475+Z475)</f>
        <v>241728.45</v>
      </c>
      <c r="AC475" s="865" t="inlineStr">
        <is>
          <t>Finance</t>
        </is>
      </c>
      <c r="AD475" s="865" t="inlineStr">
        <is>
          <t>EGI Finance</t>
        </is>
      </c>
      <c r="AE475" s="865" t="inlineStr">
        <is>
          <t>EGI Finance</t>
        </is>
      </c>
      <c r="AF475" s="865" t="inlineStr">
        <is>
          <t>Strategic Program</t>
        </is>
      </c>
      <c r="AG475" s="865" t="inlineStr">
        <is>
          <t>Filled</t>
        </is>
      </c>
    </row>
    <row r="476" hidden="1" ht="18" customHeight="1" s="866">
      <c r="A476" s="1566" t="n">
        <v>99999101516</v>
      </c>
      <c r="B476" s="1382" t="inlineStr">
        <is>
          <t>Fan Zhang</t>
        </is>
      </c>
      <c r="C476" s="1611" t="inlineStr">
        <is>
          <t>Infrastructure Engineer</t>
        </is>
      </c>
      <c r="D476" s="1612" t="inlineStr">
        <is>
          <t>John McCormack</t>
        </is>
      </c>
      <c r="E476" s="1628" t="inlineStr">
        <is>
          <t>Manager - Infrastructure Operations</t>
        </is>
      </c>
      <c r="F476" s="1382" t="inlineStr">
        <is>
          <t>TDD Group Functions</t>
        </is>
      </c>
      <c r="G476" s="1612" t="inlineStr">
        <is>
          <t>TDD &amp; Engineering</t>
        </is>
      </c>
      <c r="H476" s="1612" t="inlineStr">
        <is>
          <t>Cloud, Network &amp; Infra</t>
        </is>
      </c>
      <c r="I476" s="1382" t="inlineStr">
        <is>
          <t>TDD</t>
        </is>
      </c>
      <c r="J476" s="1612" t="inlineStr">
        <is>
          <t>TDD</t>
        </is>
      </c>
      <c r="K476" s="1612" t="inlineStr">
        <is>
          <t>Cloud, Network &amp; Infra Ops</t>
        </is>
      </c>
      <c r="L476" s="1612" t="n"/>
      <c r="M476" s="1613" t="inlineStr">
        <is>
          <t>NZ</t>
        </is>
      </c>
      <c r="N476" s="1614" t="inlineStr">
        <is>
          <t>CIA</t>
        </is>
      </c>
      <c r="O476" s="1615" t="n">
        <v>1</v>
      </c>
      <c r="P476" s="1614" t="n"/>
      <c r="Q476" s="1615" t="inlineStr">
        <is>
          <t>Permanent - Full Time</t>
        </is>
      </c>
      <c r="R476" s="1616" t="n"/>
      <c r="S476" s="1616" t="n"/>
      <c r="T476" s="1627" t="n">
        <v>115679</v>
      </c>
      <c r="U476" s="1626" t="n">
        <v>106424.68</v>
      </c>
      <c r="V476" s="1618" t="n">
        <v>0.15</v>
      </c>
      <c r="W476" s="1615" t="n"/>
      <c r="X476" s="1619" t="n">
        <v>0.05</v>
      </c>
      <c r="Y476" s="1620" t="n">
        <v>2910</v>
      </c>
      <c r="Z476" s="1619" t="n">
        <v>0.03</v>
      </c>
      <c r="AA476" s="1621">
        <f>U476*(1+V476+X476+Z476)+Y476</f>
        <v>133812.3564</v>
      </c>
      <c r="AB476" s="865" t="n">
        <v>113540</v>
      </c>
      <c r="AC476" s="865" t="inlineStr">
        <is>
          <t>TDD Group Functions</t>
        </is>
      </c>
      <c r="AD476" s="865" t="inlineStr">
        <is>
          <t>TDD Group Functions</t>
        </is>
      </c>
      <c r="AE476" s="865" t="inlineStr">
        <is>
          <t>Network &amp; Infrastructure</t>
        </is>
      </c>
      <c r="AF476" s="865" t="inlineStr">
        <is>
          <t>Squad</t>
        </is>
      </c>
      <c r="AG476" s="865" t="inlineStr">
        <is>
          <t>Filled</t>
        </is>
      </c>
    </row>
    <row r="477" hidden="1" ht="18" customHeight="1" s="866">
      <c r="A477" s="1566" t="n">
        <v>83003</v>
      </c>
      <c r="B477" s="1382" t="inlineStr">
        <is>
          <t>Grace Hadiwijaya</t>
        </is>
      </c>
      <c r="C477" s="1611" t="inlineStr">
        <is>
          <t>Lead P&amp;C Platforms</t>
        </is>
      </c>
      <c r="D477" s="1612" t="inlineStr">
        <is>
          <t>Vacant</t>
        </is>
      </c>
      <c r="E477" s="1382" t="inlineStr">
        <is>
          <t>Technology Manager P&amp;C Platforms</t>
        </is>
      </c>
      <c r="F477" s="1382" t="inlineStr">
        <is>
          <t>TDD Group Functions</t>
        </is>
      </c>
      <c r="G477" s="1628" t="inlineStr">
        <is>
          <t>P&amp;C, Finance &amp; Legal</t>
        </is>
      </c>
      <c r="H477" s="1612" t="inlineStr">
        <is>
          <t>Tech, P&amp;C Platforms</t>
        </is>
      </c>
      <c r="I477" s="1612" t="inlineStr">
        <is>
          <t>P&amp;C</t>
        </is>
      </c>
      <c r="J477" s="1612" t="inlineStr">
        <is>
          <t>P&amp;C</t>
        </is>
      </c>
      <c r="K477" s="1612" t="inlineStr">
        <is>
          <t>P&amp;C</t>
        </is>
      </c>
      <c r="L477" s="1612" t="n"/>
      <c r="M477" s="1613" t="inlineStr">
        <is>
          <t>Australia</t>
        </is>
      </c>
      <c r="N477" s="1616" t="inlineStr">
        <is>
          <t>CIC</t>
        </is>
      </c>
      <c r="O477" s="1616" t="n">
        <v>1</v>
      </c>
      <c r="P477" s="1616" t="n"/>
      <c r="Q477" s="1616" t="inlineStr">
        <is>
          <t>Permanent - Full Time</t>
        </is>
      </c>
      <c r="R477" s="1616" t="n"/>
      <c r="S477" s="1616" t="n"/>
      <c r="T477" s="1627" t="n">
        <v>178250</v>
      </c>
      <c r="U477" s="1626" t="n">
        <v>178250</v>
      </c>
      <c r="V477" s="1619" t="n">
        <v>0.12</v>
      </c>
      <c r="W477" s="1622" t="n">
        <v>0.055</v>
      </c>
      <c r="X477" s="1622" t="n">
        <v>0.12</v>
      </c>
      <c r="Y477" s="1623" t="n"/>
      <c r="Z477" s="1622" t="n">
        <v>0.04</v>
      </c>
      <c r="AA477" s="1621">
        <f>U477*(1+V477+W477+X477+Y477+Z477)</f>
        <v>237963.75</v>
      </c>
      <c r="AC477" s="1637" t="inlineStr">
        <is>
          <t>P&amp;C</t>
        </is>
      </c>
      <c r="AD477" s="865" t="inlineStr">
        <is>
          <t>P&amp;C</t>
        </is>
      </c>
      <c r="AE477" s="865" t="inlineStr">
        <is>
          <t>P&amp;C</t>
        </is>
      </c>
      <c r="AF477" s="865" t="inlineStr">
        <is>
          <t>Squad</t>
        </is>
      </c>
      <c r="AG477" s="865" t="inlineStr">
        <is>
          <t>Filled</t>
        </is>
      </c>
    </row>
    <row r="478" hidden="1" ht="18" customHeight="1" s="866">
      <c r="A478" s="1566" t="n">
        <v>105823</v>
      </c>
      <c r="B478" s="1628" t="inlineStr">
        <is>
          <t>Hardik Trivedi</t>
        </is>
      </c>
      <c r="C478" s="1691" t="inlineStr">
        <is>
          <t>Snr Business Analyst</t>
        </is>
      </c>
      <c r="D478" s="1612" t="inlineStr">
        <is>
          <t>Vacant</t>
        </is>
      </c>
      <c r="E478" s="1628" t="inlineStr">
        <is>
          <t xml:space="preserve">Delivery Manager </t>
        </is>
      </c>
      <c r="F478" s="1382" t="inlineStr">
        <is>
          <t>TDD Group Functions</t>
        </is>
      </c>
      <c r="G478" s="1612" t="inlineStr">
        <is>
          <t>TDD &amp; Engineering</t>
        </is>
      </c>
      <c r="H478" s="1382" t="inlineStr">
        <is>
          <t>Delivery, TDD &amp; Engineering</t>
        </is>
      </c>
      <c r="I478" s="1382" t="inlineStr">
        <is>
          <t>Retail</t>
        </is>
      </c>
      <c r="J478" s="1612" t="inlineStr">
        <is>
          <t>AmPOS</t>
        </is>
      </c>
      <c r="K478" s="1612" t="inlineStr">
        <is>
          <t>AmPOS</t>
        </is>
      </c>
      <c r="L478" s="1612" t="n"/>
      <c r="M478" s="1613" t="inlineStr">
        <is>
          <t>Australia</t>
        </is>
      </c>
      <c r="N478" s="1614" t="inlineStr">
        <is>
          <t>CIB</t>
        </is>
      </c>
      <c r="O478" s="1614" t="n">
        <v>1</v>
      </c>
      <c r="P478" s="1614" t="n"/>
      <c r="Q478" s="1614" t="inlineStr">
        <is>
          <t>Permanent - Full Time</t>
        </is>
      </c>
      <c r="R478" s="1616" t="n"/>
      <c r="S478" s="1616" t="n"/>
      <c r="T478" s="1627" t="n">
        <v>157560</v>
      </c>
      <c r="U478" s="1626" t="n">
        <v>157560</v>
      </c>
      <c r="V478" s="1619" t="n">
        <v>0.12</v>
      </c>
      <c r="W478" s="1622" t="n">
        <v>0.055</v>
      </c>
      <c r="X478" s="1622" t="n">
        <v>0.12</v>
      </c>
      <c r="Y478" s="1623" t="n"/>
      <c r="Z478" s="1622" t="n">
        <v>0.04</v>
      </c>
      <c r="AA478" s="1621">
        <f>U478*(1+V478+W478+X478+Y478+Z478)</f>
        <v>210342.6</v>
      </c>
      <c r="AC478" s="865" t="inlineStr">
        <is>
          <t>Ampol Retail</t>
        </is>
      </c>
      <c r="AD478" s="865" t="inlineStr">
        <is>
          <t>AmPOS</t>
        </is>
      </c>
      <c r="AE478" s="865" t="inlineStr">
        <is>
          <t>AmPOS</t>
        </is>
      </c>
      <c r="AF478" s="865" t="inlineStr">
        <is>
          <t>Strategic Program</t>
        </is>
      </c>
      <c r="AG478" s="865" t="inlineStr">
        <is>
          <t>Filled</t>
        </is>
      </c>
    </row>
    <row r="479" hidden="1" ht="18" customHeight="1" s="866">
      <c r="A479" s="1566" t="n">
        <v>110830</v>
      </c>
      <c r="B479" s="1382" t="inlineStr">
        <is>
          <t>Jason Satoso</t>
        </is>
      </c>
      <c r="C479" s="1611" t="inlineStr">
        <is>
          <t>Cloud Operations Engineer</t>
        </is>
      </c>
      <c r="D479" s="1612" t="inlineStr">
        <is>
          <t>John McCormack</t>
        </is>
      </c>
      <c r="E479" s="1628" t="inlineStr">
        <is>
          <t>Manager - Infrastructure Operations</t>
        </is>
      </c>
      <c r="F479" s="1382" t="inlineStr">
        <is>
          <t>TDD Group Functions</t>
        </is>
      </c>
      <c r="G479" s="1612" t="inlineStr">
        <is>
          <t>TDD &amp; Engineering</t>
        </is>
      </c>
      <c r="H479" s="1612" t="inlineStr">
        <is>
          <t>Cloud, Network &amp; Infra</t>
        </is>
      </c>
      <c r="I479" s="1382" t="inlineStr">
        <is>
          <t>TDD</t>
        </is>
      </c>
      <c r="J479" s="1612" t="inlineStr">
        <is>
          <t>TDD</t>
        </is>
      </c>
      <c r="K479" s="1612" t="inlineStr">
        <is>
          <t>Cloud, Network &amp; Infra Ops</t>
        </is>
      </c>
      <c r="L479" s="1612" t="n"/>
      <c r="M479" s="1613" t="inlineStr">
        <is>
          <t>Australia</t>
        </is>
      </c>
      <c r="N479" s="1614" t="inlineStr">
        <is>
          <t>CIB</t>
        </is>
      </c>
      <c r="O479" s="1614" t="n">
        <v>1</v>
      </c>
      <c r="P479" s="1614" t="n"/>
      <c r="Q479" s="1614" t="inlineStr">
        <is>
          <t>Permanent - Full Time</t>
        </is>
      </c>
      <c r="R479" s="1616" t="n"/>
      <c r="S479" s="1616" t="n"/>
      <c r="T479" s="1627" t="n">
        <v>154450</v>
      </c>
      <c r="U479" s="1626" t="n">
        <v>154450</v>
      </c>
      <c r="V479" s="1619" t="n">
        <v>0.12</v>
      </c>
      <c r="W479" s="1622" t="n">
        <v>0.055</v>
      </c>
      <c r="X479" s="1622" t="n">
        <v>0.12</v>
      </c>
      <c r="Y479" s="1623" t="n"/>
      <c r="Z479" s="1622" t="n">
        <v>0.04</v>
      </c>
      <c r="AA479" s="1621">
        <f>U479*(1+V479+W479+X479+Y479+Z479)</f>
        <v>206190.75</v>
      </c>
      <c r="AC479" s="865" t="inlineStr">
        <is>
          <t>TDD Group Functions</t>
        </is>
      </c>
      <c r="AD479" s="865" t="inlineStr">
        <is>
          <t>TDD Group Functions</t>
        </is>
      </c>
      <c r="AE479" s="865" t="inlineStr">
        <is>
          <t>Network &amp; Infrastructure</t>
        </is>
      </c>
      <c r="AF479" s="865" t="inlineStr">
        <is>
          <t>Squad</t>
        </is>
      </c>
      <c r="AG479" s="865" t="inlineStr">
        <is>
          <t>Filled</t>
        </is>
      </c>
    </row>
    <row r="480" hidden="1" ht="18" customHeight="1" s="866">
      <c r="A480" s="1566" t="inlineStr">
        <is>
          <t>c</t>
        </is>
      </c>
      <c r="B480" s="1382" t="inlineStr">
        <is>
          <t>Jens Tom</t>
        </is>
      </c>
      <c r="C480" s="1611" t="inlineStr">
        <is>
          <t>SAP Solution Architect</t>
        </is>
      </c>
      <c r="D480" s="1382" t="inlineStr">
        <is>
          <t>Shane Ker</t>
        </is>
      </c>
      <c r="E480" s="1382" t="inlineStr">
        <is>
          <t>Solution Architect SAP</t>
        </is>
      </c>
      <c r="F480" s="1382" t="inlineStr">
        <is>
          <t>TDD Group Functions</t>
        </is>
      </c>
      <c r="G480" s="1612" t="n"/>
      <c r="H480" s="1635" t="n"/>
      <c r="I480" s="1612" t="n"/>
      <c r="J480" s="1612" t="n"/>
      <c r="K480" s="1382" t="n"/>
      <c r="L480" s="1612" t="n"/>
      <c r="M480" s="1613" t="n"/>
      <c r="N480" s="1616" t="inlineStr">
        <is>
          <t>na</t>
        </is>
      </c>
      <c r="O480" s="1616" t="n">
        <v>1</v>
      </c>
      <c r="P480" s="1616" t="n"/>
      <c r="Q480" s="1616" t="inlineStr">
        <is>
          <t>cxc</t>
        </is>
      </c>
      <c r="R480" s="1616" t="inlineStr">
        <is>
          <t>daily</t>
        </is>
      </c>
      <c r="S480" s="1616" t="n">
        <v>1600</v>
      </c>
      <c r="T480" s="1627" t="n">
        <v>0</v>
      </c>
      <c r="U480" s="1626" t="n"/>
      <c r="V480" s="1619" t="n"/>
      <c r="W480" s="1622" t="n"/>
      <c r="X480" s="1622" t="n"/>
      <c r="Y480" s="1623" t="n"/>
      <c r="Z480" s="1622" t="n"/>
      <c r="AA480" s="1625">
        <f>S480*222</f>
        <v>355200</v>
      </c>
      <c r="AC480" s="865" t="inlineStr">
        <is>
          <t>Unmapped</t>
        </is>
      </c>
      <c r="AD480" s="865" t="inlineStr">
        <is>
          <t>-</t>
        </is>
      </c>
      <c r="AE480" s="865" t="inlineStr">
        <is>
          <t>TDD Group Functions</t>
        </is>
      </c>
      <c r="AF480" s="865" t="inlineStr">
        <is>
          <t>Unmapped</t>
        </is>
      </c>
      <c r="AG480" s="865" t="inlineStr">
        <is>
          <t>Filled</t>
        </is>
      </c>
    </row>
    <row r="481" hidden="1" ht="18" customHeight="1" s="866">
      <c r="A481" s="1566" t="n">
        <v>99999100381</v>
      </c>
      <c r="B481" s="1382" t="inlineStr">
        <is>
          <t>Joel Krijnen</t>
        </is>
      </c>
      <c r="C481" s="1611" t="inlineStr">
        <is>
          <t>Lead Engineer Software</t>
        </is>
      </c>
      <c r="D481" s="1382" t="inlineStr">
        <is>
          <t>Mike Seales</t>
        </is>
      </c>
      <c r="E481" s="1382" t="inlineStr">
        <is>
          <t>Technology Manager Integration &amp; Process Managemetn</t>
        </is>
      </c>
      <c r="F481" s="1382" t="inlineStr">
        <is>
          <t>TDD Group Functions</t>
        </is>
      </c>
      <c r="G481" s="1612" t="inlineStr">
        <is>
          <t xml:space="preserve">TDD &amp; Engineering </t>
        </is>
      </c>
      <c r="H481" s="1382" t="inlineStr">
        <is>
          <t>Integration &amp; Process Management</t>
        </is>
      </c>
      <c r="I481" s="1382" t="inlineStr">
        <is>
          <t>TDD</t>
        </is>
      </c>
      <c r="J481" s="1612" t="inlineStr">
        <is>
          <t>TDD</t>
        </is>
      </c>
      <c r="K481" s="1612" t="inlineStr">
        <is>
          <t>Integration &amp; Process automation</t>
        </is>
      </c>
      <c r="L481" s="1612" t="n"/>
      <c r="M481" s="1613" t="inlineStr">
        <is>
          <t>NZ</t>
        </is>
      </c>
      <c r="N481" s="1614" t="inlineStr">
        <is>
          <t>CIC</t>
        </is>
      </c>
      <c r="O481" s="1615" t="n">
        <v>1</v>
      </c>
      <c r="P481" s="1614" t="n"/>
      <c r="Q481" s="1615" t="inlineStr">
        <is>
          <t>Permanent - Full Time</t>
        </is>
      </c>
      <c r="R481" s="1616" t="n"/>
      <c r="S481" s="1616" t="n"/>
      <c r="T481" s="1627" t="n">
        <v>154830</v>
      </c>
      <c r="U481" s="1626" t="n">
        <v>142443.6</v>
      </c>
      <c r="V481" s="1618" t="n">
        <v>0.15</v>
      </c>
      <c r="W481" s="1615" t="n"/>
      <c r="X481" s="1619" t="n">
        <v>0.05</v>
      </c>
      <c r="Y481" s="1620" t="n">
        <v>2910</v>
      </c>
      <c r="Z481" s="1619" t="n">
        <v>0.03</v>
      </c>
      <c r="AA481" s="1621">
        <f>U481*(1+V481+X481+Z481)+Y481</f>
        <v>178115.628</v>
      </c>
      <c r="AB481" s="865" t="n">
        <v>113557</v>
      </c>
      <c r="AC481" s="865" t="inlineStr">
        <is>
          <t>TDD Group Functions</t>
        </is>
      </c>
      <c r="AD481" s="865" t="inlineStr">
        <is>
          <t>TDD Group Functions</t>
        </is>
      </c>
      <c r="AE481" s="865" t="inlineStr">
        <is>
          <t>Integration</t>
        </is>
      </c>
      <c r="AF481" s="865" t="inlineStr">
        <is>
          <t>Squad</t>
        </is>
      </c>
      <c r="AG481" s="865" t="inlineStr">
        <is>
          <t>Filled</t>
        </is>
      </c>
    </row>
    <row r="482" hidden="1" ht="18" customHeight="1" s="866">
      <c r="A482" s="1566" t="n">
        <v>97800</v>
      </c>
      <c r="B482" s="1382" t="inlineStr">
        <is>
          <t>John McCormack</t>
        </is>
      </c>
      <c r="C482" s="1611" t="inlineStr">
        <is>
          <t>Manager - Infrastructure Operations</t>
        </is>
      </c>
      <c r="D482" s="1612" t="inlineStr">
        <is>
          <t>Vacant</t>
        </is>
      </c>
      <c r="E482" s="1628" t="inlineStr">
        <is>
          <t>Technology Manager - Cloud, Network &amp; Infrastructure Operations</t>
        </is>
      </c>
      <c r="F482" s="1382" t="inlineStr">
        <is>
          <t>TDD Group Functions</t>
        </is>
      </c>
      <c r="G482" s="1612" t="inlineStr">
        <is>
          <t>TDD &amp; Engineering</t>
        </is>
      </c>
      <c r="H482" s="1612" t="inlineStr">
        <is>
          <t>Cloud, Network &amp; Infra</t>
        </is>
      </c>
      <c r="I482" s="1382" t="inlineStr">
        <is>
          <t>TDD</t>
        </is>
      </c>
      <c r="J482" s="1612" t="inlineStr">
        <is>
          <t>TDD</t>
        </is>
      </c>
      <c r="K482" s="1612" t="inlineStr">
        <is>
          <t>Cloud, Network &amp; Infra Ops</t>
        </is>
      </c>
      <c r="L482" s="1612" t="n"/>
      <c r="M482" s="1613" t="inlineStr">
        <is>
          <t>Australia</t>
        </is>
      </c>
      <c r="N482" s="1614" t="inlineStr">
        <is>
          <t>CIC</t>
        </is>
      </c>
      <c r="O482" s="1614" t="n">
        <v>1</v>
      </c>
      <c r="P482" s="1614" t="n"/>
      <c r="Q482" s="1614" t="inlineStr">
        <is>
          <t>Permanent - Full Time</t>
        </is>
      </c>
      <c r="R482" s="1616" t="n"/>
      <c r="S482" s="1616" t="n"/>
      <c r="T482" s="1627" t="n">
        <v>184640</v>
      </c>
      <c r="U482" s="1626" t="n">
        <v>184640</v>
      </c>
      <c r="V482" s="1619" t="n">
        <v>0.12</v>
      </c>
      <c r="W482" s="1622" t="n">
        <v>0.055</v>
      </c>
      <c r="X482" s="1622" t="n">
        <v>0.12</v>
      </c>
      <c r="Y482" s="1623" t="n"/>
      <c r="Z482" s="1622" t="n">
        <v>0.04</v>
      </c>
      <c r="AA482" s="1621">
        <f>U482*(1+V482+W482+X482+Y482+Z482)</f>
        <v>246494.4</v>
      </c>
      <c r="AC482" s="865" t="inlineStr">
        <is>
          <t>TDD Group Functions</t>
        </is>
      </c>
      <c r="AD482" s="865" t="inlineStr">
        <is>
          <t>TDD Group Functions</t>
        </is>
      </c>
      <c r="AE482" s="865" t="inlineStr">
        <is>
          <t>Network &amp; Infrastructure</t>
        </is>
      </c>
      <c r="AF482" s="865" t="inlineStr">
        <is>
          <t>Squad</t>
        </is>
      </c>
      <c r="AG482" s="865" t="inlineStr">
        <is>
          <t>Filled</t>
        </is>
      </c>
    </row>
    <row r="483" hidden="1" ht="18" customHeight="1" s="866">
      <c r="A483" s="1566" t="n">
        <v>11241</v>
      </c>
      <c r="B483" s="1628" t="inlineStr">
        <is>
          <t>Julma Bhagwani</t>
        </is>
      </c>
      <c r="C483" s="1691" t="inlineStr">
        <is>
          <t>SAP ERP Application Lead</t>
        </is>
      </c>
      <c r="D483" s="1612" t="inlineStr">
        <is>
          <t>Shane Ker</t>
        </is>
      </c>
      <c r="E483" s="1628" t="inlineStr">
        <is>
          <t>Technology Manager Finance Platforms</t>
        </is>
      </c>
      <c r="F483" s="1382" t="inlineStr">
        <is>
          <t>TDD Group Functions</t>
        </is>
      </c>
      <c r="G483" s="1628" t="inlineStr">
        <is>
          <t>P&amp;C, Finance &amp; Legal</t>
        </is>
      </c>
      <c r="H483" s="1612" t="inlineStr">
        <is>
          <t>Tech, Finance Platforms</t>
        </is>
      </c>
      <c r="I483" s="1612" t="inlineStr">
        <is>
          <t>Finance</t>
        </is>
      </c>
      <c r="J483" s="1612" t="inlineStr">
        <is>
          <t>AU Finance</t>
        </is>
      </c>
      <c r="K483" s="1612" t="inlineStr">
        <is>
          <t>SAP ERP</t>
        </is>
      </c>
      <c r="L483" s="1612" t="n"/>
      <c r="M483" s="1613" t="inlineStr">
        <is>
          <t>Australia</t>
        </is>
      </c>
      <c r="N483" s="1616" t="inlineStr">
        <is>
          <t>CIC</t>
        </is>
      </c>
      <c r="O483" s="1616" t="n">
        <v>1</v>
      </c>
      <c r="P483" s="1616" t="n"/>
      <c r="Q483" s="1616" t="inlineStr">
        <is>
          <t>Permanent - Full Time</t>
        </is>
      </c>
      <c r="R483" s="1616" t="n"/>
      <c r="S483" s="1616" t="n"/>
      <c r="T483" s="1627" t="n">
        <v>179700</v>
      </c>
      <c r="U483" s="1626" t="n">
        <v>179700</v>
      </c>
      <c r="V483" s="1619" t="n">
        <v>0.12</v>
      </c>
      <c r="W483" s="1622" t="n">
        <v>0.055</v>
      </c>
      <c r="X483" s="1622" t="n">
        <v>0.12</v>
      </c>
      <c r="Y483" s="1623" t="n"/>
      <c r="Z483" s="1622" t="n">
        <v>0.04</v>
      </c>
      <c r="AA483" s="1621">
        <f>U483*(1+V483+W483+X483+Y483+Z483)</f>
        <v>239899.5</v>
      </c>
      <c r="AC483" s="865" t="inlineStr">
        <is>
          <t>Finance</t>
        </is>
      </c>
      <c r="AD483" s="865" t="inlineStr">
        <is>
          <t>AU Finance</t>
        </is>
      </c>
      <c r="AE483" s="865" t="inlineStr">
        <is>
          <t>AU Finance</t>
        </is>
      </c>
      <c r="AF483" s="865" t="inlineStr">
        <is>
          <t>Squad</t>
        </is>
      </c>
      <c r="AG483" s="865" t="inlineStr">
        <is>
          <t>Filled</t>
        </is>
      </c>
    </row>
    <row r="484" hidden="1" ht="18" customHeight="1" s="866">
      <c r="A484" s="1566" t="n">
        <v>95018</v>
      </c>
      <c r="B484" s="1382" t="inlineStr">
        <is>
          <t>Ken Thomson</t>
        </is>
      </c>
      <c r="C484" s="1611" t="inlineStr">
        <is>
          <t>Servicenow Platform Specialist</t>
        </is>
      </c>
      <c r="D484" s="1612" t="inlineStr">
        <is>
          <t>Vacant</t>
        </is>
      </c>
      <c r="E484" s="1382" t="inlineStr">
        <is>
          <t>Technology Manager, Enterprise Tooling</t>
        </is>
      </c>
      <c r="F484" s="1382" t="inlineStr">
        <is>
          <t>TDD Group Functions</t>
        </is>
      </c>
      <c r="G484" s="1612" t="inlineStr">
        <is>
          <t xml:space="preserve">TDD &amp; Engineering </t>
        </is>
      </c>
      <c r="H484" s="1382" t="inlineStr">
        <is>
          <t>Workplace &amp; Enterprise Tooling</t>
        </is>
      </c>
      <c r="I484" s="1382" t="inlineStr">
        <is>
          <t>TDD</t>
        </is>
      </c>
      <c r="J484" s="1612" t="inlineStr">
        <is>
          <t>TDD</t>
        </is>
      </c>
      <c r="K484" s="1612" t="inlineStr">
        <is>
          <t>Workplace &amp; Enterprise Tooling</t>
        </is>
      </c>
      <c r="L484" s="1612" t="n"/>
      <c r="M484" s="1613" t="inlineStr">
        <is>
          <t>Australia</t>
        </is>
      </c>
      <c r="N484" s="1614" t="inlineStr">
        <is>
          <t>CIC</t>
        </is>
      </c>
      <c r="O484" s="1614" t="n">
        <v>1</v>
      </c>
      <c r="P484" s="1614" t="n"/>
      <c r="Q484" s="1614" t="inlineStr">
        <is>
          <t>Permanent - Full Time</t>
        </is>
      </c>
      <c r="R484" s="1616" t="n"/>
      <c r="S484" s="1616" t="n"/>
      <c r="T484" s="1627" t="n">
        <v>165450</v>
      </c>
      <c r="U484" s="1626" t="n">
        <v>165450</v>
      </c>
      <c r="V484" s="1619" t="n">
        <v>0.12</v>
      </c>
      <c r="W484" s="1622" t="n">
        <v>0.055</v>
      </c>
      <c r="X484" s="1622" t="n">
        <v>0.12</v>
      </c>
      <c r="Y484" s="1623" t="n"/>
      <c r="Z484" s="1622" t="n">
        <v>0.04</v>
      </c>
      <c r="AA484" s="1621">
        <f>U484*(1+V484+W484+X484+Y484+Z484)</f>
        <v>220875.75</v>
      </c>
      <c r="AC484" s="865" t="inlineStr">
        <is>
          <t>TDD Group Functions</t>
        </is>
      </c>
      <c r="AD484" s="865" t="inlineStr">
        <is>
          <t>TDD Group Functions</t>
        </is>
      </c>
      <c r="AE484" s="865" t="inlineStr">
        <is>
          <t>Workplace &amp; Enterprise Tooling</t>
        </is>
      </c>
      <c r="AF484" s="865" t="inlineStr">
        <is>
          <t>Squad</t>
        </is>
      </c>
      <c r="AG484" s="865" t="inlineStr">
        <is>
          <t>Filled</t>
        </is>
      </c>
    </row>
    <row r="485" hidden="1" ht="18" customHeight="1" s="866">
      <c r="A485" s="1566" t="n">
        <v>99999102153</v>
      </c>
      <c r="B485" s="1658" t="inlineStr">
        <is>
          <t>Kris Thornley</t>
        </is>
      </c>
      <c r="C485" s="1691" t="inlineStr">
        <is>
          <t>Integration Architect (C)</t>
        </is>
      </c>
      <c r="D485" s="1382" t="inlineStr">
        <is>
          <t>Mike Seales</t>
        </is>
      </c>
      <c r="E485" s="1382" t="inlineStr">
        <is>
          <t>Technology Manager Integration &amp; Process Managemetn</t>
        </is>
      </c>
      <c r="F485" s="1382" t="inlineStr">
        <is>
          <t>TDD Group Functions</t>
        </is>
      </c>
      <c r="G485" s="1612" t="inlineStr">
        <is>
          <t xml:space="preserve">TDD &amp; Engineering </t>
        </is>
      </c>
      <c r="H485" s="1382" t="inlineStr">
        <is>
          <t>Integration &amp; Process Management</t>
        </is>
      </c>
      <c r="I485" s="1382" t="inlineStr">
        <is>
          <t>EGI</t>
        </is>
      </c>
      <c r="J485" s="1612" t="inlineStr">
        <is>
          <t xml:space="preserve">EGI </t>
        </is>
      </c>
      <c r="K485" s="1612" t="inlineStr">
        <is>
          <t>EGI TDD</t>
        </is>
      </c>
      <c r="L485" s="1612" t="n"/>
      <c r="M485" s="1613" t="inlineStr">
        <is>
          <t>NZ</t>
        </is>
      </c>
      <c r="N485" s="1614" t="inlineStr">
        <is>
          <t>NA</t>
        </is>
      </c>
      <c r="O485" s="1614" t="n">
        <v>1</v>
      </c>
      <c r="P485" s="1614" t="n"/>
      <c r="Q485" s="1615" t="inlineStr">
        <is>
          <t>Contractor</t>
        </is>
      </c>
      <c r="R485" s="1616" t="inlineStr">
        <is>
          <t>cant find this person</t>
        </is>
      </c>
      <c r="S485" s="1640" t="n">
        <v>1200</v>
      </c>
      <c r="T485" s="1627" t="n">
        <v>0</v>
      </c>
      <c r="U485" s="1627" t="n"/>
      <c r="V485" s="1612" t="n"/>
      <c r="W485" s="1612" t="n"/>
      <c r="X485" s="1612" t="n"/>
      <c r="Y485" s="1612" t="n"/>
      <c r="Z485" s="1612" t="n"/>
      <c r="AA485" s="1625">
        <f>S485*222</f>
        <v>266400</v>
      </c>
      <c r="AC485" s="865" t="inlineStr">
        <is>
          <t>TDD Group Functions</t>
        </is>
      </c>
      <c r="AD485" s="865" t="inlineStr">
        <is>
          <t>EGI TDD</t>
        </is>
      </c>
      <c r="AE485" s="865" t="inlineStr">
        <is>
          <t>EGI TDD</t>
        </is>
      </c>
      <c r="AF485" s="865" t="inlineStr">
        <is>
          <t>Strategic Program</t>
        </is>
      </c>
      <c r="AG485" s="865" t="inlineStr">
        <is>
          <t>Filled</t>
        </is>
      </c>
    </row>
    <row r="486" hidden="1" ht="18" customHeight="1" s="866">
      <c r="A486" s="1566" t="inlineStr">
        <is>
          <t>C</t>
        </is>
      </c>
      <c r="B486" s="1382" t="inlineStr">
        <is>
          <t>Kurniaty Widjaya</t>
        </is>
      </c>
      <c r="C486" s="1611" t="inlineStr">
        <is>
          <t>ERP HR Pay Functional Lead</t>
        </is>
      </c>
      <c r="D486" s="1612" t="inlineStr">
        <is>
          <t>Vacant</t>
        </is>
      </c>
      <c r="E486" s="1382" t="inlineStr">
        <is>
          <t>Technology Manager P&amp;C Platforms</t>
        </is>
      </c>
      <c r="F486" s="1382" t="inlineStr">
        <is>
          <t>TDD Group Functions</t>
        </is>
      </c>
      <c r="G486" s="1628" t="inlineStr">
        <is>
          <t>P&amp;C, Finance &amp; Legal</t>
        </is>
      </c>
      <c r="H486" s="1612" t="inlineStr">
        <is>
          <t>Tech, P&amp;C Platforms</t>
        </is>
      </c>
      <c r="I486" s="1612" t="inlineStr">
        <is>
          <t>P&amp;C</t>
        </is>
      </c>
      <c r="J486" s="1612" t="inlineStr">
        <is>
          <t>P&amp;C</t>
        </is>
      </c>
      <c r="K486" s="1612" t="inlineStr">
        <is>
          <t>P&amp;C RTA</t>
        </is>
      </c>
      <c r="L486" s="1612" t="n"/>
      <c r="M486" s="1613" t="inlineStr">
        <is>
          <t>Australia</t>
        </is>
      </c>
      <c r="N486" s="1616" t="inlineStr">
        <is>
          <t>NA</t>
        </is>
      </c>
      <c r="O486" s="1614" t="n">
        <v>1</v>
      </c>
      <c r="P486" s="1616" t="n"/>
      <c r="Q486" s="1616" t="inlineStr">
        <is>
          <t>cxc</t>
        </is>
      </c>
      <c r="R486" s="1624" t="inlineStr">
        <is>
          <t>Daily</t>
        </is>
      </c>
      <c r="S486" s="1616" t="n">
        <v>1250</v>
      </c>
      <c r="T486" s="1627" t="n">
        <v>0</v>
      </c>
      <c r="U486" s="1627" t="n"/>
      <c r="V486" s="1612" t="n"/>
      <c r="W486" s="1612" t="n"/>
      <c r="X486" s="1612" t="n"/>
      <c r="Y486" s="1612" t="n"/>
      <c r="Z486" s="1612" t="n"/>
      <c r="AA486" s="1625">
        <f>S486*222</f>
        <v>277500</v>
      </c>
      <c r="AC486" s="865" t="inlineStr">
        <is>
          <t>P&amp;C</t>
        </is>
      </c>
      <c r="AD486" s="865" t="inlineStr">
        <is>
          <t>P&amp;C</t>
        </is>
      </c>
      <c r="AE486" s="865" t="inlineStr">
        <is>
          <t>P&amp;C - RTA</t>
        </is>
      </c>
      <c r="AF486" s="865" t="inlineStr">
        <is>
          <t>Squad</t>
        </is>
      </c>
      <c r="AG486" s="865" t="inlineStr">
        <is>
          <t>Filled</t>
        </is>
      </c>
    </row>
    <row r="487" hidden="1" ht="18" customHeight="1" s="866">
      <c r="A487" s="1566" t="n">
        <v>99999170438</v>
      </c>
      <c r="B487" s="1658" t="inlineStr">
        <is>
          <t>Leilanie Avilla</t>
        </is>
      </c>
      <c r="C487" s="1691" t="inlineStr">
        <is>
          <t>JDE Systems Specialist</t>
        </is>
      </c>
      <c r="D487" s="1612" t="inlineStr">
        <is>
          <t>Lydia Pritchard</t>
        </is>
      </c>
      <c r="E487" s="1628" t="inlineStr">
        <is>
          <t>Lead JDE System Specialist</t>
        </is>
      </c>
      <c r="F487" s="1382" t="inlineStr">
        <is>
          <t>TDD Group Functions</t>
        </is>
      </c>
      <c r="G487" s="1628" t="inlineStr">
        <is>
          <t>P&amp;C, Finance &amp; Legal</t>
        </is>
      </c>
      <c r="H487" s="1612" t="inlineStr">
        <is>
          <t>Tech, Finance Platforms</t>
        </is>
      </c>
      <c r="I487" s="1612" t="inlineStr">
        <is>
          <t>Finance</t>
        </is>
      </c>
      <c r="J487" s="1612" t="inlineStr">
        <is>
          <t>NZ Finance</t>
        </is>
      </c>
      <c r="K487" s="1612" t="inlineStr">
        <is>
          <t>NZ Finance</t>
        </is>
      </c>
      <c r="L487" s="1612" t="n"/>
      <c r="M487" s="1613" t="inlineStr">
        <is>
          <t>NZ</t>
        </is>
      </c>
      <c r="N487" s="1614" t="inlineStr">
        <is>
          <t>CDB</t>
        </is>
      </c>
      <c r="O487" s="1615" t="n">
        <v>1</v>
      </c>
      <c r="P487" s="1614" t="n"/>
      <c r="Q487" s="1615" t="inlineStr">
        <is>
          <t>Permanent - Full Time</t>
        </is>
      </c>
      <c r="R487" s="1616" t="n"/>
      <c r="S487" s="1616" t="n"/>
      <c r="T487" s="1627" t="n">
        <v>96270</v>
      </c>
      <c r="U487" s="1626" t="n">
        <v>88568.39999999999</v>
      </c>
      <c r="V487" s="1618" t="n">
        <v>0.1</v>
      </c>
      <c r="W487" s="1616" t="n"/>
      <c r="X487" s="1619" t="n">
        <v>0.05</v>
      </c>
      <c r="Y487" s="1620" t="n">
        <v>2910</v>
      </c>
      <c r="Z487" s="1619" t="n">
        <v>0.03</v>
      </c>
      <c r="AA487" s="1621">
        <f>U487*(1+V487+X487+Z487)+Y487</f>
        <v>107420.712</v>
      </c>
      <c r="AB487" s="865" t="n">
        <v>113572</v>
      </c>
      <c r="AC487" s="865" t="inlineStr">
        <is>
          <t>Finance</t>
        </is>
      </c>
      <c r="AD487" s="865" t="inlineStr">
        <is>
          <t>NZ Finance</t>
        </is>
      </c>
      <c r="AE487" s="865" t="inlineStr">
        <is>
          <t>NZ Finance</t>
        </is>
      </c>
      <c r="AF487" s="865" t="inlineStr">
        <is>
          <t>Squad</t>
        </is>
      </c>
      <c r="AG487" s="865" t="inlineStr">
        <is>
          <t>Filled</t>
        </is>
      </c>
    </row>
    <row r="488" hidden="1" ht="18" customHeight="1" s="866">
      <c r="A488" s="1566" t="n">
        <v>99999101879</v>
      </c>
      <c r="B488" s="1628" t="inlineStr">
        <is>
          <t>Lisa Rademakers</t>
        </is>
      </c>
      <c r="C488" s="1691" t="inlineStr">
        <is>
          <t>Delivery Lead (Integrations)</t>
        </is>
      </c>
      <c r="D488" s="1382" t="inlineStr">
        <is>
          <t>Vacant</t>
        </is>
      </c>
      <c r="E488" s="1382" t="inlineStr">
        <is>
          <t>Delivery Manager</t>
        </is>
      </c>
      <c r="F488" s="1382" t="inlineStr">
        <is>
          <t>TDD Group Functions</t>
        </is>
      </c>
      <c r="G488" s="1612" t="inlineStr">
        <is>
          <t xml:space="preserve">TDD &amp; Engineering </t>
        </is>
      </c>
      <c r="H488" s="1382" t="inlineStr">
        <is>
          <t>Delivery, TDD &amp; Engineering</t>
        </is>
      </c>
      <c r="I488" s="1382" t="inlineStr">
        <is>
          <t>TDD</t>
        </is>
      </c>
      <c r="J488" s="1612" t="inlineStr">
        <is>
          <t>TDD</t>
        </is>
      </c>
      <c r="K488" s="1612" t="inlineStr">
        <is>
          <t>Integration &amp; Process Automation</t>
        </is>
      </c>
      <c r="L488" s="1612" t="n"/>
      <c r="M488" s="1613" t="inlineStr">
        <is>
          <t>NZ</t>
        </is>
      </c>
      <c r="N488" s="1614" t="inlineStr">
        <is>
          <t>CIC</t>
        </is>
      </c>
      <c r="O488" s="1615" t="n">
        <v>1</v>
      </c>
      <c r="P488" s="1614" t="n"/>
      <c r="Q488" s="1615" t="inlineStr">
        <is>
          <t>Permanent - Full Time</t>
        </is>
      </c>
      <c r="R488" s="1616" t="n"/>
      <c r="S488" s="1616" t="n"/>
      <c r="T488" s="1627" t="n">
        <v>176220</v>
      </c>
      <c r="U488" s="1626" t="n">
        <v>162122.4</v>
      </c>
      <c r="V488" s="1618" t="n">
        <v>0.15</v>
      </c>
      <c r="W488" s="1616" t="n"/>
      <c r="X488" s="1619" t="n">
        <v>0.05</v>
      </c>
      <c r="Y488" s="1620" t="n">
        <v>2910</v>
      </c>
      <c r="Z488" s="1619" t="n">
        <v>0.03</v>
      </c>
      <c r="AA488" s="1621">
        <f>U488*(1+V488+X488+Z488)+Y488</f>
        <v>202320.552</v>
      </c>
      <c r="AB488" s="865" t="n">
        <v>113577</v>
      </c>
      <c r="AC488" s="865" t="inlineStr">
        <is>
          <t>TDD Group Functions</t>
        </is>
      </c>
      <c r="AD488" s="865" t="inlineStr">
        <is>
          <t>TDD Group Functions</t>
        </is>
      </c>
      <c r="AE488" s="865" t="inlineStr">
        <is>
          <t>Integration</t>
        </is>
      </c>
      <c r="AF488" s="865" t="inlineStr">
        <is>
          <t>Squad</t>
        </is>
      </c>
      <c r="AG488" s="865" t="inlineStr">
        <is>
          <t>Filled</t>
        </is>
      </c>
    </row>
    <row r="489" hidden="1" ht="18" customHeight="1" s="866">
      <c r="A489" s="1566" t="n">
        <v>116057</v>
      </c>
      <c r="B489" s="1628" t="inlineStr">
        <is>
          <t>Lucas Wang</t>
        </is>
      </c>
      <c r="C489" s="1691" t="inlineStr">
        <is>
          <t>Senior Engineer (Automation Test)</t>
        </is>
      </c>
      <c r="D489" s="1658" t="inlineStr">
        <is>
          <t>Shobhit Mittal</t>
        </is>
      </c>
      <c r="E489" s="1628" t="inlineStr">
        <is>
          <t>Lead Engineer (Automation Test)</t>
        </is>
      </c>
      <c r="F489" s="1612" t="inlineStr">
        <is>
          <t>TDD Group Functions</t>
        </is>
      </c>
      <c r="G489" s="1612" t="inlineStr">
        <is>
          <t>TDD &amp; Engineering</t>
        </is>
      </c>
      <c r="H489" s="1612" t="inlineStr">
        <is>
          <t>DevOps &amp; QE</t>
        </is>
      </c>
      <c r="I489" s="1382" t="inlineStr">
        <is>
          <t>TDD</t>
        </is>
      </c>
      <c r="J489" s="1612" t="inlineStr">
        <is>
          <t>TDD</t>
        </is>
      </c>
      <c r="K489" s="1612" t="inlineStr">
        <is>
          <t>DevOps &amp; QE</t>
        </is>
      </c>
      <c r="L489" s="1612" t="n"/>
      <c r="M489" s="1613" t="inlineStr">
        <is>
          <t>Australia</t>
        </is>
      </c>
      <c r="N489" s="1614" t="inlineStr">
        <is>
          <t>CIB</t>
        </is>
      </c>
      <c r="O489" s="1614" t="n">
        <v>1</v>
      </c>
      <c r="P489" s="1614" t="n"/>
      <c r="Q489" s="1614" t="inlineStr">
        <is>
          <t>Permanent - Full Time</t>
        </is>
      </c>
      <c r="R489" s="1616" t="n"/>
      <c r="S489" s="1616" t="n"/>
      <c r="T489" s="1627" t="n">
        <v>145710</v>
      </c>
      <c r="U489" s="1626" t="n">
        <v>145710</v>
      </c>
      <c r="V489" s="1619" t="n">
        <v>0.12</v>
      </c>
      <c r="W489" s="1622" t="n">
        <v>0.055</v>
      </c>
      <c r="X489" s="1622" t="n">
        <v>0.12</v>
      </c>
      <c r="Y489" s="1623" t="n"/>
      <c r="Z489" s="1622" t="n">
        <v>0.04</v>
      </c>
      <c r="AA489" s="1621">
        <f>U489*(1+V489+W489+X489+Y489+Z489)</f>
        <v>194522.85</v>
      </c>
      <c r="AC489" s="865" t="inlineStr">
        <is>
          <t>TDD Group Functions</t>
        </is>
      </c>
      <c r="AD489" s="865" t="inlineStr">
        <is>
          <t>TDD Group Functions</t>
        </is>
      </c>
      <c r="AE489" s="865" t="inlineStr">
        <is>
          <t>DevOps &amp; Engineering</t>
        </is>
      </c>
      <c r="AF489" s="865" t="inlineStr">
        <is>
          <t>Squad</t>
        </is>
      </c>
      <c r="AG489" s="865" t="inlineStr">
        <is>
          <t>Filled</t>
        </is>
      </c>
    </row>
    <row r="490" hidden="1" ht="18" customHeight="1" s="866">
      <c r="A490" s="1566" t="n">
        <v>99999101441</v>
      </c>
      <c r="B490" s="1382" t="inlineStr">
        <is>
          <t>Luke Hamer</t>
        </is>
      </c>
      <c r="C490" s="1611" t="inlineStr">
        <is>
          <t>Lead Engineer - Devops</t>
        </is>
      </c>
      <c r="D490" s="1658" t="inlineStr">
        <is>
          <t>Vacant</t>
        </is>
      </c>
      <c r="E490" s="1628" t="inlineStr">
        <is>
          <t>Technology Manager - DevOps and Quality Engineering</t>
        </is>
      </c>
      <c r="F490" s="1612" t="inlineStr">
        <is>
          <t>TDD Group Functions</t>
        </is>
      </c>
      <c r="G490" s="1612" t="inlineStr">
        <is>
          <t>TDD &amp; Engineering</t>
        </is>
      </c>
      <c r="H490" s="1612" t="inlineStr">
        <is>
          <t>DevOps &amp; QE</t>
        </is>
      </c>
      <c r="I490" s="1382" t="inlineStr">
        <is>
          <t>TDD</t>
        </is>
      </c>
      <c r="J490" s="1612" t="inlineStr">
        <is>
          <t>TDD</t>
        </is>
      </c>
      <c r="K490" s="1612" t="inlineStr">
        <is>
          <t>DevOps &amp; QE</t>
        </is>
      </c>
      <c r="L490" s="1612" t="n"/>
      <c r="M490" s="1613" t="inlineStr">
        <is>
          <t>NZ</t>
        </is>
      </c>
      <c r="N490" s="1614" t="inlineStr">
        <is>
          <t>CIC</t>
        </is>
      </c>
      <c r="O490" s="1615" t="n">
        <v>1</v>
      </c>
      <c r="P490" s="1614" t="n"/>
      <c r="Q490" s="1615" t="inlineStr">
        <is>
          <t>Permanent - Full Time</t>
        </is>
      </c>
      <c r="R490" s="1616" t="n"/>
      <c r="S490" s="1616" t="n"/>
      <c r="T490" s="1627" t="n">
        <v>159200</v>
      </c>
      <c r="U490" s="1626" t="n">
        <v>146464</v>
      </c>
      <c r="V490" s="1618" t="n">
        <v>0.15</v>
      </c>
      <c r="W490" s="1616" t="n"/>
      <c r="X490" s="1619" t="n">
        <v>0.05</v>
      </c>
      <c r="Y490" s="1620" t="n">
        <v>2910</v>
      </c>
      <c r="Z490" s="1619" t="n">
        <v>0.03</v>
      </c>
      <c r="AA490" s="1621">
        <f>U490*(1+V490+X490+Z490)+Y490</f>
        <v>183060.72</v>
      </c>
      <c r="AB490" s="865" t="n">
        <v>113580</v>
      </c>
      <c r="AC490" s="865" t="inlineStr">
        <is>
          <t>TDD Group Functions</t>
        </is>
      </c>
      <c r="AD490" s="865" t="inlineStr">
        <is>
          <t>TDD Group Functions</t>
        </is>
      </c>
      <c r="AE490" s="865" t="inlineStr">
        <is>
          <t>DevOps &amp; Engineering</t>
        </is>
      </c>
      <c r="AF490" s="865" t="inlineStr">
        <is>
          <t>Squad</t>
        </is>
      </c>
      <c r="AG490" s="865" t="inlineStr">
        <is>
          <t>Filled</t>
        </is>
      </c>
    </row>
    <row r="491" hidden="1" ht="18" customHeight="1" s="866">
      <c r="A491" s="1566" t="n">
        <v>99999100336</v>
      </c>
      <c r="B491" s="1382" t="inlineStr">
        <is>
          <t>Lydia Pritchard</t>
        </is>
      </c>
      <c r="C491" s="1611" t="inlineStr">
        <is>
          <t>Lead JDE Systems Specialist</t>
        </is>
      </c>
      <c r="D491" s="1382" t="inlineStr">
        <is>
          <t>Shane Ker</t>
        </is>
      </c>
      <c r="E491" s="1382" t="inlineStr">
        <is>
          <t>Technology Manager Finance Platforms</t>
        </is>
      </c>
      <c r="F491" s="1382" t="inlineStr">
        <is>
          <t>TDD Group Functions</t>
        </is>
      </c>
      <c r="G491" s="1628" t="inlineStr">
        <is>
          <t>P&amp;C, Finance &amp; Legal</t>
        </is>
      </c>
      <c r="H491" s="1612" t="inlineStr">
        <is>
          <t>Tech, Finance Platforms</t>
        </is>
      </c>
      <c r="I491" s="1612" t="inlineStr">
        <is>
          <t>Finance</t>
        </is>
      </c>
      <c r="J491" s="1612" t="inlineStr">
        <is>
          <t>NZ Finance</t>
        </is>
      </c>
      <c r="K491" s="1612" t="inlineStr">
        <is>
          <t>NZ Finance</t>
        </is>
      </c>
      <c r="L491" s="1612" t="n"/>
      <c r="M491" s="1613" t="inlineStr">
        <is>
          <t>NZ</t>
        </is>
      </c>
      <c r="N491" s="1614" t="inlineStr">
        <is>
          <t>CIC</t>
        </is>
      </c>
      <c r="O491" s="1615" t="n">
        <v>1</v>
      </c>
      <c r="P491" s="1614" t="n"/>
      <c r="Q491" s="1615" t="inlineStr">
        <is>
          <t>Permanent - Full Time</t>
        </is>
      </c>
      <c r="R491" s="1616" t="n"/>
      <c r="S491" s="1616" t="n"/>
      <c r="T491" s="1627" t="n">
        <v>172490</v>
      </c>
      <c r="U491" s="1626" t="n">
        <v>158690.8</v>
      </c>
      <c r="V491" s="1618" t="n">
        <v>0.15</v>
      </c>
      <c r="W491" s="1616" t="n"/>
      <c r="X491" s="1619" t="n">
        <v>0.05</v>
      </c>
      <c r="Y491" s="1620" t="n">
        <v>2910</v>
      </c>
      <c r="Z491" s="1619" t="n">
        <v>0.03</v>
      </c>
      <c r="AA491" s="1621">
        <f>U491*(1+V491+X491+Z491)+Y491</f>
        <v>198099.684</v>
      </c>
      <c r="AB491" s="865" t="n">
        <v>113581</v>
      </c>
      <c r="AC491" s="865" t="inlineStr">
        <is>
          <t>Finance</t>
        </is>
      </c>
      <c r="AD491" s="865" t="inlineStr">
        <is>
          <t>NZ Finance</t>
        </is>
      </c>
      <c r="AE491" s="865" t="inlineStr">
        <is>
          <t>NZ Finance</t>
        </is>
      </c>
      <c r="AF491" s="865" t="inlineStr">
        <is>
          <t>Squad</t>
        </is>
      </c>
      <c r="AG491" s="865" t="inlineStr">
        <is>
          <t>Filled</t>
        </is>
      </c>
    </row>
    <row r="492" hidden="1" ht="18" customHeight="1" s="866">
      <c r="A492" s="1566" t="n">
        <v>108123</v>
      </c>
      <c r="B492" s="1382" t="inlineStr">
        <is>
          <t>Maadhu Suresh</t>
        </is>
      </c>
      <c r="C492" s="1611" t="inlineStr">
        <is>
          <t>Solution Architect</t>
        </is>
      </c>
      <c r="D492" s="1612" t="inlineStr">
        <is>
          <t>Vacant</t>
        </is>
      </c>
      <c r="E492" s="1382" t="inlineStr">
        <is>
          <t>Technology Manager P&amp;C Platforms</t>
        </is>
      </c>
      <c r="F492" s="1382" t="inlineStr">
        <is>
          <t>TDD Group Functions</t>
        </is>
      </c>
      <c r="G492" s="1628" t="inlineStr">
        <is>
          <t>P&amp;C, Finance &amp; Legal</t>
        </is>
      </c>
      <c r="H492" s="1612" t="inlineStr">
        <is>
          <t>Tech, P&amp;C Platforms</t>
        </is>
      </c>
      <c r="I492" s="1612" t="inlineStr">
        <is>
          <t>P&amp;C</t>
        </is>
      </c>
      <c r="J492" s="1612" t="inlineStr">
        <is>
          <t>P&amp;C</t>
        </is>
      </c>
      <c r="K492" s="1612" t="inlineStr">
        <is>
          <t>P&amp;C</t>
        </is>
      </c>
      <c r="L492" s="1612" t="n"/>
      <c r="M492" s="1613" t="inlineStr">
        <is>
          <t>Australia</t>
        </is>
      </c>
      <c r="N492" s="1614" t="inlineStr">
        <is>
          <t>CIC</t>
        </is>
      </c>
      <c r="O492" s="1614" t="n">
        <v>1</v>
      </c>
      <c r="P492" s="1614" t="n"/>
      <c r="Q492" s="1614" t="inlineStr">
        <is>
          <t>Permanent - Full Time</t>
        </is>
      </c>
      <c r="R492" s="1616" t="n"/>
      <c r="S492" s="1616" t="n"/>
      <c r="T492" s="1627" t="n">
        <v>204000</v>
      </c>
      <c r="U492" s="1626" t="n">
        <v>204000</v>
      </c>
      <c r="V492" s="1619" t="n">
        <v>0.12</v>
      </c>
      <c r="W492" s="1622" t="n">
        <v>0.055</v>
      </c>
      <c r="X492" s="1622" t="n">
        <v>0.12</v>
      </c>
      <c r="Y492" s="1623" t="n"/>
      <c r="Z492" s="1622" t="n">
        <v>0.04</v>
      </c>
      <c r="AA492" s="1621">
        <f>U492*(1+V492+W492+X492+Y492+Z492)</f>
        <v>272340</v>
      </c>
      <c r="AC492" s="865" t="inlineStr">
        <is>
          <t>P&amp;C</t>
        </is>
      </c>
      <c r="AD492" s="865" t="inlineStr">
        <is>
          <t>P&amp;C</t>
        </is>
      </c>
      <c r="AE492" s="865" t="inlineStr">
        <is>
          <t>P&amp;C</t>
        </is>
      </c>
      <c r="AF492" s="865" t="inlineStr">
        <is>
          <t>Squad</t>
        </is>
      </c>
      <c r="AG492" s="865" t="inlineStr">
        <is>
          <t>Filled</t>
        </is>
      </c>
    </row>
    <row r="493" hidden="1" ht="18" customHeight="1" s="866">
      <c r="A493" s="1566" t="n">
        <v>4251</v>
      </c>
      <c r="B493" s="1628" t="inlineStr">
        <is>
          <t>Maudud Chaudhury</t>
        </is>
      </c>
      <c r="C493" s="1691" t="inlineStr">
        <is>
          <t>SAP ERP Application Lead</t>
        </is>
      </c>
      <c r="D493" s="1612" t="inlineStr">
        <is>
          <t>Shane Ker</t>
        </is>
      </c>
      <c r="E493" s="1628" t="inlineStr">
        <is>
          <t>Technology Manager Finance Platforms</t>
        </is>
      </c>
      <c r="F493" s="1382" t="inlineStr">
        <is>
          <t>TDD Group Functions</t>
        </is>
      </c>
      <c r="G493" s="1628" t="inlineStr">
        <is>
          <t>P&amp;C, Finance &amp; Legal</t>
        </is>
      </c>
      <c r="H493" s="1612" t="inlineStr">
        <is>
          <t>Tech, Finance Platforms</t>
        </is>
      </c>
      <c r="I493" s="1612" t="inlineStr">
        <is>
          <t>Finance</t>
        </is>
      </c>
      <c r="J493" s="1612" t="inlineStr">
        <is>
          <t>AU Finance</t>
        </is>
      </c>
      <c r="K493" s="1612" t="inlineStr">
        <is>
          <t>SAP ERP</t>
        </is>
      </c>
      <c r="L493" s="1612" t="n"/>
      <c r="M493" s="1613" t="inlineStr">
        <is>
          <t>Australia</t>
        </is>
      </c>
      <c r="N493" s="1616" t="inlineStr">
        <is>
          <t>CIC</t>
        </is>
      </c>
      <c r="O493" s="1616" t="n">
        <v>1</v>
      </c>
      <c r="P493" s="1616" t="n"/>
      <c r="Q493" s="1616" t="inlineStr">
        <is>
          <t>Permanent - Full Time</t>
        </is>
      </c>
      <c r="R493" s="1616" t="n"/>
      <c r="S493" s="1616" t="n"/>
      <c r="T493" s="1627" t="n">
        <v>160370</v>
      </c>
      <c r="U493" s="1626" t="n">
        <v>160370</v>
      </c>
      <c r="V493" s="1619" t="n">
        <v>0.12</v>
      </c>
      <c r="W493" s="1622" t="n">
        <v>0.055</v>
      </c>
      <c r="X493" s="1622" t="n">
        <v>0.12</v>
      </c>
      <c r="Y493" s="1623" t="n"/>
      <c r="Z493" s="1622" t="n">
        <v>0.04</v>
      </c>
      <c r="AA493" s="1621">
        <f>U493*(1+V493+W493+X493+Y493+Z493)</f>
        <v>214093.95</v>
      </c>
      <c r="AC493" s="865" t="inlineStr">
        <is>
          <t>Finance</t>
        </is>
      </c>
      <c r="AD493" s="865" t="inlineStr">
        <is>
          <t>AU Finance</t>
        </is>
      </c>
      <c r="AE493" s="865" t="inlineStr">
        <is>
          <t>AU Finance</t>
        </is>
      </c>
      <c r="AF493" s="865" t="inlineStr">
        <is>
          <t>Squad</t>
        </is>
      </c>
      <c r="AG493" s="865" t="inlineStr">
        <is>
          <t>Filled</t>
        </is>
      </c>
    </row>
    <row r="494" hidden="1" ht="18" customHeight="1" s="866">
      <c r="A494" s="1566" t="n">
        <v>99999101403</v>
      </c>
      <c r="B494" s="1382" t="inlineStr">
        <is>
          <t>Michael Pollock</t>
        </is>
      </c>
      <c r="C494" s="1611" t="inlineStr">
        <is>
          <t>Lead Business Analyst</t>
        </is>
      </c>
      <c r="D494" s="1612" t="inlineStr">
        <is>
          <t>Vacant</t>
        </is>
      </c>
      <c r="E494" s="1628" t="inlineStr">
        <is>
          <t>Delivery Manager, P&amp;C, Finance &amp; Legal</t>
        </is>
      </c>
      <c r="F494" s="1382" t="inlineStr">
        <is>
          <t>TDD Group Functions</t>
        </is>
      </c>
      <c r="G494" s="1628" t="inlineStr">
        <is>
          <t>P&amp;C, Finance &amp; Legal</t>
        </is>
      </c>
      <c r="H494" s="1612" t="inlineStr">
        <is>
          <t>Delivery, P&amp;C, Finance &amp; Legal</t>
        </is>
      </c>
      <c r="I494" s="1612" t="inlineStr">
        <is>
          <t>P&amp;C</t>
        </is>
      </c>
      <c r="J494" s="1612" t="inlineStr">
        <is>
          <t>P&amp;C</t>
        </is>
      </c>
      <c r="K494" s="1612" t="inlineStr">
        <is>
          <t>P&amp;C</t>
        </is>
      </c>
      <c r="L494" s="1612" t="n"/>
      <c r="M494" s="1613" t="inlineStr">
        <is>
          <t>NZ</t>
        </is>
      </c>
      <c r="N494" s="1614" t="inlineStr">
        <is>
          <t>CIC</t>
        </is>
      </c>
      <c r="O494" s="1615" t="n">
        <v>1</v>
      </c>
      <c r="P494" s="1614" t="n"/>
      <c r="Q494" s="1615" t="inlineStr">
        <is>
          <t>Permanent - Full Time</t>
        </is>
      </c>
      <c r="R494" s="1616" t="n"/>
      <c r="S494" s="1616" t="n"/>
      <c r="T494" s="1627" t="n">
        <v>168300</v>
      </c>
      <c r="U494" s="1626" t="n">
        <v>154836</v>
      </c>
      <c r="V494" s="1618" t="n">
        <v>0.15</v>
      </c>
      <c r="W494" s="1616" t="n"/>
      <c r="X494" s="1619" t="n">
        <v>0.05</v>
      </c>
      <c r="Y494" s="1620" t="n">
        <v>2910</v>
      </c>
      <c r="Z494" s="1619" t="n">
        <v>0.03</v>
      </c>
      <c r="AA494" s="1621">
        <f>U494*(1+V494+X494+Z494)+Y494</f>
        <v>193358.28</v>
      </c>
      <c r="AB494" s="865" t="n">
        <v>113592</v>
      </c>
      <c r="AC494" s="865" t="inlineStr">
        <is>
          <t>P&amp;C</t>
        </is>
      </c>
      <c r="AD494" s="865" t="inlineStr">
        <is>
          <t>P&amp;C</t>
        </is>
      </c>
      <c r="AE494" s="865" t="inlineStr">
        <is>
          <t>P&amp;C</t>
        </is>
      </c>
      <c r="AF494" s="865" t="inlineStr">
        <is>
          <t>Squad</t>
        </is>
      </c>
      <c r="AG494" s="865" t="inlineStr">
        <is>
          <t>Filled</t>
        </is>
      </c>
    </row>
    <row r="495" hidden="1" ht="18" customHeight="1" s="866">
      <c r="A495" s="1566" t="n">
        <v>99999101273</v>
      </c>
      <c r="B495" s="1382" t="inlineStr">
        <is>
          <t>Michael Weng</t>
        </is>
      </c>
      <c r="C495" s="1611" t="inlineStr">
        <is>
          <t>Solution Architect</t>
        </is>
      </c>
      <c r="D495" s="1382" t="inlineStr">
        <is>
          <t>Mike Seales</t>
        </is>
      </c>
      <c r="E495" s="1382" t="inlineStr">
        <is>
          <t>Technology Manager Integration &amp; Process Managemetn</t>
        </is>
      </c>
      <c r="F495" s="1382" t="inlineStr">
        <is>
          <t>TDD Group Functions</t>
        </is>
      </c>
      <c r="G495" s="1612" t="inlineStr">
        <is>
          <t xml:space="preserve">TDD &amp; Engineering </t>
        </is>
      </c>
      <c r="H495" s="1382" t="inlineStr">
        <is>
          <t>Integration &amp; Process Management</t>
        </is>
      </c>
      <c r="I495" s="1382" t="inlineStr">
        <is>
          <t>TDD</t>
        </is>
      </c>
      <c r="J495" s="1612" t="inlineStr">
        <is>
          <t>TDD</t>
        </is>
      </c>
      <c r="K495" s="1612" t="inlineStr">
        <is>
          <t>Integration &amp; Process automation</t>
        </is>
      </c>
      <c r="L495" s="1612" t="n"/>
      <c r="M495" s="1613" t="inlineStr">
        <is>
          <t>NZ</t>
        </is>
      </c>
      <c r="N495" s="1614" t="inlineStr">
        <is>
          <t>CIC</t>
        </is>
      </c>
      <c r="O495" s="1615" t="n">
        <v>1</v>
      </c>
      <c r="P495" s="1614" t="n"/>
      <c r="Q495" s="1615" t="inlineStr">
        <is>
          <t>Permanent - Full Time</t>
        </is>
      </c>
      <c r="R495" s="1616" t="n"/>
      <c r="S495" s="1616" t="n"/>
      <c r="T495" s="1627" t="n">
        <v>188510</v>
      </c>
      <c r="U495" s="1626" t="n">
        <v>173429.2</v>
      </c>
      <c r="V495" s="1618" t="n">
        <v>0.15</v>
      </c>
      <c r="W495" s="1616" t="n"/>
      <c r="X495" s="1619" t="n">
        <v>0.05</v>
      </c>
      <c r="Y495" s="1620" t="n">
        <v>2910</v>
      </c>
      <c r="Z495" s="1619" t="n">
        <v>0.03</v>
      </c>
      <c r="AA495" s="1621">
        <f>U495*(1+V495+X495+Z495)+Y495</f>
        <v>216227.916</v>
      </c>
      <c r="AB495" s="865" t="n">
        <v>113593</v>
      </c>
      <c r="AC495" s="865" t="inlineStr">
        <is>
          <t>TDD Group Functions</t>
        </is>
      </c>
      <c r="AD495" s="865" t="inlineStr">
        <is>
          <t>TDD Group Functions</t>
        </is>
      </c>
      <c r="AE495" s="865" t="inlineStr">
        <is>
          <t>Integration</t>
        </is>
      </c>
      <c r="AF495" s="865" t="inlineStr">
        <is>
          <t>Squad</t>
        </is>
      </c>
      <c r="AG495" s="865" t="inlineStr">
        <is>
          <t>Filled</t>
        </is>
      </c>
    </row>
    <row r="496" hidden="1" ht="18" customHeight="1" s="866">
      <c r="A496" s="1566" t="n">
        <v>99999101958</v>
      </c>
      <c r="B496" s="1382" t="inlineStr">
        <is>
          <t>Mike Lealamanu</t>
        </is>
      </c>
      <c r="C496" s="1611" t="inlineStr">
        <is>
          <t>Quality Assurance</t>
        </is>
      </c>
      <c r="D496" s="1658" t="inlineStr">
        <is>
          <t>Vacant</t>
        </is>
      </c>
      <c r="E496" s="1628" t="inlineStr">
        <is>
          <t>Technology Manager - DevOps and Quality Engineering</t>
        </is>
      </c>
      <c r="F496" s="1612" t="inlineStr">
        <is>
          <t>TDD Group Functions</t>
        </is>
      </c>
      <c r="G496" s="1612" t="inlineStr">
        <is>
          <t>TDD &amp; Engineering</t>
        </is>
      </c>
      <c r="H496" s="1612" t="inlineStr">
        <is>
          <t>DevOps &amp; QE</t>
        </is>
      </c>
      <c r="I496" s="1382" t="inlineStr">
        <is>
          <t>TDD</t>
        </is>
      </c>
      <c r="J496" s="1612" t="inlineStr">
        <is>
          <t>TDD</t>
        </is>
      </c>
      <c r="K496" s="1612" t="inlineStr">
        <is>
          <t>DevOps &amp; QE</t>
        </is>
      </c>
      <c r="L496" s="1612" t="n"/>
      <c r="M496" s="1613" t="inlineStr">
        <is>
          <t>NZ</t>
        </is>
      </c>
      <c r="N496" s="1614" t="inlineStr">
        <is>
          <t>CIA</t>
        </is>
      </c>
      <c r="O496" s="1615" t="n">
        <v>1</v>
      </c>
      <c r="P496" s="1614" t="n"/>
      <c r="Q496" s="1615" t="inlineStr">
        <is>
          <t>Permanent - Full Time</t>
        </is>
      </c>
      <c r="R496" s="1616" t="n"/>
      <c r="S496" s="1616" t="n"/>
      <c r="T496" s="1627" t="n">
        <v>115830</v>
      </c>
      <c r="U496" s="1626" t="n">
        <v>106563.6</v>
      </c>
      <c r="V496" s="1618" t="n">
        <v>0.15</v>
      </c>
      <c r="W496" s="1616" t="n"/>
      <c r="X496" s="1619" t="n">
        <v>0.05</v>
      </c>
      <c r="Y496" s="1620" t="n">
        <v>2910</v>
      </c>
      <c r="Z496" s="1619" t="n">
        <v>0.03</v>
      </c>
      <c r="AA496" s="1621">
        <f>U496*(1+V496+X496+Z496)+Y496</f>
        <v>133983.228</v>
      </c>
      <c r="AB496" s="865" t="n">
        <v>113596</v>
      </c>
      <c r="AC496" s="865" t="inlineStr">
        <is>
          <t>TDD Group Functions</t>
        </is>
      </c>
      <c r="AD496" s="865" t="inlineStr">
        <is>
          <t>TDD Group Functions</t>
        </is>
      </c>
      <c r="AE496" s="865" t="inlineStr">
        <is>
          <t>DevOps &amp; Engineering</t>
        </is>
      </c>
      <c r="AF496" s="865" t="inlineStr">
        <is>
          <t>Squad</t>
        </is>
      </c>
      <c r="AG496" s="865" t="inlineStr">
        <is>
          <t>Filled</t>
        </is>
      </c>
    </row>
    <row r="497" hidden="1" ht="18" customHeight="1" s="866">
      <c r="A497" s="1566" t="n">
        <v>99999101058</v>
      </c>
      <c r="B497" s="1382" t="inlineStr">
        <is>
          <t>Mike Seales</t>
        </is>
      </c>
      <c r="C497" s="1611" t="inlineStr">
        <is>
          <t>Technology Manager, Integration &amp; Process Automation</t>
        </is>
      </c>
      <c r="D497" s="1612" t="inlineStr">
        <is>
          <t>Vacant</t>
        </is>
      </c>
      <c r="E497" s="1382" t="inlineStr">
        <is>
          <t>Head of Technology - TDD &amp; Engineering Capability Lead</t>
        </is>
      </c>
      <c r="F497" s="1382" t="inlineStr">
        <is>
          <t>TDD Group Functions</t>
        </is>
      </c>
      <c r="G497" s="1612" t="inlineStr">
        <is>
          <t xml:space="preserve">TDD &amp; Engineering </t>
        </is>
      </c>
      <c r="H497" s="1382" t="inlineStr">
        <is>
          <t>Integration &amp; Process Management</t>
        </is>
      </c>
      <c r="I497" s="1382" t="inlineStr">
        <is>
          <t>TDD</t>
        </is>
      </c>
      <c r="J497" s="1612" t="inlineStr">
        <is>
          <t>TDD</t>
        </is>
      </c>
      <c r="K497" s="1612" t="inlineStr">
        <is>
          <t>Integration &amp; Process automation</t>
        </is>
      </c>
      <c r="L497" s="1612" t="n"/>
      <c r="M497" s="1613" t="inlineStr">
        <is>
          <t>NZ</t>
        </is>
      </c>
      <c r="N497" s="1614" t="inlineStr">
        <is>
          <t>CSB</t>
        </is>
      </c>
      <c r="O497" s="1615" t="n">
        <v>1</v>
      </c>
      <c r="P497" s="1614" t="n"/>
      <c r="Q497" s="1615" t="inlineStr">
        <is>
          <t>Permanent - Full Time</t>
        </is>
      </c>
      <c r="R497" s="1616" t="n"/>
      <c r="S497" s="1616" t="n"/>
      <c r="T497" s="1627" t="n">
        <v>200000</v>
      </c>
      <c r="U497" s="1626" t="n">
        <v>184000</v>
      </c>
      <c r="V497" s="1618" t="n">
        <v>0.15</v>
      </c>
      <c r="W497" s="1616" t="n"/>
      <c r="X497" s="1619" t="n">
        <v>0.05</v>
      </c>
      <c r="Y497" s="1620" t="n">
        <v>2910</v>
      </c>
      <c r="Z497" s="1619" t="n">
        <v>0.03</v>
      </c>
      <c r="AA497" s="1621">
        <f>U497*(1+V497+X497+Z497)+Y497</f>
        <v>229230</v>
      </c>
      <c r="AB497" s="865" t="n">
        <v>113597</v>
      </c>
      <c r="AC497" s="865" t="inlineStr">
        <is>
          <t>TDD Group Functions</t>
        </is>
      </c>
      <c r="AD497" s="865" t="inlineStr">
        <is>
          <t>TDD Group Functions</t>
        </is>
      </c>
      <c r="AE497" s="865" t="inlineStr">
        <is>
          <t>Integration</t>
        </is>
      </c>
      <c r="AF497" s="865" t="inlineStr">
        <is>
          <t>Squad</t>
        </is>
      </c>
      <c r="AG497" s="865" t="inlineStr">
        <is>
          <t>Filled</t>
        </is>
      </c>
    </row>
    <row r="498" hidden="1" ht="18" customHeight="1" s="866">
      <c r="A498" s="1566" t="n">
        <v>106117</v>
      </c>
      <c r="B498" s="1382" t="inlineStr">
        <is>
          <t>Muhammad Abubaker</t>
        </is>
      </c>
      <c r="C498" s="1611" t="inlineStr">
        <is>
          <t>Network Operations Engineer</t>
        </is>
      </c>
      <c r="D498" s="1612" t="inlineStr">
        <is>
          <t>John McCormack</t>
        </is>
      </c>
      <c r="E498" s="1686" t="inlineStr">
        <is>
          <t>Manager - Infrastructure Operations</t>
        </is>
      </c>
      <c r="F498" s="1382" t="inlineStr">
        <is>
          <t>TDD Group Functions</t>
        </is>
      </c>
      <c r="G498" s="1612" t="inlineStr">
        <is>
          <t>TDD &amp; Engineering</t>
        </is>
      </c>
      <c r="H498" s="1612" t="inlineStr">
        <is>
          <t>Cloud, Network &amp; Infra</t>
        </is>
      </c>
      <c r="I498" s="1382" t="inlineStr">
        <is>
          <t>TDD</t>
        </is>
      </c>
      <c r="J498" s="1612" t="inlineStr">
        <is>
          <t>TDD</t>
        </is>
      </c>
      <c r="K498" s="1612" t="inlineStr">
        <is>
          <t>Cloud, Network &amp; Infra Ops</t>
        </is>
      </c>
      <c r="L498" s="1612" t="n"/>
      <c r="M498" s="1613" t="inlineStr">
        <is>
          <t>Australia</t>
        </is>
      </c>
      <c r="N498" s="1614" t="inlineStr">
        <is>
          <t>CIB</t>
        </is>
      </c>
      <c r="O498" s="1614" t="n">
        <v>1</v>
      </c>
      <c r="P498" s="1614" t="n"/>
      <c r="Q498" s="1614" t="inlineStr">
        <is>
          <t>Permanent - Full Time</t>
        </is>
      </c>
      <c r="R498" s="1616" t="n"/>
      <c r="S498" s="1616" t="n"/>
      <c r="T498" s="1627" t="n">
        <v>163040</v>
      </c>
      <c r="U498" s="1626" t="n">
        <v>163040</v>
      </c>
      <c r="V498" s="1619" t="n">
        <v>0.12</v>
      </c>
      <c r="W498" s="1622" t="n">
        <v>0.055</v>
      </c>
      <c r="X498" s="1622" t="n">
        <v>0.12</v>
      </c>
      <c r="Y498" s="1623" t="n"/>
      <c r="Z498" s="1622" t="n">
        <v>0.04</v>
      </c>
      <c r="AA498" s="1621">
        <f>U498*(1+V498+W498+X498+Y498+Z498)</f>
        <v>217658.4</v>
      </c>
      <c r="AC498" s="865" t="inlineStr">
        <is>
          <t>TDD Group Functions</t>
        </is>
      </c>
      <c r="AD498" s="865" t="inlineStr">
        <is>
          <t>TDD Group Functions</t>
        </is>
      </c>
      <c r="AE498" s="865" t="inlineStr">
        <is>
          <t>Network &amp; Infrastructure</t>
        </is>
      </c>
      <c r="AF498" s="865" t="inlineStr">
        <is>
          <t>Squad</t>
        </is>
      </c>
      <c r="AG498" s="865" t="inlineStr">
        <is>
          <t>Filled</t>
        </is>
      </c>
    </row>
    <row r="499" hidden="1" ht="18" customHeight="1" s="866">
      <c r="A499" s="1566" t="n">
        <v>106024</v>
      </c>
      <c r="B499" s="1382" t="inlineStr">
        <is>
          <t>Nicholas McKay</t>
        </is>
      </c>
      <c r="C499" s="1611" t="inlineStr">
        <is>
          <t>Workplace Tooling Specialist</t>
        </is>
      </c>
      <c r="D499" s="1612" t="inlineStr">
        <is>
          <t>Vacant</t>
        </is>
      </c>
      <c r="E499" s="1382" t="inlineStr">
        <is>
          <t>Technology Manager, Enterprise Tooling</t>
        </is>
      </c>
      <c r="F499" s="1382" t="inlineStr">
        <is>
          <t>TDD Group Functions</t>
        </is>
      </c>
      <c r="G499" s="1612" t="inlineStr">
        <is>
          <t xml:space="preserve">TDD &amp; Engineering </t>
        </is>
      </c>
      <c r="H499" s="1382" t="inlineStr">
        <is>
          <t>Workplace &amp; Enterprise Tooling</t>
        </is>
      </c>
      <c r="I499" s="1382" t="inlineStr">
        <is>
          <t>TDD</t>
        </is>
      </c>
      <c r="J499" s="1612" t="inlineStr">
        <is>
          <t>TDD</t>
        </is>
      </c>
      <c r="K499" s="1612" t="inlineStr">
        <is>
          <t>Workplace &amp; Enterprise Tooling</t>
        </is>
      </c>
      <c r="L499" s="1612" t="n"/>
      <c r="M499" s="1613" t="inlineStr">
        <is>
          <t>Australia</t>
        </is>
      </c>
      <c r="N499" s="1614" t="inlineStr">
        <is>
          <t>CIB</t>
        </is>
      </c>
      <c r="O499" s="1614" t="n">
        <v>1</v>
      </c>
      <c r="P499" s="1614" t="n"/>
      <c r="Q499" s="1614" t="inlineStr">
        <is>
          <t>Permanent - Full Time</t>
        </is>
      </c>
      <c r="R499" s="1616" t="n"/>
      <c r="S499" s="1616" t="n"/>
      <c r="T499" s="1627" t="n">
        <v>159130</v>
      </c>
      <c r="U499" s="1626" t="n">
        <v>159130</v>
      </c>
      <c r="V499" s="1619" t="n">
        <v>0.12</v>
      </c>
      <c r="W499" s="1622" t="n">
        <v>0.055</v>
      </c>
      <c r="X499" s="1622" t="n">
        <v>0.12</v>
      </c>
      <c r="Y499" s="1623" t="n"/>
      <c r="Z499" s="1622" t="n">
        <v>0.04</v>
      </c>
      <c r="AA499" s="1621">
        <f>U499*(1+V499+W499+X499+Y499+Z499)</f>
        <v>212438.55</v>
      </c>
      <c r="AC499" s="865" t="inlineStr">
        <is>
          <t>TDD Group Functions</t>
        </is>
      </c>
      <c r="AD499" s="865" t="inlineStr">
        <is>
          <t>TDD Group Functions</t>
        </is>
      </c>
      <c r="AE499" s="865" t="inlineStr">
        <is>
          <t>Workplace &amp; Enterprise Tooling</t>
        </is>
      </c>
      <c r="AF499" s="865" t="inlineStr">
        <is>
          <t>Squad</t>
        </is>
      </c>
      <c r="AG499" s="865" t="inlineStr">
        <is>
          <t>Filled</t>
        </is>
      </c>
    </row>
    <row r="500" hidden="1" ht="18" customHeight="1" s="866">
      <c r="A500" s="1566" t="n">
        <v>99999101069</v>
      </c>
      <c r="B500" s="1628" t="inlineStr">
        <is>
          <t>Noel Morris</t>
        </is>
      </c>
      <c r="C500" s="1691" t="inlineStr">
        <is>
          <t>Snr Engineer</t>
        </is>
      </c>
      <c r="D500" s="1612" t="inlineStr">
        <is>
          <t>Vacant</t>
        </is>
      </c>
      <c r="E500" s="1628" t="inlineStr">
        <is>
          <t>RPA Lead</t>
        </is>
      </c>
      <c r="F500" s="1382" t="inlineStr">
        <is>
          <t>TDD Group Functions</t>
        </is>
      </c>
      <c r="G500" s="1612" t="inlineStr">
        <is>
          <t xml:space="preserve">TDD &amp; Engineering </t>
        </is>
      </c>
      <c r="H500" s="1612" t="inlineStr">
        <is>
          <t>Integration &amp; Process automation</t>
        </is>
      </c>
      <c r="I500" s="1382" t="inlineStr">
        <is>
          <t>TDD</t>
        </is>
      </c>
      <c r="J500" s="1612" t="inlineStr">
        <is>
          <t>TDD</t>
        </is>
      </c>
      <c r="K500" s="1612" t="inlineStr">
        <is>
          <t>Integration &amp; Process automation</t>
        </is>
      </c>
      <c r="L500" s="1612" t="n"/>
      <c r="M500" s="1613" t="inlineStr">
        <is>
          <t>NZ</t>
        </is>
      </c>
      <c r="N500" s="1614" t="inlineStr">
        <is>
          <t>CIA</t>
        </is>
      </c>
      <c r="O500" s="1615" t="n">
        <v>1</v>
      </c>
      <c r="P500" s="1614" t="n"/>
      <c r="Q500" s="1615" t="inlineStr">
        <is>
          <t>Permanent - Full Time</t>
        </is>
      </c>
      <c r="R500" s="1616" t="n"/>
      <c r="S500" s="1616" t="n"/>
      <c r="T500" s="1627" t="n">
        <v>120800</v>
      </c>
      <c r="U500" s="1617" t="n">
        <v>111136</v>
      </c>
      <c r="V500" s="1618" t="n">
        <v>0.15</v>
      </c>
      <c r="W500" s="1616" t="n"/>
      <c r="X500" s="1619" t="n">
        <v>0.05</v>
      </c>
      <c r="Y500" s="1620" t="n">
        <v>2910</v>
      </c>
      <c r="Z500" s="1619" t="n">
        <v>0.03</v>
      </c>
      <c r="AA500" s="1621">
        <f>U500*(1+V500+X500+Z500)+Y500</f>
        <v>139607.28</v>
      </c>
      <c r="AB500" s="865" t="n">
        <v>113602</v>
      </c>
      <c r="AC500" s="865" t="inlineStr">
        <is>
          <t>TDD Group Functions</t>
        </is>
      </c>
      <c r="AD500" s="865" t="inlineStr">
        <is>
          <t>TDD Group Functions</t>
        </is>
      </c>
      <c r="AE500" s="865" t="inlineStr">
        <is>
          <t>Integration</t>
        </is>
      </c>
      <c r="AF500" s="865" t="inlineStr">
        <is>
          <t>Squad</t>
        </is>
      </c>
      <c r="AG500" s="865" t="inlineStr">
        <is>
          <t>Filled</t>
        </is>
      </c>
    </row>
    <row r="501" hidden="1" ht="18" customHeight="1" s="866">
      <c r="A501" s="1566" t="n">
        <v>93476</v>
      </c>
      <c r="B501" s="1382" t="inlineStr">
        <is>
          <t>Prerna Sharma</t>
        </is>
      </c>
      <c r="C501" s="1611" t="inlineStr">
        <is>
          <t>SAP HR Specialist</t>
        </is>
      </c>
      <c r="D501" s="1612" t="inlineStr">
        <is>
          <t>Vacant</t>
        </is>
      </c>
      <c r="E501" s="865" t="inlineStr">
        <is>
          <t>Technology Manager P&amp;C Platforms</t>
        </is>
      </c>
      <c r="F501" s="1382" t="inlineStr">
        <is>
          <t>TDD Group Functions</t>
        </is>
      </c>
      <c r="G501" s="1628" t="inlineStr">
        <is>
          <t>P&amp;C, Finance &amp; Legal</t>
        </is>
      </c>
      <c r="H501" s="1612" t="inlineStr">
        <is>
          <t>Tech, P&amp;C Platforms</t>
        </is>
      </c>
      <c r="I501" s="1612" t="inlineStr">
        <is>
          <t>P&amp;C</t>
        </is>
      </c>
      <c r="J501" s="1612" t="inlineStr">
        <is>
          <t>P&amp;C</t>
        </is>
      </c>
      <c r="K501" s="1612" t="inlineStr">
        <is>
          <t>P&amp;C</t>
        </is>
      </c>
      <c r="L501" s="1612" t="n"/>
      <c r="M501" s="1613" t="inlineStr">
        <is>
          <t>Australia</t>
        </is>
      </c>
      <c r="N501" s="1614" t="inlineStr">
        <is>
          <t>CIC</t>
        </is>
      </c>
      <c r="O501" s="1614" t="n">
        <v>1</v>
      </c>
      <c r="P501" s="1614" t="n"/>
      <c r="Q501" s="1614" t="inlineStr">
        <is>
          <t>Permanent - Full Time</t>
        </is>
      </c>
      <c r="R501" s="1616" t="n"/>
      <c r="S501" s="1616" t="n"/>
      <c r="T501" s="1627" t="n">
        <v>175410</v>
      </c>
      <c r="U501" s="1617" t="n">
        <v>175410</v>
      </c>
      <c r="V501" s="1619" t="n">
        <v>0.12</v>
      </c>
      <c r="W501" s="1622" t="n">
        <v>0.055</v>
      </c>
      <c r="X501" s="1622" t="n">
        <v>0.12</v>
      </c>
      <c r="Y501" s="1623" t="n"/>
      <c r="Z501" s="1622" t="n">
        <v>0.04</v>
      </c>
      <c r="AA501" s="1621">
        <f>U501*(1+V501+W501+X501+Y501+Z501)</f>
        <v>234172.35</v>
      </c>
      <c r="AC501" s="865" t="inlineStr">
        <is>
          <t>P&amp;C</t>
        </is>
      </c>
      <c r="AD501" s="865" t="inlineStr">
        <is>
          <t>P&amp;C</t>
        </is>
      </c>
      <c r="AE501" s="865" t="inlineStr">
        <is>
          <t>P&amp;C</t>
        </is>
      </c>
      <c r="AF501" s="865" t="inlineStr">
        <is>
          <t>Squad</t>
        </is>
      </c>
      <c r="AG501" s="865" t="inlineStr">
        <is>
          <t>Filled</t>
        </is>
      </c>
    </row>
    <row r="502" hidden="1" ht="18" customHeight="1" s="866">
      <c r="A502" s="1566" t="n"/>
      <c r="B502" s="1658" t="inlineStr">
        <is>
          <t>Ring fenced</t>
        </is>
      </c>
      <c r="C502" s="1691" t="inlineStr">
        <is>
          <t>JDE Senior Systems Specialist</t>
        </is>
      </c>
      <c r="D502" s="1612" t="inlineStr">
        <is>
          <t>Lydia Pritchard</t>
        </is>
      </c>
      <c r="E502" s="1628" t="inlineStr">
        <is>
          <t>Lead JDE System Specialist</t>
        </is>
      </c>
      <c r="F502" s="1382" t="inlineStr">
        <is>
          <t>TDD Group Functions</t>
        </is>
      </c>
      <c r="G502" s="1628" t="inlineStr">
        <is>
          <t>P&amp;C, Finance &amp; Legal</t>
        </is>
      </c>
      <c r="H502" s="1612" t="inlineStr">
        <is>
          <t>Tech, Finance Platforms</t>
        </is>
      </c>
      <c r="I502" s="1612" t="inlineStr">
        <is>
          <t>Finance</t>
        </is>
      </c>
      <c r="J502" s="1612" t="inlineStr">
        <is>
          <t>NZ Finance</t>
        </is>
      </c>
      <c r="K502" s="1612" t="inlineStr">
        <is>
          <t>NZ Finance</t>
        </is>
      </c>
      <c r="L502" s="1612" t="n"/>
      <c r="M502" s="1613" t="inlineStr">
        <is>
          <t>NZ</t>
        </is>
      </c>
      <c r="N502" s="1614" t="inlineStr">
        <is>
          <t>CIC</t>
        </is>
      </c>
      <c r="O502" s="1614" t="n">
        <v>1</v>
      </c>
      <c r="P502" s="1614" t="n"/>
      <c r="Q502" s="1614" t="inlineStr">
        <is>
          <t>v</t>
        </is>
      </c>
      <c r="R502" s="1624" t="n"/>
      <c r="S502" s="1616" t="n"/>
      <c r="T502" s="1627" t="n">
        <v>160000</v>
      </c>
      <c r="U502" s="1617" t="n">
        <v>147200</v>
      </c>
      <c r="V502" s="1619" t="n">
        <v>0.15</v>
      </c>
      <c r="W502" s="1616" t="n"/>
      <c r="X502" s="1619" t="n">
        <v>0.05</v>
      </c>
      <c r="Y502" s="1620" t="n">
        <v>2910</v>
      </c>
      <c r="Z502" s="1619" t="n">
        <v>0.03</v>
      </c>
      <c r="AA502" s="1621">
        <f>U502*(1+V502+X502+Z502)+Y502</f>
        <v>183966</v>
      </c>
      <c r="AC502" s="865" t="inlineStr">
        <is>
          <t>Finance</t>
        </is>
      </c>
      <c r="AD502" s="865" t="inlineStr">
        <is>
          <t>NZ Finance</t>
        </is>
      </c>
      <c r="AE502" s="865" t="inlineStr">
        <is>
          <t>NZ Finance</t>
        </is>
      </c>
      <c r="AF502" s="865" t="inlineStr">
        <is>
          <t>Squad</t>
        </is>
      </c>
      <c r="AG502" s="865" t="inlineStr">
        <is>
          <t>Filled</t>
        </is>
      </c>
    </row>
    <row r="503" hidden="1" ht="18" customHeight="1" s="866">
      <c r="A503" s="1566" t="n"/>
      <c r="B503" s="1658" t="inlineStr">
        <is>
          <t>Ring fenced</t>
        </is>
      </c>
      <c r="C503" s="1691" t="inlineStr">
        <is>
          <t>JDE Senior Systems Specialist</t>
        </is>
      </c>
      <c r="D503" s="1612" t="inlineStr">
        <is>
          <t>Lydia Pritchard</t>
        </is>
      </c>
      <c r="E503" s="1628" t="inlineStr">
        <is>
          <t>Lead JDE System Specialist</t>
        </is>
      </c>
      <c r="F503" s="1382" t="inlineStr">
        <is>
          <t>TDD Group Functions</t>
        </is>
      </c>
      <c r="G503" s="1628" t="inlineStr">
        <is>
          <t>P&amp;C, Finance &amp; Legal</t>
        </is>
      </c>
      <c r="H503" s="1612" t="inlineStr">
        <is>
          <t>Tech, Finance Platforms</t>
        </is>
      </c>
      <c r="I503" s="1612" t="inlineStr">
        <is>
          <t>Finance</t>
        </is>
      </c>
      <c r="J503" s="1612" t="inlineStr">
        <is>
          <t>NZ Finance</t>
        </is>
      </c>
      <c r="K503" s="1612" t="inlineStr">
        <is>
          <t>NZ Finance</t>
        </is>
      </c>
      <c r="L503" s="1612" t="n"/>
      <c r="M503" s="1613" t="inlineStr">
        <is>
          <t>NZ</t>
        </is>
      </c>
      <c r="N503" s="1614" t="inlineStr">
        <is>
          <t>CIC</t>
        </is>
      </c>
      <c r="O503" s="1614" t="n">
        <v>1</v>
      </c>
      <c r="P503" s="1614" t="n"/>
      <c r="Q503" s="1614" t="inlineStr">
        <is>
          <t>v</t>
        </is>
      </c>
      <c r="R503" s="1624" t="n"/>
      <c r="S503" s="1616" t="n"/>
      <c r="T503" s="1627" t="n">
        <v>160000</v>
      </c>
      <c r="U503" s="1617" t="n">
        <v>147200</v>
      </c>
      <c r="V503" s="1618" t="n">
        <v>0.15</v>
      </c>
      <c r="W503" s="1616" t="n"/>
      <c r="X503" s="1619" t="n">
        <v>0.05</v>
      </c>
      <c r="Y503" s="1620" t="n">
        <v>2910</v>
      </c>
      <c r="Z503" s="1619" t="n">
        <v>0.03</v>
      </c>
      <c r="AA503" s="1621">
        <f>U503*(1+V503+X503+Z503)+Y503</f>
        <v>183966</v>
      </c>
      <c r="AC503" s="865" t="inlineStr">
        <is>
          <t>Finance</t>
        </is>
      </c>
      <c r="AD503" s="865" t="inlineStr">
        <is>
          <t>NZ Finance</t>
        </is>
      </c>
      <c r="AE503" s="865" t="inlineStr">
        <is>
          <t>NZ Finance</t>
        </is>
      </c>
      <c r="AF503" s="865" t="inlineStr">
        <is>
          <t>Squad</t>
        </is>
      </c>
      <c r="AG503" s="865" t="inlineStr">
        <is>
          <t>Filled</t>
        </is>
      </c>
    </row>
    <row r="504" hidden="1" ht="18" customHeight="1" s="866">
      <c r="A504" s="1566" t="n"/>
      <c r="B504" s="1658" t="inlineStr">
        <is>
          <t>Ring fenced selection</t>
        </is>
      </c>
      <c r="C504" s="1691" t="inlineStr">
        <is>
          <t>Cloud Solutions Architect</t>
        </is>
      </c>
      <c r="D504" s="1612" t="inlineStr">
        <is>
          <t>Vacant</t>
        </is>
      </c>
      <c r="E504" s="1628" t="inlineStr">
        <is>
          <t>Technology Manager - Cloud, Network &amp; Infrastructure Operations</t>
        </is>
      </c>
      <c r="F504" s="1382" t="inlineStr">
        <is>
          <t>TDD Group Functions</t>
        </is>
      </c>
      <c r="G504" s="1612" t="inlineStr">
        <is>
          <t>TDD &amp; Engineering</t>
        </is>
      </c>
      <c r="H504" s="1612" t="inlineStr">
        <is>
          <t>Cloud, Network &amp; Infra</t>
        </is>
      </c>
      <c r="I504" s="1382" t="inlineStr">
        <is>
          <t>TDD</t>
        </is>
      </c>
      <c r="J504" s="1612" t="inlineStr">
        <is>
          <t>TDD</t>
        </is>
      </c>
      <c r="K504" s="1612" t="inlineStr">
        <is>
          <t>Cloud, Network &amp; Infra Ops</t>
        </is>
      </c>
      <c r="L504" s="1612" t="n"/>
      <c r="M504" s="1613" t="inlineStr">
        <is>
          <t>Australia</t>
        </is>
      </c>
      <c r="N504" s="1614" t="inlineStr">
        <is>
          <t>CIC</t>
        </is>
      </c>
      <c r="O504" s="1614" t="n">
        <v>1</v>
      </c>
      <c r="P504" s="1614" t="n"/>
      <c r="Q504" s="1614" t="inlineStr">
        <is>
          <t>v</t>
        </is>
      </c>
      <c r="R504" s="1624" t="n"/>
      <c r="S504" s="1616" t="n"/>
      <c r="T504" s="1627" t="n">
        <v>200000</v>
      </c>
      <c r="U504" s="1617" t="n">
        <v>200000</v>
      </c>
      <c r="V504" s="1619" t="n">
        <v>0.12</v>
      </c>
      <c r="W504" s="1622" t="n">
        <v>0.055</v>
      </c>
      <c r="X504" s="1622" t="n">
        <v>0.12</v>
      </c>
      <c r="Y504" s="1623" t="n"/>
      <c r="Z504" s="1622" t="n">
        <v>0.04</v>
      </c>
      <c r="AA504" s="1621">
        <f>U504*(1+V504+W504+X504+Y504+Z504)</f>
        <v>267000</v>
      </c>
      <c r="AC504" s="865" t="inlineStr">
        <is>
          <t>TDD Group Functions</t>
        </is>
      </c>
      <c r="AD504" s="865" t="inlineStr">
        <is>
          <t>TDD Group Functions</t>
        </is>
      </c>
      <c r="AE504" s="865" t="inlineStr">
        <is>
          <t>Network &amp; Infrastructure</t>
        </is>
      </c>
      <c r="AF504" s="865" t="inlineStr">
        <is>
          <t>Squad</t>
        </is>
      </c>
      <c r="AG504" s="865" t="inlineStr">
        <is>
          <t>Filled</t>
        </is>
      </c>
    </row>
    <row r="505" hidden="1" ht="18" customHeight="1" s="866">
      <c r="A505" s="1566" t="n"/>
      <c r="B505" s="1658" t="inlineStr">
        <is>
          <t>Ring fenced selection</t>
        </is>
      </c>
      <c r="C505" s="1691" t="inlineStr">
        <is>
          <t>Cloud Solutions Architect</t>
        </is>
      </c>
      <c r="D505" s="1612" t="inlineStr">
        <is>
          <t>Vacant</t>
        </is>
      </c>
      <c r="E505" s="1628" t="inlineStr">
        <is>
          <t>Technology Manager - Cloud, Network &amp; Infrastructure Operations</t>
        </is>
      </c>
      <c r="F505" s="1382" t="inlineStr">
        <is>
          <t>TDD Group Functions</t>
        </is>
      </c>
      <c r="G505" s="1612" t="inlineStr">
        <is>
          <t>TDD &amp; Engineering</t>
        </is>
      </c>
      <c r="H505" s="1612" t="inlineStr">
        <is>
          <t>Cloud, Network &amp; Infra</t>
        </is>
      </c>
      <c r="I505" s="1382" t="inlineStr">
        <is>
          <t>TDD</t>
        </is>
      </c>
      <c r="J505" s="1612" t="inlineStr">
        <is>
          <t>TDD</t>
        </is>
      </c>
      <c r="K505" s="1612" t="inlineStr">
        <is>
          <t>Cloud, Network &amp; Infra Ops</t>
        </is>
      </c>
      <c r="L505" s="1612" t="n"/>
      <c r="M505" s="1613" t="inlineStr">
        <is>
          <t>Australia</t>
        </is>
      </c>
      <c r="N505" s="1614" t="inlineStr">
        <is>
          <t>CIC</t>
        </is>
      </c>
      <c r="O505" s="1614" t="n">
        <v>1</v>
      </c>
      <c r="P505" s="1614" t="n"/>
      <c r="Q505" s="1614" t="inlineStr">
        <is>
          <t>v</t>
        </is>
      </c>
      <c r="R505" s="1624" t="n"/>
      <c r="S505" s="1616" t="n"/>
      <c r="T505" s="1627" t="n">
        <v>200000</v>
      </c>
      <c r="U505" s="1617" t="n">
        <v>200000</v>
      </c>
      <c r="V505" s="1619" t="n">
        <v>0.12</v>
      </c>
      <c r="W505" s="1622" t="n">
        <v>0.055</v>
      </c>
      <c r="X505" s="1622" t="n">
        <v>0.12</v>
      </c>
      <c r="Y505" s="1623" t="n"/>
      <c r="Z505" s="1622" t="n">
        <v>0.04</v>
      </c>
      <c r="AA505" s="1621">
        <f>U505*(1+V505+W505+X505+Y505+Z505)</f>
        <v>267000</v>
      </c>
      <c r="AC505" s="865" t="inlineStr">
        <is>
          <t>TDD Group Functions</t>
        </is>
      </c>
      <c r="AD505" s="865" t="inlineStr">
        <is>
          <t>TDD Group Functions</t>
        </is>
      </c>
      <c r="AE505" s="865" t="inlineStr">
        <is>
          <t>Network &amp; Infrastructure</t>
        </is>
      </c>
      <c r="AF505" s="865" t="inlineStr">
        <is>
          <t>Squad</t>
        </is>
      </c>
      <c r="AG505" s="865" t="inlineStr">
        <is>
          <t>Filled</t>
        </is>
      </c>
    </row>
    <row r="506" hidden="1" ht="18" customHeight="1" s="866">
      <c r="A506" s="1566" t="n"/>
      <c r="B506" s="1658" t="inlineStr">
        <is>
          <t>Ring fenced selection</t>
        </is>
      </c>
      <c r="C506" s="1691" t="inlineStr">
        <is>
          <t>Cloud Solutions Architect</t>
        </is>
      </c>
      <c r="D506" s="1612" t="inlineStr">
        <is>
          <t>Vacant</t>
        </is>
      </c>
      <c r="E506" s="1686" t="inlineStr">
        <is>
          <t>Technology Manager - Cloud, Network &amp; Infrastructure Operations</t>
        </is>
      </c>
      <c r="F506" s="1382" t="inlineStr">
        <is>
          <t>TDD Group Functions</t>
        </is>
      </c>
      <c r="G506" s="1612" t="inlineStr">
        <is>
          <t>TDD &amp; Engineering</t>
        </is>
      </c>
      <c r="H506" s="1612" t="inlineStr">
        <is>
          <t>Cloud, Network &amp; Infra</t>
        </is>
      </c>
      <c r="I506" s="1382" t="inlineStr">
        <is>
          <t>TDD</t>
        </is>
      </c>
      <c r="J506" s="1612" t="inlineStr">
        <is>
          <t>TDD</t>
        </is>
      </c>
      <c r="K506" s="1612" t="inlineStr">
        <is>
          <t>Cloud, Network &amp; Infra Ops</t>
        </is>
      </c>
      <c r="L506" s="1612" t="n"/>
      <c r="M506" s="1613" t="inlineStr">
        <is>
          <t>Australia</t>
        </is>
      </c>
      <c r="N506" s="1614" t="inlineStr">
        <is>
          <t>CIC</t>
        </is>
      </c>
      <c r="O506" s="1614" t="n">
        <v>1</v>
      </c>
      <c r="P506" s="1614" t="n"/>
      <c r="Q506" s="1614" t="inlineStr">
        <is>
          <t>v</t>
        </is>
      </c>
      <c r="R506" s="1624" t="n"/>
      <c r="S506" s="1616" t="n"/>
      <c r="T506" s="1627" t="n">
        <v>200000</v>
      </c>
      <c r="U506" s="1626" t="n">
        <v>200000</v>
      </c>
      <c r="V506" s="1619" t="n">
        <v>0.12</v>
      </c>
      <c r="W506" s="1622" t="n">
        <v>0.055</v>
      </c>
      <c r="X506" s="1622" t="n">
        <v>0.12</v>
      </c>
      <c r="Y506" s="1623" t="n"/>
      <c r="Z506" s="1622" t="n">
        <v>0.04</v>
      </c>
      <c r="AA506" s="1621">
        <f>U506*(1+V506+W506+X506+Y506+Z506)</f>
        <v>267000</v>
      </c>
      <c r="AC506" s="865" t="inlineStr">
        <is>
          <t>TDD Group Functions</t>
        </is>
      </c>
      <c r="AD506" s="865" t="inlineStr">
        <is>
          <t>TDD Group Functions</t>
        </is>
      </c>
      <c r="AE506" s="865" t="inlineStr">
        <is>
          <t>Network &amp; Infrastructure</t>
        </is>
      </c>
      <c r="AF506" s="865" t="inlineStr">
        <is>
          <t>Squad</t>
        </is>
      </c>
      <c r="AG506" s="865" t="inlineStr">
        <is>
          <t>Filled</t>
        </is>
      </c>
    </row>
    <row r="507" hidden="1" ht="18" customHeight="1" s="866">
      <c r="A507" s="1566" t="n"/>
      <c r="B507" s="1658" t="inlineStr">
        <is>
          <t>Ring fenced selection</t>
        </is>
      </c>
      <c r="C507" s="1691" t="inlineStr">
        <is>
          <t>Cloud Solutions Architect</t>
        </is>
      </c>
      <c r="D507" s="1612" t="inlineStr">
        <is>
          <t>Vacant</t>
        </is>
      </c>
      <c r="E507" s="1628" t="inlineStr">
        <is>
          <t>Technology Manager - Cloud, Network &amp; Infrastructure Operations</t>
        </is>
      </c>
      <c r="F507" s="1382" t="inlineStr">
        <is>
          <t>TDD Group Functions</t>
        </is>
      </c>
      <c r="G507" s="1612" t="inlineStr">
        <is>
          <t>TDD &amp; Engineering</t>
        </is>
      </c>
      <c r="H507" s="1612" t="inlineStr">
        <is>
          <t>Cloud, Network &amp; Infra</t>
        </is>
      </c>
      <c r="I507" s="1382" t="inlineStr">
        <is>
          <t>TDD</t>
        </is>
      </c>
      <c r="J507" s="1612" t="inlineStr">
        <is>
          <t>TDD</t>
        </is>
      </c>
      <c r="K507" s="1612" t="inlineStr">
        <is>
          <t>Cloud, Network &amp; Infra Ops</t>
        </is>
      </c>
      <c r="L507" s="1612" t="n"/>
      <c r="M507" s="1613" t="inlineStr">
        <is>
          <t>Australia</t>
        </is>
      </c>
      <c r="N507" s="1614" t="inlineStr">
        <is>
          <t>CIC</t>
        </is>
      </c>
      <c r="O507" s="1614" t="n">
        <v>1</v>
      </c>
      <c r="P507" s="1614" t="n"/>
      <c r="Q507" s="1614" t="inlineStr">
        <is>
          <t>v</t>
        </is>
      </c>
      <c r="R507" s="1624" t="n"/>
      <c r="S507" s="1616" t="n"/>
      <c r="T507" s="1627" t="n">
        <v>200000</v>
      </c>
      <c r="U507" s="1626" t="n">
        <v>200000</v>
      </c>
      <c r="V507" s="1619" t="n">
        <v>0.12</v>
      </c>
      <c r="W507" s="1622" t="n">
        <v>0.055</v>
      </c>
      <c r="X507" s="1622" t="n">
        <v>0.12</v>
      </c>
      <c r="Y507" s="1623" t="n"/>
      <c r="Z507" s="1622" t="n">
        <v>0.04</v>
      </c>
      <c r="AA507" s="1621">
        <f>U507*(1+V507+W507+X507+Y507+Z507)</f>
        <v>267000</v>
      </c>
      <c r="AC507" s="865" t="inlineStr">
        <is>
          <t>TDD Group Functions</t>
        </is>
      </c>
      <c r="AD507" s="865" t="inlineStr">
        <is>
          <t>TDD Group Functions</t>
        </is>
      </c>
      <c r="AE507" s="865" t="inlineStr">
        <is>
          <t>Network &amp; Infrastructure</t>
        </is>
      </c>
      <c r="AF507" s="865" t="inlineStr">
        <is>
          <t>Squad</t>
        </is>
      </c>
      <c r="AG507" s="865" t="inlineStr">
        <is>
          <t>Filled</t>
        </is>
      </c>
    </row>
    <row r="508" hidden="1" ht="18" customHeight="1" s="866">
      <c r="A508" s="1566" t="n">
        <v>99999101446</v>
      </c>
      <c r="B508" s="1382" t="inlineStr">
        <is>
          <t>Rob Struthers</t>
        </is>
      </c>
      <c r="C508" s="1611" t="inlineStr">
        <is>
          <t>Engineer - Modern Workplaces</t>
        </is>
      </c>
      <c r="D508" s="1612" t="inlineStr">
        <is>
          <t>Vacant</t>
        </is>
      </c>
      <c r="E508" s="1382" t="inlineStr">
        <is>
          <t>Technology Manager, Enterprise Tooling</t>
        </is>
      </c>
      <c r="F508" s="1382" t="inlineStr">
        <is>
          <t>TDD Group Functions</t>
        </is>
      </c>
      <c r="G508" s="1612" t="inlineStr">
        <is>
          <t xml:space="preserve">TDD &amp; Engineering </t>
        </is>
      </c>
      <c r="H508" s="1382" t="inlineStr">
        <is>
          <t>Workplace &amp; Enterprise Tooling</t>
        </is>
      </c>
      <c r="I508" s="1382" t="inlineStr">
        <is>
          <t>TDD</t>
        </is>
      </c>
      <c r="J508" s="1612" t="inlineStr">
        <is>
          <t>TDD</t>
        </is>
      </c>
      <c r="K508" s="1612" t="inlineStr">
        <is>
          <t>Workplace &amp; Enterprise Tooling</t>
        </is>
      </c>
      <c r="L508" s="1612" t="n"/>
      <c r="M508" s="1613" t="inlineStr">
        <is>
          <t>NZ</t>
        </is>
      </c>
      <c r="N508" s="1614" t="inlineStr">
        <is>
          <t>CIA</t>
        </is>
      </c>
      <c r="O508" s="1615" t="n">
        <v>1</v>
      </c>
      <c r="P508" s="1614" t="n"/>
      <c r="Q508" s="1615" t="inlineStr">
        <is>
          <t>Permanent - Full Time</t>
        </is>
      </c>
      <c r="R508" s="1616" t="n"/>
      <c r="S508" s="1616" t="n"/>
      <c r="T508" s="1627" t="n">
        <v>124390</v>
      </c>
      <c r="U508" s="1626" t="n">
        <v>114438.8</v>
      </c>
      <c r="V508" s="1618" t="n">
        <v>0.15</v>
      </c>
      <c r="W508" s="1616" t="n"/>
      <c r="X508" s="1619" t="n">
        <v>0.05</v>
      </c>
      <c r="Y508" s="1620" t="n">
        <v>2910</v>
      </c>
      <c r="Z508" s="1619" t="n">
        <v>0.03</v>
      </c>
      <c r="AA508" s="1621">
        <f>U508*(1+V508+X508+Z508)+Y508</f>
        <v>143669.724</v>
      </c>
      <c r="AB508" s="865" t="n">
        <v>113605</v>
      </c>
      <c r="AC508" s="865" t="inlineStr">
        <is>
          <t>TDD Group Functions</t>
        </is>
      </c>
      <c r="AD508" s="865" t="inlineStr">
        <is>
          <t>TDD Group Functions</t>
        </is>
      </c>
      <c r="AE508" s="865" t="inlineStr">
        <is>
          <t>Workplace &amp; Enterprise Tooling</t>
        </is>
      </c>
      <c r="AF508" s="865" t="inlineStr">
        <is>
          <t>Squad</t>
        </is>
      </c>
      <c r="AG508" s="865" t="inlineStr">
        <is>
          <t>Filled</t>
        </is>
      </c>
    </row>
    <row r="509" hidden="1" ht="18" customHeight="1" s="866">
      <c r="A509" s="1566" t="n">
        <v>97625</v>
      </c>
      <c r="B509" s="1382" t="inlineStr">
        <is>
          <t>Satish Chowdhary</t>
        </is>
      </c>
      <c r="C509" s="1611" t="inlineStr">
        <is>
          <t>Nework Architect</t>
        </is>
      </c>
      <c r="D509" s="1612" t="inlineStr">
        <is>
          <t>Vacant</t>
        </is>
      </c>
      <c r="E509" s="1628" t="inlineStr">
        <is>
          <t>Technology Manager - Cloud, Network &amp; Infrastructure Operations</t>
        </is>
      </c>
      <c r="F509" s="1382" t="inlineStr">
        <is>
          <t>TDD Group Functions</t>
        </is>
      </c>
      <c r="G509" s="1612" t="inlineStr">
        <is>
          <t>TDD &amp; Engineering</t>
        </is>
      </c>
      <c r="H509" s="1612" t="inlineStr">
        <is>
          <t>Cloud, Network &amp; Infra</t>
        </is>
      </c>
      <c r="I509" s="1382" t="inlineStr">
        <is>
          <t>TDD</t>
        </is>
      </c>
      <c r="J509" s="1612" t="inlineStr">
        <is>
          <t>TDD</t>
        </is>
      </c>
      <c r="K509" s="1612" t="inlineStr">
        <is>
          <t>Cloud, Network &amp; Infra Ops</t>
        </is>
      </c>
      <c r="L509" s="1612" t="n"/>
      <c r="M509" s="1613" t="inlineStr">
        <is>
          <t>Australia</t>
        </is>
      </c>
      <c r="N509" s="1614" t="inlineStr">
        <is>
          <t>CIC</t>
        </is>
      </c>
      <c r="O509" s="1614" t="n">
        <v>1</v>
      </c>
      <c r="P509" s="1614" t="n"/>
      <c r="Q509" s="1614" t="inlineStr">
        <is>
          <t>Permanent - Full Time</t>
        </is>
      </c>
      <c r="R509" s="1616" t="n"/>
      <c r="S509" s="1616" t="n"/>
      <c r="T509" s="1627" t="n">
        <v>194100</v>
      </c>
      <c r="U509" s="1626" t="n">
        <v>194100</v>
      </c>
      <c r="V509" s="1619" t="n">
        <v>0.12</v>
      </c>
      <c r="W509" s="1622" t="n">
        <v>0.055</v>
      </c>
      <c r="X509" s="1622" t="n">
        <v>0.12</v>
      </c>
      <c r="Y509" s="1623" t="n"/>
      <c r="Z509" s="1622" t="n">
        <v>0.04</v>
      </c>
      <c r="AA509" s="1621">
        <f>U509*(1+V509+W509+X509+Y509+Z509)</f>
        <v>259123.5</v>
      </c>
      <c r="AC509" s="865" t="inlineStr">
        <is>
          <t>TDD Group Functions</t>
        </is>
      </c>
      <c r="AD509" s="865" t="inlineStr">
        <is>
          <t>TDD Group Functions</t>
        </is>
      </c>
      <c r="AE509" s="865" t="inlineStr">
        <is>
          <t>Network &amp; Infrastructure</t>
        </is>
      </c>
      <c r="AF509" s="865" t="inlineStr">
        <is>
          <t>Squad</t>
        </is>
      </c>
      <c r="AG509" s="865" t="inlineStr">
        <is>
          <t>Filled</t>
        </is>
      </c>
    </row>
    <row r="510" hidden="1" ht="18" customHeight="1" s="866">
      <c r="A510" s="1566" t="n">
        <v>109863</v>
      </c>
      <c r="B510" s="1382" t="inlineStr">
        <is>
          <t>Shane Ker</t>
        </is>
      </c>
      <c r="C510" s="1611" t="inlineStr">
        <is>
          <t>Technology Manger - Finance Platfoms</t>
        </is>
      </c>
      <c r="D510" s="1382" t="inlineStr">
        <is>
          <t>Vaso Vukovic</t>
        </is>
      </c>
      <c r="E510" s="865" t="inlineStr">
        <is>
          <t>Head of Technology - P&amp;C, Finance &amp; Legal</t>
        </is>
      </c>
      <c r="F510" s="1382" t="inlineStr">
        <is>
          <t>TDD Group Functions</t>
        </is>
      </c>
      <c r="G510" s="1628" t="inlineStr">
        <is>
          <t>P&amp;C, Finance &amp; Legal</t>
        </is>
      </c>
      <c r="H510" s="1612" t="inlineStr">
        <is>
          <t>Tech, Finance Platforms</t>
        </is>
      </c>
      <c r="I510" s="1612" t="inlineStr">
        <is>
          <t>Finance</t>
        </is>
      </c>
      <c r="J510" s="1612" t="inlineStr">
        <is>
          <t>Finance</t>
        </is>
      </c>
      <c r="K510" s="1612" t="inlineStr">
        <is>
          <t>Leadership</t>
        </is>
      </c>
      <c r="L510" s="1612" t="n"/>
      <c r="M510" s="1613" t="inlineStr">
        <is>
          <t>Australia</t>
        </is>
      </c>
      <c r="N510" s="1614" t="inlineStr">
        <is>
          <t>CSB</t>
        </is>
      </c>
      <c r="O510" s="1614" t="n">
        <v>1</v>
      </c>
      <c r="P510" s="1614" t="n"/>
      <c r="Q510" s="1614" t="inlineStr">
        <is>
          <t>Permanent - Full Time</t>
        </is>
      </c>
      <c r="R510" s="1616" t="n"/>
      <c r="S510" s="1616" t="n"/>
      <c r="T510" s="1627" t="n">
        <v>238790</v>
      </c>
      <c r="U510" s="1626" t="n">
        <v>238790</v>
      </c>
      <c r="V510" s="1619" t="n">
        <v>0.14</v>
      </c>
      <c r="W510" s="1622" t="n">
        <v>0.055</v>
      </c>
      <c r="X510" s="1622" t="n">
        <v>0.12</v>
      </c>
      <c r="Y510" s="1623" t="n"/>
      <c r="Z510" s="1622" t="n">
        <v>0.04</v>
      </c>
      <c r="AA510" s="1621">
        <f>U510*(1+V510+W510+X510+Y510+Z510)</f>
        <v>323560.45</v>
      </c>
      <c r="AC510" s="865" t="inlineStr">
        <is>
          <t>Finance</t>
        </is>
      </c>
      <c r="AD510" s="865" t="inlineStr">
        <is>
          <t>Leadership</t>
        </is>
      </c>
      <c r="AE510" s="865" t="inlineStr">
        <is>
          <t>Leadership</t>
        </is>
      </c>
      <c r="AF510" s="865" t="inlineStr">
        <is>
          <t>Leadership</t>
        </is>
      </c>
      <c r="AG510" s="865" t="inlineStr">
        <is>
          <t>Filled</t>
        </is>
      </c>
    </row>
    <row r="511" hidden="1" ht="18" customHeight="1" s="866">
      <c r="A511" s="1566" t="n">
        <v>99999101466</v>
      </c>
      <c r="B511" s="1382" t="inlineStr">
        <is>
          <t>Shobhit Mittal</t>
        </is>
      </c>
      <c r="C511" s="1611" t="inlineStr">
        <is>
          <t>Lead Engineer - Automation Test</t>
        </is>
      </c>
      <c r="D511" s="1658" t="inlineStr">
        <is>
          <t>Vacant</t>
        </is>
      </c>
      <c r="E511" s="1628" t="inlineStr">
        <is>
          <t>Technology Manager - DevOps and Quality Engineering</t>
        </is>
      </c>
      <c r="F511" s="1612" t="inlineStr">
        <is>
          <t>TDD Group Functions</t>
        </is>
      </c>
      <c r="G511" s="1612" t="inlineStr">
        <is>
          <t>TDD &amp; Engineering</t>
        </is>
      </c>
      <c r="H511" s="1612" t="inlineStr">
        <is>
          <t>Dev Ops  &amp; QE</t>
        </is>
      </c>
      <c r="I511" s="1612" t="inlineStr">
        <is>
          <t>EGI</t>
        </is>
      </c>
      <c r="J511" s="1612" t="inlineStr">
        <is>
          <t>EGI</t>
        </is>
      </c>
      <c r="K511" s="1612" t="inlineStr">
        <is>
          <t>EGI TDD</t>
        </is>
      </c>
      <c r="L511" s="1612" t="n"/>
      <c r="M511" s="1613" t="inlineStr">
        <is>
          <t>NZ</t>
        </is>
      </c>
      <c r="N511" s="1614" t="inlineStr">
        <is>
          <t>CIC</t>
        </is>
      </c>
      <c r="O511" s="1615" t="n">
        <v>1</v>
      </c>
      <c r="P511" s="1614" t="n"/>
      <c r="Q511" s="1615" t="inlineStr">
        <is>
          <t>Permanent - Full Time</t>
        </is>
      </c>
      <c r="R511" s="1616" t="n"/>
      <c r="S511" s="1616" t="n"/>
      <c r="T511" s="1627" t="n">
        <v>173600</v>
      </c>
      <c r="U511" s="1626" t="n">
        <v>159712</v>
      </c>
      <c r="V511" s="1618" t="n">
        <v>0.15</v>
      </c>
      <c r="W511" s="1616" t="n"/>
      <c r="X511" s="1619" t="n">
        <v>0.05</v>
      </c>
      <c r="Y511" s="1620" t="n">
        <v>2910</v>
      </c>
      <c r="Z511" s="1619" t="n">
        <v>0.03</v>
      </c>
      <c r="AA511" s="1621">
        <f>U511*(1+V511+X511+Z511)+Y511</f>
        <v>199355.76</v>
      </c>
      <c r="AB511" s="865" t="n">
        <v>15180</v>
      </c>
      <c r="AC511" s="865" t="inlineStr">
        <is>
          <t>TDD Group Functions</t>
        </is>
      </c>
      <c r="AD511" s="865" t="inlineStr">
        <is>
          <t>EGI TDD</t>
        </is>
      </c>
      <c r="AE511" s="865" t="inlineStr">
        <is>
          <t>EGI TDD</t>
        </is>
      </c>
      <c r="AF511" s="865" t="inlineStr">
        <is>
          <t>Strategic Program</t>
        </is>
      </c>
      <c r="AG511" s="865" t="inlineStr">
        <is>
          <t>Filled</t>
        </is>
      </c>
    </row>
    <row r="512" hidden="1" ht="18" customHeight="1" s="866">
      <c r="A512" s="1566" t="n">
        <v>6591</v>
      </c>
      <c r="B512" s="1382" t="inlineStr">
        <is>
          <t>Steven Yong</t>
        </is>
      </c>
      <c r="C512" s="1611" t="inlineStr">
        <is>
          <t>Nework Architect</t>
        </is>
      </c>
      <c r="D512" s="1612" t="inlineStr">
        <is>
          <t>Vacant</t>
        </is>
      </c>
      <c r="E512" s="1628" t="inlineStr">
        <is>
          <t>Technology Manager - Cloud, Network &amp; Infrastructure Operations</t>
        </is>
      </c>
      <c r="F512" s="1382" t="inlineStr">
        <is>
          <t>TDD Group Functions</t>
        </is>
      </c>
      <c r="G512" s="1612" t="inlineStr">
        <is>
          <t>TDD &amp; Engineering</t>
        </is>
      </c>
      <c r="H512" s="1612" t="inlineStr">
        <is>
          <t>Cloud, Network &amp; Infra</t>
        </is>
      </c>
      <c r="I512" s="1382" t="inlineStr">
        <is>
          <t>TDD</t>
        </is>
      </c>
      <c r="J512" s="1612" t="inlineStr">
        <is>
          <t>TDD</t>
        </is>
      </c>
      <c r="K512" s="1612" t="inlineStr">
        <is>
          <t>Cloud, Network &amp; Infra Ops</t>
        </is>
      </c>
      <c r="L512" s="1612" t="n"/>
      <c r="M512" s="1613" t="inlineStr">
        <is>
          <t>Australia</t>
        </is>
      </c>
      <c r="N512" s="1616" t="inlineStr">
        <is>
          <t>CIC</t>
        </is>
      </c>
      <c r="O512" s="1616" t="n">
        <v>1</v>
      </c>
      <c r="P512" s="1616" t="n"/>
      <c r="Q512" s="1616" t="inlineStr">
        <is>
          <t>Permanent - Full Time</t>
        </is>
      </c>
      <c r="R512" s="1616" t="n"/>
      <c r="S512" s="1616" t="n"/>
      <c r="T512" s="1627" t="n">
        <v>182340</v>
      </c>
      <c r="U512" s="1626" t="n">
        <v>182340</v>
      </c>
      <c r="V512" s="1619" t="n">
        <v>0.12</v>
      </c>
      <c r="W512" s="1622" t="n">
        <v>0.055</v>
      </c>
      <c r="X512" s="1622" t="n">
        <v>0.12</v>
      </c>
      <c r="Y512" s="1623" t="n"/>
      <c r="Z512" s="1622" t="n">
        <v>0.04</v>
      </c>
      <c r="AA512" s="1621">
        <f>U512*(1+V512+W512+X512+Y512+Z512)</f>
        <v>243423.9</v>
      </c>
      <c r="AC512" s="865" t="inlineStr">
        <is>
          <t>TDD Group Functions</t>
        </is>
      </c>
      <c r="AD512" s="865" t="inlineStr">
        <is>
          <t>TDD Group Functions</t>
        </is>
      </c>
      <c r="AE512" s="865" t="inlineStr">
        <is>
          <t>Network &amp; Infrastructure</t>
        </is>
      </c>
      <c r="AF512" s="865" t="inlineStr">
        <is>
          <t>Squad</t>
        </is>
      </c>
      <c r="AG512" s="865" t="inlineStr">
        <is>
          <t>Filled</t>
        </is>
      </c>
    </row>
    <row r="513" hidden="1" ht="18" customHeight="1" s="866">
      <c r="A513" s="1566" t="n">
        <v>99999102120</v>
      </c>
      <c r="B513" s="1382" t="inlineStr">
        <is>
          <t>Sunny Arya</t>
        </is>
      </c>
      <c r="C513" s="1611" t="inlineStr">
        <is>
          <t>Lead Engineer, Devops</t>
        </is>
      </c>
      <c r="D513" s="1658" t="inlineStr">
        <is>
          <t>Vacant</t>
        </is>
      </c>
      <c r="E513" s="1628" t="inlineStr">
        <is>
          <t>Technology Manager - DevOps and Quality Engineering</t>
        </is>
      </c>
      <c r="F513" s="1612" t="inlineStr">
        <is>
          <t>TDD Group Functions</t>
        </is>
      </c>
      <c r="G513" s="1612" t="inlineStr">
        <is>
          <t>TDD &amp; Engineering</t>
        </is>
      </c>
      <c r="H513" s="1612" t="inlineStr">
        <is>
          <t>DevOps &amp; QE</t>
        </is>
      </c>
      <c r="I513" s="1382" t="inlineStr">
        <is>
          <t>TDD</t>
        </is>
      </c>
      <c r="J513" s="1612" t="inlineStr">
        <is>
          <t>TDD</t>
        </is>
      </c>
      <c r="K513" s="1612" t="inlineStr">
        <is>
          <t>DevOps &amp; QE</t>
        </is>
      </c>
      <c r="L513" s="1612" t="n"/>
      <c r="M513" s="1613" t="inlineStr">
        <is>
          <t>NZ</t>
        </is>
      </c>
      <c r="N513" s="1614" t="inlineStr">
        <is>
          <t>CIC</t>
        </is>
      </c>
      <c r="O513" s="1615" t="n">
        <v>1</v>
      </c>
      <c r="P513" s="1614" t="n"/>
      <c r="Q513" s="1615" t="inlineStr">
        <is>
          <t>Permanent - Full Time</t>
        </is>
      </c>
      <c r="R513" s="1616" t="n"/>
      <c r="S513" s="1616" t="n"/>
      <c r="T513" s="1627" t="n">
        <v>175000</v>
      </c>
      <c r="U513" s="1626" t="n">
        <v>161000</v>
      </c>
      <c r="V513" s="1618" t="n">
        <v>0.15</v>
      </c>
      <c r="W513" s="1616" t="n"/>
      <c r="X513" s="1619" t="n">
        <v>0.05</v>
      </c>
      <c r="Y513" s="1620" t="n">
        <v>2910</v>
      </c>
      <c r="Z513" s="1619" t="n">
        <v>0.03</v>
      </c>
      <c r="AA513" s="1621">
        <f>U513*(1+V513+X513+Z513)+Y513</f>
        <v>200940</v>
      </c>
      <c r="AB513" s="865" t="n">
        <v>115802</v>
      </c>
      <c r="AC513" s="865" t="inlineStr">
        <is>
          <t>TDD Group Functions</t>
        </is>
      </c>
      <c r="AD513" s="865" t="inlineStr">
        <is>
          <t>TDD Group Functions</t>
        </is>
      </c>
      <c r="AE513" s="865" t="inlineStr">
        <is>
          <t>DevOps &amp; Engineering</t>
        </is>
      </c>
      <c r="AF513" s="865" t="inlineStr">
        <is>
          <t>Squad</t>
        </is>
      </c>
      <c r="AG513" s="865" t="inlineStr">
        <is>
          <t>Filled</t>
        </is>
      </c>
    </row>
    <row r="514" hidden="1" ht="18" customHeight="1" s="866">
      <c r="A514" s="1566" t="n">
        <v>99876</v>
      </c>
      <c r="B514" s="1628" t="inlineStr">
        <is>
          <t>Thai Pung</t>
        </is>
      </c>
      <c r="C514" s="1691" t="inlineStr">
        <is>
          <t>Delivery Lead - (P&amp;C)</t>
        </is>
      </c>
      <c r="D514" s="1628" t="inlineStr">
        <is>
          <t>Vacant</t>
        </is>
      </c>
      <c r="E514" s="1628" t="inlineStr">
        <is>
          <t>Delivery Manager, P&amp;C, Finance &amp; Legal</t>
        </is>
      </c>
      <c r="F514" s="1382" t="inlineStr">
        <is>
          <t>TDD Group Functions</t>
        </is>
      </c>
      <c r="G514" s="1628" t="inlineStr">
        <is>
          <t>P&amp;C, Finance &amp; Legal</t>
        </is>
      </c>
      <c r="H514" s="1612" t="inlineStr">
        <is>
          <t>Delivery, P&amp;C, Finance &amp; Legal</t>
        </is>
      </c>
      <c r="I514" s="1612" t="inlineStr">
        <is>
          <t>P&amp;C</t>
        </is>
      </c>
      <c r="J514" s="1612" t="inlineStr">
        <is>
          <t>P&amp;C</t>
        </is>
      </c>
      <c r="K514" s="1612" t="inlineStr">
        <is>
          <t>P&amp;C</t>
        </is>
      </c>
      <c r="L514" s="1612" t="n"/>
      <c r="M514" s="1613" t="inlineStr">
        <is>
          <t>Australia</t>
        </is>
      </c>
      <c r="N514" s="1614" t="inlineStr">
        <is>
          <t>CIC</t>
        </is>
      </c>
      <c r="O514" s="1614" t="n">
        <v>1</v>
      </c>
      <c r="P514" s="1614" t="n"/>
      <c r="Q514" s="1614" t="inlineStr">
        <is>
          <t>Permanent - Full Time</t>
        </is>
      </c>
      <c r="R514" s="1616" t="n"/>
      <c r="S514" s="1616" t="n"/>
      <c r="T514" s="1627" t="n">
        <v>188380</v>
      </c>
      <c r="U514" s="1626" t="n">
        <v>188380</v>
      </c>
      <c r="V514" s="1619" t="n">
        <v>0.12</v>
      </c>
      <c r="W514" s="1622" t="n">
        <v>0.055</v>
      </c>
      <c r="X514" s="1622" t="n">
        <v>0.12</v>
      </c>
      <c r="Y514" s="1623" t="n"/>
      <c r="Z514" s="1622" t="n">
        <v>0.04</v>
      </c>
      <c r="AA514" s="1621">
        <f>U514*(1+V514+W514+X514+Y514+Z514)</f>
        <v>251487.3</v>
      </c>
      <c r="AC514" s="865" t="inlineStr">
        <is>
          <t>P&amp;C</t>
        </is>
      </c>
      <c r="AD514" s="865" t="inlineStr">
        <is>
          <t>P&amp;C</t>
        </is>
      </c>
      <c r="AE514" s="865" t="inlineStr">
        <is>
          <t>P&amp;C</t>
        </is>
      </c>
      <c r="AF514" s="865" t="inlineStr">
        <is>
          <t>Squad</t>
        </is>
      </c>
      <c r="AG514" s="865" t="inlineStr">
        <is>
          <t>Filled</t>
        </is>
      </c>
    </row>
    <row r="515" hidden="1" ht="18" customHeight="1" s="866">
      <c r="A515" s="1566" t="n">
        <v>114367</v>
      </c>
      <c r="B515" s="1628" t="inlineStr">
        <is>
          <t>Thandava Krishna Kakarala</t>
        </is>
      </c>
      <c r="C515" s="1691" t="inlineStr">
        <is>
          <t>Snr Engineer - Boomi</t>
        </is>
      </c>
      <c r="D515" s="1382" t="inlineStr">
        <is>
          <t>Mike Seales</t>
        </is>
      </c>
      <c r="E515" s="1382" t="inlineStr">
        <is>
          <t>Technology Manager Integration &amp; Process Managemetn</t>
        </is>
      </c>
      <c r="F515" s="1382" t="inlineStr">
        <is>
          <t>TDD Group Functions</t>
        </is>
      </c>
      <c r="G515" s="1612" t="inlineStr">
        <is>
          <t xml:space="preserve">TDD &amp; Engineering </t>
        </is>
      </c>
      <c r="H515" s="1382" t="inlineStr">
        <is>
          <t>Integration &amp; Process Management</t>
        </is>
      </c>
      <c r="I515" s="865" t="inlineStr">
        <is>
          <t>TDD</t>
        </is>
      </c>
      <c r="J515" s="1612" t="inlineStr">
        <is>
          <t>TDD</t>
        </is>
      </c>
      <c r="K515" s="1612" t="inlineStr">
        <is>
          <t>Integration &amp; Process automation</t>
        </is>
      </c>
      <c r="L515" s="1612" t="n"/>
      <c r="M515" s="1613" t="inlineStr">
        <is>
          <t>Australia</t>
        </is>
      </c>
      <c r="N515" s="1614" t="inlineStr">
        <is>
          <t>CIB</t>
        </is>
      </c>
      <c r="O515" s="1614" t="n">
        <v>1</v>
      </c>
      <c r="P515" s="1614" t="n"/>
      <c r="Q515" s="1614" t="inlineStr">
        <is>
          <t>Permanent - Full Time</t>
        </is>
      </c>
      <c r="R515" s="1616" t="n"/>
      <c r="S515" s="1616" t="n"/>
      <c r="T515" s="1627" t="n">
        <v>140000</v>
      </c>
      <c r="U515" s="1626" t="n">
        <v>140000</v>
      </c>
      <c r="V515" s="1619" t="n">
        <v>0.12</v>
      </c>
      <c r="W515" s="1622" t="n">
        <v>0.055</v>
      </c>
      <c r="X515" s="1622" t="n">
        <v>0.12</v>
      </c>
      <c r="Y515" s="1623" t="n"/>
      <c r="Z515" s="1622" t="n">
        <v>0.04</v>
      </c>
      <c r="AA515" s="1621">
        <f>U515*(1+V515+W515+X515+Y515+Z515)</f>
        <v>186900</v>
      </c>
      <c r="AC515" s="865" t="inlineStr">
        <is>
          <t>TDD Group Functions</t>
        </is>
      </c>
      <c r="AD515" s="865" t="inlineStr">
        <is>
          <t>TDD Group Functions</t>
        </is>
      </c>
      <c r="AE515" s="865" t="inlineStr">
        <is>
          <t>Integration</t>
        </is>
      </c>
      <c r="AF515" s="865" t="inlineStr">
        <is>
          <t>Squad</t>
        </is>
      </c>
      <c r="AG515" s="865" t="inlineStr">
        <is>
          <t>Filled</t>
        </is>
      </c>
    </row>
    <row r="516" hidden="1" ht="18" customHeight="1" s="866">
      <c r="A516" s="1566" t="inlineStr">
        <is>
          <t>V</t>
        </is>
      </c>
      <c r="B516" s="1658" t="inlineStr">
        <is>
          <t>Vacant</t>
        </is>
      </c>
      <c r="C516" s="1691" t="inlineStr">
        <is>
          <t>SAP Functional Specialist</t>
        </is>
      </c>
      <c r="D516" s="1612" t="inlineStr">
        <is>
          <t>EE Lynn Yap</t>
        </is>
      </c>
      <c r="E516" s="1628" t="inlineStr">
        <is>
          <t>SAP ERP Application Lead</t>
        </is>
      </c>
      <c r="F516" s="1382" t="inlineStr">
        <is>
          <t>TDD Group Functions</t>
        </is>
      </c>
      <c r="G516" s="1628" t="inlineStr">
        <is>
          <t>P&amp;C, Finance &amp; Legal</t>
        </is>
      </c>
      <c r="H516" s="1612" t="inlineStr">
        <is>
          <t>Tech, Finance Platforms</t>
        </is>
      </c>
      <c r="I516" s="1612" t="inlineStr">
        <is>
          <t>Finance</t>
        </is>
      </c>
      <c r="J516" s="1612" t="inlineStr">
        <is>
          <t>AU Finance</t>
        </is>
      </c>
      <c r="K516" s="1612" t="inlineStr">
        <is>
          <t>SAP ERP</t>
        </is>
      </c>
      <c r="L516" s="1612" t="n"/>
      <c r="M516" s="1613" t="inlineStr">
        <is>
          <t>Australia</t>
        </is>
      </c>
      <c r="N516" s="1616" t="inlineStr">
        <is>
          <t>CIC</t>
        </is>
      </c>
      <c r="O516" s="1614" t="n">
        <v>1</v>
      </c>
      <c r="P516" s="1614" t="n"/>
      <c r="Q516" s="1614" t="inlineStr">
        <is>
          <t>v</t>
        </is>
      </c>
      <c r="R516" s="1616" t="n"/>
      <c r="S516" s="1616" t="n"/>
      <c r="T516" s="1627" t="n">
        <v>173550</v>
      </c>
      <c r="U516" s="1626" t="n">
        <v>173550</v>
      </c>
      <c r="V516" s="1619" t="n">
        <v>0.12</v>
      </c>
      <c r="W516" s="1622" t="n">
        <v>0.055</v>
      </c>
      <c r="X516" s="1622" t="n">
        <v>0.12</v>
      </c>
      <c r="Y516" s="1623" t="n"/>
      <c r="Z516" s="1622" t="n">
        <v>0.04</v>
      </c>
      <c r="AA516" s="1621">
        <f>U516*(1+V516+W516+X516+Y516+Z516)</f>
        <v>231689.25</v>
      </c>
      <c r="AC516" s="865" t="inlineStr">
        <is>
          <t>Finance</t>
        </is>
      </c>
      <c r="AD516" s="865" t="inlineStr">
        <is>
          <t>AU Finance</t>
        </is>
      </c>
      <c r="AE516" s="865" t="inlineStr">
        <is>
          <t>AU Finance</t>
        </is>
      </c>
      <c r="AF516" s="865" t="inlineStr">
        <is>
          <t>Squad</t>
        </is>
      </c>
      <c r="AG516" s="865" t="inlineStr">
        <is>
          <t>Vacant</t>
        </is>
      </c>
    </row>
    <row r="517" hidden="1" ht="18" customHeight="1" s="866">
      <c r="A517" s="1566" t="inlineStr">
        <is>
          <t>V</t>
        </is>
      </c>
      <c r="B517" s="1658" t="inlineStr">
        <is>
          <t>Vacant</t>
        </is>
      </c>
      <c r="C517" s="1691" t="inlineStr">
        <is>
          <t>SAP Functional Specialist</t>
        </is>
      </c>
      <c r="D517" s="1612" t="inlineStr">
        <is>
          <t>Julma Bhagwani</t>
        </is>
      </c>
      <c r="E517" s="1628" t="inlineStr">
        <is>
          <t>SAP ERP Application Lead</t>
        </is>
      </c>
      <c r="F517" s="1382" t="inlineStr">
        <is>
          <t>TDD Group Functions</t>
        </is>
      </c>
      <c r="G517" s="1628" t="inlineStr">
        <is>
          <t>P&amp;C, Finance &amp; Legal</t>
        </is>
      </c>
      <c r="H517" s="1612" t="inlineStr">
        <is>
          <t>Tech, Finance Platforms</t>
        </is>
      </c>
      <c r="I517" s="1612" t="inlineStr">
        <is>
          <t>Finance</t>
        </is>
      </c>
      <c r="J517" s="1612" t="inlineStr">
        <is>
          <t>AU Finance</t>
        </is>
      </c>
      <c r="K517" s="1612" t="inlineStr">
        <is>
          <t>SAP ERP</t>
        </is>
      </c>
      <c r="L517" s="1612" t="n"/>
      <c r="M517" s="1613" t="inlineStr">
        <is>
          <t>Australia</t>
        </is>
      </c>
      <c r="N517" s="1616" t="inlineStr">
        <is>
          <t>CIC</t>
        </is>
      </c>
      <c r="O517" s="1614" t="n">
        <v>1</v>
      </c>
      <c r="P517" s="1614" t="n"/>
      <c r="Q517" s="1614" t="inlineStr">
        <is>
          <t>v</t>
        </is>
      </c>
      <c r="R517" s="1616" t="n"/>
      <c r="S517" s="1616" t="n"/>
      <c r="T517" s="1627" t="n">
        <v>173550</v>
      </c>
      <c r="U517" s="1626" t="n">
        <v>173550</v>
      </c>
      <c r="V517" s="1619" t="n">
        <v>0.12</v>
      </c>
      <c r="W517" s="1622" t="n">
        <v>0.055</v>
      </c>
      <c r="X517" s="1622" t="n">
        <v>0.12</v>
      </c>
      <c r="Y517" s="1623" t="n"/>
      <c r="Z517" s="1622" t="n">
        <v>0.04</v>
      </c>
      <c r="AA517" s="1621">
        <f>U517*(1+V517+W517+X517+Y517+Z517)</f>
        <v>231689.25</v>
      </c>
      <c r="AC517" s="865" t="inlineStr">
        <is>
          <t>Finance</t>
        </is>
      </c>
      <c r="AD517" s="865" t="inlineStr">
        <is>
          <t>AU Finance</t>
        </is>
      </c>
      <c r="AE517" s="865" t="inlineStr">
        <is>
          <t>AU Finance</t>
        </is>
      </c>
      <c r="AF517" s="865" t="inlineStr">
        <is>
          <t>Squad</t>
        </is>
      </c>
      <c r="AG517" s="865" t="inlineStr">
        <is>
          <t>Vacant</t>
        </is>
      </c>
    </row>
    <row r="518" hidden="1" ht="18" customHeight="1" s="866">
      <c r="A518" s="1566" t="inlineStr">
        <is>
          <t>V</t>
        </is>
      </c>
      <c r="B518" s="1658" t="inlineStr">
        <is>
          <t>Vacant</t>
        </is>
      </c>
      <c r="C518" s="1691" t="inlineStr">
        <is>
          <t>SAP Functional Specialist</t>
        </is>
      </c>
      <c r="D518" s="1612" t="inlineStr">
        <is>
          <t>Maudud Chaudhury</t>
        </is>
      </c>
      <c r="E518" s="1628" t="inlineStr">
        <is>
          <t>SAP ERP Application Lead</t>
        </is>
      </c>
      <c r="F518" s="1382" t="inlineStr">
        <is>
          <t>TDD Group Functions</t>
        </is>
      </c>
      <c r="G518" s="1628" t="inlineStr">
        <is>
          <t>P&amp;C, Finance &amp; Legal</t>
        </is>
      </c>
      <c r="H518" s="1612" t="inlineStr">
        <is>
          <t>Tech, Finance Platforms</t>
        </is>
      </c>
      <c r="I518" s="1612" t="inlineStr">
        <is>
          <t>Finance</t>
        </is>
      </c>
      <c r="J518" s="1612" t="inlineStr">
        <is>
          <t>AU Finance</t>
        </is>
      </c>
      <c r="K518" s="1612" t="inlineStr">
        <is>
          <t>SAP ERP</t>
        </is>
      </c>
      <c r="L518" s="1612" t="n"/>
      <c r="M518" s="1613" t="inlineStr">
        <is>
          <t>Australia</t>
        </is>
      </c>
      <c r="N518" s="1616" t="inlineStr">
        <is>
          <t>CIC</t>
        </is>
      </c>
      <c r="O518" s="1614" t="n">
        <v>1</v>
      </c>
      <c r="P518" s="1614" t="n"/>
      <c r="Q518" s="1614" t="inlineStr">
        <is>
          <t>v</t>
        </is>
      </c>
      <c r="R518" s="1616" t="n"/>
      <c r="S518" s="1616" t="n"/>
      <c r="T518" s="1627" t="n">
        <v>173550</v>
      </c>
      <c r="U518" s="1626" t="n">
        <v>173550</v>
      </c>
      <c r="V518" s="1619" t="n">
        <v>0.12</v>
      </c>
      <c r="W518" s="1622" t="n">
        <v>0.055</v>
      </c>
      <c r="X518" s="1622" t="n">
        <v>0.12</v>
      </c>
      <c r="Y518" s="1623" t="n"/>
      <c r="Z518" s="1622" t="n">
        <v>0.04</v>
      </c>
      <c r="AA518" s="1621">
        <f>U518*(1+V518+W518+X518+Y518+Z518)</f>
        <v>231689.25</v>
      </c>
      <c r="AC518" s="865" t="inlineStr">
        <is>
          <t>Finance</t>
        </is>
      </c>
      <c r="AD518" s="865" t="inlineStr">
        <is>
          <t>AU Finance</t>
        </is>
      </c>
      <c r="AE518" s="865" t="inlineStr">
        <is>
          <t>AU Finance</t>
        </is>
      </c>
      <c r="AF518" s="865" t="inlineStr">
        <is>
          <t>Squad</t>
        </is>
      </c>
      <c r="AG518" s="865" t="inlineStr">
        <is>
          <t>Vacant</t>
        </is>
      </c>
    </row>
    <row r="519" hidden="1" ht="18" customHeight="1" s="866">
      <c r="A519" s="1566" t="inlineStr">
        <is>
          <t>V</t>
        </is>
      </c>
      <c r="B519" s="1658" t="inlineStr">
        <is>
          <t>Vacant</t>
        </is>
      </c>
      <c r="C519" s="1691" t="inlineStr">
        <is>
          <t>SAP Functional Specialist</t>
        </is>
      </c>
      <c r="D519" s="1612" t="inlineStr">
        <is>
          <t>Shane Ker</t>
        </is>
      </c>
      <c r="E519" s="1628" t="inlineStr">
        <is>
          <t>Technology Manager Finance Platforms</t>
        </is>
      </c>
      <c r="F519" s="1382" t="inlineStr">
        <is>
          <t>TDD Group Functions</t>
        </is>
      </c>
      <c r="G519" s="1628" t="inlineStr">
        <is>
          <t>P&amp;C, Finance &amp; Legal</t>
        </is>
      </c>
      <c r="H519" s="1612" t="inlineStr">
        <is>
          <t>Tech, Finance Platforms</t>
        </is>
      </c>
      <c r="I519" s="1612" t="inlineStr">
        <is>
          <t>Finance</t>
        </is>
      </c>
      <c r="J519" s="1612" t="inlineStr">
        <is>
          <t>AU Finance</t>
        </is>
      </c>
      <c r="K519" s="1612" t="inlineStr">
        <is>
          <t>SAP ERP</t>
        </is>
      </c>
      <c r="L519" s="1612" t="n"/>
      <c r="M519" s="1613" t="inlineStr">
        <is>
          <t>Australia</t>
        </is>
      </c>
      <c r="N519" s="1616" t="inlineStr">
        <is>
          <t>CIC</t>
        </is>
      </c>
      <c r="O519" s="1614" t="n">
        <v>1</v>
      </c>
      <c r="P519" s="1614" t="n"/>
      <c r="Q519" s="1614" t="inlineStr">
        <is>
          <t>v</t>
        </is>
      </c>
      <c r="R519" s="1616" t="n"/>
      <c r="S519" s="1616" t="n"/>
      <c r="T519" s="1627" t="n">
        <v>173550</v>
      </c>
      <c r="U519" s="1626" t="n">
        <v>173550</v>
      </c>
      <c r="V519" s="1619" t="n">
        <v>0.12</v>
      </c>
      <c r="W519" s="1622" t="n">
        <v>0.055</v>
      </c>
      <c r="X519" s="1622" t="n">
        <v>0.12</v>
      </c>
      <c r="Y519" s="1623" t="n"/>
      <c r="Z519" s="1622" t="n">
        <v>0.04</v>
      </c>
      <c r="AA519" s="1621">
        <f>U519*(1+V519+W519+X519+Y519+Z519)</f>
        <v>231689.25</v>
      </c>
      <c r="AC519" s="865" t="inlineStr">
        <is>
          <t>Finance</t>
        </is>
      </c>
      <c r="AD519" s="865" t="inlineStr">
        <is>
          <t>AU Finance</t>
        </is>
      </c>
      <c r="AE519" s="865" t="inlineStr">
        <is>
          <t>AU Finance</t>
        </is>
      </c>
      <c r="AF519" s="865" t="inlineStr">
        <is>
          <t>Squad</t>
        </is>
      </c>
      <c r="AG519" s="865" t="inlineStr">
        <is>
          <t>Vacant</t>
        </is>
      </c>
    </row>
    <row r="520" hidden="1" ht="18" customHeight="1" s="866">
      <c r="A520" s="1566" t="inlineStr">
        <is>
          <t>V</t>
        </is>
      </c>
      <c r="B520" s="1658" t="inlineStr">
        <is>
          <t>Vacant</t>
        </is>
      </c>
      <c r="C520" s="1691" t="inlineStr">
        <is>
          <t>Solution Architect - Finance</t>
        </is>
      </c>
      <c r="D520" s="1612" t="inlineStr">
        <is>
          <t>Shane Ker</t>
        </is>
      </c>
      <c r="E520" s="1628" t="inlineStr">
        <is>
          <t>Technology Manager Finance Platforms</t>
        </is>
      </c>
      <c r="F520" s="1382" t="inlineStr">
        <is>
          <t>TDD Group Functions</t>
        </is>
      </c>
      <c r="G520" s="1628" t="inlineStr">
        <is>
          <t>P&amp;C, Finance &amp; Legal</t>
        </is>
      </c>
      <c r="H520" s="1612" t="inlineStr">
        <is>
          <t>Tech, Finance Platforms</t>
        </is>
      </c>
      <c r="I520" s="1612" t="inlineStr">
        <is>
          <t>Finance</t>
        </is>
      </c>
      <c r="J520" s="1612" t="inlineStr">
        <is>
          <t>AU Finance</t>
        </is>
      </c>
      <c r="K520" s="1612" t="inlineStr">
        <is>
          <t>SAP ERP</t>
        </is>
      </c>
      <c r="L520" s="1612" t="n"/>
      <c r="M520" s="1613" t="inlineStr">
        <is>
          <t>australia</t>
        </is>
      </c>
      <c r="N520" s="1614" t="inlineStr">
        <is>
          <t>CIC</t>
        </is>
      </c>
      <c r="O520" s="1614" t="n">
        <v>1</v>
      </c>
      <c r="P520" s="1614" t="n"/>
      <c r="Q520" s="1614" t="inlineStr">
        <is>
          <t>v</t>
        </is>
      </c>
      <c r="R520" s="1616" t="n"/>
      <c r="S520" s="1616" t="n"/>
      <c r="T520" s="1627" t="n">
        <v>173550</v>
      </c>
      <c r="U520" s="1626" t="n">
        <v>173550</v>
      </c>
      <c r="V520" s="1619" t="n">
        <v>0.12</v>
      </c>
      <c r="W520" s="1622" t="n">
        <v>0.055</v>
      </c>
      <c r="X520" s="1622" t="n">
        <v>0.12</v>
      </c>
      <c r="Y520" s="1623" t="n"/>
      <c r="Z520" s="1622" t="n">
        <v>0.04</v>
      </c>
      <c r="AA520" s="1621">
        <f>U520*(1+V520+W520+X520+Y520+Z520)</f>
        <v>231689.25</v>
      </c>
      <c r="AC520" s="865" t="inlineStr">
        <is>
          <t>Finance</t>
        </is>
      </c>
      <c r="AD520" s="865" t="inlineStr">
        <is>
          <t>AU Finance</t>
        </is>
      </c>
      <c r="AE520" s="865" t="inlineStr">
        <is>
          <t>AU Finance</t>
        </is>
      </c>
      <c r="AF520" s="865" t="inlineStr">
        <is>
          <t>Squad</t>
        </is>
      </c>
      <c r="AG520" s="865" t="inlineStr">
        <is>
          <t>Vacant</t>
        </is>
      </c>
    </row>
    <row r="521" hidden="1" ht="18" customHeight="1" s="866">
      <c r="A521" s="1566" t="inlineStr">
        <is>
          <t>V</t>
        </is>
      </c>
      <c r="B521" s="1658" t="inlineStr">
        <is>
          <t>Vacant</t>
        </is>
      </c>
      <c r="C521" s="1691" t="inlineStr">
        <is>
          <t>Delivery Lead (JDE)</t>
        </is>
      </c>
      <c r="D521" s="1612" t="inlineStr">
        <is>
          <t>Vacant</t>
        </is>
      </c>
      <c r="E521" s="1628" t="inlineStr">
        <is>
          <t>Delivery Manager, P&amp;C, Finance &amp; Legal</t>
        </is>
      </c>
      <c r="F521" s="1382" t="inlineStr">
        <is>
          <t>TDD Group Functions</t>
        </is>
      </c>
      <c r="G521" s="1628" t="inlineStr">
        <is>
          <t>P&amp;C, Finance &amp; Legal</t>
        </is>
      </c>
      <c r="H521" s="1612" t="inlineStr">
        <is>
          <t>Delivery, P&amp;C, Finance &amp; Legal</t>
        </is>
      </c>
      <c r="I521" s="1612" t="inlineStr">
        <is>
          <t>Finance</t>
        </is>
      </c>
      <c r="J521" s="1612" t="inlineStr">
        <is>
          <t>NZ Finance</t>
        </is>
      </c>
      <c r="K521" s="1612" t="inlineStr">
        <is>
          <t>NZ Finance</t>
        </is>
      </c>
      <c r="L521" s="1612" t="n"/>
      <c r="M521" s="1613" t="inlineStr">
        <is>
          <t>Australia</t>
        </is>
      </c>
      <c r="N521" s="1614" t="inlineStr">
        <is>
          <t>CIC</t>
        </is>
      </c>
      <c r="O521" s="1614" t="n">
        <v>1</v>
      </c>
      <c r="P521" s="1614" t="n"/>
      <c r="Q521" s="1614" t="inlineStr">
        <is>
          <t>V</t>
        </is>
      </c>
      <c r="R521" s="1616" t="n"/>
      <c r="S521" s="1616" t="n"/>
      <c r="T521" s="1627" t="n">
        <v>173550</v>
      </c>
      <c r="U521" s="1626" t="n">
        <v>173550</v>
      </c>
      <c r="V521" s="1619" t="n">
        <v>0.12</v>
      </c>
      <c r="W521" s="1622" t="n">
        <v>0.055</v>
      </c>
      <c r="X521" s="1622" t="n">
        <v>0.12</v>
      </c>
      <c r="Y521" s="1623" t="n"/>
      <c r="Z521" s="1622" t="n">
        <v>0.04</v>
      </c>
      <c r="AA521" s="1621">
        <f>U521*(1+V521+W521+X521+Y521+Z521)</f>
        <v>231689.25</v>
      </c>
      <c r="AC521" s="865" t="inlineStr">
        <is>
          <t>Finance</t>
        </is>
      </c>
      <c r="AD521" s="865" t="inlineStr">
        <is>
          <t>NZ Finance</t>
        </is>
      </c>
      <c r="AE521" s="865" t="inlineStr">
        <is>
          <t>NZ Finance</t>
        </is>
      </c>
      <c r="AF521" s="865" t="inlineStr">
        <is>
          <t>Squad</t>
        </is>
      </c>
      <c r="AG521" s="865" t="inlineStr">
        <is>
          <t>Vacant</t>
        </is>
      </c>
    </row>
    <row r="522" hidden="1" ht="18" customHeight="1" s="866">
      <c r="A522" s="1566" t="inlineStr">
        <is>
          <t>V</t>
        </is>
      </c>
      <c r="B522" s="1658" t="inlineStr">
        <is>
          <t>Vacant</t>
        </is>
      </c>
      <c r="C522" s="1691" t="inlineStr">
        <is>
          <t>Delivery Lead (SAP)</t>
        </is>
      </c>
      <c r="D522" s="1612" t="inlineStr">
        <is>
          <t>Vacant</t>
        </is>
      </c>
      <c r="E522" s="1628" t="inlineStr">
        <is>
          <t>Delivery Manager, P&amp;C, Finance &amp; Legal</t>
        </is>
      </c>
      <c r="F522" s="1382" t="inlineStr">
        <is>
          <t>TDD Group Functions</t>
        </is>
      </c>
      <c r="G522" s="1628" t="inlineStr">
        <is>
          <t>P&amp;C, Finance &amp; Legal</t>
        </is>
      </c>
      <c r="H522" s="1612" t="inlineStr">
        <is>
          <t>Delivery, P&amp;C, Finance &amp; Legal</t>
        </is>
      </c>
      <c r="I522" s="1612" t="inlineStr">
        <is>
          <t>Finance</t>
        </is>
      </c>
      <c r="J522" s="1612" t="inlineStr">
        <is>
          <t>AU Finance</t>
        </is>
      </c>
      <c r="K522" s="1612" t="inlineStr">
        <is>
          <t>SAP ERP</t>
        </is>
      </c>
      <c r="L522" s="1612" t="n"/>
      <c r="M522" s="1613" t="inlineStr">
        <is>
          <t>Australia</t>
        </is>
      </c>
      <c r="N522" s="1614" t="inlineStr">
        <is>
          <t>CIC</t>
        </is>
      </c>
      <c r="O522" s="1614" t="n">
        <v>1</v>
      </c>
      <c r="P522" s="1614" t="n"/>
      <c r="Q522" s="1614" t="inlineStr">
        <is>
          <t>V</t>
        </is>
      </c>
      <c r="R522" s="1616" t="n"/>
      <c r="S522" s="1616" t="n"/>
      <c r="T522" s="1627" t="n">
        <v>173550</v>
      </c>
      <c r="U522" s="1626" t="n">
        <v>173550</v>
      </c>
      <c r="V522" s="1619" t="n">
        <v>0.12</v>
      </c>
      <c r="W522" s="1622" t="n">
        <v>0.055</v>
      </c>
      <c r="X522" s="1622" t="n">
        <v>0.12</v>
      </c>
      <c r="Y522" s="1623" t="n"/>
      <c r="Z522" s="1622" t="n">
        <v>0.04</v>
      </c>
      <c r="AA522" s="1621">
        <f>U522*(1+V522+W522+X522+Y522+Z522)</f>
        <v>231689.25</v>
      </c>
      <c r="AC522" s="865" t="inlineStr">
        <is>
          <t>Finance</t>
        </is>
      </c>
      <c r="AD522" s="865" t="inlineStr">
        <is>
          <t>AU Finance</t>
        </is>
      </c>
      <c r="AE522" s="865" t="inlineStr">
        <is>
          <t>AU Finance</t>
        </is>
      </c>
      <c r="AF522" s="865" t="inlineStr">
        <is>
          <t>Squad</t>
        </is>
      </c>
      <c r="AG522" s="865" t="inlineStr">
        <is>
          <t>Vacant</t>
        </is>
      </c>
    </row>
    <row r="523" hidden="1" ht="18" customHeight="1" s="866">
      <c r="A523" s="1566" t="inlineStr">
        <is>
          <t>V</t>
        </is>
      </c>
      <c r="B523" s="1658" t="inlineStr">
        <is>
          <t>Vacant</t>
        </is>
      </c>
      <c r="C523" s="1691" t="inlineStr">
        <is>
          <t>Business Analyst (P&amp;C RTA)</t>
        </is>
      </c>
      <c r="D523" s="1612" t="inlineStr">
        <is>
          <t>Vacant</t>
        </is>
      </c>
      <c r="E523" s="1628" t="inlineStr">
        <is>
          <t>Delivery Manager, P&amp;C, Finance &amp; Legal</t>
        </is>
      </c>
      <c r="F523" s="1382" t="inlineStr">
        <is>
          <t>TDD Group Functions</t>
        </is>
      </c>
      <c r="G523" s="1628" t="inlineStr">
        <is>
          <t>P&amp;C, Finance &amp; Legal</t>
        </is>
      </c>
      <c r="H523" s="1612" t="inlineStr">
        <is>
          <t>Delivery, P&amp;C, Finance &amp; Legal</t>
        </is>
      </c>
      <c r="I523" s="1612" t="inlineStr">
        <is>
          <t>P&amp;C</t>
        </is>
      </c>
      <c r="J523" s="1612" t="inlineStr">
        <is>
          <t>P&amp;C</t>
        </is>
      </c>
      <c r="K523" s="1612" t="inlineStr">
        <is>
          <t>P&amp;C RTA</t>
        </is>
      </c>
      <c r="L523" s="1612" t="n"/>
      <c r="M523" s="1613" t="inlineStr">
        <is>
          <t>Australia</t>
        </is>
      </c>
      <c r="N523" s="1614" t="inlineStr">
        <is>
          <t>CIB</t>
        </is>
      </c>
      <c r="O523" s="1614" t="n">
        <v>1</v>
      </c>
      <c r="P523" s="1614" t="n"/>
      <c r="Q523" s="1614" t="inlineStr">
        <is>
          <t>V</t>
        </is>
      </c>
      <c r="R523" s="1616" t="n"/>
      <c r="S523" s="1616" t="n"/>
      <c r="T523" s="1627" t="n">
        <v>151000</v>
      </c>
      <c r="U523" s="1626" t="n">
        <v>151000</v>
      </c>
      <c r="V523" s="1619" t="n">
        <v>0.12</v>
      </c>
      <c r="W523" s="1622" t="n">
        <v>0.055</v>
      </c>
      <c r="X523" s="1622" t="n">
        <v>0.12</v>
      </c>
      <c r="Y523" s="1623" t="n"/>
      <c r="Z523" s="1622" t="n">
        <v>0.04</v>
      </c>
      <c r="AA523" s="1621">
        <f>U523*(1+V523+W523+X523+Y523+Z523)</f>
        <v>201585</v>
      </c>
      <c r="AC523" s="865" t="inlineStr">
        <is>
          <t>P&amp;C</t>
        </is>
      </c>
      <c r="AD523" s="865" t="inlineStr">
        <is>
          <t>P&amp;C</t>
        </is>
      </c>
      <c r="AE523" s="865" t="inlineStr">
        <is>
          <t>P&amp;C - RTA</t>
        </is>
      </c>
      <c r="AF523" s="865" t="inlineStr">
        <is>
          <t>Squad</t>
        </is>
      </c>
      <c r="AG523" s="865" t="inlineStr">
        <is>
          <t>Vacant</t>
        </is>
      </c>
    </row>
    <row r="524" hidden="1" ht="18" customHeight="1" s="866">
      <c r="A524" s="1566" t="inlineStr">
        <is>
          <t>V</t>
        </is>
      </c>
      <c r="B524" s="1658" t="inlineStr">
        <is>
          <t>Vacant</t>
        </is>
      </c>
      <c r="C524" s="1691" t="inlineStr">
        <is>
          <t>Delivery Lead (RTA)</t>
        </is>
      </c>
      <c r="D524" s="1612" t="inlineStr">
        <is>
          <t>Vacant</t>
        </is>
      </c>
      <c r="E524" s="1628" t="inlineStr">
        <is>
          <t>Delivery Manager, P&amp;C, Finance &amp; Legal</t>
        </is>
      </c>
      <c r="F524" s="1382" t="inlineStr">
        <is>
          <t>TDD Group Functions</t>
        </is>
      </c>
      <c r="G524" s="1628" t="inlineStr">
        <is>
          <t>P&amp;C, Finance &amp; Legal</t>
        </is>
      </c>
      <c r="H524" s="1612" t="inlineStr">
        <is>
          <t>Delivery, P&amp;C, Finance &amp; Legal</t>
        </is>
      </c>
      <c r="I524" s="1612" t="inlineStr">
        <is>
          <t>P&amp;C</t>
        </is>
      </c>
      <c r="J524" s="1598" t="inlineStr">
        <is>
          <t>P&amp;C</t>
        </is>
      </c>
      <c r="K524" s="1612" t="inlineStr">
        <is>
          <t>P&amp;C RTA</t>
        </is>
      </c>
      <c r="L524" s="1612" t="n"/>
      <c r="M524" s="1613" t="inlineStr">
        <is>
          <t>Australia</t>
        </is>
      </c>
      <c r="N524" s="1614" t="inlineStr">
        <is>
          <t>CIC</t>
        </is>
      </c>
      <c r="O524" s="1614" t="n">
        <v>1</v>
      </c>
      <c r="P524" s="1614" t="n"/>
      <c r="Q524" s="1614" t="inlineStr">
        <is>
          <t>V</t>
        </is>
      </c>
      <c r="R524" s="1616" t="n"/>
      <c r="S524" s="1616" t="n"/>
      <c r="T524" s="1627" t="n">
        <v>173550</v>
      </c>
      <c r="U524" s="1626" t="n">
        <v>173550</v>
      </c>
      <c r="V524" s="1619" t="n">
        <v>0.12</v>
      </c>
      <c r="W524" s="1622" t="n">
        <v>0.055</v>
      </c>
      <c r="X524" s="1622" t="n">
        <v>0.12</v>
      </c>
      <c r="Y524" s="1623" t="n"/>
      <c r="Z524" s="1622" t="n">
        <v>0.04</v>
      </c>
      <c r="AA524" s="1621">
        <f>U524*(1+V524+W524+X524+Y524+Z524)</f>
        <v>231689.25</v>
      </c>
      <c r="AC524" s="865" t="inlineStr">
        <is>
          <t>P&amp;C</t>
        </is>
      </c>
      <c r="AD524" s="865" t="inlineStr">
        <is>
          <t>P&amp;C</t>
        </is>
      </c>
      <c r="AE524" s="865" t="inlineStr">
        <is>
          <t>P&amp;C - RTA</t>
        </is>
      </c>
      <c r="AF524" s="865" t="inlineStr">
        <is>
          <t>Squad</t>
        </is>
      </c>
      <c r="AG524" s="865" t="inlineStr">
        <is>
          <t>Vacant</t>
        </is>
      </c>
    </row>
    <row r="525" hidden="1" ht="18" customHeight="1" s="866">
      <c r="A525" s="1566" t="inlineStr">
        <is>
          <t>V</t>
        </is>
      </c>
      <c r="B525" s="1658" t="inlineStr">
        <is>
          <t>Vacant</t>
        </is>
      </c>
      <c r="C525" s="1691" t="inlineStr">
        <is>
          <t>Engineer</t>
        </is>
      </c>
      <c r="D525" s="1612" t="inlineStr">
        <is>
          <t>Vacant</t>
        </is>
      </c>
      <c r="E525" s="1382" t="inlineStr">
        <is>
          <t>Technology Manager P&amp;C Platforms</t>
        </is>
      </c>
      <c r="F525" s="1382" t="inlineStr">
        <is>
          <t>TDD Group Functions</t>
        </is>
      </c>
      <c r="G525" s="1628" t="inlineStr">
        <is>
          <t>P&amp;C, Finance &amp; Legal</t>
        </is>
      </c>
      <c r="H525" s="1612" t="inlineStr">
        <is>
          <t>Tech, P&amp;C Platforms</t>
        </is>
      </c>
      <c r="I525" s="1612" t="inlineStr">
        <is>
          <t>P&amp;C</t>
        </is>
      </c>
      <c r="J525" s="1612" t="inlineStr">
        <is>
          <t>P&amp;C</t>
        </is>
      </c>
      <c r="K525" s="1612" t="inlineStr">
        <is>
          <t>P&amp;C</t>
        </is>
      </c>
      <c r="L525" s="1612" t="n"/>
      <c r="M525" s="1613" t="inlineStr">
        <is>
          <t>Australia</t>
        </is>
      </c>
      <c r="N525" s="1616" t="inlineStr">
        <is>
          <t>cib</t>
        </is>
      </c>
      <c r="O525" s="1614" t="n">
        <v>1</v>
      </c>
      <c r="P525" s="1614" t="n"/>
      <c r="Q525" s="1614" t="inlineStr">
        <is>
          <t>V</t>
        </is>
      </c>
      <c r="R525" s="1616" t="n"/>
      <c r="S525" s="1616" t="n"/>
      <c r="T525" s="1627" t="n">
        <v>151950</v>
      </c>
      <c r="U525" s="1626" t="n">
        <v>151950</v>
      </c>
      <c r="V525" s="1619" t="n">
        <v>0.12</v>
      </c>
      <c r="W525" s="1622" t="n">
        <v>0.055</v>
      </c>
      <c r="X525" s="1622" t="n">
        <v>0.12</v>
      </c>
      <c r="Y525" s="1623" t="n"/>
      <c r="Z525" s="1622" t="n">
        <v>0.04</v>
      </c>
      <c r="AA525" s="1621">
        <f>U525*(1+V525+W525+X525+Y525+Z525)</f>
        <v>202853.25</v>
      </c>
      <c r="AC525" s="865" t="inlineStr">
        <is>
          <t>P&amp;C</t>
        </is>
      </c>
      <c r="AD525" s="865" t="inlineStr">
        <is>
          <t>P&amp;C</t>
        </is>
      </c>
      <c r="AE525" s="865" t="inlineStr">
        <is>
          <t>P&amp;C</t>
        </is>
      </c>
      <c r="AF525" s="865" t="inlineStr">
        <is>
          <t>Squad</t>
        </is>
      </c>
      <c r="AG525" s="865" t="inlineStr">
        <is>
          <t>Vacant</t>
        </is>
      </c>
    </row>
    <row r="526" hidden="1" ht="18" customHeight="1" s="866">
      <c r="A526" s="1566" t="inlineStr">
        <is>
          <t>V</t>
        </is>
      </c>
      <c r="B526" s="1658" t="inlineStr">
        <is>
          <t>Vacant</t>
        </is>
      </c>
      <c r="C526" s="1691" t="inlineStr">
        <is>
          <t>Engineer</t>
        </is>
      </c>
      <c r="D526" s="1612" t="inlineStr">
        <is>
          <t>Vacant</t>
        </is>
      </c>
      <c r="E526" s="1382" t="inlineStr">
        <is>
          <t>Technology Manager P&amp;C Platforms</t>
        </is>
      </c>
      <c r="F526" s="1382" t="inlineStr">
        <is>
          <t>TDD Group Functions</t>
        </is>
      </c>
      <c r="G526" s="1628" t="inlineStr">
        <is>
          <t>P&amp;C, Finance &amp; Legal</t>
        </is>
      </c>
      <c r="H526" s="1612" t="inlineStr">
        <is>
          <t>Tech, P&amp;C Platforms</t>
        </is>
      </c>
      <c r="I526" s="1612" t="inlineStr">
        <is>
          <t>P&amp;C</t>
        </is>
      </c>
      <c r="J526" s="1612" t="inlineStr">
        <is>
          <t>P&amp;C</t>
        </is>
      </c>
      <c r="K526" s="1612" t="inlineStr">
        <is>
          <t>P&amp;C</t>
        </is>
      </c>
      <c r="L526" s="1612" t="n"/>
      <c r="M526" s="1613" t="inlineStr">
        <is>
          <t>Australia</t>
        </is>
      </c>
      <c r="N526" s="1616" t="inlineStr">
        <is>
          <t>cib</t>
        </is>
      </c>
      <c r="O526" s="1614" t="n">
        <v>1</v>
      </c>
      <c r="P526" s="1614" t="n"/>
      <c r="Q526" s="1614" t="inlineStr">
        <is>
          <t>V</t>
        </is>
      </c>
      <c r="R526" s="1616" t="n"/>
      <c r="S526" s="1616" t="n"/>
      <c r="T526" s="1627" t="n">
        <v>151950</v>
      </c>
      <c r="U526" s="1626" t="n">
        <v>151950</v>
      </c>
      <c r="V526" s="1619" t="n">
        <v>0.12</v>
      </c>
      <c r="W526" s="1622" t="n">
        <v>0.055</v>
      </c>
      <c r="X526" s="1622" t="n">
        <v>0.12</v>
      </c>
      <c r="Y526" s="1623" t="n"/>
      <c r="Z526" s="1622" t="n">
        <v>0.04</v>
      </c>
      <c r="AA526" s="1621">
        <f>U526*(1+V526+W526+X526+Y526+Z526)</f>
        <v>202853.25</v>
      </c>
      <c r="AC526" s="865" t="inlineStr">
        <is>
          <t>P&amp;C</t>
        </is>
      </c>
      <c r="AD526" s="865" t="inlineStr">
        <is>
          <t>P&amp;C</t>
        </is>
      </c>
      <c r="AE526" s="865" t="inlineStr">
        <is>
          <t>P&amp;C</t>
        </is>
      </c>
      <c r="AF526" s="865" t="inlineStr">
        <is>
          <t>Squad</t>
        </is>
      </c>
      <c r="AG526" s="865" t="inlineStr">
        <is>
          <t>Vacant</t>
        </is>
      </c>
    </row>
    <row r="527" hidden="1" ht="18" customHeight="1" s="866">
      <c r="A527" s="1566" t="inlineStr">
        <is>
          <t>V</t>
        </is>
      </c>
      <c r="B527" s="1658" t="inlineStr">
        <is>
          <t>Vacant</t>
        </is>
      </c>
      <c r="C527" s="1691" t="inlineStr">
        <is>
          <t>Engineer</t>
        </is>
      </c>
      <c r="D527" s="1612" t="inlineStr">
        <is>
          <t>Vacant</t>
        </is>
      </c>
      <c r="E527" s="1382" t="inlineStr">
        <is>
          <t>Technology Manager P&amp;C Platforms</t>
        </is>
      </c>
      <c r="F527" s="1382" t="inlineStr">
        <is>
          <t>TDD Group Functions</t>
        </is>
      </c>
      <c r="G527" s="1628" t="inlineStr">
        <is>
          <t>P&amp;C, Finance &amp; Legal</t>
        </is>
      </c>
      <c r="H527" s="1612" t="inlineStr">
        <is>
          <t>Tech, P&amp;C Platforms</t>
        </is>
      </c>
      <c r="I527" s="1612" t="inlineStr">
        <is>
          <t>P&amp;C</t>
        </is>
      </c>
      <c r="J527" s="1612" t="inlineStr">
        <is>
          <t>P&amp;C</t>
        </is>
      </c>
      <c r="K527" s="1612" t="inlineStr">
        <is>
          <t>P&amp;C RTA</t>
        </is>
      </c>
      <c r="L527" s="1612" t="n"/>
      <c r="M527" s="1613" t="inlineStr">
        <is>
          <t>Australia</t>
        </is>
      </c>
      <c r="N527" s="1616" t="inlineStr">
        <is>
          <t>cib</t>
        </is>
      </c>
      <c r="O527" s="1614" t="n">
        <v>1</v>
      </c>
      <c r="P527" s="1614" t="n"/>
      <c r="Q527" s="1614" t="inlineStr">
        <is>
          <t>V</t>
        </is>
      </c>
      <c r="R527" s="1616" t="n"/>
      <c r="S527" s="1616" t="n"/>
      <c r="T527" s="1627" t="n">
        <v>151950</v>
      </c>
      <c r="U527" s="1626" t="n">
        <v>151950</v>
      </c>
      <c r="V527" s="1619" t="n">
        <v>0.12</v>
      </c>
      <c r="W527" s="1622" t="n">
        <v>0.055</v>
      </c>
      <c r="X527" s="1622" t="n">
        <v>0.12</v>
      </c>
      <c r="Y527" s="1623" t="n"/>
      <c r="Z527" s="1622" t="n">
        <v>0.04</v>
      </c>
      <c r="AA527" s="1621">
        <f>U527*(1+V527+W527+X527+Y527+Z527)</f>
        <v>202853.25</v>
      </c>
      <c r="AC527" s="865" t="inlineStr">
        <is>
          <t>P&amp;C</t>
        </is>
      </c>
      <c r="AD527" s="865" t="inlineStr">
        <is>
          <t>P&amp;C</t>
        </is>
      </c>
      <c r="AE527" s="865" t="inlineStr">
        <is>
          <t>P&amp;C - RTA</t>
        </is>
      </c>
      <c r="AF527" s="865" t="inlineStr">
        <is>
          <t>Squad</t>
        </is>
      </c>
      <c r="AG527" s="865" t="inlineStr">
        <is>
          <t>Vacant</t>
        </is>
      </c>
    </row>
    <row r="528" hidden="1" ht="18" customHeight="1" s="866">
      <c r="A528" s="1566" t="inlineStr">
        <is>
          <t>V</t>
        </is>
      </c>
      <c r="B528" s="1658" t="inlineStr">
        <is>
          <t>Vacant</t>
        </is>
      </c>
      <c r="C528" s="1691" t="inlineStr">
        <is>
          <t>Quality Assurance</t>
        </is>
      </c>
      <c r="D528" s="1612" t="inlineStr">
        <is>
          <t>Vacant</t>
        </is>
      </c>
      <c r="E528" s="1382" t="inlineStr">
        <is>
          <t>Technology Manager P&amp;C Platforms</t>
        </is>
      </c>
      <c r="F528" s="1382" t="inlineStr">
        <is>
          <t>TDD Group Functions</t>
        </is>
      </c>
      <c r="G528" s="1628" t="inlineStr">
        <is>
          <t>P&amp;C, Finance &amp; Legal</t>
        </is>
      </c>
      <c r="H528" s="1612" t="inlineStr">
        <is>
          <t>Tech, P&amp;C Platforms</t>
        </is>
      </c>
      <c r="I528" s="1612" t="inlineStr">
        <is>
          <t>P&amp;C</t>
        </is>
      </c>
      <c r="J528" s="1612" t="inlineStr">
        <is>
          <t>P&amp;C</t>
        </is>
      </c>
      <c r="K528" s="1612" t="inlineStr">
        <is>
          <t>P&amp;C</t>
        </is>
      </c>
      <c r="L528" s="1612" t="n"/>
      <c r="M528" s="1613" t="inlineStr">
        <is>
          <t>Australia</t>
        </is>
      </c>
      <c r="N528" s="1614" t="inlineStr">
        <is>
          <t>CIA</t>
        </is>
      </c>
      <c r="O528" s="1614" t="n">
        <v>1</v>
      </c>
      <c r="P528" s="1614" t="n"/>
      <c r="Q528" s="1614" t="inlineStr">
        <is>
          <t>v</t>
        </is>
      </c>
      <c r="R528" s="1616" t="n"/>
      <c r="S528" s="1616" t="n"/>
      <c r="T528" s="1627" t="n">
        <v>129650</v>
      </c>
      <c r="U528" s="1626" t="n">
        <v>129650</v>
      </c>
      <c r="V528" s="1619" t="n">
        <v>0.1</v>
      </c>
      <c r="W528" s="1622" t="n">
        <v>0.055</v>
      </c>
      <c r="X528" s="1622" t="n">
        <v>0.12</v>
      </c>
      <c r="Y528" s="1623" t="n"/>
      <c r="Z528" s="1622" t="n">
        <v>0.04</v>
      </c>
      <c r="AA528" s="1621">
        <f>U528*(1+V528+W528+X528+Y528+Z528)</f>
        <v>170489.75</v>
      </c>
      <c r="AC528" s="865" t="inlineStr">
        <is>
          <t>P&amp;C</t>
        </is>
      </c>
      <c r="AD528" s="865" t="inlineStr">
        <is>
          <t>P&amp;C</t>
        </is>
      </c>
      <c r="AE528" s="865" t="inlineStr">
        <is>
          <t>P&amp;C</t>
        </is>
      </c>
      <c r="AF528" s="865" t="inlineStr">
        <is>
          <t>Squad</t>
        </is>
      </c>
      <c r="AG528" s="865" t="inlineStr">
        <is>
          <t>Vacant</t>
        </is>
      </c>
    </row>
    <row r="529" hidden="1" ht="18" customHeight="1" s="866">
      <c r="A529" s="1566" t="inlineStr">
        <is>
          <t>V</t>
        </is>
      </c>
      <c r="B529" s="1658" t="inlineStr">
        <is>
          <t>Vacant</t>
        </is>
      </c>
      <c r="C529" s="1691" t="inlineStr">
        <is>
          <t>Quality Assurance</t>
        </is>
      </c>
      <c r="D529" s="1612" t="inlineStr">
        <is>
          <t>Vacant</t>
        </is>
      </c>
      <c r="E529" s="1382" t="inlineStr">
        <is>
          <t>Technology Manager P&amp;C Platforms</t>
        </is>
      </c>
      <c r="F529" s="1382" t="inlineStr">
        <is>
          <t>TDD Group Functions</t>
        </is>
      </c>
      <c r="G529" s="1628" t="inlineStr">
        <is>
          <t>P&amp;C, Finance &amp; Legal</t>
        </is>
      </c>
      <c r="H529" s="1612" t="inlineStr">
        <is>
          <t>Tech, P&amp;C Platforms</t>
        </is>
      </c>
      <c r="I529" s="1612" t="inlineStr">
        <is>
          <t>P&amp;C</t>
        </is>
      </c>
      <c r="J529" s="1612" t="inlineStr">
        <is>
          <t>P&amp;C</t>
        </is>
      </c>
      <c r="K529" s="1612" t="inlineStr">
        <is>
          <t>P&amp;C RTA</t>
        </is>
      </c>
      <c r="L529" s="1612" t="n"/>
      <c r="M529" s="1613" t="inlineStr">
        <is>
          <t>Australia</t>
        </is>
      </c>
      <c r="N529" s="1614" t="inlineStr">
        <is>
          <t>CIA</t>
        </is>
      </c>
      <c r="O529" s="1614" t="n">
        <v>1</v>
      </c>
      <c r="P529" s="1614" t="n"/>
      <c r="Q529" s="1614" t="inlineStr">
        <is>
          <t>v</t>
        </is>
      </c>
      <c r="R529" s="1616" t="n"/>
      <c r="S529" s="1616" t="n"/>
      <c r="T529" s="1627" t="n">
        <v>129650</v>
      </c>
      <c r="U529" s="1626" t="n">
        <v>129650</v>
      </c>
      <c r="V529" s="1619" t="n">
        <v>0.1</v>
      </c>
      <c r="W529" s="1622" t="n">
        <v>0.055</v>
      </c>
      <c r="X529" s="1622" t="n">
        <v>0.12</v>
      </c>
      <c r="Y529" s="1623" t="n"/>
      <c r="Z529" s="1622" t="n">
        <v>0.04</v>
      </c>
      <c r="AA529" s="1621">
        <f>U529*(1+V529+W529+X529+Y529+Z529)</f>
        <v>170489.75</v>
      </c>
      <c r="AC529" s="865" t="inlineStr">
        <is>
          <t>P&amp;C</t>
        </is>
      </c>
      <c r="AD529" s="865" t="inlineStr">
        <is>
          <t>P&amp;C</t>
        </is>
      </c>
      <c r="AE529" s="865" t="inlineStr">
        <is>
          <t>P&amp;C - RTA</t>
        </is>
      </c>
      <c r="AF529" s="865" t="inlineStr">
        <is>
          <t>Squad</t>
        </is>
      </c>
      <c r="AG529" s="865" t="inlineStr">
        <is>
          <t>Vacant</t>
        </is>
      </c>
    </row>
    <row r="530" hidden="1" ht="18" customHeight="1" s="866">
      <c r="A530" s="1566" t="inlineStr">
        <is>
          <t>V</t>
        </is>
      </c>
      <c r="B530" s="1658" t="inlineStr">
        <is>
          <t>Vacant</t>
        </is>
      </c>
      <c r="C530" s="1691" t="inlineStr">
        <is>
          <t>Systems Specialist</t>
        </is>
      </c>
      <c r="D530" s="1612" t="inlineStr">
        <is>
          <t>Vacant</t>
        </is>
      </c>
      <c r="E530" s="1382" t="inlineStr">
        <is>
          <t>Technology Manager P&amp;C Platforms</t>
        </is>
      </c>
      <c r="F530" s="1382" t="inlineStr">
        <is>
          <t>TDD Group Functions</t>
        </is>
      </c>
      <c r="G530" s="1628" t="inlineStr">
        <is>
          <t>P&amp;C, Finance &amp; Legal</t>
        </is>
      </c>
      <c r="H530" s="1612" t="inlineStr">
        <is>
          <t>Tech, P&amp;C Platforms</t>
        </is>
      </c>
      <c r="I530" s="1598" t="inlineStr">
        <is>
          <t>P&amp;C</t>
        </is>
      </c>
      <c r="J530" s="1612" t="inlineStr">
        <is>
          <t>P&amp;C</t>
        </is>
      </c>
      <c r="K530" s="1612" t="inlineStr">
        <is>
          <t>P&amp;C RTA</t>
        </is>
      </c>
      <c r="L530" s="1612" t="n"/>
      <c r="M530" s="1613" t="inlineStr">
        <is>
          <t>Australia</t>
        </is>
      </c>
      <c r="N530" s="1616" t="inlineStr">
        <is>
          <t>CIA</t>
        </is>
      </c>
      <c r="O530" s="1616" t="n">
        <v>1</v>
      </c>
      <c r="P530" s="1616" t="n"/>
      <c r="Q530" s="1616" t="inlineStr">
        <is>
          <t>v</t>
        </is>
      </c>
      <c r="R530" s="1616" t="n"/>
      <c r="S530" s="1616" t="n"/>
      <c r="T530" s="1627" t="n">
        <v>136860</v>
      </c>
      <c r="U530" s="1626" t="n">
        <v>136860</v>
      </c>
      <c r="V530" s="1619" t="n">
        <v>0.1</v>
      </c>
      <c r="W530" s="1622" t="n">
        <v>0.055</v>
      </c>
      <c r="X530" s="1622" t="n">
        <v>0.12</v>
      </c>
      <c r="Y530" s="1623" t="n"/>
      <c r="Z530" s="1622" t="n">
        <v>0.04</v>
      </c>
      <c r="AA530" s="1621">
        <f>U530*(1+V530+W530+X530+Y530+Z530)</f>
        <v>179970.9</v>
      </c>
      <c r="AC530" s="865" t="inlineStr">
        <is>
          <t>P&amp;C</t>
        </is>
      </c>
      <c r="AD530" s="865" t="inlineStr">
        <is>
          <t>P&amp;C</t>
        </is>
      </c>
      <c r="AE530" s="865" t="inlineStr">
        <is>
          <t>P&amp;C - RTA</t>
        </is>
      </c>
      <c r="AF530" s="865" t="inlineStr">
        <is>
          <t>Squad</t>
        </is>
      </c>
      <c r="AG530" s="865" t="inlineStr">
        <is>
          <t>Vacant</t>
        </is>
      </c>
    </row>
    <row r="531" hidden="1" ht="18" customHeight="1" s="866">
      <c r="A531" s="1566" t="inlineStr">
        <is>
          <t>V</t>
        </is>
      </c>
      <c r="B531" s="1658" t="inlineStr">
        <is>
          <t>Vacant</t>
        </is>
      </c>
      <c r="C531" s="1691" t="inlineStr">
        <is>
          <t>Technology Manager - P&amp;C Platforms</t>
        </is>
      </c>
      <c r="D531" s="1612" t="inlineStr">
        <is>
          <t>Vaso Vukovic</t>
        </is>
      </c>
      <c r="E531" s="1628" t="inlineStr">
        <is>
          <t>Head of Technology - P&amp;C, Finance &amp; Legal</t>
        </is>
      </c>
      <c r="F531" s="1382" t="inlineStr">
        <is>
          <t>TDD Group Functions</t>
        </is>
      </c>
      <c r="G531" s="1628" t="inlineStr">
        <is>
          <t>P&amp;C, Finance &amp; Legal</t>
        </is>
      </c>
      <c r="H531" s="1598" t="inlineStr">
        <is>
          <t>Tech, P&amp;C Platforms</t>
        </is>
      </c>
      <c r="I531" s="1612" t="inlineStr">
        <is>
          <t>P&amp;C</t>
        </is>
      </c>
      <c r="J531" s="1612" t="inlineStr">
        <is>
          <t>P&amp;C</t>
        </is>
      </c>
      <c r="K531" s="1598" t="inlineStr">
        <is>
          <t>Leadership</t>
        </is>
      </c>
      <c r="L531" s="1612" t="n"/>
      <c r="M531" s="1613" t="inlineStr">
        <is>
          <t>Australia</t>
        </is>
      </c>
      <c r="N531" s="1614" t="inlineStr">
        <is>
          <t>CSB</t>
        </is>
      </c>
      <c r="O531" s="1614" t="n">
        <v>1</v>
      </c>
      <c r="P531" s="1614" t="n"/>
      <c r="Q531" s="1614" t="inlineStr">
        <is>
          <t>v</t>
        </is>
      </c>
      <c r="R531" s="1616" t="n"/>
      <c r="S531" s="1616" t="n"/>
      <c r="T531" s="1627" t="n">
        <v>203550</v>
      </c>
      <c r="U531" s="1626" t="n">
        <v>203550</v>
      </c>
      <c r="V531" s="1619" t="n">
        <v>0.14</v>
      </c>
      <c r="W531" s="1622" t="n">
        <v>0.055</v>
      </c>
      <c r="X531" s="1622" t="n">
        <v>0.12</v>
      </c>
      <c r="Y531" s="1623" t="n"/>
      <c r="Z531" s="1622" t="n">
        <v>0.04</v>
      </c>
      <c r="AA531" s="1621">
        <f>U531*(1+V531+W531+X531+Y531+Z531)</f>
        <v>275810.25</v>
      </c>
      <c r="AC531" s="865" t="inlineStr">
        <is>
          <t>P&amp;C</t>
        </is>
      </c>
      <c r="AD531" s="865" t="inlineStr">
        <is>
          <t>Leadership</t>
        </is>
      </c>
      <c r="AE531" s="865" t="inlineStr">
        <is>
          <t>Leadership</t>
        </is>
      </c>
      <c r="AF531" s="865" t="inlineStr">
        <is>
          <t>Leadership</t>
        </is>
      </c>
      <c r="AG531" s="865" t="inlineStr">
        <is>
          <t>Vacant</t>
        </is>
      </c>
    </row>
    <row r="532" hidden="1" ht="18" customHeight="1" s="866">
      <c r="A532" s="1566" t="inlineStr">
        <is>
          <t>V</t>
        </is>
      </c>
      <c r="B532" s="1658" t="inlineStr">
        <is>
          <t>Vacant</t>
        </is>
      </c>
      <c r="C532" s="1691" t="inlineStr">
        <is>
          <t>Delivery Manager</t>
        </is>
      </c>
      <c r="D532" s="1612" t="inlineStr">
        <is>
          <t>Vaso Vukovic</t>
        </is>
      </c>
      <c r="E532" s="1628" t="inlineStr">
        <is>
          <t>Head of Technology - P&amp;C, Finance &amp; Legal</t>
        </is>
      </c>
      <c r="F532" s="1382" t="inlineStr">
        <is>
          <t>TDD Group Functions</t>
        </is>
      </c>
      <c r="G532" s="1628" t="inlineStr">
        <is>
          <t>P&amp;C, Finance &amp; Legal</t>
        </is>
      </c>
      <c r="H532" s="1612" t="inlineStr">
        <is>
          <t>Delivery, P&amp;C, Finance &amp; Legal</t>
        </is>
      </c>
      <c r="I532" s="1612" t="inlineStr">
        <is>
          <t>P&amp;C, Finance &amp; Legal</t>
        </is>
      </c>
      <c r="J532" s="1612" t="inlineStr">
        <is>
          <t>P&amp;C, Finance &amp; Legal</t>
        </is>
      </c>
      <c r="K532" s="1612" t="inlineStr">
        <is>
          <t>Leadership</t>
        </is>
      </c>
      <c r="L532" s="1612" t="n"/>
      <c r="M532" s="1613" t="inlineStr">
        <is>
          <t>Australia</t>
        </is>
      </c>
      <c r="N532" s="1614" t="inlineStr">
        <is>
          <t>CSB</t>
        </is>
      </c>
      <c r="O532" s="1614" t="n">
        <v>1</v>
      </c>
      <c r="P532" s="1614" t="n"/>
      <c r="Q532" s="1614" t="inlineStr">
        <is>
          <t>V</t>
        </is>
      </c>
      <c r="R532" s="1616" t="n"/>
      <c r="S532" s="1616" t="n"/>
      <c r="T532" s="1627" t="n">
        <v>203550</v>
      </c>
      <c r="U532" s="1626" t="n">
        <v>203550</v>
      </c>
      <c r="V532" s="1619" t="n">
        <v>0.14</v>
      </c>
      <c r="W532" s="1622" t="n">
        <v>0.055</v>
      </c>
      <c r="X532" s="1622" t="n">
        <v>0.12</v>
      </c>
      <c r="Y532" s="1623" t="n"/>
      <c r="Z532" s="1622" t="n">
        <v>0.04</v>
      </c>
      <c r="AA532" s="1621">
        <f>U532*(1+V532+W532+X532+Y532+Z532)</f>
        <v>275810.25</v>
      </c>
      <c r="AC532" s="865" t="inlineStr">
        <is>
          <t>P&amp;C</t>
        </is>
      </c>
      <c r="AD532" s="865" t="inlineStr">
        <is>
          <t>Leadership</t>
        </is>
      </c>
      <c r="AE532" s="865" t="inlineStr">
        <is>
          <t>Leadership</t>
        </is>
      </c>
      <c r="AF532" s="865" t="inlineStr">
        <is>
          <t>Leadership</t>
        </is>
      </c>
      <c r="AG532" s="865" t="inlineStr">
        <is>
          <t>Vacant</t>
        </is>
      </c>
    </row>
    <row r="533" hidden="1" ht="18" customHeight="1" s="866">
      <c r="A533" s="1566" t="inlineStr">
        <is>
          <t>V</t>
        </is>
      </c>
      <c r="B533" s="1382" t="inlineStr">
        <is>
          <t>Vacant</t>
        </is>
      </c>
      <c r="C533" s="1611" t="inlineStr">
        <is>
          <t>Head of Technology - TDD &amp; Engineering Capability Lead</t>
        </is>
      </c>
      <c r="D533" s="1628" t="inlineStr">
        <is>
          <t>Emily Mogic</t>
        </is>
      </c>
      <c r="E533" s="1382" t="inlineStr">
        <is>
          <t>GM TDD, Group Function</t>
        </is>
      </c>
      <c r="F533" s="1382" t="inlineStr">
        <is>
          <t>TDD Group Functions</t>
        </is>
      </c>
      <c r="G533" s="1612" t="inlineStr">
        <is>
          <t xml:space="preserve">TDD &amp; Engineering </t>
        </is>
      </c>
      <c r="H533" s="1612" t="inlineStr">
        <is>
          <t>na</t>
        </is>
      </c>
      <c r="I533" s="1612" t="inlineStr">
        <is>
          <t>TDD</t>
        </is>
      </c>
      <c r="J533" s="1612" t="inlineStr">
        <is>
          <t>TDD</t>
        </is>
      </c>
      <c r="K533" s="1612" t="inlineStr">
        <is>
          <t>Leadership</t>
        </is>
      </c>
      <c r="L533" s="1612" t="n"/>
      <c r="M533" s="1613" t="inlineStr">
        <is>
          <t>Australia</t>
        </is>
      </c>
      <c r="N533" s="1614" t="inlineStr">
        <is>
          <t>CSC</t>
        </is>
      </c>
      <c r="O533" s="1614" t="n">
        <v>1</v>
      </c>
      <c r="P533" s="1614" t="n"/>
      <c r="Q533" s="1614" t="inlineStr">
        <is>
          <t>v</t>
        </is>
      </c>
      <c r="R533" s="1616" t="n"/>
      <c r="S533" s="1616" t="n"/>
      <c r="T533" s="1627" t="n">
        <v>235350</v>
      </c>
      <c r="U533" s="1626" t="n">
        <v>235350</v>
      </c>
      <c r="V533" s="1619" t="n">
        <v>0.2</v>
      </c>
      <c r="W533" s="1622" t="n">
        <v>0.055</v>
      </c>
      <c r="X533" s="1622" t="n">
        <v>0.12</v>
      </c>
      <c r="Y533" s="1623" t="n"/>
      <c r="Z533" s="1622" t="n">
        <v>0.04</v>
      </c>
      <c r="AA533" s="1621">
        <f>U533*(1+V533+W533+X533+Y533+Z533)</f>
        <v>333020.25</v>
      </c>
      <c r="AC533" s="865" t="inlineStr">
        <is>
          <t>TDD Group Functions</t>
        </is>
      </c>
      <c r="AD533" s="865" t="inlineStr">
        <is>
          <t>Leadership</t>
        </is>
      </c>
      <c r="AE533" s="865" t="inlineStr">
        <is>
          <t>Leadership</t>
        </is>
      </c>
      <c r="AF533" s="865" t="inlineStr">
        <is>
          <t>Leadership</t>
        </is>
      </c>
      <c r="AG533" s="865" t="inlineStr">
        <is>
          <t>Vacant</t>
        </is>
      </c>
    </row>
    <row r="534" hidden="1" ht="18" customHeight="1" s="866">
      <c r="A534" s="1566" t="inlineStr">
        <is>
          <t>V</t>
        </is>
      </c>
      <c r="B534" s="1658" t="inlineStr">
        <is>
          <t>Vacant</t>
        </is>
      </c>
      <c r="C534" s="1691" t="inlineStr">
        <is>
          <t>Infrastructure Operations Lead</t>
        </is>
      </c>
      <c r="D534" s="1612" t="inlineStr">
        <is>
          <t>John McCormack</t>
        </is>
      </c>
      <c r="E534" s="1628" t="inlineStr">
        <is>
          <t>Manager - Infrastructure Operations</t>
        </is>
      </c>
      <c r="F534" s="1382" t="inlineStr">
        <is>
          <t>TDD Group Functions</t>
        </is>
      </c>
      <c r="G534" s="1612" t="inlineStr">
        <is>
          <t>TDD &amp; Engineering</t>
        </is>
      </c>
      <c r="H534" s="1612" t="inlineStr">
        <is>
          <t>Cloud, Network &amp; Infra</t>
        </is>
      </c>
      <c r="I534" s="1382" t="inlineStr">
        <is>
          <t>TDD</t>
        </is>
      </c>
      <c r="J534" s="1612" t="inlineStr">
        <is>
          <t>TDD</t>
        </is>
      </c>
      <c r="K534" s="1612" t="inlineStr">
        <is>
          <t>Cloud, Network &amp; Infra Ops</t>
        </is>
      </c>
      <c r="L534" s="1612" t="n"/>
      <c r="M534" s="1613" t="inlineStr">
        <is>
          <t>Australia</t>
        </is>
      </c>
      <c r="N534" s="1614" t="inlineStr">
        <is>
          <t>CIB</t>
        </is>
      </c>
      <c r="O534" s="1614" t="n">
        <v>1</v>
      </c>
      <c r="P534" s="1614" t="n"/>
      <c r="Q534" s="1614" t="inlineStr">
        <is>
          <t>v</t>
        </is>
      </c>
      <c r="R534" s="1616" t="n"/>
      <c r="S534" s="1616" t="n"/>
      <c r="T534" s="1627" t="n">
        <v>151950</v>
      </c>
      <c r="U534" s="1626" t="n">
        <v>151950</v>
      </c>
      <c r="V534" s="1619" t="n">
        <v>0.12</v>
      </c>
      <c r="W534" s="1622" t="n">
        <v>0.055</v>
      </c>
      <c r="X534" s="1622" t="n">
        <v>0.12</v>
      </c>
      <c r="Y534" s="1623" t="n"/>
      <c r="Z534" s="1622" t="n">
        <v>0.04</v>
      </c>
      <c r="AA534" s="1621">
        <f>U534*(1+V534+W534+X534+Y534+Z534)</f>
        <v>202853.25</v>
      </c>
      <c r="AC534" s="865" t="inlineStr">
        <is>
          <t>TDD Group Functions</t>
        </is>
      </c>
      <c r="AD534" s="865" t="inlineStr">
        <is>
          <t>TDD Group Functions</t>
        </is>
      </c>
      <c r="AE534" s="865" t="inlineStr">
        <is>
          <t>Network &amp; Infrastructure</t>
        </is>
      </c>
      <c r="AF534" s="865" t="inlineStr">
        <is>
          <t>Squad</t>
        </is>
      </c>
      <c r="AG534" s="865" t="inlineStr">
        <is>
          <t>Vacant</t>
        </is>
      </c>
    </row>
    <row r="535" hidden="1" ht="18" customHeight="1" s="866">
      <c r="A535" s="1566" t="inlineStr">
        <is>
          <t>V</t>
        </is>
      </c>
      <c r="B535" s="1658" t="inlineStr">
        <is>
          <t>Vacant</t>
        </is>
      </c>
      <c r="C535" s="1691" t="inlineStr">
        <is>
          <t>RPA Lead</t>
        </is>
      </c>
      <c r="D535" s="1382" t="inlineStr">
        <is>
          <t>Mike Seales</t>
        </is>
      </c>
      <c r="E535" s="1382" t="inlineStr">
        <is>
          <t>Technology Manager Integration &amp; Process Managemetn</t>
        </is>
      </c>
      <c r="F535" s="1382" t="inlineStr">
        <is>
          <t>TDD Group Functions</t>
        </is>
      </c>
      <c r="G535" s="1612" t="inlineStr">
        <is>
          <t xml:space="preserve">TDD &amp; Engineering </t>
        </is>
      </c>
      <c r="H535" s="1382" t="inlineStr">
        <is>
          <t>Integration &amp; Process Management</t>
        </is>
      </c>
      <c r="I535" s="1382" t="inlineStr">
        <is>
          <t>TDD</t>
        </is>
      </c>
      <c r="J535" s="1612" t="inlineStr">
        <is>
          <t>TDD</t>
        </is>
      </c>
      <c r="K535" s="1612" t="inlineStr">
        <is>
          <t>Integration &amp; Process automation</t>
        </is>
      </c>
      <c r="L535" s="1612" t="n"/>
      <c r="M535" s="1613" t="inlineStr">
        <is>
          <t>Australia</t>
        </is>
      </c>
      <c r="N535" s="1614" t="inlineStr">
        <is>
          <t>CIC</t>
        </is>
      </c>
      <c r="O535" s="1614" t="n">
        <v>1</v>
      </c>
      <c r="P535" s="1614" t="n"/>
      <c r="Q535" s="1614" t="inlineStr">
        <is>
          <t>v</t>
        </is>
      </c>
      <c r="R535" s="1616" t="n"/>
      <c r="S535" s="1616" t="n"/>
      <c r="T535" s="1627" t="n">
        <v>173550</v>
      </c>
      <c r="U535" s="1626" t="n">
        <v>173550</v>
      </c>
      <c r="V535" s="1619" t="n">
        <v>0.12</v>
      </c>
      <c r="W535" s="1622" t="n">
        <v>0.055</v>
      </c>
      <c r="X535" s="1622" t="n">
        <v>0.12</v>
      </c>
      <c r="Y535" s="1623" t="n"/>
      <c r="Z535" s="1622" t="n">
        <v>0.04</v>
      </c>
      <c r="AA535" s="1621">
        <f>U535*(1+V535+W535+X535+Y535+Z535)</f>
        <v>231689.25</v>
      </c>
      <c r="AC535" s="865" t="inlineStr">
        <is>
          <t>TDD Group Functions</t>
        </is>
      </c>
      <c r="AD535" s="865" t="inlineStr">
        <is>
          <t>TDD Group Functions</t>
        </is>
      </c>
      <c r="AE535" s="865" t="inlineStr">
        <is>
          <t>Integration</t>
        </is>
      </c>
      <c r="AF535" s="865" t="inlineStr">
        <is>
          <t>Squad</t>
        </is>
      </c>
      <c r="AG535" s="865" t="inlineStr">
        <is>
          <t>Vacant</t>
        </is>
      </c>
    </row>
    <row r="536" hidden="1" ht="18" customHeight="1" s="866">
      <c r="A536" s="1566" t="inlineStr">
        <is>
          <t>V</t>
        </is>
      </c>
      <c r="B536" s="1658" t="inlineStr">
        <is>
          <t>Vacant</t>
        </is>
      </c>
      <c r="C536" s="1691" t="inlineStr">
        <is>
          <t>Senior Engineer (Automation Test)</t>
        </is>
      </c>
      <c r="D536" s="1658" t="inlineStr">
        <is>
          <t>Shobhit Mittal</t>
        </is>
      </c>
      <c r="E536" s="1628" t="inlineStr">
        <is>
          <t>Lead Engineer (Automation Test)</t>
        </is>
      </c>
      <c r="F536" s="1612" t="inlineStr">
        <is>
          <t>TDD Group Functions</t>
        </is>
      </c>
      <c r="G536" s="1612" t="inlineStr">
        <is>
          <t>TDD &amp; Engineering</t>
        </is>
      </c>
      <c r="H536" s="1612" t="inlineStr">
        <is>
          <t>DevOps &amp; QE</t>
        </is>
      </c>
      <c r="I536" s="1382" t="inlineStr">
        <is>
          <t>TDD</t>
        </is>
      </c>
      <c r="J536" s="1612" t="inlineStr">
        <is>
          <t>TDD</t>
        </is>
      </c>
      <c r="K536" s="1612" t="inlineStr">
        <is>
          <t>DevOps &amp; QE</t>
        </is>
      </c>
      <c r="L536" s="1612" t="n"/>
      <c r="M536" s="1613" t="inlineStr">
        <is>
          <t>Australia</t>
        </is>
      </c>
      <c r="N536" s="1614" t="inlineStr">
        <is>
          <t>CIB</t>
        </is>
      </c>
      <c r="O536" s="1614" t="n">
        <v>1</v>
      </c>
      <c r="P536" s="1614" t="n"/>
      <c r="Q536" s="1614" t="inlineStr">
        <is>
          <t>v</t>
        </is>
      </c>
      <c r="R536" s="1616" t="n"/>
      <c r="S536" s="1616" t="n"/>
      <c r="T536" s="1627" t="n">
        <v>151950</v>
      </c>
      <c r="U536" s="1626" t="n">
        <v>151950</v>
      </c>
      <c r="V536" s="1619" t="n">
        <v>0.12</v>
      </c>
      <c r="W536" s="1622" t="n">
        <v>0.055</v>
      </c>
      <c r="X536" s="1622" t="n">
        <v>0.12</v>
      </c>
      <c r="Y536" s="1623" t="n"/>
      <c r="Z536" s="1622" t="n">
        <v>0.04</v>
      </c>
      <c r="AA536" s="1621">
        <f>U536*(1+V536+W536+X536+Y536+Z536)</f>
        <v>202853.25</v>
      </c>
      <c r="AC536" s="865" t="inlineStr">
        <is>
          <t>TDD Group Functions</t>
        </is>
      </c>
      <c r="AD536" s="865" t="inlineStr">
        <is>
          <t>TDD Group Functions</t>
        </is>
      </c>
      <c r="AE536" s="865" t="inlineStr">
        <is>
          <t>DevOps &amp; Engineering</t>
        </is>
      </c>
      <c r="AF536" s="865" t="inlineStr">
        <is>
          <t>Squad</t>
        </is>
      </c>
      <c r="AG536" s="865" t="inlineStr">
        <is>
          <t>Vacant</t>
        </is>
      </c>
    </row>
    <row r="537" hidden="1" ht="18" customHeight="1" s="866">
      <c r="A537" s="1566" t="inlineStr">
        <is>
          <t>V</t>
        </is>
      </c>
      <c r="B537" s="1658" t="inlineStr">
        <is>
          <t>Vacant</t>
        </is>
      </c>
      <c r="C537" s="1691" t="inlineStr">
        <is>
          <t>Business Analyst (Integrations)</t>
        </is>
      </c>
      <c r="D537" s="1382" t="inlineStr">
        <is>
          <t>Vacant</t>
        </is>
      </c>
      <c r="E537" s="1382" t="inlineStr">
        <is>
          <t>Delivery Manager</t>
        </is>
      </c>
      <c r="F537" s="1382" t="inlineStr">
        <is>
          <t>TDD Group Functions</t>
        </is>
      </c>
      <c r="G537" s="1612" t="inlineStr">
        <is>
          <t xml:space="preserve">TDD &amp; Engineering </t>
        </is>
      </c>
      <c r="H537" s="1382" t="inlineStr">
        <is>
          <t>Delivery, TDD &amp; Engineering</t>
        </is>
      </c>
      <c r="I537" s="1382" t="inlineStr">
        <is>
          <t>TDD</t>
        </is>
      </c>
      <c r="J537" s="1612" t="inlineStr">
        <is>
          <t>TDD</t>
        </is>
      </c>
      <c r="K537" s="1612" t="inlineStr">
        <is>
          <t>Integration &amp; Process Automation</t>
        </is>
      </c>
      <c r="L537" s="1612" t="n"/>
      <c r="M537" s="1613" t="inlineStr">
        <is>
          <t>Australia</t>
        </is>
      </c>
      <c r="N537" s="1614" t="inlineStr">
        <is>
          <t>CIB</t>
        </is>
      </c>
      <c r="O537" s="1614" t="n">
        <v>1</v>
      </c>
      <c r="P537" s="1614" t="n"/>
      <c r="Q537" s="1614" t="inlineStr">
        <is>
          <t>V</t>
        </is>
      </c>
      <c r="R537" s="1616" t="n"/>
      <c r="S537" s="1616" t="n"/>
      <c r="T537" s="1627" t="n">
        <v>151000</v>
      </c>
      <c r="U537" s="1626" t="n">
        <v>151000</v>
      </c>
      <c r="V537" s="1619" t="n">
        <v>0.12</v>
      </c>
      <c r="W537" s="1622" t="n">
        <v>0.055</v>
      </c>
      <c r="X537" s="1622" t="n">
        <v>0.12</v>
      </c>
      <c r="Y537" s="1623" t="n"/>
      <c r="Z537" s="1622" t="n">
        <v>0.04</v>
      </c>
      <c r="AA537" s="1621">
        <f>U537*(1+V537+W537+X537+Y537+Z537)</f>
        <v>201585</v>
      </c>
      <c r="AC537" s="865" t="inlineStr">
        <is>
          <t>TDD Group Functions</t>
        </is>
      </c>
      <c r="AD537" s="865" t="inlineStr">
        <is>
          <t>TDD Group Functions</t>
        </is>
      </c>
      <c r="AE537" s="865" t="inlineStr">
        <is>
          <t>Integration</t>
        </is>
      </c>
      <c r="AF537" s="865" t="inlineStr">
        <is>
          <t>Squad</t>
        </is>
      </c>
      <c r="AG537" s="865" t="inlineStr">
        <is>
          <t>Vacant</t>
        </is>
      </c>
    </row>
    <row r="538" hidden="1" ht="18" customHeight="1" s="866">
      <c r="A538" s="1566" t="inlineStr">
        <is>
          <t>V</t>
        </is>
      </c>
      <c r="B538" s="1658" t="inlineStr">
        <is>
          <t>Vacant</t>
        </is>
      </c>
      <c r="C538" s="1691" t="inlineStr">
        <is>
          <t>Business Analyst (Workplace &amp; Enterprise Tooling)</t>
        </is>
      </c>
      <c r="D538" s="1612" t="inlineStr">
        <is>
          <t>Vacant</t>
        </is>
      </c>
      <c r="E538" s="1628" t="inlineStr">
        <is>
          <t xml:space="preserve">Delivery Manager </t>
        </is>
      </c>
      <c r="F538" s="1382" t="inlineStr">
        <is>
          <t>TDD Group Functions</t>
        </is>
      </c>
      <c r="G538" s="1612" t="inlineStr">
        <is>
          <t>TDD &amp; Engineering</t>
        </is>
      </c>
      <c r="H538" s="1382" t="inlineStr">
        <is>
          <t>Delivery, TDD &amp; Engineering</t>
        </is>
      </c>
      <c r="I538" s="1382" t="inlineStr">
        <is>
          <t>TDD</t>
        </is>
      </c>
      <c r="J538" s="1612" t="inlineStr">
        <is>
          <t>TDD</t>
        </is>
      </c>
      <c r="K538" s="1612" t="inlineStr">
        <is>
          <t>Workplace &amp; Enterprise Tooling</t>
        </is>
      </c>
      <c r="L538" s="1612" t="n"/>
      <c r="M538" s="1613" t="inlineStr">
        <is>
          <t>Australia</t>
        </is>
      </c>
      <c r="N538" s="1614" t="inlineStr">
        <is>
          <t>CIB</t>
        </is>
      </c>
      <c r="O538" s="1614" t="n">
        <v>1</v>
      </c>
      <c r="P538" s="1614" t="n"/>
      <c r="Q538" s="1614" t="inlineStr">
        <is>
          <t>V</t>
        </is>
      </c>
      <c r="R538" s="1616" t="n"/>
      <c r="S538" s="1616" t="n"/>
      <c r="T538" s="1627" t="n">
        <v>151000</v>
      </c>
      <c r="U538" s="1626" t="n">
        <v>151000</v>
      </c>
      <c r="V538" s="1619" t="n">
        <v>0.12</v>
      </c>
      <c r="W538" s="1622" t="n">
        <v>0.055</v>
      </c>
      <c r="X538" s="1622" t="n">
        <v>0.12</v>
      </c>
      <c r="Y538" s="1623" t="n"/>
      <c r="Z538" s="1622" t="n">
        <v>0.04</v>
      </c>
      <c r="AA538" s="1621">
        <f>U538*(1+V538+W538+X538+Y538+Z538)</f>
        <v>201585</v>
      </c>
      <c r="AC538" s="865" t="inlineStr">
        <is>
          <t>TDD Group Functions</t>
        </is>
      </c>
      <c r="AD538" s="865" t="inlineStr">
        <is>
          <t>TDD Group Functions</t>
        </is>
      </c>
      <c r="AE538" s="865" t="inlineStr">
        <is>
          <t>Workplace &amp; Enterprise Tooling</t>
        </is>
      </c>
      <c r="AF538" s="865" t="inlineStr">
        <is>
          <t>Squad</t>
        </is>
      </c>
      <c r="AG538" s="865" t="inlineStr">
        <is>
          <t>Vacant</t>
        </is>
      </c>
    </row>
    <row r="539" hidden="1" ht="18" customHeight="1" s="866">
      <c r="A539" s="1566" t="inlineStr">
        <is>
          <t>V</t>
        </is>
      </c>
      <c r="B539" s="1658" t="inlineStr">
        <is>
          <t>Vacant</t>
        </is>
      </c>
      <c r="C539" s="1691" t="inlineStr">
        <is>
          <t>Delivery Manager</t>
        </is>
      </c>
      <c r="D539" s="1612" t="inlineStr">
        <is>
          <t>Vacant</t>
        </is>
      </c>
      <c r="E539" s="1628" t="inlineStr">
        <is>
          <t>Head of Technology - TDD &amp; Engineering Capability Lead</t>
        </is>
      </c>
      <c r="F539" s="1382" t="inlineStr">
        <is>
          <t>TDD Group Functions</t>
        </is>
      </c>
      <c r="G539" s="1612" t="inlineStr">
        <is>
          <t xml:space="preserve">TDD &amp; Engineering </t>
        </is>
      </c>
      <c r="H539" s="1612" t="n"/>
      <c r="I539" s="1612" t="inlineStr">
        <is>
          <t>TDD</t>
        </is>
      </c>
      <c r="J539" s="1612" t="inlineStr">
        <is>
          <t>TDD</t>
        </is>
      </c>
      <c r="K539" s="1612" t="inlineStr">
        <is>
          <t>Leadership</t>
        </is>
      </c>
      <c r="L539" s="1612" t="n"/>
      <c r="M539" s="1613" t="inlineStr">
        <is>
          <t>Australia</t>
        </is>
      </c>
      <c r="N539" s="1614" t="inlineStr">
        <is>
          <t>CSB</t>
        </is>
      </c>
      <c r="O539" s="1614" t="n">
        <v>1</v>
      </c>
      <c r="P539" s="1614" t="n"/>
      <c r="Q539" s="1614" t="inlineStr">
        <is>
          <t>V</t>
        </is>
      </c>
      <c r="R539" s="1616" t="n"/>
      <c r="S539" s="1616" t="n"/>
      <c r="T539" s="1627" t="n">
        <v>203550</v>
      </c>
      <c r="U539" s="1626" t="n">
        <v>203550</v>
      </c>
      <c r="V539" s="1619" t="n">
        <v>0.14</v>
      </c>
      <c r="W539" s="1622" t="n">
        <v>0.055</v>
      </c>
      <c r="X539" s="1622" t="n">
        <v>0.12</v>
      </c>
      <c r="Y539" s="1623" t="n"/>
      <c r="Z539" s="1622" t="n">
        <v>0.04</v>
      </c>
      <c r="AA539" s="1621">
        <f>U539*(1+V539+W539+X539+Y539+Z539)</f>
        <v>275810.25</v>
      </c>
      <c r="AC539" s="865" t="inlineStr">
        <is>
          <t>TDD Group Functions</t>
        </is>
      </c>
      <c r="AD539" s="865" t="inlineStr">
        <is>
          <t>Leadership</t>
        </is>
      </c>
      <c r="AE539" s="865" t="inlineStr">
        <is>
          <t>Leadership</t>
        </is>
      </c>
      <c r="AF539" s="865" t="inlineStr">
        <is>
          <t>Leadership</t>
        </is>
      </c>
      <c r="AG539" s="865" t="inlineStr">
        <is>
          <t>Vacant</t>
        </is>
      </c>
    </row>
    <row r="540" hidden="1" ht="18" customHeight="1" s="866">
      <c r="A540" s="1566" t="inlineStr">
        <is>
          <t>V</t>
        </is>
      </c>
      <c r="B540" s="1658" t="inlineStr">
        <is>
          <t>Vacant</t>
        </is>
      </c>
      <c r="C540" s="1691" t="inlineStr">
        <is>
          <t>Enterprise Systems Specialist</t>
        </is>
      </c>
      <c r="D540" s="1612" t="inlineStr">
        <is>
          <t>Vacant</t>
        </is>
      </c>
      <c r="E540" s="1382" t="inlineStr">
        <is>
          <t>Technology Manager, Enterprise Tooling</t>
        </is>
      </c>
      <c r="F540" s="1382" t="inlineStr">
        <is>
          <t>TDD Group Functions</t>
        </is>
      </c>
      <c r="G540" s="1612" t="inlineStr">
        <is>
          <t xml:space="preserve">TDD &amp; Engineering </t>
        </is>
      </c>
      <c r="H540" s="1382" t="inlineStr">
        <is>
          <t>Workplace &amp; Enterprise Tooling</t>
        </is>
      </c>
      <c r="I540" s="1382" t="inlineStr">
        <is>
          <t>TDD</t>
        </is>
      </c>
      <c r="J540" s="1612" t="inlineStr">
        <is>
          <t>TDD</t>
        </is>
      </c>
      <c r="K540" s="1612" t="inlineStr">
        <is>
          <t>Workplace &amp; Enterprise Tooling</t>
        </is>
      </c>
      <c r="L540" s="1612" t="n"/>
      <c r="M540" s="1613" t="inlineStr">
        <is>
          <t>Australia</t>
        </is>
      </c>
      <c r="N540" s="1614" t="inlineStr">
        <is>
          <t>CIB</t>
        </is>
      </c>
      <c r="O540" s="1614" t="n">
        <v>1</v>
      </c>
      <c r="P540" s="1614" t="n"/>
      <c r="Q540" s="1614" t="inlineStr">
        <is>
          <t>V</t>
        </is>
      </c>
      <c r="R540" s="1616" t="n"/>
      <c r="S540" s="1616" t="n"/>
      <c r="T540" s="1627" t="n">
        <v>151950</v>
      </c>
      <c r="U540" s="1626" t="n">
        <v>151950</v>
      </c>
      <c r="V540" s="1619" t="n">
        <v>0.12</v>
      </c>
      <c r="W540" s="1622" t="n">
        <v>0.055</v>
      </c>
      <c r="X540" s="1622" t="n">
        <v>0.12</v>
      </c>
      <c r="Y540" s="1623" t="n"/>
      <c r="Z540" s="1622" t="n">
        <v>0.04</v>
      </c>
      <c r="AA540" s="1621">
        <f>U540*(1+V540+W540+X540+Y540+Z540)</f>
        <v>202853.25</v>
      </c>
      <c r="AC540" s="865" t="inlineStr">
        <is>
          <t>TDD Group Functions</t>
        </is>
      </c>
      <c r="AD540" s="865" t="inlineStr">
        <is>
          <t>TDD Group Functions</t>
        </is>
      </c>
      <c r="AE540" s="865" t="inlineStr">
        <is>
          <t>Workplace &amp; Enterprise Tooling</t>
        </is>
      </c>
      <c r="AF540" s="865" t="inlineStr">
        <is>
          <t>Squad</t>
        </is>
      </c>
      <c r="AG540" s="865" t="inlineStr">
        <is>
          <t>Vacant</t>
        </is>
      </c>
    </row>
    <row r="541" hidden="1" ht="18" customHeight="1" s="866">
      <c r="A541" s="1566" t="inlineStr">
        <is>
          <t>V</t>
        </is>
      </c>
      <c r="B541" s="1658" t="inlineStr">
        <is>
          <t>vacant</t>
        </is>
      </c>
      <c r="C541" s="1691" t="inlineStr">
        <is>
          <t>Environments and Test Data Manager</t>
        </is>
      </c>
      <c r="D541" s="1658" t="inlineStr">
        <is>
          <t>Vacant</t>
        </is>
      </c>
      <c r="E541" s="1628" t="inlineStr">
        <is>
          <t>Technology Manager - DevOps and Quality Engineering</t>
        </is>
      </c>
      <c r="F541" s="1612" t="inlineStr">
        <is>
          <t>TDD Group Functions</t>
        </is>
      </c>
      <c r="G541" s="1612" t="inlineStr">
        <is>
          <t>TDD &amp; Engineering</t>
        </is>
      </c>
      <c r="H541" s="1612" t="inlineStr">
        <is>
          <t>DevOps &amp; QE</t>
        </is>
      </c>
      <c r="I541" s="1382" t="inlineStr">
        <is>
          <t>TDD</t>
        </is>
      </c>
      <c r="J541" s="1612" t="inlineStr">
        <is>
          <t>TDD</t>
        </is>
      </c>
      <c r="K541" s="1612" t="inlineStr">
        <is>
          <t>DevOps &amp; QE</t>
        </is>
      </c>
      <c r="L541" s="1612" t="n"/>
      <c r="M541" s="1613" t="inlineStr">
        <is>
          <t>Australia</t>
        </is>
      </c>
      <c r="N541" s="1614" t="inlineStr">
        <is>
          <t>CIB</t>
        </is>
      </c>
      <c r="O541" s="1614" t="n">
        <v>1</v>
      </c>
      <c r="P541" s="1614" t="n"/>
      <c r="Q541" s="1614" t="inlineStr">
        <is>
          <t>V</t>
        </is>
      </c>
      <c r="R541" s="1616" t="n"/>
      <c r="S541" s="1616" t="n"/>
      <c r="T541" s="1627" t="n">
        <v>151950</v>
      </c>
      <c r="U541" s="1626" t="n">
        <v>151950</v>
      </c>
      <c r="V541" s="1619" t="n">
        <v>0.12</v>
      </c>
      <c r="W541" s="1622" t="n">
        <v>0.055</v>
      </c>
      <c r="X541" s="1622" t="n">
        <v>0.12</v>
      </c>
      <c r="Y541" s="1623" t="n"/>
      <c r="Z541" s="1622" t="n">
        <v>0.04</v>
      </c>
      <c r="AA541" s="1621">
        <f>U541*(1+V541+W541+X541+Y541+Z541)</f>
        <v>202853.25</v>
      </c>
      <c r="AC541" s="865" t="inlineStr">
        <is>
          <t>TDD Group Functions</t>
        </is>
      </c>
      <c r="AD541" s="865" t="inlineStr">
        <is>
          <t>TDD Group Functions</t>
        </is>
      </c>
      <c r="AE541" s="865" t="inlineStr">
        <is>
          <t>DevOps &amp; Engineering</t>
        </is>
      </c>
      <c r="AF541" s="865" t="inlineStr">
        <is>
          <t>Squad</t>
        </is>
      </c>
      <c r="AG541" s="865" t="inlineStr">
        <is>
          <t>Vacant</t>
        </is>
      </c>
    </row>
    <row r="542" hidden="1" ht="18" customHeight="1" s="866">
      <c r="A542" s="1566" t="inlineStr">
        <is>
          <t>V</t>
        </is>
      </c>
      <c r="B542" s="1658" t="inlineStr">
        <is>
          <t>Vacant</t>
        </is>
      </c>
      <c r="C542" s="1691" t="inlineStr">
        <is>
          <t>Lead Engineer (Automation Test)</t>
        </is>
      </c>
      <c r="D542" s="1658" t="inlineStr">
        <is>
          <t>Vacant</t>
        </is>
      </c>
      <c r="E542" s="1628" t="inlineStr">
        <is>
          <t>Technology Manager - DevOps and Quality Engineering</t>
        </is>
      </c>
      <c r="F542" s="1612" t="inlineStr">
        <is>
          <t>TDD Group Functions</t>
        </is>
      </c>
      <c r="G542" s="1612" t="inlineStr">
        <is>
          <t>TDD &amp; Engineering</t>
        </is>
      </c>
      <c r="H542" s="1612" t="inlineStr">
        <is>
          <t>DevOps &amp; QE</t>
        </is>
      </c>
      <c r="I542" s="1382" t="inlineStr">
        <is>
          <t>TDD</t>
        </is>
      </c>
      <c r="J542" s="1612" t="inlineStr">
        <is>
          <t>TDD</t>
        </is>
      </c>
      <c r="K542" s="1612" t="inlineStr">
        <is>
          <t>DevOps &amp; QE</t>
        </is>
      </c>
      <c r="L542" s="1612" t="n"/>
      <c r="M542" s="1613" t="inlineStr">
        <is>
          <t>Australia</t>
        </is>
      </c>
      <c r="N542" s="1614" t="inlineStr">
        <is>
          <t>CIC</t>
        </is>
      </c>
      <c r="O542" s="1614" t="n">
        <v>1</v>
      </c>
      <c r="P542" s="1614" t="n"/>
      <c r="Q542" s="1614" t="inlineStr">
        <is>
          <t>v</t>
        </is>
      </c>
      <c r="R542" s="1616" t="n"/>
      <c r="S542" s="1616" t="n"/>
      <c r="T542" s="1627" t="n">
        <v>173550</v>
      </c>
      <c r="U542" s="1626" t="n">
        <v>173550</v>
      </c>
      <c r="V542" s="1619" t="n">
        <v>0.12</v>
      </c>
      <c r="W542" s="1622" t="n">
        <v>0.055</v>
      </c>
      <c r="X542" s="1622" t="n">
        <v>0.12</v>
      </c>
      <c r="Y542" s="1623" t="n"/>
      <c r="Z542" s="1622" t="n">
        <v>0.04</v>
      </c>
      <c r="AA542" s="1621">
        <f>U542*(1+V542+W542+X542+Y542+Z542)</f>
        <v>231689.25</v>
      </c>
      <c r="AC542" s="865" t="inlineStr">
        <is>
          <t>TDD Group Functions</t>
        </is>
      </c>
      <c r="AD542" s="865" t="inlineStr">
        <is>
          <t>TDD Group Functions</t>
        </is>
      </c>
      <c r="AE542" s="865" t="inlineStr">
        <is>
          <t>DevOps &amp; Engineering</t>
        </is>
      </c>
      <c r="AF542" s="865" t="inlineStr">
        <is>
          <t>Squad</t>
        </is>
      </c>
      <c r="AG542" s="865" t="inlineStr">
        <is>
          <t>Vacant</t>
        </is>
      </c>
    </row>
    <row r="543" hidden="1" ht="18" customHeight="1" s="866">
      <c r="A543" s="1566" t="inlineStr">
        <is>
          <t>V</t>
        </is>
      </c>
      <c r="B543" s="1658" t="inlineStr">
        <is>
          <t>vacant</t>
        </is>
      </c>
      <c r="C543" s="1691" t="inlineStr">
        <is>
          <t>Lead Engineer Software</t>
        </is>
      </c>
      <c r="D543" s="1658" t="inlineStr">
        <is>
          <t>Vacant</t>
        </is>
      </c>
      <c r="E543" s="1628" t="inlineStr">
        <is>
          <t>Technology Manager - DevOps and Quality Engineering</t>
        </is>
      </c>
      <c r="F543" s="1612" t="inlineStr">
        <is>
          <t>TDD Group Functions</t>
        </is>
      </c>
      <c r="G543" s="1612" t="inlineStr">
        <is>
          <t>TDD &amp; Engineering</t>
        </is>
      </c>
      <c r="H543" s="1612" t="inlineStr">
        <is>
          <t>DevOps &amp; QE</t>
        </is>
      </c>
      <c r="I543" s="1382" t="inlineStr">
        <is>
          <t>TDD</t>
        </is>
      </c>
      <c r="J543" s="1612" t="inlineStr">
        <is>
          <t>TDD</t>
        </is>
      </c>
      <c r="K543" s="1612" t="inlineStr">
        <is>
          <t>DevOps &amp; QE</t>
        </is>
      </c>
      <c r="L543" s="1612" t="n"/>
      <c r="M543" s="1613" t="inlineStr">
        <is>
          <t>Australia</t>
        </is>
      </c>
      <c r="N543" s="1614" t="inlineStr">
        <is>
          <t>CIC</t>
        </is>
      </c>
      <c r="O543" s="1614" t="n">
        <v>1</v>
      </c>
      <c r="P543" s="1614" t="n"/>
      <c r="Q543" s="1614" t="inlineStr">
        <is>
          <t>v</t>
        </is>
      </c>
      <c r="R543" s="1616" t="n"/>
      <c r="S543" s="1616" t="n"/>
      <c r="T543" s="1627" t="n">
        <v>173550</v>
      </c>
      <c r="U543" s="1626" t="n">
        <v>173550</v>
      </c>
      <c r="V543" s="1619" t="n">
        <v>0.12</v>
      </c>
      <c r="W543" s="1622" t="n">
        <v>0.055</v>
      </c>
      <c r="X543" s="1622" t="n">
        <v>0.12</v>
      </c>
      <c r="Y543" s="1623" t="n"/>
      <c r="Z543" s="1622" t="n">
        <v>0.04</v>
      </c>
      <c r="AA543" s="1621">
        <f>U543*(1+V543+W543+X543+Y543+Z543)</f>
        <v>231689.25</v>
      </c>
      <c r="AC543" s="865" t="inlineStr">
        <is>
          <t>TDD Group Functions</t>
        </is>
      </c>
      <c r="AD543" s="865" t="inlineStr">
        <is>
          <t>TDD Group Functions</t>
        </is>
      </c>
      <c r="AE543" s="865" t="inlineStr">
        <is>
          <t>DevOps &amp; Engineering</t>
        </is>
      </c>
      <c r="AF543" s="865" t="inlineStr">
        <is>
          <t>Squad</t>
        </is>
      </c>
      <c r="AG543" s="865" t="inlineStr">
        <is>
          <t>Vacant</t>
        </is>
      </c>
    </row>
    <row r="544" hidden="1" ht="18" customHeight="1" s="866">
      <c r="A544" s="1566" t="inlineStr">
        <is>
          <t>V</t>
        </is>
      </c>
      <c r="B544" s="1658" t="inlineStr">
        <is>
          <t>Vacant</t>
        </is>
      </c>
      <c r="C544" s="1691" t="inlineStr">
        <is>
          <t>Technology Manager - Cloud, Network and Infrastructure Operations</t>
        </is>
      </c>
      <c r="D544" s="1628" t="inlineStr">
        <is>
          <t>Vacant</t>
        </is>
      </c>
      <c r="E544" s="1612" t="inlineStr">
        <is>
          <t>Head of Technology - TDD &amp; Engineering Capability Lead</t>
        </is>
      </c>
      <c r="F544" s="1382" t="inlineStr">
        <is>
          <t>TDD Group Functions</t>
        </is>
      </c>
      <c r="G544" s="1612" t="inlineStr">
        <is>
          <t>TDD &amp; Engineering</t>
        </is>
      </c>
      <c r="H544" s="1612" t="inlineStr">
        <is>
          <t>Cloud Network &amp; Infra Ops</t>
        </is>
      </c>
      <c r="I544" s="1612" t="inlineStr">
        <is>
          <t>TDD</t>
        </is>
      </c>
      <c r="J544" s="1612" t="inlineStr">
        <is>
          <t>TDD</t>
        </is>
      </c>
      <c r="K544" s="1612" t="inlineStr">
        <is>
          <t>Leadership</t>
        </is>
      </c>
      <c r="L544" s="1612" t="n"/>
      <c r="M544" s="1613" t="inlineStr">
        <is>
          <t>Australia</t>
        </is>
      </c>
      <c r="N544" s="1614" t="inlineStr">
        <is>
          <t>CSB</t>
        </is>
      </c>
      <c r="O544" s="1614" t="n">
        <v>1</v>
      </c>
      <c r="P544" s="1614" t="n"/>
      <c r="Q544" s="1614" t="inlineStr">
        <is>
          <t>v</t>
        </is>
      </c>
      <c r="R544" s="1616" t="n"/>
      <c r="S544" s="1616" t="n"/>
      <c r="T544" s="1627" t="n">
        <v>203550</v>
      </c>
      <c r="U544" s="1626" t="n">
        <v>203550</v>
      </c>
      <c r="V544" s="1619" t="n">
        <v>0.14</v>
      </c>
      <c r="W544" s="1622" t="n">
        <v>0.055</v>
      </c>
      <c r="X544" s="1622" t="n">
        <v>0.12</v>
      </c>
      <c r="Y544" s="1623" t="n"/>
      <c r="Z544" s="1622" t="n">
        <v>0.04</v>
      </c>
      <c r="AA544" s="1621">
        <f>U544*(1+V544+W544+X544+Y544+Z544)</f>
        <v>275810.25</v>
      </c>
      <c r="AC544" s="865" t="inlineStr">
        <is>
          <t>TDD Group Functions</t>
        </is>
      </c>
      <c r="AD544" s="865" t="inlineStr">
        <is>
          <t>Leadership</t>
        </is>
      </c>
      <c r="AE544" s="865" t="inlineStr">
        <is>
          <t>Leadership</t>
        </is>
      </c>
      <c r="AF544" s="865" t="inlineStr">
        <is>
          <t>Leadership</t>
        </is>
      </c>
      <c r="AG544" s="865" t="inlineStr">
        <is>
          <t>Vacant</t>
        </is>
      </c>
    </row>
    <row r="545" hidden="1" ht="18" customHeight="1" s="866">
      <c r="A545" s="1566" t="inlineStr">
        <is>
          <t>V</t>
        </is>
      </c>
      <c r="B545" s="1658" t="inlineStr">
        <is>
          <t>Vacant</t>
        </is>
      </c>
      <c r="C545" s="1691" t="inlineStr">
        <is>
          <t>Technology Manager - DevOps and Quality Engineering</t>
        </is>
      </c>
      <c r="D545" s="1628" t="inlineStr">
        <is>
          <t>Vacant</t>
        </is>
      </c>
      <c r="E545" s="1612" t="inlineStr">
        <is>
          <t>Head of Technology- TDD &amp; Engineering Capability</t>
        </is>
      </c>
      <c r="F545" s="1382" t="inlineStr">
        <is>
          <t>TDD Group Functions</t>
        </is>
      </c>
      <c r="G545" s="1612" t="inlineStr">
        <is>
          <t>TDD &amp; Engineering</t>
        </is>
      </c>
      <c r="H545" s="1612" t="n"/>
      <c r="I545" s="1612" t="inlineStr">
        <is>
          <t>TDD</t>
        </is>
      </c>
      <c r="J545" s="1612" t="inlineStr">
        <is>
          <t>TDD</t>
        </is>
      </c>
      <c r="K545" s="1612" t="inlineStr">
        <is>
          <t>Leadership</t>
        </is>
      </c>
      <c r="L545" s="1612" t="n"/>
      <c r="M545" s="1613" t="inlineStr">
        <is>
          <t>Australia</t>
        </is>
      </c>
      <c r="N545" s="1614" t="inlineStr">
        <is>
          <t>CSB</t>
        </is>
      </c>
      <c r="O545" s="1614" t="n">
        <v>1</v>
      </c>
      <c r="P545" s="1614" t="n"/>
      <c r="Q545" s="1614" t="inlineStr">
        <is>
          <t>v</t>
        </is>
      </c>
      <c r="R545" s="1616" t="n"/>
      <c r="S545" s="1616" t="n"/>
      <c r="T545" s="1627" t="n">
        <v>203550</v>
      </c>
      <c r="U545" s="1626" t="n">
        <v>203550</v>
      </c>
      <c r="V545" s="1619" t="n">
        <v>0.14</v>
      </c>
      <c r="W545" s="1622" t="n">
        <v>0.055</v>
      </c>
      <c r="X545" s="1622" t="n">
        <v>0.12</v>
      </c>
      <c r="Y545" s="1623" t="n"/>
      <c r="Z545" s="1622" t="n">
        <v>0.04</v>
      </c>
      <c r="AA545" s="1621">
        <f>U545*(1+V545+W545+X545+Y545+Z545)</f>
        <v>275810.25</v>
      </c>
      <c r="AC545" s="865" t="inlineStr">
        <is>
          <t>TDD Group Functions</t>
        </is>
      </c>
      <c r="AD545" s="865" t="inlineStr">
        <is>
          <t>Leadership</t>
        </is>
      </c>
      <c r="AE545" s="865" t="inlineStr">
        <is>
          <t>Leadership</t>
        </is>
      </c>
      <c r="AF545" s="865" t="inlineStr">
        <is>
          <t>Leadership</t>
        </is>
      </c>
      <c r="AG545" s="865" t="inlineStr">
        <is>
          <t>Vacant</t>
        </is>
      </c>
    </row>
    <row r="546" hidden="1" ht="18" customHeight="1" s="866">
      <c r="A546" s="1566" t="inlineStr">
        <is>
          <t>V</t>
        </is>
      </c>
      <c r="B546" s="1658" t="inlineStr">
        <is>
          <t>Vacant</t>
        </is>
      </c>
      <c r="C546" s="1691" t="inlineStr">
        <is>
          <t>Technology Manager, Enterprise Tooling</t>
        </is>
      </c>
      <c r="D546" s="1612" t="inlineStr">
        <is>
          <t>Vacant</t>
        </is>
      </c>
      <c r="E546" s="1628" t="inlineStr">
        <is>
          <t>Head of Technology - TDD &amp; Engineering Capability Lead</t>
        </is>
      </c>
      <c r="F546" s="1382" t="inlineStr">
        <is>
          <t>TDD Group Functions</t>
        </is>
      </c>
      <c r="G546" s="1612" t="inlineStr">
        <is>
          <t xml:space="preserve">TDD &amp; Engineering </t>
        </is>
      </c>
      <c r="H546" s="1612" t="n"/>
      <c r="I546" s="1612" t="inlineStr">
        <is>
          <t>TDD</t>
        </is>
      </c>
      <c r="J546" s="1598" t="inlineStr">
        <is>
          <t>TDD</t>
        </is>
      </c>
      <c r="K546" s="1612" t="inlineStr">
        <is>
          <t>Leadership</t>
        </is>
      </c>
      <c r="L546" s="1612" t="n"/>
      <c r="M546" s="1613" t="inlineStr">
        <is>
          <t>Australia</t>
        </is>
      </c>
      <c r="N546" s="1614" t="inlineStr">
        <is>
          <t>CSB</t>
        </is>
      </c>
      <c r="O546" s="1614" t="n">
        <v>1</v>
      </c>
      <c r="P546" s="1614" t="n"/>
      <c r="Q546" s="1614" t="inlineStr">
        <is>
          <t>v</t>
        </is>
      </c>
      <c r="R546" s="1616" t="n"/>
      <c r="S546" s="1616" t="n"/>
      <c r="T546" s="1627" t="n">
        <v>203550</v>
      </c>
      <c r="U546" s="1626" t="n">
        <v>203550</v>
      </c>
      <c r="V546" s="1619" t="n">
        <v>0.14</v>
      </c>
      <c r="W546" s="1622" t="n">
        <v>0.055</v>
      </c>
      <c r="X546" s="1622" t="n">
        <v>0.12</v>
      </c>
      <c r="Y546" s="1623" t="n"/>
      <c r="Z546" s="1622" t="n">
        <v>0.04</v>
      </c>
      <c r="AA546" s="1621">
        <f>U546*(1+V546+W546+X546+Y546+Z546)</f>
        <v>275810.25</v>
      </c>
      <c r="AC546" s="865" t="inlineStr">
        <is>
          <t>TDD Group Functions</t>
        </is>
      </c>
      <c r="AD546" s="865" t="inlineStr">
        <is>
          <t>Leadership</t>
        </is>
      </c>
      <c r="AE546" s="865" t="inlineStr">
        <is>
          <t>Leadership</t>
        </is>
      </c>
      <c r="AF546" s="865" t="inlineStr">
        <is>
          <t>Leadership</t>
        </is>
      </c>
      <c r="AG546" s="865" t="inlineStr">
        <is>
          <t>Vacant</t>
        </is>
      </c>
    </row>
    <row r="547" hidden="1" ht="18" customHeight="1" s="866">
      <c r="A547" s="1566" t="inlineStr">
        <is>
          <t>V</t>
        </is>
      </c>
      <c r="B547" s="1658" t="inlineStr">
        <is>
          <t xml:space="preserve">Vacant </t>
        </is>
      </c>
      <c r="C547" s="1691" t="inlineStr">
        <is>
          <t>Integration Specialist (ASAPIO CTRM)</t>
        </is>
      </c>
      <c r="D547" s="1612" t="inlineStr">
        <is>
          <t>Shane Ker</t>
        </is>
      </c>
      <c r="E547" s="1628" t="inlineStr">
        <is>
          <t>Technology Manager Finance Platforms</t>
        </is>
      </c>
      <c r="F547" s="1382" t="inlineStr">
        <is>
          <t>TDD Group Functions</t>
        </is>
      </c>
      <c r="G547" s="1628" t="inlineStr">
        <is>
          <t>P&amp;C, Finance &amp; Legal</t>
        </is>
      </c>
      <c r="H547" s="1612" t="inlineStr">
        <is>
          <t>Tech, Finance Platforms</t>
        </is>
      </c>
      <c r="I547" s="1612" t="inlineStr">
        <is>
          <t>Finance</t>
        </is>
      </c>
      <c r="J547" s="1598" t="inlineStr">
        <is>
          <t>AU Finance</t>
        </is>
      </c>
      <c r="K547" s="1612" t="inlineStr">
        <is>
          <t>SAP ERP</t>
        </is>
      </c>
      <c r="L547" s="1612" t="n"/>
      <c r="M547" s="1613" t="inlineStr">
        <is>
          <t>NZ</t>
        </is>
      </c>
      <c r="N547" s="1614" t="inlineStr">
        <is>
          <t>CIB</t>
        </is>
      </c>
      <c r="O547" s="1614" t="n">
        <v>1</v>
      </c>
      <c r="P547" s="1614" t="n"/>
      <c r="Q547" s="1614" t="inlineStr">
        <is>
          <t>v</t>
        </is>
      </c>
      <c r="R547" s="1616" t="n"/>
      <c r="S547" s="1616" t="n"/>
      <c r="T547" s="1627" t="n">
        <v>151950</v>
      </c>
      <c r="U547" s="1626" t="n">
        <v>139794</v>
      </c>
      <c r="V547" s="1618" t="n">
        <v>0.15</v>
      </c>
      <c r="W547" s="1616" t="n"/>
      <c r="X547" s="1619" t="n">
        <v>0.05</v>
      </c>
      <c r="Y547" s="1620" t="n">
        <v>2910</v>
      </c>
      <c r="Z547" s="1619" t="n">
        <v>0.03</v>
      </c>
      <c r="AA547" s="1621">
        <f>U547*(1+V547+X547+Z547)+Y547</f>
        <v>174856.62</v>
      </c>
      <c r="AC547" s="865" t="inlineStr">
        <is>
          <t>Finance</t>
        </is>
      </c>
      <c r="AD547" s="865" t="inlineStr">
        <is>
          <t>AU Finance</t>
        </is>
      </c>
      <c r="AE547" s="865" t="inlineStr">
        <is>
          <t>AU Finance</t>
        </is>
      </c>
      <c r="AF547" s="865" t="inlineStr">
        <is>
          <t>Squad</t>
        </is>
      </c>
      <c r="AG547" s="865" t="inlineStr">
        <is>
          <t>Vacant</t>
        </is>
      </c>
    </row>
    <row r="548" hidden="1" ht="18" customHeight="1" s="866">
      <c r="A548" s="1566" t="n">
        <v>4818</v>
      </c>
      <c r="B548" s="1382" t="inlineStr">
        <is>
          <t>Vaso Vukovic</t>
        </is>
      </c>
      <c r="C548" s="1611" t="inlineStr">
        <is>
          <t>Head of Technology - P&amp;C, Finance &amp; Legal</t>
        </is>
      </c>
      <c r="D548" s="1628" t="inlineStr">
        <is>
          <t>Emily Mogic</t>
        </is>
      </c>
      <c r="E548" s="1382" t="inlineStr">
        <is>
          <t>GM TDD, Group Function</t>
        </is>
      </c>
      <c r="F548" s="1382" t="inlineStr">
        <is>
          <t>TDD Group Functions</t>
        </is>
      </c>
      <c r="G548" s="1628" t="inlineStr">
        <is>
          <t>P&amp;C, Finance &amp; Legal</t>
        </is>
      </c>
      <c r="H548" s="1612" t="inlineStr">
        <is>
          <t>na</t>
        </is>
      </c>
      <c r="I548" s="1612" t="inlineStr">
        <is>
          <t>P&amp;C, Finance &amp; Legal</t>
        </is>
      </c>
      <c r="J548" s="1598" t="inlineStr">
        <is>
          <t>P&amp;C, Finance &amp; Legal</t>
        </is>
      </c>
      <c r="K548" s="1612" t="inlineStr">
        <is>
          <t>Leadership</t>
        </is>
      </c>
      <c r="L548" s="1612" t="n"/>
      <c r="M548" s="1613" t="inlineStr">
        <is>
          <t>Australia</t>
        </is>
      </c>
      <c r="N548" s="1614" t="inlineStr">
        <is>
          <t>CSC</t>
        </is>
      </c>
      <c r="O548" s="1616" t="n">
        <v>1</v>
      </c>
      <c r="P548" s="1616" t="n"/>
      <c r="Q548" s="1616" t="inlineStr">
        <is>
          <t>Permanent - Full Time</t>
        </is>
      </c>
      <c r="R548" s="1616" t="n"/>
      <c r="S548" s="1616" t="n"/>
      <c r="T548" s="1627" t="n">
        <v>257420</v>
      </c>
      <c r="U548" s="1626" t="n">
        <v>257420</v>
      </c>
      <c r="V548" s="1619" t="n">
        <v>0.2</v>
      </c>
      <c r="W548" s="1622" t="n">
        <v>0.055</v>
      </c>
      <c r="X548" s="1622" t="n">
        <v>0.12</v>
      </c>
      <c r="Y548" s="1623" t="n"/>
      <c r="Z548" s="1622" t="n">
        <v>0.04</v>
      </c>
      <c r="AA548" s="1621">
        <f>U548*(1+V548+W548+X548+Y548+Z548)</f>
        <v>364249.3</v>
      </c>
      <c r="AC548" s="1598" t="inlineStr">
        <is>
          <t>P&amp;C</t>
        </is>
      </c>
      <c r="AD548" s="865" t="inlineStr">
        <is>
          <t>Leadership</t>
        </is>
      </c>
      <c r="AE548" s="865" t="inlineStr">
        <is>
          <t>Leadership</t>
        </is>
      </c>
      <c r="AF548" s="865" t="inlineStr">
        <is>
          <t>Leadership</t>
        </is>
      </c>
      <c r="AG548" s="865" t="inlineStr">
        <is>
          <t>Filled</t>
        </is>
      </c>
    </row>
    <row r="549" hidden="1" ht="18" customHeight="1" s="866">
      <c r="A549" s="1566" t="n">
        <v>113067</v>
      </c>
      <c r="B549" s="1596" t="inlineStr">
        <is>
          <t>Vikram Chhahira</t>
        </is>
      </c>
      <c r="C549" s="1691" t="inlineStr">
        <is>
          <t>Delivery Lead, EGI</t>
        </is>
      </c>
      <c r="D549" s="1612" t="inlineStr">
        <is>
          <t>Vacant</t>
        </is>
      </c>
      <c r="E549" s="1628" t="inlineStr">
        <is>
          <t>Delivery Manager, P&amp;C, Finance &amp; Legal</t>
        </is>
      </c>
      <c r="F549" s="1382" t="inlineStr">
        <is>
          <t>TDD Group Functions</t>
        </is>
      </c>
      <c r="G549" s="1612" t="inlineStr">
        <is>
          <t>EGI</t>
        </is>
      </c>
      <c r="H549" s="1612" t="n"/>
      <c r="I549" s="1612" t="inlineStr">
        <is>
          <t>EGI</t>
        </is>
      </c>
      <c r="J549" s="1612" t="inlineStr">
        <is>
          <t>EGI</t>
        </is>
      </c>
      <c r="K549" s="1612" t="inlineStr">
        <is>
          <t>EGI P&amp;C</t>
        </is>
      </c>
      <c r="L549" s="1612" t="n"/>
      <c r="M549" s="1613" t="inlineStr">
        <is>
          <t>Australia</t>
        </is>
      </c>
      <c r="N549" s="1614" t="inlineStr">
        <is>
          <t>CIC</t>
        </is>
      </c>
      <c r="O549" s="1614" t="n">
        <v>1</v>
      </c>
      <c r="P549" s="1614" t="n"/>
      <c r="Q549" s="1614" t="inlineStr">
        <is>
          <t>Permanent - Full Time</t>
        </is>
      </c>
      <c r="R549" s="1616" t="n"/>
      <c r="S549" s="1616" t="n"/>
      <c r="T549" s="1627" t="n">
        <v>179000</v>
      </c>
      <c r="U549" s="1626" t="n">
        <v>179000</v>
      </c>
      <c r="V549" s="1619" t="n">
        <v>0.12</v>
      </c>
      <c r="W549" s="1622" t="n">
        <v>0.055</v>
      </c>
      <c r="X549" s="1622" t="n">
        <v>0.12</v>
      </c>
      <c r="Y549" s="1623" t="n"/>
      <c r="Z549" s="1622" t="n">
        <v>0.04</v>
      </c>
      <c r="AA549" s="1621">
        <f>U549*(1+V549+W549+X549+Y549+Z549)</f>
        <v>238965</v>
      </c>
      <c r="AC549" s="865" t="inlineStr">
        <is>
          <t>P&amp;C</t>
        </is>
      </c>
      <c r="AD549" s="865" t="inlineStr">
        <is>
          <t>EGI P&amp;C</t>
        </is>
      </c>
      <c r="AE549" s="865" t="inlineStr">
        <is>
          <t>EGI P&amp;C</t>
        </is>
      </c>
      <c r="AF549" s="865" t="inlineStr">
        <is>
          <t>Strategic Program</t>
        </is>
      </c>
      <c r="AG549" s="865" t="inlineStr">
        <is>
          <t>Filled</t>
        </is>
      </c>
    </row>
    <row r="550" hidden="1" ht="18" customHeight="1" s="866">
      <c r="A550" s="1566" t="n">
        <v>99999102124</v>
      </c>
      <c r="B550" s="1382" t="n"/>
      <c r="C550" s="1611" t="n"/>
      <c r="D550" s="1382" t="n"/>
      <c r="E550" s="1382" t="n"/>
      <c r="F550" s="1382" t="n"/>
      <c r="G550" s="1612" t="n"/>
      <c r="H550" s="1382" t="n"/>
      <c r="I550" s="1612" t="n"/>
      <c r="J550" s="1382" t="n"/>
      <c r="K550" s="1382" t="n"/>
      <c r="L550" s="1612" t="n"/>
      <c r="M550" s="1613" t="inlineStr">
        <is>
          <t>NZ</t>
        </is>
      </c>
      <c r="N550" s="1614" t="inlineStr">
        <is>
          <t>CIA</t>
        </is>
      </c>
      <c r="O550" s="1615" t="n">
        <v>1</v>
      </c>
      <c r="P550" s="1614" t="n"/>
      <c r="Q550" s="1615" t="inlineStr">
        <is>
          <t>Permanent - Full Time</t>
        </is>
      </c>
      <c r="R550" s="1616" t="n"/>
      <c r="S550" s="1616" t="n"/>
      <c r="T550" s="1616" t="n">
        <v>120000</v>
      </c>
      <c r="U550" s="1704" t="n">
        <v>110400</v>
      </c>
      <c r="V550" s="1618" t="n">
        <v>0.15</v>
      </c>
      <c r="W550" s="1616" t="n"/>
      <c r="X550" s="1619" t="n">
        <v>0.05</v>
      </c>
      <c r="Y550" s="1620" t="n">
        <v>2910</v>
      </c>
      <c r="Z550" s="1619" t="n">
        <v>0.03</v>
      </c>
      <c r="AA550" s="1621">
        <f>U550*(1+V550+X550+Z550)+Y550</f>
        <v>138702</v>
      </c>
      <c r="AB550" s="865" t="n">
        <v>114753</v>
      </c>
    </row>
    <row r="551" ht="18" customHeight="1" s="866">
      <c r="A551" s="1630" t="n"/>
      <c r="C551" s="1705" t="n"/>
      <c r="M551" s="1706" t="n"/>
      <c r="N551" s="1634" t="n"/>
      <c r="O551" s="1636" t="n"/>
      <c r="P551" s="1634" t="n"/>
      <c r="Q551" s="1636" t="n"/>
      <c r="U551" s="1704" t="n"/>
      <c r="V551" s="1656" t="n"/>
      <c r="X551" s="1652" t="n"/>
      <c r="Y551" s="1657" t="n"/>
      <c r="Z551" s="1652" t="n"/>
      <c r="AA551" s="1598" t="n">
        <v>6400561.822</v>
      </c>
      <c r="AB551" s="1655" t="n">
        <v>116452</v>
      </c>
    </row>
    <row r="552" ht="18" customHeight="1" s="866">
      <c r="AA552" s="1707">
        <f t="array" ref="AA552:AA552">SUM(IFERROR(AA2:AA550,0))</f>
        <v>120176881.9531</v>
      </c>
    </row>
    <row r="553" ht="18" customHeight="1" s="866">
      <c r="AA553" s="1708" t="n">
        <v>5100000</v>
      </c>
    </row>
    <row r="554" ht="18" customHeight="1" s="866">
      <c r="AA554" s="1707">
        <f>SUM(AA552:AA553)</f>
        <v>125276881.9531</v>
      </c>
    </row>
    <row r="555" ht="14.25" customHeight="1" s="866"/>
    <row r="556" ht="18" customHeight="1" s="866">
      <c r="F556" s="1598" t="n">
        <v>115</v>
      </c>
      <c r="I556" s="1598" t="inlineStr">
        <is>
          <t>163 Vacancies</t>
        </is>
      </c>
      <c r="S556" s="1709" t="inlineStr">
        <is>
          <t>estimated numbers</t>
        </is>
      </c>
      <c r="U556" s="1710" t="n"/>
    </row>
    <row r="557" ht="18" customHeight="1" s="866">
      <c r="F557" s="1598" t="inlineStr">
        <is>
          <t xml:space="preserve">48 FTE with no new roles in new structure </t>
        </is>
      </c>
    </row>
    <row r="558" ht="18" customHeight="1" s="866">
      <c r="F558" s="1598" t="inlineStr">
        <is>
          <t>163 vacancies</t>
        </is>
      </c>
    </row>
    <row r="559" ht="14.25" customHeight="1" s="866"/>
    <row r="560" ht="14.25" customHeight="1" s="866"/>
    <row r="561" ht="18" customHeight="1" s="866">
      <c r="I561" s="1711">
        <f>(550/173)/10</f>
        <v>0.317919075144509</v>
      </c>
      <c r="M561" s="1612" t="inlineStr">
        <is>
          <t xml:space="preserve">Squad </t>
        </is>
      </c>
      <c r="N561" s="1616" t="inlineStr">
        <is>
          <t xml:space="preserve">Roles </t>
        </is>
      </c>
      <c r="O561" s="1616" t="inlineStr">
        <is>
          <t>Filled</t>
        </is>
      </c>
      <c r="P561" s="1616" t="inlineStr">
        <is>
          <t xml:space="preserve">Vacant </t>
        </is>
      </c>
    </row>
    <row r="562" ht="14.25" customHeight="1" s="866"/>
    <row r="563" ht="18" customHeight="1" s="866">
      <c r="E563" s="1598" t="n">
        <v>376</v>
      </c>
    </row>
    <row r="564" ht="18" customHeight="1" s="866">
      <c r="E564" s="1598" t="n">
        <v>550</v>
      </c>
      <c r="I564" s="1598" t="inlineStr">
        <is>
          <t xml:space="preserve">How many squads with no vacancies/ how many full squads </t>
        </is>
      </c>
    </row>
    <row r="565" ht="18" customHeight="1" s="866">
      <c r="E565" s="1598">
        <f>E563-E564</f>
        <v>-174</v>
      </c>
      <c r="I565" s="1598" t="inlineStr">
        <is>
          <t xml:space="preserve">What is the makeup of vacancies across TDD </t>
        </is>
      </c>
    </row>
    <row r="566" ht="14.25" customHeight="1" s="866"/>
    <row r="567" ht="14.25" customHeight="1" s="866"/>
    <row r="568" ht="14.25" customHeight="1" s="866"/>
    <row r="569" ht="14.25" customHeight="1" s="866"/>
    <row r="570" ht="14.25" customHeight="1" s="866"/>
    <row r="571" ht="14.25" customHeight="1" s="866"/>
    <row r="572" ht="18" customHeight="1" s="866">
      <c r="I572" s="1598" t="inlineStr">
        <is>
          <t xml:space="preserve">173 Roles </t>
        </is>
      </c>
    </row>
  </sheetData>
  <autoFilter ref="A1:AC550">
    <filterColumn colId="5" hiddenButton="0" showButton="1">
      <filters>
        <filter val="Partnering &amp; Transformation"/>
      </filters>
    </filterColumn>
    <sortState ref="A2:AC550">
      <sortCondition ref="A2:A550" customList=""/>
    </sortState>
  </autoFilter>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7.xml><?xml version="1.0" encoding="utf-8"?>
<worksheet xmlns="http://schemas.openxmlformats.org/spreadsheetml/2006/main">
  <sheetPr filterMode="0">
    <tabColor rgb="FF375623"/>
    <outlinePr summaryBelow="1" summaryRight="1"/>
    <pageSetUpPr fitToPage="0"/>
  </sheetPr>
  <dimension ref="A1:AB153"/>
  <sheetViews>
    <sheetView showFormulas="0" showGridLines="1" showRowColHeaders="1" showZeros="1" rightToLeft="0" tabSelected="0" showOutlineSymbols="1" defaultGridColor="1" view="normal" topLeftCell="E123" colorId="64" zoomScale="80" zoomScaleNormal="80" zoomScalePageLayoutView="100" workbookViewId="0">
      <selection pane="topLeft" activeCell="A1" activeCellId="0" sqref="A1"/>
    </sheetView>
  </sheetViews>
  <sheetFormatPr baseColWidth="8" defaultColWidth="8.73046875" defaultRowHeight="14.25" zeroHeight="0" outlineLevelRow="0"/>
  <cols>
    <col width="13.81" customWidth="1" style="1432" min="1" max="1"/>
    <col width="25.27" customWidth="1" style="1432" min="2" max="2"/>
    <col width="51.54" customWidth="1" style="1432" min="3" max="3"/>
    <col width="32.54" customWidth="1" style="1432" min="4" max="4"/>
    <col width="58" customWidth="1" style="1432" min="5" max="5"/>
    <col width="25.18" customWidth="1" style="1432" min="6" max="6"/>
    <col width="30.54" customWidth="1" style="1432" min="7" max="8"/>
    <col width="13.81" customWidth="1" style="1432" min="9" max="9"/>
    <col width="40.27" customWidth="1" style="1432" min="10" max="10"/>
    <col width="26.45" customWidth="1" style="1432" min="11" max="11"/>
    <col width="3" customWidth="1" style="1432" min="12" max="12"/>
    <col width="9.18" customWidth="1" style="1432" min="13" max="13"/>
    <col width="10" customWidth="1" style="1432" min="14" max="14"/>
    <col width="3.81" customWidth="1" style="1432" min="15" max="15"/>
    <col width="8.73" customWidth="1" style="1432" min="16" max="16"/>
    <col width="19.54" customWidth="1" style="1432" min="17" max="17"/>
    <col width="10.45" customWidth="1" style="1432" min="18" max="18"/>
    <col width="13.73" customWidth="1" style="1432" min="19" max="19"/>
    <col width="16.45" customWidth="1" style="1432" min="20" max="20"/>
    <col width="15.18" customWidth="1" style="1432" min="21" max="21"/>
    <col width="9.18" customWidth="1" style="1432" min="22" max="22"/>
    <col width="13.27" customWidth="1" style="1432" min="23" max="23"/>
    <col width="14.45" customWidth="1" style="1432" min="24" max="24"/>
    <col width="14.54" customWidth="1" style="1432" min="25" max="25"/>
    <col width="6.18" customWidth="1" style="1432" min="26" max="26"/>
    <col width="14.81" customWidth="1" style="1432" min="27" max="27"/>
    <col width="10.82" customWidth="1" style="1432" min="28" max="28"/>
    <col width="8.73" customWidth="1" style="1432" min="29" max="16384"/>
  </cols>
  <sheetData>
    <row r="1" ht="28.5" customHeight="1" s="866">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712" t="inlineStr">
        <is>
          <t>Department (GM-1)</t>
        </is>
      </c>
      <c r="H1" s="1712" t="inlineStr">
        <is>
          <t>Team (GM-2)</t>
        </is>
      </c>
      <c r="I1" s="1713" t="inlineStr">
        <is>
          <t>Portfolio</t>
        </is>
      </c>
      <c r="J1" s="1564" t="inlineStr">
        <is>
          <t>Platform</t>
        </is>
      </c>
      <c r="K1" s="1713" t="inlineStr">
        <is>
          <t>Squad</t>
        </is>
      </c>
      <c r="L1" s="1713" t="inlineStr">
        <is>
          <t>CC</t>
        </is>
      </c>
      <c r="M1" s="1714" t="inlineStr">
        <is>
          <t>Country</t>
        </is>
      </c>
      <c r="N1" s="1715" t="inlineStr">
        <is>
          <t>Job Level</t>
        </is>
      </c>
      <c r="O1" s="1715" t="inlineStr">
        <is>
          <t>FTE</t>
        </is>
      </c>
      <c r="P1" s="1715" t="n"/>
      <c r="Q1" s="1715" t="inlineStr">
        <is>
          <t>Type</t>
        </is>
      </c>
      <c r="R1" s="1607" t="inlineStr">
        <is>
          <t>Unit</t>
        </is>
      </c>
      <c r="S1" s="1607" t="inlineStr">
        <is>
          <t>day rate</t>
        </is>
      </c>
      <c r="T1" s="1606" t="inlineStr">
        <is>
          <t>FTE Base
 Local</t>
        </is>
      </c>
      <c r="U1" s="1607" t="inlineStr">
        <is>
          <t>FTE Base 
AUD</t>
        </is>
      </c>
      <c r="V1" s="1716" t="inlineStr">
        <is>
          <t>STI</t>
        </is>
      </c>
      <c r="W1" s="1610" t="inlineStr">
        <is>
          <t>Payroll</t>
        </is>
      </c>
      <c r="X1" s="1610" t="inlineStr">
        <is>
          <t>Pensions</t>
        </is>
      </c>
      <c r="Y1" s="1610" t="inlineStr">
        <is>
          <t>medical</t>
        </is>
      </c>
      <c r="Z1" s="1610" t="inlineStr">
        <is>
          <t>CPI</t>
        </is>
      </c>
      <c r="AA1" s="1610" t="inlineStr">
        <is>
          <t>Full Cost 
AUD</t>
        </is>
      </c>
      <c r="AB1" s="1717" t="inlineStr">
        <is>
          <t>MyHR ee no</t>
        </is>
      </c>
    </row>
    <row r="2" ht="14.25" customHeight="1" s="866">
      <c r="A2" s="1718" t="n">
        <v>99999101684</v>
      </c>
      <c r="B2" s="1719" t="inlineStr">
        <is>
          <t>Ashley Mueller</t>
        </is>
      </c>
      <c r="C2" s="1720" t="inlineStr">
        <is>
          <t>Lead - Service Assurance</t>
        </is>
      </c>
      <c r="D2" s="1719" t="inlineStr">
        <is>
          <t>Mick Collins</t>
        </is>
      </c>
      <c r="E2" s="1719" t="inlineStr">
        <is>
          <t>Cyber Architecture Lead</t>
        </is>
      </c>
      <c r="F2" s="1719" t="inlineStr">
        <is>
          <t>Cyber, Risk &amp; Operations</t>
        </is>
      </c>
      <c r="G2" s="1721" t="inlineStr">
        <is>
          <t>Service Op &amp; Assurance</t>
        </is>
      </c>
      <c r="H2" s="1719" t="inlineStr">
        <is>
          <t xml:space="preserve">Service Performance &amp; Assurance </t>
        </is>
      </c>
      <c r="I2" s="1719" t="inlineStr">
        <is>
          <t>NA</t>
        </is>
      </c>
      <c r="J2" s="1719" t="inlineStr">
        <is>
          <t>NA</t>
        </is>
      </c>
      <c r="K2" s="1719" t="inlineStr">
        <is>
          <t>NA</t>
        </is>
      </c>
      <c r="L2" s="1719" t="n"/>
      <c r="M2" s="1722" t="inlineStr">
        <is>
          <t>NZ</t>
        </is>
      </c>
      <c r="N2" s="1723" t="inlineStr">
        <is>
          <t>CIC</t>
        </is>
      </c>
      <c r="O2" s="1724" t="n">
        <v>1</v>
      </c>
      <c r="P2" s="1723" t="n"/>
      <c r="Q2" s="1724" t="inlineStr">
        <is>
          <t>Permanent - Full Time</t>
        </is>
      </c>
      <c r="R2" s="1725" t="n"/>
      <c r="S2" s="1725" t="n"/>
      <c r="T2" s="1726" t="n">
        <v>165310</v>
      </c>
      <c r="U2" s="1727" t="n">
        <v>152085.2</v>
      </c>
      <c r="V2" s="1728" t="n">
        <v>0.15</v>
      </c>
      <c r="W2" s="1724" t="n"/>
      <c r="X2" s="1729" t="n">
        <v>0.05</v>
      </c>
      <c r="Y2" s="1730" t="n">
        <v>2910</v>
      </c>
      <c r="Z2" s="1729" t="n">
        <v>0.03</v>
      </c>
      <c r="AA2" s="1731">
        <f>U2*(1+V2+X2+Z2)+Y2</f>
        <v>189974.796</v>
      </c>
      <c r="AB2" s="1432" t="n">
        <v>113516</v>
      </c>
    </row>
    <row r="3" ht="14.25" customHeight="1" s="866">
      <c r="A3" s="1718" t="n">
        <v>108013</v>
      </c>
      <c r="B3" s="1719" t="inlineStr">
        <is>
          <t>Belinda Hoskens</t>
        </is>
      </c>
      <c r="C3" s="1720" t="inlineStr">
        <is>
          <t>Technology Support Engineer</t>
        </is>
      </c>
      <c r="D3" s="1719" t="inlineStr">
        <is>
          <t>Mark Pearson</t>
        </is>
      </c>
      <c r="E3" s="1719" t="inlineStr">
        <is>
          <t xml:space="preserve">Lead Technology Support </t>
        </is>
      </c>
      <c r="F3" s="1719" t="inlineStr">
        <is>
          <t>Cyber, Risk &amp; Operations</t>
        </is>
      </c>
      <c r="G3" s="1721" t="inlineStr">
        <is>
          <t>Service Op &amp; Assurance</t>
        </is>
      </c>
      <c r="H3" s="1719" t="inlineStr">
        <is>
          <t xml:space="preserve">Technology Support </t>
        </is>
      </c>
      <c r="I3" s="1719" t="inlineStr">
        <is>
          <t>NA</t>
        </is>
      </c>
      <c r="J3" s="1719" t="inlineStr">
        <is>
          <t>NA</t>
        </is>
      </c>
      <c r="K3" s="1719" t="inlineStr">
        <is>
          <t>NA</t>
        </is>
      </c>
      <c r="L3" s="1719" t="n"/>
      <c r="M3" s="1722" t="inlineStr">
        <is>
          <t>Australia</t>
        </is>
      </c>
      <c r="N3" s="1723" t="inlineStr">
        <is>
          <t>CIA</t>
        </is>
      </c>
      <c r="O3" s="1723" t="n">
        <v>1</v>
      </c>
      <c r="P3" s="1723" t="n"/>
      <c r="Q3" s="1723" t="inlineStr">
        <is>
          <t>Permanent - Full Time</t>
        </is>
      </c>
      <c r="R3" s="1725" t="n"/>
      <c r="S3" s="1725" t="n"/>
      <c r="T3" s="1726" t="n">
        <v>123300</v>
      </c>
      <c r="U3" s="1727" t="n">
        <v>123300</v>
      </c>
      <c r="V3" s="1729" t="n">
        <v>0.1</v>
      </c>
      <c r="W3" s="1732" t="n">
        <v>0.055</v>
      </c>
      <c r="X3" s="1732" t="n">
        <v>0.12</v>
      </c>
      <c r="Y3" s="1733" t="n"/>
      <c r="Z3" s="1732" t="n">
        <v>0.04</v>
      </c>
      <c r="AA3" s="1731">
        <f>U3*(1+V3+W3+X3+Y3+Z3)</f>
        <v>162139.5</v>
      </c>
      <c r="AB3" s="1734" t="n"/>
    </row>
    <row r="4" ht="14.25" customHeight="1" s="866">
      <c r="A4" s="1718" t="n">
        <v>98823</v>
      </c>
      <c r="B4" s="1719" t="inlineStr">
        <is>
          <t>Brian Gates</t>
        </is>
      </c>
      <c r="C4" s="1720" t="inlineStr">
        <is>
          <t>Manager Risk &amp; Resilience</t>
        </is>
      </c>
      <c r="D4" s="1719" t="inlineStr">
        <is>
          <t>Frances Bouzo</t>
        </is>
      </c>
      <c r="E4" s="1719" t="inlineStr">
        <is>
          <t xml:space="preserve">CISO </t>
        </is>
      </c>
      <c r="F4" s="1719" t="inlineStr">
        <is>
          <t>Cyber, Risk &amp; Operations</t>
        </is>
      </c>
      <c r="G4" s="1721" t="inlineStr">
        <is>
          <t>Cyber Risk</t>
        </is>
      </c>
      <c r="H4" s="1719" t="inlineStr">
        <is>
          <t xml:space="preserve">Risk &amp; Resilience </t>
        </is>
      </c>
      <c r="I4" s="1719" t="inlineStr">
        <is>
          <t>NA</t>
        </is>
      </c>
      <c r="J4" s="1719" t="inlineStr">
        <is>
          <t>NA</t>
        </is>
      </c>
      <c r="K4" s="1719" t="inlineStr">
        <is>
          <t>NA</t>
        </is>
      </c>
      <c r="L4" s="1719" t="n"/>
      <c r="M4" s="1722" t="inlineStr">
        <is>
          <t>Australia</t>
        </is>
      </c>
      <c r="N4" s="1723" t="inlineStr">
        <is>
          <t>CSB</t>
        </is>
      </c>
      <c r="O4" s="1723" t="n">
        <v>1</v>
      </c>
      <c r="P4" s="1723" t="n"/>
      <c r="Q4" s="1723" t="inlineStr">
        <is>
          <t>Permanent - Full Time</t>
        </is>
      </c>
      <c r="R4" s="1725" t="n"/>
      <c r="S4" s="1725" t="n"/>
      <c r="T4" s="1726" t="n">
        <v>211840</v>
      </c>
      <c r="U4" s="1727" t="n">
        <v>211840</v>
      </c>
      <c r="V4" s="1729" t="n">
        <v>0.14</v>
      </c>
      <c r="W4" s="1732" t="n">
        <v>0.055</v>
      </c>
      <c r="X4" s="1732" t="n">
        <v>0.12</v>
      </c>
      <c r="Y4" s="1733" t="n"/>
      <c r="Z4" s="1732" t="n">
        <v>0.04</v>
      </c>
      <c r="AA4" s="1731">
        <f>U4*(1+V4+W4+X4+Y4+Z4)</f>
        <v>287043.2</v>
      </c>
      <c r="AB4" s="1734" t="n"/>
    </row>
    <row r="5" ht="14.25" customHeight="1" s="866">
      <c r="A5" s="1718" t="n">
        <v>86962</v>
      </c>
      <c r="B5" s="1719" t="inlineStr">
        <is>
          <t>Cameron Watman</t>
        </is>
      </c>
      <c r="C5" s="1720" t="inlineStr">
        <is>
          <t>Engineer - IDAM</t>
        </is>
      </c>
      <c r="D5" s="1719" t="inlineStr">
        <is>
          <t>Joe Nahma</t>
        </is>
      </c>
      <c r="E5" s="1719" t="inlineStr">
        <is>
          <t xml:space="preserve">Head of Cyber Strategy &amp; Technology </t>
        </is>
      </c>
      <c r="F5" s="1719" t="inlineStr">
        <is>
          <t>Cyber, Risk &amp; Operations</t>
        </is>
      </c>
      <c r="G5" s="1721" t="inlineStr">
        <is>
          <t>Cyber Strat &amp; Tech</t>
        </is>
      </c>
      <c r="H5" s="1721" t="inlineStr">
        <is>
          <t xml:space="preserve">Identity &amp; Access Management </t>
        </is>
      </c>
      <c r="I5" s="1719" t="inlineStr">
        <is>
          <t>NA</t>
        </is>
      </c>
      <c r="J5" s="1719" t="inlineStr">
        <is>
          <t>NA</t>
        </is>
      </c>
      <c r="K5" s="1719" t="inlineStr">
        <is>
          <t>NA</t>
        </is>
      </c>
      <c r="L5" s="1719" t="n"/>
      <c r="M5" s="1722" t="inlineStr">
        <is>
          <t>Australia</t>
        </is>
      </c>
      <c r="N5" s="1725" t="inlineStr">
        <is>
          <t>CIA</t>
        </is>
      </c>
      <c r="O5" s="1725" t="n">
        <v>1</v>
      </c>
      <c r="P5" s="1725" t="n"/>
      <c r="Q5" s="1725" t="inlineStr">
        <is>
          <t>Permanent - Full Time</t>
        </is>
      </c>
      <c r="R5" s="1725" t="n"/>
      <c r="S5" s="1725" t="n"/>
      <c r="T5" s="1726" t="n">
        <v>131660</v>
      </c>
      <c r="U5" s="1727" t="n">
        <v>131660</v>
      </c>
      <c r="V5" s="1729" t="n">
        <v>0.1</v>
      </c>
      <c r="W5" s="1732" t="n">
        <v>0.055</v>
      </c>
      <c r="X5" s="1732" t="n">
        <v>0.12</v>
      </c>
      <c r="Y5" s="1733" t="n"/>
      <c r="Z5" s="1732" t="n">
        <v>0.04</v>
      </c>
      <c r="AA5" s="1731">
        <f>U5*(1+V5+W5+X5+Y5+Z5)</f>
        <v>173132.9</v>
      </c>
      <c r="AB5" s="1734" t="n"/>
    </row>
    <row r="6" ht="14.25" customHeight="1" s="866">
      <c r="A6" s="1718" t="n">
        <v>106511</v>
      </c>
      <c r="B6" s="1719" t="inlineStr">
        <is>
          <t>Catherine Gire</t>
        </is>
      </c>
      <c r="C6" s="1720" t="inlineStr">
        <is>
          <t>Cyber Technical Business Analyst</t>
        </is>
      </c>
      <c r="D6" s="1719" t="inlineStr">
        <is>
          <t>Vivienne Vasak</t>
        </is>
      </c>
      <c r="E6" s="1719" t="inlineStr">
        <is>
          <t xml:space="preserve">Portfolio Manger Cyber Security </t>
        </is>
      </c>
      <c r="F6" s="1719" t="inlineStr">
        <is>
          <t>Cyber, Risk &amp; Operations</t>
        </is>
      </c>
      <c r="G6" s="1721" t="inlineStr">
        <is>
          <t>Cyber Strat &amp; Tech</t>
        </is>
      </c>
      <c r="H6" s="1719" t="inlineStr">
        <is>
          <t>Cyber Security Uplift Program</t>
        </is>
      </c>
      <c r="I6" s="1719" t="inlineStr">
        <is>
          <t>NA</t>
        </is>
      </c>
      <c r="J6" s="1719" t="inlineStr">
        <is>
          <t>NA</t>
        </is>
      </c>
      <c r="K6" s="1719" t="inlineStr">
        <is>
          <t>NA</t>
        </is>
      </c>
      <c r="L6" s="1719" t="n"/>
      <c r="M6" s="1722" t="inlineStr">
        <is>
          <t>Australia</t>
        </is>
      </c>
      <c r="N6" s="1723" t="inlineStr">
        <is>
          <t>CIB</t>
        </is>
      </c>
      <c r="O6" s="1723" t="n">
        <v>1</v>
      </c>
      <c r="P6" s="1723" t="n"/>
      <c r="Q6" s="1723" t="inlineStr">
        <is>
          <t>Permanent - Full Time</t>
        </is>
      </c>
      <c r="R6" s="1725" t="n"/>
      <c r="S6" s="1725" t="n"/>
      <c r="T6" s="1726" t="n">
        <v>170160</v>
      </c>
      <c r="U6" s="1727" t="n">
        <v>170160</v>
      </c>
      <c r="V6" s="1729" t="n">
        <v>0.12</v>
      </c>
      <c r="W6" s="1732" t="n">
        <v>0.055</v>
      </c>
      <c r="X6" s="1732" t="n">
        <v>0.12</v>
      </c>
      <c r="Y6" s="1733" t="n"/>
      <c r="Z6" s="1732" t="n">
        <v>0.04</v>
      </c>
      <c r="AA6" s="1731">
        <f>U6*(1+V6+W6+X6+Y6+Z6)</f>
        <v>227163.6</v>
      </c>
      <c r="AB6" s="1734" t="n"/>
    </row>
    <row r="7" ht="14.25" customHeight="1" s="866">
      <c r="A7" s="1718" t="n">
        <v>102385</v>
      </c>
      <c r="B7" s="1719" t="inlineStr">
        <is>
          <t>Chris Lyons</t>
        </is>
      </c>
      <c r="C7" s="1720" t="inlineStr">
        <is>
          <t>Cyber Security Architect</t>
        </is>
      </c>
      <c r="D7" s="1719" t="inlineStr">
        <is>
          <t>Kevin Sheerin</t>
        </is>
      </c>
      <c r="E7" s="1719" t="inlineStr">
        <is>
          <t xml:space="preserve">Head of Cyber Strategy &amp; Technology </t>
        </is>
      </c>
      <c r="F7" s="1719" t="inlineStr">
        <is>
          <t>Cyber, Risk &amp; Operations</t>
        </is>
      </c>
      <c r="G7" s="1721" t="inlineStr">
        <is>
          <t>Cyber Strat &amp; Tech</t>
        </is>
      </c>
      <c r="H7" s="1719" t="inlineStr">
        <is>
          <t>NA</t>
        </is>
      </c>
      <c r="I7" s="1719" t="inlineStr">
        <is>
          <t>NA</t>
        </is>
      </c>
      <c r="J7" s="1719" t="inlineStr">
        <is>
          <t>NA</t>
        </is>
      </c>
      <c r="K7" s="1719" t="inlineStr">
        <is>
          <t>NA</t>
        </is>
      </c>
      <c r="L7" s="1719" t="n"/>
      <c r="M7" s="1722" t="inlineStr">
        <is>
          <t>Australia</t>
        </is>
      </c>
      <c r="N7" s="1723" t="inlineStr">
        <is>
          <t>CIC</t>
        </is>
      </c>
      <c r="O7" s="1723" t="n">
        <v>1</v>
      </c>
      <c r="P7" s="1723" t="n"/>
      <c r="Q7" s="1723" t="inlineStr">
        <is>
          <t>Permanent - Full Time</t>
        </is>
      </c>
      <c r="R7" s="1725" t="n"/>
      <c r="S7" s="1725" t="n"/>
      <c r="T7" s="1726" t="n">
        <v>212250</v>
      </c>
      <c r="U7" s="1727" t="n">
        <v>212250</v>
      </c>
      <c r="V7" s="1729" t="n">
        <v>0.12</v>
      </c>
      <c r="W7" s="1732" t="n">
        <v>0.055</v>
      </c>
      <c r="X7" s="1732" t="n">
        <v>0.12</v>
      </c>
      <c r="Y7" s="1733" t="n"/>
      <c r="Z7" s="1732" t="n">
        <v>0.04</v>
      </c>
      <c r="AA7" s="1731">
        <f>U7*(1+V7+W7+X7+Y7+Z7)</f>
        <v>283353.75</v>
      </c>
      <c r="AB7" s="1734" t="n"/>
    </row>
    <row r="8" ht="14.25" customHeight="1" s="866">
      <c r="A8" s="1718" t="n">
        <v>84274</v>
      </c>
      <c r="B8" s="1719" t="inlineStr">
        <is>
          <t>Chris Rojas</t>
        </is>
      </c>
      <c r="C8" s="1720" t="inlineStr">
        <is>
          <t>Manager, Customer Support Operations</t>
        </is>
      </c>
      <c r="D8" s="1719" t="inlineStr">
        <is>
          <t>Rajini Onteddu Reddy</t>
        </is>
      </c>
      <c r="E8" s="1719" t="inlineStr">
        <is>
          <t xml:space="preserve">Manager Cyber Security Operations </t>
        </is>
      </c>
      <c r="F8" s="1719" t="inlineStr">
        <is>
          <t>Cyber, Risk &amp; Operations</t>
        </is>
      </c>
      <c r="G8" s="1721" t="inlineStr">
        <is>
          <t>Service Op &amp; Assurance</t>
        </is>
      </c>
      <c r="H8" s="1719" t="inlineStr">
        <is>
          <t>NA</t>
        </is>
      </c>
      <c r="I8" s="1719" t="inlineStr">
        <is>
          <t>NA</t>
        </is>
      </c>
      <c r="J8" s="1719" t="inlineStr">
        <is>
          <t>NA</t>
        </is>
      </c>
      <c r="K8" s="1719" t="inlineStr">
        <is>
          <t>NA</t>
        </is>
      </c>
      <c r="L8" s="1719" t="n"/>
      <c r="M8" s="1722" t="inlineStr">
        <is>
          <t>Australia</t>
        </is>
      </c>
      <c r="N8" s="1725" t="inlineStr">
        <is>
          <t>CIC</t>
        </is>
      </c>
      <c r="O8" s="1725" t="n">
        <v>1</v>
      </c>
      <c r="P8" s="1725" t="n"/>
      <c r="Q8" s="1725" t="inlineStr">
        <is>
          <t>Permanent - Full Time</t>
        </is>
      </c>
      <c r="R8" s="1725" t="n"/>
      <c r="S8" s="1725" t="n"/>
      <c r="T8" s="1726" t="n">
        <v>182250</v>
      </c>
      <c r="U8" s="1727" t="n">
        <v>182250</v>
      </c>
      <c r="V8" s="1729" t="n">
        <v>0.12</v>
      </c>
      <c r="W8" s="1732" t="n">
        <v>0.055</v>
      </c>
      <c r="X8" s="1732" t="n">
        <v>0.12</v>
      </c>
      <c r="Y8" s="1733" t="n"/>
      <c r="Z8" s="1732" t="n">
        <v>0.04</v>
      </c>
      <c r="AA8" s="1731">
        <f>U8*(1+V8+W8+X8+Y8+Z8)</f>
        <v>243303.75</v>
      </c>
      <c r="AB8" s="1734" t="n"/>
    </row>
    <row r="9" ht="14.25" customHeight="1" s="866">
      <c r="A9" s="1718" t="n">
        <v>98924</v>
      </c>
      <c r="B9" s="1719" t="inlineStr">
        <is>
          <t>Dan Balsamo</t>
        </is>
      </c>
      <c r="C9" s="1720" t="inlineStr">
        <is>
          <t>Senior Cyber Project Manager</t>
        </is>
      </c>
      <c r="D9" s="1719" t="inlineStr">
        <is>
          <t>Vivienne Vasak</t>
        </is>
      </c>
      <c r="E9" s="1719" t="inlineStr">
        <is>
          <t xml:space="preserve">Head of Cyber Strategy &amp; Technology </t>
        </is>
      </c>
      <c r="F9" s="1719" t="inlineStr">
        <is>
          <t>Cyber, Risk &amp; Operations</t>
        </is>
      </c>
      <c r="G9" s="1721" t="inlineStr">
        <is>
          <t>Cyber Strat &amp; Tech</t>
        </is>
      </c>
      <c r="H9" s="1432" t="inlineStr">
        <is>
          <t>NA</t>
        </is>
      </c>
      <c r="I9" s="1719" t="inlineStr">
        <is>
          <t>NA</t>
        </is>
      </c>
      <c r="J9" s="1719" t="inlineStr">
        <is>
          <t>NA</t>
        </is>
      </c>
      <c r="K9" s="1719" t="inlineStr">
        <is>
          <t>NA</t>
        </is>
      </c>
      <c r="L9" s="1719" t="n"/>
      <c r="M9" s="1722" t="inlineStr">
        <is>
          <t>Australia</t>
        </is>
      </c>
      <c r="N9" s="1723" t="inlineStr">
        <is>
          <t>CIC</t>
        </is>
      </c>
      <c r="O9" s="1723" t="n">
        <v>1</v>
      </c>
      <c r="P9" s="1723" t="n"/>
      <c r="Q9" s="1723" t="inlineStr">
        <is>
          <t>Permanent - Full Time</t>
        </is>
      </c>
      <c r="R9" s="1725" t="n"/>
      <c r="S9" s="1725" t="n"/>
      <c r="T9" s="1726" t="n">
        <v>193690</v>
      </c>
      <c r="U9" s="1727" t="n">
        <v>193690</v>
      </c>
      <c r="V9" s="1729" t="n">
        <v>0.12</v>
      </c>
      <c r="W9" s="1732" t="n">
        <v>0.055</v>
      </c>
      <c r="X9" s="1732" t="n">
        <v>0.12</v>
      </c>
      <c r="Y9" s="1733" t="n"/>
      <c r="Z9" s="1732" t="n">
        <v>0.04</v>
      </c>
      <c r="AA9" s="1731">
        <f>U9*(1+V9+W9+X9+Y9+Z9)</f>
        <v>258576.15</v>
      </c>
      <c r="AB9" s="1734" t="n"/>
    </row>
    <row r="10" ht="14.25" customHeight="1" s="866">
      <c r="A10" s="1718" t="n">
        <v>110204</v>
      </c>
      <c r="B10" s="1719" t="inlineStr">
        <is>
          <t>Daniel Jolley</t>
        </is>
      </c>
      <c r="C10" s="1720" t="inlineStr">
        <is>
          <t>Tech Support Technician</t>
        </is>
      </c>
      <c r="D10" s="1719" t="inlineStr">
        <is>
          <t>Mark Pearson</t>
        </is>
      </c>
      <c r="E10" s="1719" t="inlineStr">
        <is>
          <t xml:space="preserve">Lead Technology Support </t>
        </is>
      </c>
      <c r="F10" s="1719" t="inlineStr">
        <is>
          <t>Cyber, Risk &amp; Operations</t>
        </is>
      </c>
      <c r="G10" s="1721" t="inlineStr">
        <is>
          <t>Service Op &amp; Assurance</t>
        </is>
      </c>
      <c r="H10" s="1432" t="inlineStr">
        <is>
          <t>NA</t>
        </is>
      </c>
      <c r="I10" s="1719" t="inlineStr">
        <is>
          <t>NA</t>
        </is>
      </c>
      <c r="J10" s="1719" t="inlineStr">
        <is>
          <t>NA</t>
        </is>
      </c>
      <c r="K10" s="1719" t="inlineStr">
        <is>
          <t>NA</t>
        </is>
      </c>
      <c r="L10" s="1719" t="n"/>
      <c r="M10" s="1722" t="inlineStr">
        <is>
          <t>Australia</t>
        </is>
      </c>
      <c r="N10" s="1723" t="inlineStr">
        <is>
          <t>CDC</t>
        </is>
      </c>
      <c r="O10" s="1723" t="n">
        <v>1</v>
      </c>
      <c r="P10" s="1723" t="n"/>
      <c r="Q10" s="1723" t="inlineStr">
        <is>
          <t>Permanent - Full Time</t>
        </is>
      </c>
      <c r="R10" s="1725" t="n"/>
      <c r="S10" s="1725" t="n"/>
      <c r="T10" s="1726" t="n">
        <v>88100</v>
      </c>
      <c r="U10" s="1727" t="n">
        <v>88100</v>
      </c>
      <c r="V10" s="1729" t="n">
        <v>0.1</v>
      </c>
      <c r="W10" s="1732" t="n">
        <v>0.055</v>
      </c>
      <c r="X10" s="1732" t="n">
        <v>0.12</v>
      </c>
      <c r="Y10" s="1733" t="n"/>
      <c r="Z10" s="1732" t="n">
        <v>0.04</v>
      </c>
      <c r="AA10" s="1731">
        <f>U10*(1+V10+W10+X10+Y10+Z10)</f>
        <v>115851.5</v>
      </c>
      <c r="AB10" s="1734" t="n"/>
    </row>
    <row r="11" ht="28.5" customHeight="1" s="866">
      <c r="A11" s="1718" t="n">
        <v>6307</v>
      </c>
      <c r="B11" s="1719" t="inlineStr">
        <is>
          <t>Darren Koller</t>
        </is>
      </c>
      <c r="C11" s="1720" t="inlineStr">
        <is>
          <t>Manager, Service Management &amp; Major Incident Mgmt Lead</t>
        </is>
      </c>
      <c r="D11" s="1719" t="inlineStr">
        <is>
          <t>Rajini Onteddu Reddy</t>
        </is>
      </c>
      <c r="E11" s="1719" t="inlineStr">
        <is>
          <t>Head of Service Operatoins &amp; Assurance</t>
        </is>
      </c>
      <c r="F11" s="1719" t="inlineStr">
        <is>
          <t>Cyber, Risk &amp; Operations</t>
        </is>
      </c>
      <c r="G11" s="1721" t="inlineStr">
        <is>
          <t>Service Op &amp; Assurance</t>
        </is>
      </c>
      <c r="H11" s="1719" t="inlineStr">
        <is>
          <t>NA</t>
        </is>
      </c>
      <c r="I11" s="1719" t="inlineStr">
        <is>
          <t>NA</t>
        </is>
      </c>
      <c r="J11" s="1719" t="inlineStr">
        <is>
          <t>NA</t>
        </is>
      </c>
      <c r="K11" s="1719" t="inlineStr">
        <is>
          <t>NA</t>
        </is>
      </c>
      <c r="L11" s="1719" t="n"/>
      <c r="M11" s="1722" t="inlineStr">
        <is>
          <t>Australia</t>
        </is>
      </c>
      <c r="N11" s="1725" t="inlineStr">
        <is>
          <t>CIC</t>
        </is>
      </c>
      <c r="O11" s="1725" t="n">
        <v>1</v>
      </c>
      <c r="P11" s="1725" t="n"/>
      <c r="Q11" s="1725" t="inlineStr">
        <is>
          <t>Permanent - Full Time</t>
        </is>
      </c>
      <c r="R11" s="1725" t="n"/>
      <c r="S11" s="1725" t="n"/>
      <c r="T11" s="1726" t="n">
        <v>205950</v>
      </c>
      <c r="U11" s="1727" t="n">
        <v>205950</v>
      </c>
      <c r="V11" s="1729" t="n">
        <v>0.12</v>
      </c>
      <c r="W11" s="1732" t="n">
        <v>0.055</v>
      </c>
      <c r="X11" s="1732" t="n">
        <v>0.12</v>
      </c>
      <c r="Y11" s="1733" t="n"/>
      <c r="Z11" s="1732" t="n">
        <v>0.04</v>
      </c>
      <c r="AA11" s="1731">
        <f>U11*(1+V11+W11+X11+Y11+Z11)</f>
        <v>274943.25</v>
      </c>
      <c r="AB11" s="1734" t="n"/>
    </row>
    <row r="12" ht="14.25" customHeight="1" s="866">
      <c r="A12" s="1718" t="n">
        <v>99707</v>
      </c>
      <c r="B12" s="1719" t="inlineStr">
        <is>
          <t>Darshan Suvama</t>
        </is>
      </c>
      <c r="C12" s="1720" t="inlineStr">
        <is>
          <t>Cyber Offensive Security Lead</t>
        </is>
      </c>
      <c r="D12" s="1719" t="inlineStr">
        <is>
          <t>Kevin Sheerin</t>
        </is>
      </c>
      <c r="E12" s="1719" t="inlineStr">
        <is>
          <t>Cyber Architecture Lead</t>
        </is>
      </c>
      <c r="F12" s="1719" t="inlineStr">
        <is>
          <t>Cyber, Risk &amp; Operations</t>
        </is>
      </c>
      <c r="G12" s="1721" t="inlineStr">
        <is>
          <t>Cyber Strat &amp; Tech</t>
        </is>
      </c>
      <c r="H12" s="1719" t="inlineStr">
        <is>
          <t>NA</t>
        </is>
      </c>
      <c r="I12" s="1719" t="inlineStr">
        <is>
          <t>NA</t>
        </is>
      </c>
      <c r="J12" s="1719" t="inlineStr">
        <is>
          <t>NA</t>
        </is>
      </c>
      <c r="K12" s="1719" t="inlineStr">
        <is>
          <t>NA</t>
        </is>
      </c>
      <c r="L12" s="1719" t="n"/>
      <c r="M12" s="1722" t="inlineStr">
        <is>
          <t>Australia</t>
        </is>
      </c>
      <c r="N12" s="1723" t="inlineStr">
        <is>
          <t>CIC</t>
        </is>
      </c>
      <c r="O12" s="1723" t="n">
        <v>1</v>
      </c>
      <c r="P12" s="1723" t="n"/>
      <c r="Q12" s="1723" t="inlineStr">
        <is>
          <t>Permanent - Full Time</t>
        </is>
      </c>
      <c r="R12" s="1725" t="n"/>
      <c r="S12" s="1725" t="n"/>
      <c r="T12" s="1726" t="n">
        <v>213740</v>
      </c>
      <c r="U12" s="1727" t="n">
        <v>213740</v>
      </c>
      <c r="V12" s="1729" t="n">
        <v>0.12</v>
      </c>
      <c r="W12" s="1732" t="n">
        <v>0.055</v>
      </c>
      <c r="X12" s="1732" t="n">
        <v>0.12</v>
      </c>
      <c r="Y12" s="1733" t="n"/>
      <c r="Z12" s="1732" t="n">
        <v>0.04</v>
      </c>
      <c r="AA12" s="1731">
        <f>U12*(1+V12+W12+X12+Y12+Z12)</f>
        <v>285342.9</v>
      </c>
      <c r="AB12" s="1734" t="n"/>
    </row>
    <row r="13" ht="14.25" customHeight="1" s="866">
      <c r="A13" s="1718" t="n">
        <v>101700</v>
      </c>
      <c r="B13" s="1719" t="inlineStr">
        <is>
          <t>Diya Thomas</t>
        </is>
      </c>
      <c r="C13" s="1720" t="inlineStr">
        <is>
          <t>Manager Cyber Security GRC</t>
        </is>
      </c>
      <c r="D13" s="1719" t="inlineStr">
        <is>
          <t>Frances Bouzo</t>
        </is>
      </c>
      <c r="E13" s="1719" t="inlineStr">
        <is>
          <t xml:space="preserve">Manager Cyber Security Operations </t>
        </is>
      </c>
      <c r="F13" s="1719" t="inlineStr">
        <is>
          <t>Cyber, Risk &amp; Operations</t>
        </is>
      </c>
      <c r="G13" s="1721" t="inlineStr">
        <is>
          <t>Cyber GRC</t>
        </is>
      </c>
      <c r="H13" s="1719" t="inlineStr">
        <is>
          <t>NA</t>
        </is>
      </c>
      <c r="I13" s="1719" t="inlineStr">
        <is>
          <t>NA</t>
        </is>
      </c>
      <c r="J13" s="1719" t="inlineStr">
        <is>
          <t>NA</t>
        </is>
      </c>
      <c r="K13" s="1719" t="inlineStr">
        <is>
          <t>NA</t>
        </is>
      </c>
      <c r="L13" s="1719" t="n"/>
      <c r="M13" s="1722" t="inlineStr">
        <is>
          <t>Australia</t>
        </is>
      </c>
      <c r="N13" s="1723" t="inlineStr">
        <is>
          <t>CSB</t>
        </is>
      </c>
      <c r="O13" s="1723" t="n">
        <v>1</v>
      </c>
      <c r="P13" s="1723" t="n"/>
      <c r="Q13" s="1723" t="inlineStr">
        <is>
          <t>Permanent - Full Time</t>
        </is>
      </c>
      <c r="R13" s="1725" t="n"/>
      <c r="S13" s="1725" t="n"/>
      <c r="T13" s="1726" t="n">
        <v>211840</v>
      </c>
      <c r="U13" s="1735" t="n">
        <v>211840</v>
      </c>
      <c r="V13" s="1736" t="n">
        <v>0.14</v>
      </c>
      <c r="W13" s="1737" t="n">
        <v>0.055</v>
      </c>
      <c r="X13" s="1737" t="n">
        <v>0.12</v>
      </c>
      <c r="Y13" s="1738" t="n"/>
      <c r="Z13" s="1737" t="n">
        <v>0.04</v>
      </c>
      <c r="AA13" s="1739">
        <f>U13*(1+V13+W13+X13+Y13+Z13)</f>
        <v>287043.2</v>
      </c>
      <c r="AB13" s="1734" t="n"/>
    </row>
    <row r="14" ht="14.25" customHeight="1" s="866">
      <c r="A14" s="1718" t="n">
        <v>99999102157</v>
      </c>
      <c r="B14" s="1719" t="inlineStr">
        <is>
          <t>Ethan Lamhert (FT)</t>
        </is>
      </c>
      <c r="C14" s="1720" t="inlineStr">
        <is>
          <t>Tech Support Technician</t>
        </is>
      </c>
      <c r="D14" s="1719" t="inlineStr">
        <is>
          <t>Mark Pearson</t>
        </is>
      </c>
      <c r="E14" s="1719" t="inlineStr">
        <is>
          <t xml:space="preserve">Lead Technology Support </t>
        </is>
      </c>
      <c r="F14" s="1719" t="inlineStr">
        <is>
          <t>Cyber, Risk &amp; Operations</t>
        </is>
      </c>
      <c r="G14" s="1721" t="inlineStr">
        <is>
          <t>Service Op &amp; Assurance</t>
        </is>
      </c>
      <c r="H14" s="1719" t="inlineStr">
        <is>
          <t>NA</t>
        </is>
      </c>
      <c r="I14" s="1719" t="inlineStr">
        <is>
          <t>NA</t>
        </is>
      </c>
      <c r="J14" s="1719" t="inlineStr">
        <is>
          <t>NA</t>
        </is>
      </c>
      <c r="K14" s="1719" t="inlineStr">
        <is>
          <t>NA</t>
        </is>
      </c>
      <c r="L14" s="1719" t="n"/>
      <c r="M14" s="1722" t="inlineStr">
        <is>
          <t>NZ</t>
        </is>
      </c>
      <c r="N14" s="1723" t="inlineStr">
        <is>
          <t>CDB</t>
        </is>
      </c>
      <c r="O14" s="1724" t="n">
        <v>1</v>
      </c>
      <c r="P14" s="1723" t="n"/>
      <c r="Q14" s="1724" t="inlineStr">
        <is>
          <t>Temporary - Full Time</t>
        </is>
      </c>
      <c r="R14" s="1725" t="n"/>
      <c r="S14" s="1725" t="n"/>
      <c r="T14" s="1726" t="n">
        <v>80000</v>
      </c>
      <c r="U14" s="1735" t="n">
        <v>73600</v>
      </c>
      <c r="V14" s="1740" t="n">
        <v>0.1</v>
      </c>
      <c r="W14" s="1741" t="n"/>
      <c r="X14" s="1736" t="n">
        <v>0.05</v>
      </c>
      <c r="Y14" s="1742" t="n">
        <v>2910</v>
      </c>
      <c r="Z14" s="1736" t="n">
        <v>0.03</v>
      </c>
      <c r="AA14" s="1739">
        <f>U14*(1+V14+X14+Z14)+Y14</f>
        <v>89758</v>
      </c>
      <c r="AB14" s="1432" t="n">
        <v>117353</v>
      </c>
    </row>
    <row r="15" ht="14.25" customHeight="1" s="866">
      <c r="A15" s="1718" t="n">
        <v>87951</v>
      </c>
      <c r="B15" s="1719" t="inlineStr">
        <is>
          <t>Iwan Wibisono</t>
        </is>
      </c>
      <c r="C15" s="1720" t="inlineStr">
        <is>
          <t>Engineer - IDAM</t>
        </is>
      </c>
      <c r="D15" s="1719" t="inlineStr">
        <is>
          <t>Joe Nahma</t>
        </is>
      </c>
      <c r="E15" s="1719" t="inlineStr">
        <is>
          <t xml:space="preserve">Lead Service Desk </t>
        </is>
      </c>
      <c r="F15" s="1719" t="inlineStr">
        <is>
          <t>Cyber, Risk &amp; Operations</t>
        </is>
      </c>
      <c r="G15" s="1721" t="inlineStr">
        <is>
          <t>Cyber Strat &amp; Tech</t>
        </is>
      </c>
      <c r="H15" s="1719" t="inlineStr">
        <is>
          <t>NA</t>
        </is>
      </c>
      <c r="I15" s="1719" t="inlineStr">
        <is>
          <t>NA</t>
        </is>
      </c>
      <c r="J15" s="1719" t="inlineStr">
        <is>
          <t>NA</t>
        </is>
      </c>
      <c r="K15" s="1719" t="inlineStr">
        <is>
          <t>NA</t>
        </is>
      </c>
      <c r="L15" s="1719" t="n"/>
      <c r="M15" s="1722" t="inlineStr">
        <is>
          <t>Australia</t>
        </is>
      </c>
      <c r="N15" s="1725" t="inlineStr">
        <is>
          <t>CIB</t>
        </is>
      </c>
      <c r="O15" s="1725" t="n">
        <v>1</v>
      </c>
      <c r="P15" s="1725" t="n"/>
      <c r="Q15" s="1725" t="inlineStr">
        <is>
          <t>Permanent - Full Time</t>
        </is>
      </c>
      <c r="R15" s="1725" t="n"/>
      <c r="S15" s="1725" t="n"/>
      <c r="T15" s="1726" t="n">
        <v>161560</v>
      </c>
      <c r="U15" s="1735" t="n">
        <v>161560</v>
      </c>
      <c r="V15" s="1736" t="n">
        <v>0.12</v>
      </c>
      <c r="W15" s="1737" t="n">
        <v>0.055</v>
      </c>
      <c r="X15" s="1737" t="n">
        <v>0.12</v>
      </c>
      <c r="Y15" s="1738" t="n"/>
      <c r="Z15" s="1737" t="n">
        <v>0.04</v>
      </c>
      <c r="AA15" s="1739">
        <f>U15*(1+V15+W15+X15+Y15+Z15)</f>
        <v>215682.6</v>
      </c>
      <c r="AB15" s="1734" t="n"/>
    </row>
    <row r="16" ht="14.25" customHeight="1" s="866">
      <c r="A16" s="1718" t="n">
        <v>113382</v>
      </c>
      <c r="B16" s="1719" t="inlineStr">
        <is>
          <t>Jack Jenkins</t>
        </is>
      </c>
      <c r="C16" s="1720" t="inlineStr">
        <is>
          <t>Asset Analyst</t>
        </is>
      </c>
      <c r="D16" s="1719" t="inlineStr">
        <is>
          <t>Vacant</t>
        </is>
      </c>
      <c r="E16" s="1719" t="inlineStr">
        <is>
          <t>Lead - Asset &amp; Configuration (Vacant)</t>
        </is>
      </c>
      <c r="F16" s="1719" t="inlineStr">
        <is>
          <t>Cyber, Risk &amp; Operations</t>
        </is>
      </c>
      <c r="G16" s="1721" t="inlineStr">
        <is>
          <t>Service Op &amp; Assurance</t>
        </is>
      </c>
      <c r="H16" s="1719" t="inlineStr">
        <is>
          <t>NA</t>
        </is>
      </c>
      <c r="I16" s="1719" t="inlineStr">
        <is>
          <t>NA</t>
        </is>
      </c>
      <c r="J16" s="1719" t="inlineStr">
        <is>
          <t>NA</t>
        </is>
      </c>
      <c r="K16" s="1719" t="inlineStr">
        <is>
          <t>NA</t>
        </is>
      </c>
      <c r="L16" s="1719" t="n"/>
      <c r="M16" s="1722" t="inlineStr">
        <is>
          <t>Australia</t>
        </is>
      </c>
      <c r="N16" s="1723" t="inlineStr">
        <is>
          <t>CIA</t>
        </is>
      </c>
      <c r="O16" s="1723" t="n">
        <v>1</v>
      </c>
      <c r="P16" s="1723" t="n"/>
      <c r="Q16" s="1723" t="inlineStr">
        <is>
          <t>Permanent - Full Time</t>
        </is>
      </c>
      <c r="R16" s="1725" t="n"/>
      <c r="S16" s="1725" t="n"/>
      <c r="T16" s="1726" t="n">
        <v>105710</v>
      </c>
      <c r="U16" s="1727" t="n">
        <v>105710</v>
      </c>
      <c r="V16" s="1729" t="n">
        <v>0.1</v>
      </c>
      <c r="W16" s="1732" t="n">
        <v>0.055</v>
      </c>
      <c r="X16" s="1732" t="n">
        <v>0.12</v>
      </c>
      <c r="Y16" s="1733" t="n"/>
      <c r="Z16" s="1732" t="n">
        <v>0.04</v>
      </c>
      <c r="AA16" s="1731">
        <f>U16*(1+V16+W16+X16+Y16+Z16)</f>
        <v>139008.65</v>
      </c>
      <c r="AB16" s="1734" t="n"/>
    </row>
    <row r="17" ht="14.25" customHeight="1" s="866">
      <c r="A17" s="1718" t="n">
        <v>100825</v>
      </c>
      <c r="B17" s="1719" t="inlineStr">
        <is>
          <t>James Byrne</t>
        </is>
      </c>
      <c r="C17" s="1720" t="inlineStr">
        <is>
          <t>Head of Cyber Strategy &amp; Technology</t>
        </is>
      </c>
      <c r="D17" s="1719" t="inlineStr">
        <is>
          <t>Frances Bouzo</t>
        </is>
      </c>
      <c r="E17" s="1719" t="inlineStr">
        <is>
          <t xml:space="preserve">Manager Customer Support Operations </t>
        </is>
      </c>
      <c r="F17" s="1719" t="inlineStr">
        <is>
          <t>Cyber, Risk &amp; Operations</t>
        </is>
      </c>
      <c r="G17" s="1721" t="inlineStr">
        <is>
          <t>Cyber Strat &amp; Tech</t>
        </is>
      </c>
      <c r="H17" s="1719" t="inlineStr">
        <is>
          <t>NA</t>
        </is>
      </c>
      <c r="I17" s="1719" t="inlineStr">
        <is>
          <t>NA</t>
        </is>
      </c>
      <c r="J17" s="1719" t="inlineStr">
        <is>
          <t>NA</t>
        </is>
      </c>
      <c r="K17" s="1719" t="inlineStr">
        <is>
          <t>NA</t>
        </is>
      </c>
      <c r="L17" s="1719" t="n"/>
      <c r="M17" s="1722" t="inlineStr">
        <is>
          <t>Australia</t>
        </is>
      </c>
      <c r="N17" s="1723" t="inlineStr">
        <is>
          <t>CSC</t>
        </is>
      </c>
      <c r="O17" s="1723" t="n">
        <v>1</v>
      </c>
      <c r="P17" s="1723" t="n"/>
      <c r="Q17" s="1723" t="inlineStr">
        <is>
          <t>Permanent - Full Time</t>
        </is>
      </c>
      <c r="R17" s="1725" t="n"/>
      <c r="S17" s="1725" t="n"/>
      <c r="T17" s="1726" t="n">
        <v>270380</v>
      </c>
      <c r="U17" s="1727" t="n">
        <v>270380</v>
      </c>
      <c r="V17" s="1729" t="n">
        <v>0.2</v>
      </c>
      <c r="W17" s="1743" t="n">
        <v>0.055</v>
      </c>
      <c r="X17" s="1743" t="n">
        <v>0.12</v>
      </c>
      <c r="Y17" s="1744" t="n"/>
      <c r="Z17" s="1743" t="n">
        <v>0.04</v>
      </c>
      <c r="AA17" s="1731">
        <f>U17*(1+V17+W17+X17+Y17+Z17)</f>
        <v>382587.7</v>
      </c>
      <c r="AB17" s="1734" t="n"/>
    </row>
    <row r="18" ht="14.25" customHeight="1" s="866">
      <c r="A18" s="1718" t="n">
        <v>108727</v>
      </c>
      <c r="B18" s="1719" t="inlineStr">
        <is>
          <t>Jas Mann</t>
        </is>
      </c>
      <c r="C18" s="1720" t="inlineStr">
        <is>
          <t>Technology Support Engineer</t>
        </is>
      </c>
      <c r="D18" s="1719" t="inlineStr">
        <is>
          <t>Mark Pearson</t>
        </is>
      </c>
      <c r="E18" s="1719" t="inlineStr">
        <is>
          <t xml:space="preserve">Lead Technology Support </t>
        </is>
      </c>
      <c r="F18" s="1719" t="inlineStr">
        <is>
          <t>Cyber, Risk &amp; Operations</t>
        </is>
      </c>
      <c r="G18" s="1721" t="inlineStr">
        <is>
          <t>Service Op &amp; Assurance</t>
        </is>
      </c>
      <c r="H18" s="1719" t="inlineStr">
        <is>
          <t>NA</t>
        </is>
      </c>
      <c r="I18" s="1719" t="inlineStr">
        <is>
          <t>NA</t>
        </is>
      </c>
      <c r="J18" s="1719" t="inlineStr">
        <is>
          <t>NA</t>
        </is>
      </c>
      <c r="K18" s="1719" t="inlineStr">
        <is>
          <t>NA</t>
        </is>
      </c>
      <c r="L18" s="1719" t="n"/>
      <c r="M18" s="1722" t="inlineStr">
        <is>
          <t>Australia</t>
        </is>
      </c>
      <c r="N18" s="1723" t="inlineStr">
        <is>
          <t>CIA</t>
        </is>
      </c>
      <c r="O18" s="1723" t="n">
        <v>1</v>
      </c>
      <c r="P18" s="1723" t="n"/>
      <c r="Q18" s="1723" t="inlineStr">
        <is>
          <t>Permanent - Full Time</t>
        </is>
      </c>
      <c r="R18" s="1725" t="n"/>
      <c r="S18" s="1725" t="n"/>
      <c r="T18" s="1726" t="n">
        <v>111700</v>
      </c>
      <c r="U18" s="1727" t="n">
        <v>111700</v>
      </c>
      <c r="V18" s="1729" t="n">
        <v>0.1</v>
      </c>
      <c r="W18" s="1732" t="n">
        <v>0.055</v>
      </c>
      <c r="X18" s="1732" t="n">
        <v>0.12</v>
      </c>
      <c r="Y18" s="1733" t="n"/>
      <c r="Z18" s="1732" t="n">
        <v>0.04</v>
      </c>
      <c r="AA18" s="1731">
        <f>U18*(1+V18+W18+X18+Y18+Z18)</f>
        <v>146885.5</v>
      </c>
      <c r="AB18" s="1734" t="n"/>
    </row>
    <row r="19" ht="14.25" customHeight="1" s="866">
      <c r="A19" s="1718" t="n">
        <v>108809</v>
      </c>
      <c r="B19" s="1719" t="inlineStr">
        <is>
          <t>Joe Nahma</t>
        </is>
      </c>
      <c r="C19" s="1720" t="inlineStr">
        <is>
          <t>Manager Identity &amp; Access Management</t>
        </is>
      </c>
      <c r="D19" s="1719" t="inlineStr">
        <is>
          <t>James Byrne</t>
        </is>
      </c>
      <c r="E19" s="1719" t="inlineStr">
        <is>
          <t>Manager Cyber Security GRC</t>
        </is>
      </c>
      <c r="F19" s="1719" t="inlineStr">
        <is>
          <t>Cyber, Risk &amp; Operations</t>
        </is>
      </c>
      <c r="G19" s="1721" t="inlineStr">
        <is>
          <t>Cyber Strat &amp; Tech</t>
        </is>
      </c>
      <c r="H19" s="1719" t="inlineStr">
        <is>
          <t>NA</t>
        </is>
      </c>
      <c r="I19" s="1719" t="inlineStr">
        <is>
          <t>NA</t>
        </is>
      </c>
      <c r="J19" s="1719" t="inlineStr">
        <is>
          <t>NA</t>
        </is>
      </c>
      <c r="K19" s="1719" t="inlineStr">
        <is>
          <t>NA</t>
        </is>
      </c>
      <c r="L19" s="1719" t="n"/>
      <c r="M19" s="1722" t="inlineStr">
        <is>
          <t>Australia</t>
        </is>
      </c>
      <c r="N19" s="1723" t="inlineStr">
        <is>
          <t>CIC</t>
        </is>
      </c>
      <c r="O19" s="1723" t="n">
        <v>1</v>
      </c>
      <c r="P19" s="1723" t="n"/>
      <c r="Q19" s="1723" t="inlineStr">
        <is>
          <t>Permanent - Full Time</t>
        </is>
      </c>
      <c r="R19" s="1725" t="n"/>
      <c r="S19" s="1725" t="n"/>
      <c r="T19" s="1726" t="n">
        <v>193790</v>
      </c>
      <c r="U19" s="1727" t="n">
        <v>193790</v>
      </c>
      <c r="V19" s="1729" t="n">
        <v>0.12</v>
      </c>
      <c r="W19" s="1732" t="n">
        <v>0.055</v>
      </c>
      <c r="X19" s="1732" t="n">
        <v>0.12</v>
      </c>
      <c r="Y19" s="1733" t="n"/>
      <c r="Z19" s="1732" t="n">
        <v>0.04</v>
      </c>
      <c r="AA19" s="1731">
        <f>U19*(1+V19+W19+X19+Y19+Z19)</f>
        <v>258709.65</v>
      </c>
      <c r="AB19" s="1734" t="n"/>
    </row>
    <row r="20" ht="14.25" customHeight="1" s="866">
      <c r="A20" s="1718" t="n">
        <v>114354</v>
      </c>
      <c r="B20" s="1719" t="inlineStr">
        <is>
          <t>Kaaviya Salai Manimudian</t>
        </is>
      </c>
      <c r="C20" s="1720" t="inlineStr">
        <is>
          <t>Graduate</t>
        </is>
      </c>
      <c r="D20" s="1719" t="inlineStr">
        <is>
          <t>Lynda Niewidok</t>
        </is>
      </c>
      <c r="E20" s="1719" t="inlineStr">
        <is>
          <t xml:space="preserve">Manager Customer Support Operations </t>
        </is>
      </c>
      <c r="F20" s="1719" t="inlineStr">
        <is>
          <t>Cyber, Risk &amp; Operations</t>
        </is>
      </c>
      <c r="G20" s="1721" t="inlineStr">
        <is>
          <t>Service Op &amp; Assurance</t>
        </is>
      </c>
      <c r="H20" s="1719" t="inlineStr">
        <is>
          <t>NA</t>
        </is>
      </c>
      <c r="I20" s="1719" t="inlineStr">
        <is>
          <t>NA</t>
        </is>
      </c>
      <c r="J20" s="1719" t="inlineStr">
        <is>
          <t>NA</t>
        </is>
      </c>
      <c r="K20" s="1719" t="inlineStr">
        <is>
          <t>NA</t>
        </is>
      </c>
      <c r="L20" s="1719" t="n"/>
      <c r="M20" s="1722" t="inlineStr">
        <is>
          <t>Australia</t>
        </is>
      </c>
      <c r="N20" s="1723" t="inlineStr">
        <is>
          <t>CDB</t>
        </is>
      </c>
      <c r="O20" s="1723" t="n">
        <v>1</v>
      </c>
      <c r="P20" s="1723" t="n"/>
      <c r="Q20" s="1723" t="inlineStr">
        <is>
          <t>Permanent - Full Time</t>
        </is>
      </c>
      <c r="R20" s="1725" t="n"/>
      <c r="S20" s="1725" t="n"/>
      <c r="T20" s="1726" t="n">
        <v>85000</v>
      </c>
      <c r="U20" s="1727" t="n">
        <v>85000</v>
      </c>
      <c r="V20" s="1729" t="n">
        <v>0.08</v>
      </c>
      <c r="W20" s="1732" t="n">
        <v>0.055</v>
      </c>
      <c r="X20" s="1732" t="n">
        <v>0.12</v>
      </c>
      <c r="Y20" s="1733" t="n"/>
      <c r="Z20" s="1732" t="n">
        <v>0.04</v>
      </c>
      <c r="AA20" s="1731">
        <f>U20*(1+V20+W20+X20+Y20+Z20)</f>
        <v>110075</v>
      </c>
      <c r="AB20" s="1734" t="n"/>
    </row>
    <row r="21" ht="14.25" customHeight="1" s="866">
      <c r="A21" s="1718" t="n">
        <v>97592</v>
      </c>
      <c r="B21" s="1719" t="inlineStr">
        <is>
          <t>Kevin Sheerin</t>
        </is>
      </c>
      <c r="C21" s="1720" t="inlineStr">
        <is>
          <t>Cyber Architecture Lead</t>
        </is>
      </c>
      <c r="D21" s="1719" t="inlineStr">
        <is>
          <t>James Byrne</t>
        </is>
      </c>
      <c r="E21" s="1719" t="n"/>
      <c r="F21" s="1719" t="inlineStr">
        <is>
          <t>Cyber, Risk &amp; Operations</t>
        </is>
      </c>
      <c r="G21" s="1721" t="inlineStr">
        <is>
          <t>Cyber Strat &amp; Tech</t>
        </is>
      </c>
      <c r="H21" s="1719" t="inlineStr">
        <is>
          <t>NA</t>
        </is>
      </c>
      <c r="I21" s="1719" t="inlineStr">
        <is>
          <t>NA</t>
        </is>
      </c>
      <c r="J21" s="1719" t="inlineStr">
        <is>
          <t>NA</t>
        </is>
      </c>
      <c r="K21" s="1719" t="inlineStr">
        <is>
          <t>NA</t>
        </is>
      </c>
      <c r="L21" s="1719" t="n"/>
      <c r="M21" s="1722" t="inlineStr">
        <is>
          <t>Australia</t>
        </is>
      </c>
      <c r="N21" s="1723" t="inlineStr">
        <is>
          <t>CIC</t>
        </is>
      </c>
      <c r="O21" s="1723" t="n">
        <v>1</v>
      </c>
      <c r="P21" s="1723" t="n"/>
      <c r="Q21" s="1723" t="inlineStr">
        <is>
          <t>Permanent - Full Time</t>
        </is>
      </c>
      <c r="R21" s="1725" t="n"/>
      <c r="S21" s="1725" t="n"/>
      <c r="T21" s="1726" t="n">
        <v>213470</v>
      </c>
      <c r="U21" s="1727" t="n">
        <v>213470</v>
      </c>
      <c r="V21" s="1729" t="n">
        <v>0.12</v>
      </c>
      <c r="W21" s="1732" t="n">
        <v>0.055</v>
      </c>
      <c r="X21" s="1732" t="n">
        <v>0.12</v>
      </c>
      <c r="Y21" s="1733" t="n"/>
      <c r="Z21" s="1732" t="n">
        <v>0.04</v>
      </c>
      <c r="AA21" s="1731">
        <f>U21*(1+V21+W21+X21+Y21+Z21)</f>
        <v>284982.45</v>
      </c>
      <c r="AB21" s="1734" t="n"/>
    </row>
    <row r="22" ht="28.5" customHeight="1" s="866">
      <c r="A22" s="1718" t="n">
        <v>99999101673</v>
      </c>
      <c r="B22" s="1719" t="inlineStr">
        <is>
          <t>Lisa Ng</t>
        </is>
      </c>
      <c r="C22" s="1720" t="inlineStr">
        <is>
          <t>Cyber Security Analyst</t>
        </is>
      </c>
      <c r="D22" s="1719" t="inlineStr">
        <is>
          <t>Steven Atcheson</t>
        </is>
      </c>
      <c r="E22" s="1719" t="n"/>
      <c r="F22" s="1719" t="inlineStr">
        <is>
          <t>Cyber, Risk &amp; Operations</t>
        </is>
      </c>
      <c r="G22" s="1721" t="inlineStr">
        <is>
          <t>Cyber Sec Ops</t>
        </is>
      </c>
      <c r="H22" s="1719" t="inlineStr">
        <is>
          <t>NA</t>
        </is>
      </c>
      <c r="I22" s="1719" t="inlineStr">
        <is>
          <t>NA</t>
        </is>
      </c>
      <c r="J22" s="1719" t="inlineStr">
        <is>
          <t>NA</t>
        </is>
      </c>
      <c r="K22" s="1719" t="inlineStr">
        <is>
          <t>NA</t>
        </is>
      </c>
      <c r="L22" s="1719" t="n"/>
      <c r="M22" s="1722" t="inlineStr">
        <is>
          <t>NZ</t>
        </is>
      </c>
      <c r="N22" s="1723" t="inlineStr">
        <is>
          <t>CIA</t>
        </is>
      </c>
      <c r="O22" s="1724" t="n">
        <v>0.8</v>
      </c>
      <c r="P22" s="1723" t="n"/>
      <c r="Q22" s="1724" t="inlineStr">
        <is>
          <t>Permanent - Part Time</t>
        </is>
      </c>
      <c r="R22" s="1725" t="n"/>
      <c r="S22" s="1725" t="n"/>
      <c r="T22" s="1726" t="n">
        <v>128040</v>
      </c>
      <c r="U22" s="1727" t="n">
        <v>117796.8</v>
      </c>
      <c r="V22" s="1728" t="n">
        <v>0.15</v>
      </c>
      <c r="W22" s="1725" t="n"/>
      <c r="X22" s="1729" t="n">
        <v>0.05</v>
      </c>
      <c r="Y22" s="1730" t="n">
        <v>2910</v>
      </c>
      <c r="Z22" s="1729" t="n">
        <v>0.03</v>
      </c>
      <c r="AA22" s="1731">
        <f>U22*(1+V22+X22+Z22)+Y22</f>
        <v>147800.064</v>
      </c>
      <c r="AB22" s="1432" t="n">
        <v>113576</v>
      </c>
    </row>
    <row r="23" ht="14.25" customHeight="1" s="866">
      <c r="A23" s="1718" t="n">
        <v>96830</v>
      </c>
      <c r="B23" s="1719" t="inlineStr">
        <is>
          <t>Lynda Niewidok</t>
        </is>
      </c>
      <c r="C23" s="1720" t="inlineStr">
        <is>
          <t>Lead - Service Desk</t>
        </is>
      </c>
      <c r="D23" s="1719" t="inlineStr">
        <is>
          <t>Chris Rojas</t>
        </is>
      </c>
      <c r="E23" s="1719" t="inlineStr">
        <is>
          <t xml:space="preserve">CISO </t>
        </is>
      </c>
      <c r="F23" s="1719" t="inlineStr">
        <is>
          <t>Cyber, Risk &amp; Operations</t>
        </is>
      </c>
      <c r="G23" s="1721" t="inlineStr">
        <is>
          <t>Service Op &amp; Assurance</t>
        </is>
      </c>
      <c r="H23" s="1719" t="inlineStr">
        <is>
          <t>NA</t>
        </is>
      </c>
      <c r="I23" s="1719" t="inlineStr">
        <is>
          <t>NA</t>
        </is>
      </c>
      <c r="J23" s="1719" t="inlineStr">
        <is>
          <t>NA</t>
        </is>
      </c>
      <c r="K23" s="1719" t="inlineStr">
        <is>
          <t>NA</t>
        </is>
      </c>
      <c r="L23" s="1719" t="n"/>
      <c r="M23" s="1722" t="inlineStr">
        <is>
          <t>Australia</t>
        </is>
      </c>
      <c r="N23" s="1723" t="inlineStr">
        <is>
          <t>CIB</t>
        </is>
      </c>
      <c r="O23" s="1723" t="n">
        <v>1</v>
      </c>
      <c r="P23" s="1723" t="n"/>
      <c r="Q23" s="1723" t="inlineStr">
        <is>
          <t>Permanent - Full Time</t>
        </is>
      </c>
      <c r="R23" s="1725" t="n"/>
      <c r="S23" s="1725" t="n"/>
      <c r="T23" s="1726" t="n">
        <v>152800</v>
      </c>
      <c r="U23" s="1727" t="n">
        <v>152800</v>
      </c>
      <c r="V23" s="1729" t="n">
        <v>0.12</v>
      </c>
      <c r="W23" s="1732" t="n">
        <v>0.055</v>
      </c>
      <c r="X23" s="1732" t="n">
        <v>0.12</v>
      </c>
      <c r="Y23" s="1733" t="n"/>
      <c r="Z23" s="1732" t="n">
        <v>0.04</v>
      </c>
      <c r="AA23" s="1731">
        <f>U23*(1+V23+W23+X23+Y23+Z23)</f>
        <v>203988</v>
      </c>
      <c r="AB23" s="1734" t="n"/>
    </row>
    <row r="24" ht="14.25" customHeight="1" s="866">
      <c r="A24" s="1718" t="n">
        <v>92681</v>
      </c>
      <c r="B24" s="1719" t="inlineStr">
        <is>
          <t>Mark Pearson</t>
        </is>
      </c>
      <c r="C24" s="1720" t="inlineStr">
        <is>
          <t>Lead - Technology Support</t>
        </is>
      </c>
      <c r="D24" s="1719" t="inlineStr">
        <is>
          <t>Chris Rojas</t>
        </is>
      </c>
      <c r="E24" s="1719" t="inlineStr">
        <is>
          <t xml:space="preserve">Manager Service Management &amp; Major Incident Management Lead </t>
        </is>
      </c>
      <c r="F24" s="1719" t="inlineStr">
        <is>
          <t>Cyber, Risk &amp; Operations</t>
        </is>
      </c>
      <c r="G24" s="1721" t="inlineStr">
        <is>
          <t>Service Op &amp; Assurance</t>
        </is>
      </c>
      <c r="H24" s="1719" t="inlineStr">
        <is>
          <t>NA</t>
        </is>
      </c>
      <c r="I24" s="1719" t="inlineStr">
        <is>
          <t>NA</t>
        </is>
      </c>
      <c r="J24" s="1719" t="inlineStr">
        <is>
          <t>NA</t>
        </is>
      </c>
      <c r="K24" s="1719" t="inlineStr">
        <is>
          <t>NA</t>
        </is>
      </c>
      <c r="L24" s="1719" t="n"/>
      <c r="M24" s="1722" t="inlineStr">
        <is>
          <t>Australia</t>
        </is>
      </c>
      <c r="N24" s="1723" t="inlineStr">
        <is>
          <t>CIB</t>
        </is>
      </c>
      <c r="O24" s="1723" t="n">
        <v>1</v>
      </c>
      <c r="P24" s="1723" t="n"/>
      <c r="Q24" s="1723" t="inlineStr">
        <is>
          <t>Permanent - Full Time</t>
        </is>
      </c>
      <c r="R24" s="1725" t="n"/>
      <c r="S24" s="1725" t="n"/>
      <c r="T24" s="1726" t="n">
        <v>152690</v>
      </c>
      <c r="U24" s="1727" t="n">
        <v>152690</v>
      </c>
      <c r="V24" s="1729" t="n">
        <v>0.12</v>
      </c>
      <c r="W24" s="1732" t="n">
        <v>0.055</v>
      </c>
      <c r="X24" s="1732" t="n">
        <v>0.12</v>
      </c>
      <c r="Y24" s="1733" t="n"/>
      <c r="Z24" s="1732" t="n">
        <v>0.04</v>
      </c>
      <c r="AA24" s="1731">
        <f>U24*(1+V24+W24+X24+Y24+Z24)</f>
        <v>203841.15</v>
      </c>
      <c r="AB24" s="1734" t="n"/>
    </row>
    <row r="25" ht="14.25" customHeight="1" s="866">
      <c r="A25" s="1718" t="n">
        <v>90096</v>
      </c>
      <c r="B25" s="1719" t="inlineStr">
        <is>
          <t>Mary-Grace Rivera</t>
        </is>
      </c>
      <c r="C25" s="1720" t="inlineStr">
        <is>
          <t>Lead, Service Management</t>
        </is>
      </c>
      <c r="D25" s="1721" t="inlineStr">
        <is>
          <t>Vacant</t>
        </is>
      </c>
      <c r="E25" s="1719" t="inlineStr">
        <is>
          <t>Darren Koller</t>
        </is>
      </c>
      <c r="F25" s="1719" t="inlineStr">
        <is>
          <t>Cyber, Risk &amp; Operations</t>
        </is>
      </c>
      <c r="G25" s="1721" t="inlineStr">
        <is>
          <t>Service Op &amp; Assurance</t>
        </is>
      </c>
      <c r="H25" s="1719" t="inlineStr">
        <is>
          <t>NA</t>
        </is>
      </c>
      <c r="I25" s="1719" t="inlineStr">
        <is>
          <t>NA</t>
        </is>
      </c>
      <c r="J25" s="1719" t="inlineStr">
        <is>
          <t>NA</t>
        </is>
      </c>
      <c r="K25" s="1719" t="inlineStr">
        <is>
          <t>NA</t>
        </is>
      </c>
      <c r="L25" s="1719" t="n"/>
      <c r="M25" s="1722" t="inlineStr">
        <is>
          <t>Australia</t>
        </is>
      </c>
      <c r="N25" s="1723" t="inlineStr">
        <is>
          <t>CIA</t>
        </is>
      </c>
      <c r="O25" s="1723" t="n">
        <v>1</v>
      </c>
      <c r="P25" s="1723" t="n"/>
      <c r="Q25" s="1723" t="inlineStr">
        <is>
          <t>Permanent - Full Time</t>
        </is>
      </c>
      <c r="R25" s="1725" t="n"/>
      <c r="S25" s="1725" t="n"/>
      <c r="T25" s="1726" t="n">
        <v>137620</v>
      </c>
      <c r="U25" s="1727" t="n">
        <v>137620</v>
      </c>
      <c r="V25" s="1729" t="n">
        <v>0.1</v>
      </c>
      <c r="W25" s="1732" t="n">
        <v>0.055</v>
      </c>
      <c r="X25" s="1732" t="n">
        <v>0.12</v>
      </c>
      <c r="Y25" s="1733" t="n"/>
      <c r="Z25" s="1732" t="n">
        <v>0.04</v>
      </c>
      <c r="AA25" s="1731">
        <f>U25*(1+V25+W25+X25+Y25+Z25)</f>
        <v>180970.3</v>
      </c>
      <c r="AB25" s="1734" t="n"/>
    </row>
    <row r="26" ht="14.25" customHeight="1" s="866">
      <c r="A26" s="1718" t="n">
        <v>113900</v>
      </c>
      <c r="B26" s="1719" t="inlineStr">
        <is>
          <t>Mick Collins</t>
        </is>
      </c>
      <c r="C26" s="1720" t="inlineStr">
        <is>
          <t>Manager, Service Performance &amp; Assurance</t>
        </is>
      </c>
      <c r="D26" s="1719" t="inlineStr">
        <is>
          <t>Rajini Onteddu Reddy</t>
        </is>
      </c>
      <c r="E26" s="1719" t="n"/>
      <c r="F26" s="1719" t="inlineStr">
        <is>
          <t>Cyber, Risk &amp; Operations</t>
        </is>
      </c>
      <c r="G26" s="1721" t="inlineStr">
        <is>
          <t>Service Op &amp; Assurance</t>
        </is>
      </c>
      <c r="H26" s="1719" t="inlineStr">
        <is>
          <t>NA</t>
        </is>
      </c>
      <c r="I26" s="1719" t="inlineStr">
        <is>
          <t>NA</t>
        </is>
      </c>
      <c r="J26" s="1719" t="inlineStr">
        <is>
          <t>NA</t>
        </is>
      </c>
      <c r="K26" s="1719" t="inlineStr">
        <is>
          <t>NA</t>
        </is>
      </c>
      <c r="L26" s="1719" t="n"/>
      <c r="M26" s="1722" t="inlineStr">
        <is>
          <t>Australia</t>
        </is>
      </c>
      <c r="N26" s="1723" t="inlineStr">
        <is>
          <t>CSB</t>
        </is>
      </c>
      <c r="O26" s="1723" t="n">
        <v>1</v>
      </c>
      <c r="P26" s="1723" t="n"/>
      <c r="Q26" s="1723" t="inlineStr">
        <is>
          <t>Permanent - Full Time</t>
        </is>
      </c>
      <c r="R26" s="1725" t="n"/>
      <c r="S26" s="1725" t="n"/>
      <c r="T26" s="1726" t="n">
        <v>200790</v>
      </c>
      <c r="U26" s="1727" t="n">
        <v>200790</v>
      </c>
      <c r="V26" s="1729" t="n">
        <v>0.14</v>
      </c>
      <c r="W26" s="1732" t="n">
        <v>0.055</v>
      </c>
      <c r="X26" s="1732" t="n">
        <v>0.12</v>
      </c>
      <c r="Y26" s="1733" t="n"/>
      <c r="Z26" s="1732" t="n">
        <v>0.04</v>
      </c>
      <c r="AA26" s="1731">
        <f>U26*(1+V26+W26+X26+Y26+Z26)</f>
        <v>272070.45</v>
      </c>
      <c r="AB26" s="1734" t="n"/>
    </row>
    <row r="27" ht="14.25" customHeight="1" s="866">
      <c r="A27" s="1718" t="n">
        <v>97425</v>
      </c>
      <c r="B27" s="1719" t="inlineStr">
        <is>
          <t>Nischal Bhusal</t>
        </is>
      </c>
      <c r="C27" s="1720" t="inlineStr">
        <is>
          <t>Cyber Security Analyst</t>
        </is>
      </c>
      <c r="D27" s="1719" t="inlineStr">
        <is>
          <t>Steven Atcheson</t>
        </is>
      </c>
      <c r="E27" s="1719" t="n"/>
      <c r="F27" s="1719" t="inlineStr">
        <is>
          <t>Cyber, Risk &amp; Operations</t>
        </is>
      </c>
      <c r="G27" s="1721" t="inlineStr">
        <is>
          <t>Cyber Sec Ops</t>
        </is>
      </c>
      <c r="H27" s="1719" t="inlineStr">
        <is>
          <t>NA</t>
        </is>
      </c>
      <c r="I27" s="1719" t="inlineStr">
        <is>
          <t>NA</t>
        </is>
      </c>
      <c r="J27" s="1719" t="inlineStr">
        <is>
          <t>NA</t>
        </is>
      </c>
      <c r="K27" s="1719" t="inlineStr">
        <is>
          <t>NA</t>
        </is>
      </c>
      <c r="L27" s="1719" t="n"/>
      <c r="M27" s="1722" t="inlineStr">
        <is>
          <t>Australia</t>
        </is>
      </c>
      <c r="N27" s="1723" t="inlineStr">
        <is>
          <t>CIB</t>
        </is>
      </c>
      <c r="O27" s="1723" t="n">
        <v>1</v>
      </c>
      <c r="P27" s="1723" t="n"/>
      <c r="Q27" s="1723" t="inlineStr">
        <is>
          <t>Permanent - Full Time</t>
        </is>
      </c>
      <c r="R27" s="1725" t="n"/>
      <c r="S27" s="1725" t="n"/>
      <c r="T27" s="1726" t="n">
        <v>161520</v>
      </c>
      <c r="U27" s="1727" t="n">
        <v>161520</v>
      </c>
      <c r="V27" s="1729" t="n">
        <v>0.12</v>
      </c>
      <c r="W27" s="1732" t="n">
        <v>0.055</v>
      </c>
      <c r="X27" s="1732" t="n">
        <v>0.12</v>
      </c>
      <c r="Y27" s="1733" t="n"/>
      <c r="Z27" s="1732" t="n">
        <v>0.04</v>
      </c>
      <c r="AA27" s="1731">
        <f>U27*(1+V27+W27+X27+Y27+Z27)</f>
        <v>215629.2</v>
      </c>
      <c r="AB27" s="1734" t="n"/>
    </row>
    <row r="28" ht="14.25" customHeight="1" s="866">
      <c r="A28" s="1718" t="n">
        <v>109491</v>
      </c>
      <c r="B28" s="1719" t="inlineStr">
        <is>
          <t>Pooja Kuperkar</t>
        </is>
      </c>
      <c r="C28" s="1720" t="inlineStr">
        <is>
          <t>Cyber GRC Analyst</t>
        </is>
      </c>
      <c r="D28" s="1719" t="inlineStr">
        <is>
          <t>Diya Thomas</t>
        </is>
      </c>
      <c r="E28" s="1719" t="n"/>
      <c r="F28" s="1719" t="inlineStr">
        <is>
          <t>Cyber, Risk &amp; Operations</t>
        </is>
      </c>
      <c r="G28" s="1721" t="inlineStr">
        <is>
          <t>Cyber GRC</t>
        </is>
      </c>
      <c r="H28" s="1719" t="inlineStr">
        <is>
          <t>NA</t>
        </is>
      </c>
      <c r="I28" s="1719" t="inlineStr">
        <is>
          <t>NA</t>
        </is>
      </c>
      <c r="J28" s="1719" t="inlineStr">
        <is>
          <t>NA</t>
        </is>
      </c>
      <c r="K28" s="1719" t="inlineStr">
        <is>
          <t>NA</t>
        </is>
      </c>
      <c r="L28" s="1719" t="n"/>
      <c r="M28" s="1722" t="inlineStr">
        <is>
          <t>Australia</t>
        </is>
      </c>
      <c r="N28" s="1723" t="inlineStr">
        <is>
          <t>CIB</t>
        </is>
      </c>
      <c r="O28" s="1723" t="n">
        <v>1</v>
      </c>
      <c r="P28" s="1723" t="n"/>
      <c r="Q28" s="1723" t="inlineStr">
        <is>
          <t>Permanent - Full Time</t>
        </is>
      </c>
      <c r="R28" s="1725" t="n"/>
      <c r="S28" s="1725" t="n"/>
      <c r="T28" s="1726" t="n">
        <v>152390</v>
      </c>
      <c r="U28" s="1727" t="n">
        <v>152390</v>
      </c>
      <c r="V28" s="1729" t="n">
        <v>0.12</v>
      </c>
      <c r="W28" s="1732" t="n">
        <v>0.055</v>
      </c>
      <c r="X28" s="1732" t="n">
        <v>0.12</v>
      </c>
      <c r="Y28" s="1733" t="n"/>
      <c r="Z28" s="1732" t="n">
        <v>0.04</v>
      </c>
      <c r="AA28" s="1731">
        <f>U28*(1+V28+W28+X28+Y28+Z28)</f>
        <v>203440.65</v>
      </c>
      <c r="AB28" s="1734" t="n"/>
    </row>
    <row r="29" ht="14.25" customHeight="1" s="866">
      <c r="A29" s="1718" t="n">
        <v>114683</v>
      </c>
      <c r="B29" s="1719" t="inlineStr">
        <is>
          <t>Prashanth Chandran</t>
        </is>
      </c>
      <c r="C29" s="1720" t="inlineStr">
        <is>
          <t>Senior Cyber GRC Specialist</t>
        </is>
      </c>
      <c r="D29" s="1719" t="inlineStr">
        <is>
          <t>Diya Thomas</t>
        </is>
      </c>
      <c r="E29" s="1719" t="inlineStr">
        <is>
          <t>Manager Cyber Security GRC</t>
        </is>
      </c>
      <c r="F29" s="1719" t="inlineStr">
        <is>
          <t>Cyber, Risk &amp; Operations</t>
        </is>
      </c>
      <c r="G29" s="1721" t="inlineStr">
        <is>
          <t>Cyber GRC</t>
        </is>
      </c>
      <c r="H29" s="1719" t="inlineStr">
        <is>
          <t>NA</t>
        </is>
      </c>
      <c r="I29" s="1719" t="inlineStr">
        <is>
          <t>NA</t>
        </is>
      </c>
      <c r="J29" s="1719" t="inlineStr">
        <is>
          <t>NA</t>
        </is>
      </c>
      <c r="K29" s="1719" t="inlineStr">
        <is>
          <t>NA</t>
        </is>
      </c>
      <c r="L29" s="1719" t="n"/>
      <c r="M29" s="1722" t="inlineStr">
        <is>
          <t>Australia</t>
        </is>
      </c>
      <c r="N29" s="1723" t="inlineStr">
        <is>
          <t>CIC</t>
        </is>
      </c>
      <c r="O29" s="1723" t="n">
        <v>1</v>
      </c>
      <c r="P29" s="1723" t="n"/>
      <c r="Q29" s="1723" t="inlineStr">
        <is>
          <t>Permanent - Full Time</t>
        </is>
      </c>
      <c r="R29" s="1725" t="n"/>
      <c r="S29" s="1725" t="n"/>
      <c r="T29" s="1726" t="n">
        <v>165000</v>
      </c>
      <c r="U29" s="1727" t="n">
        <v>165000</v>
      </c>
      <c r="V29" s="1729" t="n">
        <v>0.12</v>
      </c>
      <c r="W29" s="1732" t="n">
        <v>0.055</v>
      </c>
      <c r="X29" s="1732" t="n">
        <v>0.12</v>
      </c>
      <c r="Y29" s="1733" t="n"/>
      <c r="Z29" s="1732" t="n">
        <v>0.04</v>
      </c>
      <c r="AA29" s="1731">
        <f>U29*(1+V29+W29+X29+Y29+Z29)</f>
        <v>220275</v>
      </c>
      <c r="AB29" s="1734" t="n"/>
    </row>
    <row r="30" ht="14.25" customHeight="1" s="866">
      <c r="A30" s="1718" t="n">
        <v>104966</v>
      </c>
      <c r="B30" s="1719" t="inlineStr">
        <is>
          <t>Rahul Sahni</t>
        </is>
      </c>
      <c r="C30" s="1720" t="inlineStr">
        <is>
          <t>Cyber Security Architect</t>
        </is>
      </c>
      <c r="D30" s="1719" t="inlineStr">
        <is>
          <t>Kevin Sheerin</t>
        </is>
      </c>
      <c r="E30" s="1719" t="n"/>
      <c r="F30" s="1719" t="inlineStr">
        <is>
          <t>Cyber, Risk &amp; Operations</t>
        </is>
      </c>
      <c r="G30" s="1721" t="inlineStr">
        <is>
          <t>Cyber Strat &amp; Tech</t>
        </is>
      </c>
      <c r="H30" s="1719" t="inlineStr">
        <is>
          <t>NA</t>
        </is>
      </c>
      <c r="I30" s="1719" t="inlineStr">
        <is>
          <t>NA</t>
        </is>
      </c>
      <c r="J30" s="1719" t="inlineStr">
        <is>
          <t>NA</t>
        </is>
      </c>
      <c r="K30" s="1719" t="inlineStr">
        <is>
          <t>NA</t>
        </is>
      </c>
      <c r="L30" s="1719" t="n"/>
      <c r="M30" s="1722" t="inlineStr">
        <is>
          <t>Australia</t>
        </is>
      </c>
      <c r="N30" s="1723" t="inlineStr">
        <is>
          <t>CIC</t>
        </is>
      </c>
      <c r="O30" s="1723" t="n">
        <v>1</v>
      </c>
      <c r="P30" s="1723" t="n"/>
      <c r="Q30" s="1723" t="inlineStr">
        <is>
          <t>Permanent - Full Time</t>
        </is>
      </c>
      <c r="R30" s="1725" t="n"/>
      <c r="S30" s="1725" t="n"/>
      <c r="T30" s="1726" t="n">
        <v>169500</v>
      </c>
      <c r="U30" s="1727" t="n">
        <v>169500</v>
      </c>
      <c r="V30" s="1729" t="n">
        <v>0.12</v>
      </c>
      <c r="W30" s="1732" t="n">
        <v>0.055</v>
      </c>
      <c r="X30" s="1732" t="n">
        <v>0.12</v>
      </c>
      <c r="Y30" s="1733" t="n"/>
      <c r="Z30" s="1732" t="n">
        <v>0.04</v>
      </c>
      <c r="AA30" s="1731">
        <f>U30*(1+V30+W30+X30+Y30+Z30)</f>
        <v>226282.5</v>
      </c>
      <c r="AB30" s="1734" t="n"/>
    </row>
    <row r="31" ht="14.25" customHeight="1" s="866">
      <c r="A31" s="1718" t="n">
        <v>105647</v>
      </c>
      <c r="B31" s="1719" t="inlineStr">
        <is>
          <t>Rajini Onteddu Reddy</t>
        </is>
      </c>
      <c r="C31" s="1720" t="inlineStr">
        <is>
          <t>Head of Service Operations &amp; Assurance</t>
        </is>
      </c>
      <c r="D31" s="1719" t="inlineStr">
        <is>
          <t>Frances Bouzo</t>
        </is>
      </c>
      <c r="E31" s="1719" t="inlineStr">
        <is>
          <t xml:space="preserve">Manager Service Management &amp; Major Incident Management Lead </t>
        </is>
      </c>
      <c r="F31" s="1719" t="inlineStr">
        <is>
          <t>Cyber, Risk &amp; Operations</t>
        </is>
      </c>
      <c r="G31" s="1721" t="inlineStr">
        <is>
          <t>Service Op &amp; Assurance</t>
        </is>
      </c>
      <c r="H31" s="1719" t="inlineStr">
        <is>
          <t>NA</t>
        </is>
      </c>
      <c r="I31" s="1719" t="inlineStr">
        <is>
          <t>NA</t>
        </is>
      </c>
      <c r="J31" s="1719" t="inlineStr">
        <is>
          <t>NA</t>
        </is>
      </c>
      <c r="K31" s="1719" t="inlineStr">
        <is>
          <t>NA</t>
        </is>
      </c>
      <c r="L31" s="1719" t="n"/>
      <c r="M31" s="1722" t="inlineStr">
        <is>
          <t>Australia</t>
        </is>
      </c>
      <c r="N31" s="1723" t="inlineStr">
        <is>
          <t>CSC</t>
        </is>
      </c>
      <c r="O31" s="1723" t="n">
        <v>1</v>
      </c>
      <c r="P31" s="1723" t="n"/>
      <c r="Q31" s="1723" t="inlineStr">
        <is>
          <t>Permanent - Full Time</t>
        </is>
      </c>
      <c r="R31" s="1725" t="n"/>
      <c r="S31" s="1725" t="n"/>
      <c r="T31" s="1726" t="n">
        <v>283160</v>
      </c>
      <c r="U31" s="1727" t="n">
        <v>283160</v>
      </c>
      <c r="V31" s="1729" t="n">
        <v>0.2</v>
      </c>
      <c r="W31" s="1732" t="n">
        <v>0.055</v>
      </c>
      <c r="X31" s="1732" t="n">
        <v>0.12</v>
      </c>
      <c r="Y31" s="1733" t="n"/>
      <c r="Z31" s="1732" t="n">
        <v>0.04</v>
      </c>
      <c r="AA31" s="1731">
        <f>U31*(1+V31+W31+X31+Y31+Z31)</f>
        <v>400671.4</v>
      </c>
      <c r="AB31" s="1734" t="n"/>
    </row>
    <row r="32" ht="14.25" customHeight="1" s="866">
      <c r="A32" s="1718" t="n">
        <v>116241</v>
      </c>
      <c r="B32" s="1719" t="inlineStr">
        <is>
          <t>Raymond Cheung</t>
        </is>
      </c>
      <c r="C32" s="1720" t="inlineStr">
        <is>
          <t>Engineer - IDAM</t>
        </is>
      </c>
      <c r="D32" s="1719" t="inlineStr">
        <is>
          <t>Joe Nahma</t>
        </is>
      </c>
      <c r="E32" s="1719" t="inlineStr">
        <is>
          <t xml:space="preserve">Head Cyber Strategy &amp; Technology </t>
        </is>
      </c>
      <c r="F32" s="1719" t="inlineStr">
        <is>
          <t>Cyber, Risk &amp; Operations</t>
        </is>
      </c>
      <c r="G32" s="1721" t="inlineStr">
        <is>
          <t>Cyber Strat &amp; Tech</t>
        </is>
      </c>
      <c r="H32" s="1719" t="inlineStr">
        <is>
          <t>NA</t>
        </is>
      </c>
      <c r="I32" s="1719" t="inlineStr">
        <is>
          <t>NA</t>
        </is>
      </c>
      <c r="J32" s="1719" t="inlineStr">
        <is>
          <t>NA</t>
        </is>
      </c>
      <c r="K32" s="1719" t="inlineStr">
        <is>
          <t>NA</t>
        </is>
      </c>
      <c r="L32" s="1719" t="n"/>
      <c r="M32" s="1722" t="inlineStr">
        <is>
          <t>Australia</t>
        </is>
      </c>
      <c r="N32" s="1723" t="inlineStr">
        <is>
          <t>CIA</t>
        </is>
      </c>
      <c r="O32" s="1723" t="n">
        <v>1</v>
      </c>
      <c r="P32" s="1723" t="n"/>
      <c r="Q32" s="1723" t="inlineStr">
        <is>
          <t>Permanent - Full Time</t>
        </is>
      </c>
      <c r="R32" s="1725" t="n"/>
      <c r="S32" s="1725" t="n"/>
      <c r="T32" s="1726" t="n">
        <v>145000</v>
      </c>
      <c r="U32" s="1727" t="n">
        <v>145000</v>
      </c>
      <c r="V32" s="1729" t="n">
        <v>0.1</v>
      </c>
      <c r="W32" s="1732" t="n">
        <v>0.055</v>
      </c>
      <c r="X32" s="1732" t="n">
        <v>0.12</v>
      </c>
      <c r="Y32" s="1733" t="n"/>
      <c r="Z32" s="1732" t="n">
        <v>0.04</v>
      </c>
      <c r="AA32" s="1731">
        <f>U32*(1+V32+W32+X32+Y32+Z32)</f>
        <v>190675</v>
      </c>
      <c r="AB32" s="1734" t="n"/>
    </row>
    <row r="33" ht="14.25" customHeight="1" s="866">
      <c r="A33" s="1718" t="n">
        <v>108728</v>
      </c>
      <c r="B33" s="1719" t="inlineStr">
        <is>
          <t>Remya Pookat</t>
        </is>
      </c>
      <c r="C33" s="1720" t="inlineStr">
        <is>
          <t>Lead - Change &amp; Release Management</t>
        </is>
      </c>
      <c r="D33" s="1719" t="inlineStr">
        <is>
          <t>Darren Koller</t>
        </is>
      </c>
      <c r="E33" s="1719" t="inlineStr">
        <is>
          <t>Manager Cyber Security GRC</t>
        </is>
      </c>
      <c r="F33" s="1719" t="inlineStr">
        <is>
          <t>Cyber, Risk &amp; Operations</t>
        </is>
      </c>
      <c r="G33" s="1721" t="inlineStr">
        <is>
          <t>Service Op &amp; Assurance</t>
        </is>
      </c>
      <c r="H33" s="1719" t="inlineStr">
        <is>
          <t>NA</t>
        </is>
      </c>
      <c r="I33" s="1719" t="inlineStr">
        <is>
          <t>NA</t>
        </is>
      </c>
      <c r="J33" s="1719" t="inlineStr">
        <is>
          <t>NA</t>
        </is>
      </c>
      <c r="K33" s="1719" t="inlineStr">
        <is>
          <t>NA</t>
        </is>
      </c>
      <c r="L33" s="1719" t="n"/>
      <c r="M33" s="1722" t="inlineStr">
        <is>
          <t>Australia</t>
        </is>
      </c>
      <c r="N33" s="1723" t="inlineStr">
        <is>
          <t>CIB</t>
        </is>
      </c>
      <c r="O33" s="1723" t="n">
        <v>1</v>
      </c>
      <c r="P33" s="1723" t="n"/>
      <c r="Q33" s="1723" t="inlineStr">
        <is>
          <t>Permanent - Full Time</t>
        </is>
      </c>
      <c r="R33" s="1725" t="n"/>
      <c r="S33" s="1725" t="n"/>
      <c r="T33" s="1726" t="n">
        <v>165450</v>
      </c>
      <c r="U33" s="1727" t="n">
        <v>165450</v>
      </c>
      <c r="V33" s="1729" t="n">
        <v>0.12</v>
      </c>
      <c r="W33" s="1732" t="n">
        <v>0.055</v>
      </c>
      <c r="X33" s="1732" t="n">
        <v>0.12</v>
      </c>
      <c r="Y33" s="1733" t="n"/>
      <c r="Z33" s="1732" t="n">
        <v>0.04</v>
      </c>
      <c r="AA33" s="1731">
        <f>U33*(1+V33+W33+X33+Y33+Z33)</f>
        <v>220875.75</v>
      </c>
      <c r="AB33" s="1734" t="n"/>
    </row>
    <row r="34" ht="14.25" customHeight="1" s="866">
      <c r="A34" s="1718" t="n">
        <v>104555</v>
      </c>
      <c r="B34" s="1719" t="inlineStr">
        <is>
          <t>Ritika Salaria</t>
        </is>
      </c>
      <c r="C34" s="1720" t="inlineStr">
        <is>
          <t>Configuration Analyst</t>
        </is>
      </c>
      <c r="D34" s="1719" t="inlineStr">
        <is>
          <t>Lead - Asset &amp; Configuration (Vacant)</t>
        </is>
      </c>
      <c r="E34" s="1719" t="n"/>
      <c r="F34" s="1719" t="inlineStr">
        <is>
          <t>Cyber, Risk &amp; Operations</t>
        </is>
      </c>
      <c r="G34" s="1721" t="inlineStr">
        <is>
          <t>Service Op &amp; Assurance</t>
        </is>
      </c>
      <c r="H34" s="1432" t="inlineStr">
        <is>
          <t>NA</t>
        </is>
      </c>
      <c r="I34" s="1719" t="inlineStr">
        <is>
          <t>NA</t>
        </is>
      </c>
      <c r="J34" s="1719" t="inlineStr">
        <is>
          <t>NA</t>
        </is>
      </c>
      <c r="K34" s="1719" t="inlineStr">
        <is>
          <t>NA</t>
        </is>
      </c>
      <c r="L34" s="1719" t="n"/>
      <c r="M34" s="1722" t="inlineStr">
        <is>
          <t>Australia</t>
        </is>
      </c>
      <c r="N34" s="1723" t="inlineStr">
        <is>
          <t>CIA</t>
        </is>
      </c>
      <c r="O34" s="1723" t="n">
        <v>1</v>
      </c>
      <c r="P34" s="1723" t="n"/>
      <c r="Q34" s="1723" t="inlineStr">
        <is>
          <t>Permanent - Full Time</t>
        </is>
      </c>
      <c r="R34" s="1725" t="n"/>
      <c r="S34" s="1725" t="n"/>
      <c r="T34" s="1726" t="n">
        <v>131640</v>
      </c>
      <c r="U34" s="1727" t="n">
        <v>131640</v>
      </c>
      <c r="V34" s="1729" t="n">
        <v>0.1</v>
      </c>
      <c r="W34" s="1732" t="n">
        <v>0.055</v>
      </c>
      <c r="X34" s="1732" t="n">
        <v>0.12</v>
      </c>
      <c r="Y34" s="1733" t="n"/>
      <c r="Z34" s="1732" t="n">
        <v>0.04</v>
      </c>
      <c r="AA34" s="1731">
        <f>U34*(1+V34+W34+X34+Y34+Z34)</f>
        <v>173106.6</v>
      </c>
      <c r="AB34" s="1734" t="n"/>
    </row>
    <row r="35" ht="14.25" customHeight="1" s="866">
      <c r="A35" s="1718" t="n">
        <v>99999101321</v>
      </c>
      <c r="B35" s="1719" t="inlineStr">
        <is>
          <t>Sameer Pattanaik</t>
        </is>
      </c>
      <c r="C35" s="1720" t="inlineStr">
        <is>
          <t>Cyber Security Operations Lead</t>
        </is>
      </c>
      <c r="D35" s="1719" t="inlineStr">
        <is>
          <t>Steven Atcheson</t>
        </is>
      </c>
      <c r="E35" s="1719" t="n"/>
      <c r="F35" s="1719" t="inlineStr">
        <is>
          <t>Cyber, Risk &amp; Operations</t>
        </is>
      </c>
      <c r="G35" s="1721" t="inlineStr">
        <is>
          <t>Cyber Sec Ops</t>
        </is>
      </c>
      <c r="H35" s="1719" t="inlineStr">
        <is>
          <t>NA</t>
        </is>
      </c>
      <c r="I35" s="1719" t="inlineStr">
        <is>
          <t>NA</t>
        </is>
      </c>
      <c r="J35" s="1719" t="inlineStr">
        <is>
          <t>NA</t>
        </is>
      </c>
      <c r="K35" s="1719" t="inlineStr">
        <is>
          <t>NA</t>
        </is>
      </c>
      <c r="L35" s="1719" t="n"/>
      <c r="M35" s="1722" t="inlineStr">
        <is>
          <t>NZ</t>
        </is>
      </c>
      <c r="N35" s="1723" t="inlineStr">
        <is>
          <t>CIC</t>
        </is>
      </c>
      <c r="O35" s="1724" t="n">
        <v>1</v>
      </c>
      <c r="P35" s="1723" t="n"/>
      <c r="Q35" s="1724" t="inlineStr">
        <is>
          <t>Permanent - Full Time</t>
        </is>
      </c>
      <c r="R35" s="1725" t="n"/>
      <c r="S35" s="1725" t="n"/>
      <c r="T35" s="1726" t="n">
        <v>185550</v>
      </c>
      <c r="U35" s="1727" t="n">
        <v>170706</v>
      </c>
      <c r="V35" s="1728" t="n">
        <v>0.15</v>
      </c>
      <c r="W35" s="1725" t="n"/>
      <c r="X35" s="1729" t="n">
        <v>0.05</v>
      </c>
      <c r="Y35" s="1730" t="n">
        <v>2910</v>
      </c>
      <c r="Z35" s="1729" t="n">
        <v>0.03</v>
      </c>
      <c r="AA35" s="1731">
        <f>U35*(1+V35+X35+Z35)+Y35</f>
        <v>212878.38</v>
      </c>
      <c r="AB35" s="1432" t="n">
        <v>113609</v>
      </c>
    </row>
    <row r="36" ht="14.25" customHeight="1" s="866">
      <c r="A36" s="1718" t="n">
        <v>99999101346</v>
      </c>
      <c r="B36" s="1719" t="inlineStr">
        <is>
          <t>Shomiya Shayal</t>
        </is>
      </c>
      <c r="C36" s="1720" t="inlineStr">
        <is>
          <t>Risk &amp; Resilience Lead</t>
        </is>
      </c>
      <c r="D36" s="1719" t="inlineStr">
        <is>
          <t>Brian Gates</t>
        </is>
      </c>
      <c r="E36" s="1719" t="inlineStr">
        <is>
          <t xml:space="preserve">Manager Risk &amp; Resilience </t>
        </is>
      </c>
      <c r="F36" s="1719" t="inlineStr">
        <is>
          <t>Cyber, Risk &amp; Operations</t>
        </is>
      </c>
      <c r="G36" s="1721" t="inlineStr">
        <is>
          <t>Cyber Risk</t>
        </is>
      </c>
      <c r="H36" s="1719" t="inlineStr">
        <is>
          <t>NA</t>
        </is>
      </c>
      <c r="I36" s="1719" t="inlineStr">
        <is>
          <t>NA</t>
        </is>
      </c>
      <c r="J36" s="1719" t="inlineStr">
        <is>
          <t>NA</t>
        </is>
      </c>
      <c r="K36" s="1719" t="inlineStr">
        <is>
          <t>NA</t>
        </is>
      </c>
      <c r="L36" s="1719" t="n"/>
      <c r="M36" s="1722" t="inlineStr">
        <is>
          <t>NZ</t>
        </is>
      </c>
      <c r="N36" s="1723" t="inlineStr">
        <is>
          <t>CIC</t>
        </is>
      </c>
      <c r="O36" s="1724" t="n">
        <v>1</v>
      </c>
      <c r="P36" s="1723" t="n"/>
      <c r="Q36" s="1724" t="inlineStr">
        <is>
          <t>Permanent - Full Time</t>
        </is>
      </c>
      <c r="R36" s="1725" t="n"/>
      <c r="S36" s="1725" t="n"/>
      <c r="T36" s="1726" t="n">
        <v>164020</v>
      </c>
      <c r="U36" s="1727" t="n">
        <v>150898.4</v>
      </c>
      <c r="V36" s="1728" t="n">
        <v>0.15</v>
      </c>
      <c r="W36" s="1725" t="n"/>
      <c r="X36" s="1729" t="n">
        <v>0.05</v>
      </c>
      <c r="Y36" s="1730" t="n">
        <v>2910</v>
      </c>
      <c r="Z36" s="1729" t="n">
        <v>0.03</v>
      </c>
      <c r="AA36" s="1731">
        <f>U36*(1+V36+X36+Z36)+Y36</f>
        <v>188515.032</v>
      </c>
      <c r="AB36" s="1432" t="n">
        <v>113615</v>
      </c>
    </row>
    <row r="37" ht="14.25" customHeight="1" s="866">
      <c r="A37" s="1718" t="n">
        <v>104805</v>
      </c>
      <c r="B37" s="1719" t="inlineStr">
        <is>
          <t>Shruti Manchanda</t>
        </is>
      </c>
      <c r="C37" s="1720" t="inlineStr">
        <is>
          <t>Cyber GRC Analyst</t>
        </is>
      </c>
      <c r="D37" s="1719" t="inlineStr">
        <is>
          <t>Diya Thomas</t>
        </is>
      </c>
      <c r="E37" s="1719" t="n"/>
      <c r="F37" s="1719" t="inlineStr">
        <is>
          <t>Cyber, Risk &amp; Operations</t>
        </is>
      </c>
      <c r="G37" s="1721" t="inlineStr">
        <is>
          <t>Cyber GRC</t>
        </is>
      </c>
      <c r="H37" s="1719" t="inlineStr">
        <is>
          <t>NA</t>
        </is>
      </c>
      <c r="I37" s="1719" t="inlineStr">
        <is>
          <t>NA</t>
        </is>
      </c>
      <c r="J37" s="1719" t="inlineStr">
        <is>
          <t>NA</t>
        </is>
      </c>
      <c r="K37" s="1719" t="inlineStr">
        <is>
          <t>NA</t>
        </is>
      </c>
      <c r="L37" s="1719" t="n"/>
      <c r="M37" s="1722" t="inlineStr">
        <is>
          <t>Australia</t>
        </is>
      </c>
      <c r="N37" s="1723" t="inlineStr">
        <is>
          <t>CIB</t>
        </is>
      </c>
      <c r="O37" s="1723" t="n">
        <v>1</v>
      </c>
      <c r="P37" s="1723" t="n"/>
      <c r="Q37" s="1723" t="inlineStr">
        <is>
          <t>Permanent - Full Time</t>
        </is>
      </c>
      <c r="R37" s="1725" t="n"/>
      <c r="S37" s="1725" t="n"/>
      <c r="T37" s="1726" t="n">
        <v>171450</v>
      </c>
      <c r="U37" s="1727" t="n">
        <v>171450</v>
      </c>
      <c r="V37" s="1729" t="n">
        <v>0.12</v>
      </c>
      <c r="W37" s="1732" t="n">
        <v>0.055</v>
      </c>
      <c r="X37" s="1732" t="n">
        <v>0.12</v>
      </c>
      <c r="Y37" s="1733" t="n"/>
      <c r="Z37" s="1732" t="n">
        <v>0.04</v>
      </c>
      <c r="AA37" s="1731">
        <f>U37*(1+V37+W37+X37+Y37+Z37)</f>
        <v>228885.75</v>
      </c>
      <c r="AB37" s="1734" t="n"/>
    </row>
    <row r="38" ht="14.25" customHeight="1" s="866">
      <c r="A38" s="1718" t="n">
        <v>99999100770</v>
      </c>
      <c r="B38" s="1719" t="inlineStr">
        <is>
          <t>Spoilagi Bhutwala</t>
        </is>
      </c>
      <c r="C38" s="1720" t="inlineStr">
        <is>
          <t>Tech Support Technician</t>
        </is>
      </c>
      <c r="D38" s="1719" t="inlineStr">
        <is>
          <t>Mark Pearson</t>
        </is>
      </c>
      <c r="E38" s="1719" t="inlineStr">
        <is>
          <t xml:space="preserve">Lead Technology Support </t>
        </is>
      </c>
      <c r="F38" s="1719" t="inlineStr">
        <is>
          <t>Cyber, Risk &amp; Operations</t>
        </is>
      </c>
      <c r="G38" s="1721" t="inlineStr">
        <is>
          <t>Service Op &amp; Assurance</t>
        </is>
      </c>
      <c r="H38" s="1719" t="inlineStr">
        <is>
          <t>NA</t>
        </is>
      </c>
      <c r="I38" s="1719" t="inlineStr">
        <is>
          <t>NA</t>
        </is>
      </c>
      <c r="J38" s="1719" t="inlineStr">
        <is>
          <t>NA</t>
        </is>
      </c>
      <c r="K38" s="1719" t="inlineStr">
        <is>
          <t>NA</t>
        </is>
      </c>
      <c r="L38" s="1719" t="n"/>
      <c r="M38" s="1722" t="inlineStr">
        <is>
          <t>NZ</t>
        </is>
      </c>
      <c r="N38" s="1723" t="inlineStr">
        <is>
          <t>CDB</t>
        </is>
      </c>
      <c r="O38" s="1724" t="n">
        <v>1</v>
      </c>
      <c r="P38" s="1723" t="n"/>
      <c r="Q38" s="1724" t="inlineStr">
        <is>
          <t>Permanent - Full Time</t>
        </is>
      </c>
      <c r="R38" s="1725" t="n"/>
      <c r="S38" s="1725" t="n"/>
      <c r="T38" s="1726" t="n">
        <v>86890</v>
      </c>
      <c r="U38" s="1727" t="n">
        <v>79938.8</v>
      </c>
      <c r="V38" s="1728" t="n">
        <v>0.1</v>
      </c>
      <c r="W38" s="1725" t="n"/>
      <c r="X38" s="1729" t="n">
        <v>0.05</v>
      </c>
      <c r="Y38" s="1730" t="n">
        <v>2910</v>
      </c>
      <c r="Z38" s="1729" t="n">
        <v>0.03</v>
      </c>
      <c r="AA38" s="1731">
        <f>U38*(1+V38+X38+Z38)+Y38</f>
        <v>97237.784</v>
      </c>
      <c r="AB38" s="1432" t="n">
        <v>113569</v>
      </c>
    </row>
    <row r="39" ht="14.25" customHeight="1" s="866">
      <c r="A39" s="1718" t="n">
        <v>98371</v>
      </c>
      <c r="B39" s="1719" t="inlineStr">
        <is>
          <t>Stafford Dowling</t>
        </is>
      </c>
      <c r="C39" s="1720" t="inlineStr">
        <is>
          <t>Cyber Security Analyst</t>
        </is>
      </c>
      <c r="D39" s="1719" t="inlineStr">
        <is>
          <t>Steven Atcheson</t>
        </is>
      </c>
      <c r="E39" s="1719" t="n"/>
      <c r="F39" s="1719" t="inlineStr">
        <is>
          <t>Cyber, Risk &amp; Operations</t>
        </is>
      </c>
      <c r="G39" s="1721" t="inlineStr">
        <is>
          <t>Cyber Sec Ops</t>
        </is>
      </c>
      <c r="H39" s="1719" t="inlineStr">
        <is>
          <t>NA</t>
        </is>
      </c>
      <c r="I39" s="1719" t="inlineStr">
        <is>
          <t>NA</t>
        </is>
      </c>
      <c r="J39" s="1719" t="inlineStr">
        <is>
          <t>NA</t>
        </is>
      </c>
      <c r="K39" s="1719" t="inlineStr">
        <is>
          <t>NA</t>
        </is>
      </c>
      <c r="L39" s="1719" t="n"/>
      <c r="M39" s="1722" t="inlineStr">
        <is>
          <t>Australia</t>
        </is>
      </c>
      <c r="N39" s="1723" t="inlineStr">
        <is>
          <t>CIB</t>
        </is>
      </c>
      <c r="O39" s="1723" t="n">
        <v>1</v>
      </c>
      <c r="P39" s="1723" t="n"/>
      <c r="Q39" s="1723" t="inlineStr">
        <is>
          <t>Permanent - Full Time</t>
        </is>
      </c>
      <c r="R39" s="1725" t="n"/>
      <c r="S39" s="1725" t="n"/>
      <c r="T39" s="1726" t="n">
        <v>163830</v>
      </c>
      <c r="U39" s="1727" t="n">
        <v>163830</v>
      </c>
      <c r="V39" s="1729" t="n">
        <v>0.12</v>
      </c>
      <c r="W39" s="1732" t="n">
        <v>0.055</v>
      </c>
      <c r="X39" s="1732" t="n">
        <v>0.12</v>
      </c>
      <c r="Y39" s="1733" t="n"/>
      <c r="Z39" s="1732" t="n">
        <v>0.04</v>
      </c>
      <c r="AA39" s="1731">
        <f>U39*(1+V39+W39+X39+Y39+Z39)</f>
        <v>218713.05</v>
      </c>
      <c r="AB39" s="1734" t="n"/>
    </row>
    <row r="40" ht="14.25" customHeight="1" s="866">
      <c r="A40" s="1718" t="n">
        <v>101504</v>
      </c>
      <c r="B40" s="1719" t="inlineStr">
        <is>
          <t>Steven Atcheson</t>
        </is>
      </c>
      <c r="C40" s="1720" t="inlineStr">
        <is>
          <t>Manager Cyber Security Operations</t>
        </is>
      </c>
      <c r="D40" s="1719" t="inlineStr">
        <is>
          <t>Frances Bouzo</t>
        </is>
      </c>
      <c r="E40" s="1719" t="inlineStr">
        <is>
          <t xml:space="preserve">Manager, Risk &amp; Resilience </t>
        </is>
      </c>
      <c r="F40" s="1719" t="inlineStr">
        <is>
          <t>Cyber, Risk &amp; Operations</t>
        </is>
      </c>
      <c r="G40" s="1721" t="inlineStr">
        <is>
          <t>Cyber Sec Ops</t>
        </is>
      </c>
      <c r="H40" s="1719" t="inlineStr">
        <is>
          <t>NA</t>
        </is>
      </c>
      <c r="I40" s="1719" t="inlineStr">
        <is>
          <t>NA</t>
        </is>
      </c>
      <c r="J40" s="1719" t="inlineStr">
        <is>
          <t>NA</t>
        </is>
      </c>
      <c r="K40" s="1719" t="inlineStr">
        <is>
          <t>NA</t>
        </is>
      </c>
      <c r="L40" s="1719" t="n"/>
      <c r="M40" s="1722" t="inlineStr">
        <is>
          <t>Australia</t>
        </is>
      </c>
      <c r="N40" s="1723" t="inlineStr">
        <is>
          <t>CSB</t>
        </is>
      </c>
      <c r="O40" s="1723" t="n">
        <v>1</v>
      </c>
      <c r="P40" s="1723" t="n"/>
      <c r="Q40" s="1723" t="inlineStr">
        <is>
          <t>Permanent - Full Time</t>
        </is>
      </c>
      <c r="R40" s="1725" t="n"/>
      <c r="S40" s="1725" t="n"/>
      <c r="T40" s="1726" t="n">
        <v>233630</v>
      </c>
      <c r="U40" s="1727" t="n">
        <v>233630</v>
      </c>
      <c r="V40" s="1729" t="n">
        <v>0.14</v>
      </c>
      <c r="W40" s="1732" t="n">
        <v>0.055</v>
      </c>
      <c r="X40" s="1732" t="n">
        <v>0.12</v>
      </c>
      <c r="Y40" s="1733" t="n"/>
      <c r="Z40" s="1732" t="n">
        <v>0.04</v>
      </c>
      <c r="AA40" s="1731">
        <f>U40*(1+V40+W40+X40+Y40+Z40)</f>
        <v>316568.65</v>
      </c>
      <c r="AB40" s="1734" t="n"/>
    </row>
    <row r="41" ht="14.25" customHeight="1" s="866">
      <c r="A41" s="1718" t="n">
        <v>114383</v>
      </c>
      <c r="B41" s="1719" t="inlineStr">
        <is>
          <t>Tony Keeler</t>
        </is>
      </c>
      <c r="C41" s="1720" t="inlineStr">
        <is>
          <t>Cyber Business Analyst</t>
        </is>
      </c>
      <c r="D41" s="1719" t="inlineStr">
        <is>
          <t>Vivienne Vasak</t>
        </is>
      </c>
      <c r="E41" s="1719" t="inlineStr">
        <is>
          <t xml:space="preserve">Portfolio Manger Cyber Security </t>
        </is>
      </c>
      <c r="F41" s="1719" t="inlineStr">
        <is>
          <t>Cyber, Risk &amp; Operations</t>
        </is>
      </c>
      <c r="G41" s="1721" t="inlineStr">
        <is>
          <t>Cyber Strat &amp; Tech</t>
        </is>
      </c>
      <c r="H41" s="1719" t="inlineStr">
        <is>
          <t>NA</t>
        </is>
      </c>
      <c r="I41" s="1719" t="inlineStr">
        <is>
          <t>NA</t>
        </is>
      </c>
      <c r="J41" s="1719" t="inlineStr">
        <is>
          <t>NA</t>
        </is>
      </c>
      <c r="K41" s="1719" t="inlineStr">
        <is>
          <t>NA</t>
        </is>
      </c>
      <c r="L41" s="1719" t="n"/>
      <c r="M41" s="1722" t="inlineStr">
        <is>
          <t>Australia</t>
        </is>
      </c>
      <c r="N41" s="1723" t="inlineStr">
        <is>
          <t>CIB</t>
        </is>
      </c>
      <c r="O41" s="1723" t="n">
        <v>1</v>
      </c>
      <c r="P41" s="1723" t="n"/>
      <c r="Q41" s="1723" t="inlineStr">
        <is>
          <t>Permanent - Full Time</t>
        </is>
      </c>
      <c r="R41" s="1725" t="n"/>
      <c r="S41" s="1725" t="n"/>
      <c r="T41" s="1726" t="n">
        <v>160000</v>
      </c>
      <c r="U41" s="1727" t="n">
        <v>160000</v>
      </c>
      <c r="V41" s="1729" t="n">
        <v>0.12</v>
      </c>
      <c r="W41" s="1732" t="n">
        <v>0.055</v>
      </c>
      <c r="X41" s="1732" t="n">
        <v>0.12</v>
      </c>
      <c r="Y41" s="1733" t="n"/>
      <c r="Z41" s="1732" t="n">
        <v>0.04</v>
      </c>
      <c r="AA41" s="1731">
        <f>U41*(1+V41+W41+X41+Y41+Z41)</f>
        <v>213600</v>
      </c>
      <c r="AB41" s="1734" t="n"/>
    </row>
    <row r="42" ht="14.25" customHeight="1" s="866">
      <c r="A42" s="1718" t="inlineStr">
        <is>
          <t>V</t>
        </is>
      </c>
      <c r="B42" s="1719" t="inlineStr">
        <is>
          <t>Vacant</t>
        </is>
      </c>
      <c r="C42" s="1720" t="inlineStr">
        <is>
          <t>Lead - Problem Management</t>
        </is>
      </c>
      <c r="D42" s="1719" t="inlineStr">
        <is>
          <t>Darren Koller</t>
        </is>
      </c>
      <c r="E42" s="1719" t="inlineStr">
        <is>
          <t>Manager Cyber Security GRC</t>
        </is>
      </c>
      <c r="F42" s="1719" t="inlineStr">
        <is>
          <t>Cyber, Risk &amp; Operations</t>
        </is>
      </c>
      <c r="G42" s="1721" t="inlineStr">
        <is>
          <t>Service Op &amp; Assurance</t>
        </is>
      </c>
      <c r="H42" s="1719" t="inlineStr">
        <is>
          <t>NA</t>
        </is>
      </c>
      <c r="I42" s="1719" t="inlineStr">
        <is>
          <t>NA</t>
        </is>
      </c>
      <c r="J42" s="1719" t="inlineStr">
        <is>
          <t>NA</t>
        </is>
      </c>
      <c r="K42" s="1719" t="inlineStr">
        <is>
          <t>NA</t>
        </is>
      </c>
      <c r="L42" s="1719" t="n"/>
      <c r="M42" s="1722" t="inlineStr">
        <is>
          <t>Australia</t>
        </is>
      </c>
      <c r="N42" s="1723" t="inlineStr">
        <is>
          <t>CIA</t>
        </is>
      </c>
      <c r="O42" s="1723" t="n">
        <v>1</v>
      </c>
      <c r="P42" s="1723" t="n"/>
      <c r="Q42" s="1723" t="inlineStr">
        <is>
          <t>v</t>
        </is>
      </c>
      <c r="R42" s="1725" t="n"/>
      <c r="S42" s="1725" t="n"/>
      <c r="T42" s="1726" t="n">
        <v>129650</v>
      </c>
      <c r="U42" s="1727" t="n">
        <v>129650</v>
      </c>
      <c r="V42" s="1729" t="n">
        <v>0.1</v>
      </c>
      <c r="W42" s="1732" t="n">
        <v>0.055</v>
      </c>
      <c r="X42" s="1732" t="n">
        <v>0.12</v>
      </c>
      <c r="Y42" s="1733" t="n"/>
      <c r="Z42" s="1732" t="n">
        <v>0.04</v>
      </c>
      <c r="AA42" s="1731">
        <f>U42*(1+V42+W42+X42+Y42+Z42)</f>
        <v>170489.75</v>
      </c>
      <c r="AB42" s="1734" t="n"/>
    </row>
    <row r="43" ht="14.25" customHeight="1" s="866">
      <c r="A43" s="1718" t="inlineStr">
        <is>
          <t>V</t>
        </is>
      </c>
      <c r="B43" s="1719" t="inlineStr">
        <is>
          <t>Vacant</t>
        </is>
      </c>
      <c r="C43" s="1720" t="inlineStr">
        <is>
          <t>Cyber Architect (backfill for EGI Secondment)</t>
        </is>
      </c>
      <c r="D43" s="1719" t="inlineStr">
        <is>
          <t>Kevin Sheerin</t>
        </is>
      </c>
      <c r="E43" s="1719" t="n"/>
      <c r="F43" s="1719" t="inlineStr">
        <is>
          <t>Cyber, Risk &amp; Operations</t>
        </is>
      </c>
      <c r="G43" s="1721" t="inlineStr">
        <is>
          <t>Cyber Strat &amp; Tech</t>
        </is>
      </c>
      <c r="H43" s="1719" t="inlineStr">
        <is>
          <t>NA</t>
        </is>
      </c>
      <c r="I43" s="1719" t="inlineStr">
        <is>
          <t>NA</t>
        </is>
      </c>
      <c r="J43" s="1719" t="inlineStr">
        <is>
          <t>NA</t>
        </is>
      </c>
      <c r="K43" s="1719" t="inlineStr">
        <is>
          <t>NA</t>
        </is>
      </c>
      <c r="L43" s="1719" t="n"/>
      <c r="M43" s="1722" t="inlineStr">
        <is>
          <t>Australia</t>
        </is>
      </c>
      <c r="N43" s="1723" t="inlineStr">
        <is>
          <t>CIB</t>
        </is>
      </c>
      <c r="O43" s="1723" t="n">
        <v>1</v>
      </c>
      <c r="P43" s="1723" t="n"/>
      <c r="Q43" s="1723" t="inlineStr">
        <is>
          <t>V</t>
        </is>
      </c>
      <c r="R43" s="1725" t="n"/>
      <c r="S43" s="1725" t="n"/>
      <c r="T43" s="1726" t="n">
        <v>160000</v>
      </c>
      <c r="U43" s="1727" t="n">
        <v>160000</v>
      </c>
      <c r="V43" s="1729" t="n">
        <v>0.12</v>
      </c>
      <c r="W43" s="1732" t="n">
        <v>0.055</v>
      </c>
      <c r="X43" s="1732" t="n">
        <v>0.12</v>
      </c>
      <c r="Y43" s="1733" t="n"/>
      <c r="Z43" s="1732" t="n">
        <v>0.04</v>
      </c>
      <c r="AA43" s="1731">
        <f>U43*(1+V43+W43+X43+Y43+Z43)</f>
        <v>213600</v>
      </c>
      <c r="AB43" s="1734" t="n"/>
    </row>
    <row r="44" ht="14.25" customHeight="1" s="866">
      <c r="A44" s="1718" t="inlineStr">
        <is>
          <t>V</t>
        </is>
      </c>
      <c r="B44" s="1719" t="inlineStr">
        <is>
          <t>Vacant</t>
        </is>
      </c>
      <c r="C44" s="1720" t="inlineStr">
        <is>
          <t>Lead - Asset &amp; Configuration</t>
        </is>
      </c>
      <c r="D44" s="1719" t="inlineStr">
        <is>
          <t>Mick Collins</t>
        </is>
      </c>
      <c r="E44" s="1719" t="inlineStr">
        <is>
          <t xml:space="preserve">Manager Cyber Security Operations </t>
        </is>
      </c>
      <c r="F44" s="1719" t="inlineStr">
        <is>
          <t>Cyber, Risk &amp; Operations</t>
        </is>
      </c>
      <c r="G44" s="1721" t="inlineStr">
        <is>
          <t>Service Op &amp; Assurance</t>
        </is>
      </c>
      <c r="H44" s="1719" t="inlineStr">
        <is>
          <t>NA</t>
        </is>
      </c>
      <c r="I44" s="1432" t="inlineStr">
        <is>
          <t>NA</t>
        </is>
      </c>
      <c r="J44" s="1719" t="inlineStr">
        <is>
          <t>NA</t>
        </is>
      </c>
      <c r="K44" s="1719" t="inlineStr">
        <is>
          <t>NA</t>
        </is>
      </c>
      <c r="L44" s="1719" t="n"/>
      <c r="M44" s="1722" t="inlineStr">
        <is>
          <t>Australia</t>
        </is>
      </c>
      <c r="N44" s="1723" t="inlineStr">
        <is>
          <t>CIB</t>
        </is>
      </c>
      <c r="O44" s="1723" t="n">
        <v>1</v>
      </c>
      <c r="P44" s="1723" t="n"/>
      <c r="Q44" s="1723" t="inlineStr">
        <is>
          <t>v</t>
        </is>
      </c>
      <c r="R44" s="1725" t="n"/>
      <c r="S44" s="1725" t="n"/>
      <c r="T44" s="1726" t="n">
        <v>151950</v>
      </c>
      <c r="U44" s="1727" t="n">
        <v>151950</v>
      </c>
      <c r="V44" s="1729" t="n">
        <v>0.12</v>
      </c>
      <c r="W44" s="1732" t="n">
        <v>0.055</v>
      </c>
      <c r="X44" s="1732" t="n">
        <v>0.12</v>
      </c>
      <c r="Y44" s="1733" t="n"/>
      <c r="Z44" s="1732" t="n">
        <v>0.04</v>
      </c>
      <c r="AA44" s="1731">
        <f>U44*(1+V44+W44+X44+Y44+Z44)</f>
        <v>202853.25</v>
      </c>
      <c r="AB44" s="1734" t="n"/>
    </row>
    <row r="45" ht="14.25" customHeight="1" s="866">
      <c r="A45" s="1718" t="inlineStr">
        <is>
          <t>V</t>
        </is>
      </c>
      <c r="B45" s="1719" t="inlineStr">
        <is>
          <t>Vacant</t>
        </is>
      </c>
      <c r="C45" s="1720" t="inlineStr">
        <is>
          <t>Lead - Service Performance &amp; Insights</t>
        </is>
      </c>
      <c r="D45" s="1719" t="inlineStr">
        <is>
          <t>Mick Collins</t>
        </is>
      </c>
      <c r="E45" s="1719" t="inlineStr">
        <is>
          <t xml:space="preserve">Manager Identity &amp; Access Management </t>
        </is>
      </c>
      <c r="F45" s="1719" t="inlineStr">
        <is>
          <t>Cyber, Risk &amp; Operations</t>
        </is>
      </c>
      <c r="G45" s="1721" t="inlineStr">
        <is>
          <t>Service Op &amp; Assurance</t>
        </is>
      </c>
      <c r="H45" s="1719" t="inlineStr">
        <is>
          <t>NA</t>
        </is>
      </c>
      <c r="I45" s="1719" t="inlineStr">
        <is>
          <t>NA</t>
        </is>
      </c>
      <c r="J45" s="1719" t="inlineStr">
        <is>
          <t>NA</t>
        </is>
      </c>
      <c r="K45" s="1719" t="inlineStr">
        <is>
          <t>NA</t>
        </is>
      </c>
      <c r="L45" s="1719" t="n"/>
      <c r="M45" s="1722" t="inlineStr">
        <is>
          <t>Australia</t>
        </is>
      </c>
      <c r="N45" s="1723" t="inlineStr">
        <is>
          <t>CIB</t>
        </is>
      </c>
      <c r="O45" s="1723" t="n">
        <v>1</v>
      </c>
      <c r="P45" s="1723" t="n"/>
      <c r="Q45" s="1723" t="inlineStr">
        <is>
          <t>v</t>
        </is>
      </c>
      <c r="R45" s="1725" t="n"/>
      <c r="S45" s="1725" t="n"/>
      <c r="T45" s="1726" t="n">
        <v>151950</v>
      </c>
      <c r="U45" s="1727" t="n">
        <v>151950</v>
      </c>
      <c r="V45" s="1729" t="n">
        <v>0.12</v>
      </c>
      <c r="W45" s="1732" t="n">
        <v>0.055</v>
      </c>
      <c r="X45" s="1732" t="n">
        <v>0.12</v>
      </c>
      <c r="Y45" s="1733" t="n"/>
      <c r="Z45" s="1732" t="n">
        <v>0.04</v>
      </c>
      <c r="AA45" s="1731">
        <f>U45*(1+V45+W45+X45+Y45+Z45)</f>
        <v>202853.25</v>
      </c>
      <c r="AB45" s="1734" t="n"/>
    </row>
    <row r="46" ht="14.25" customHeight="1" s="866">
      <c r="A46" s="1718" t="inlineStr">
        <is>
          <t>V</t>
        </is>
      </c>
      <c r="B46" s="1719" t="inlineStr">
        <is>
          <t>Vacant</t>
        </is>
      </c>
      <c r="C46" s="1720" t="inlineStr">
        <is>
          <t>Operations Analyst</t>
        </is>
      </c>
      <c r="D46" s="1719" t="inlineStr">
        <is>
          <t>Mick Collins</t>
        </is>
      </c>
      <c r="E46" s="1719" t="inlineStr">
        <is>
          <t>Cyber Architecture Lead</t>
        </is>
      </c>
      <c r="F46" s="1719" t="inlineStr">
        <is>
          <t>Cyber, Risk &amp; Operations</t>
        </is>
      </c>
      <c r="G46" s="1721" t="inlineStr">
        <is>
          <t>Service Op &amp; Assurance</t>
        </is>
      </c>
      <c r="H46" s="1719" t="inlineStr">
        <is>
          <t>NA</t>
        </is>
      </c>
      <c r="I46" s="1719" t="inlineStr">
        <is>
          <t>NA</t>
        </is>
      </c>
      <c r="J46" s="1719" t="inlineStr">
        <is>
          <t>NA</t>
        </is>
      </c>
      <c r="K46" s="1719" t="inlineStr">
        <is>
          <t>NA</t>
        </is>
      </c>
      <c r="L46" s="1719" t="n"/>
      <c r="M46" s="1722" t="inlineStr">
        <is>
          <t>Australia</t>
        </is>
      </c>
      <c r="N46" s="1723" t="inlineStr">
        <is>
          <t>cia</t>
        </is>
      </c>
      <c r="O46" s="1723" t="n">
        <v>1</v>
      </c>
      <c r="P46" s="1723" t="n"/>
      <c r="Q46" s="1723" t="inlineStr">
        <is>
          <t>v</t>
        </is>
      </c>
      <c r="R46" s="1725" t="n"/>
      <c r="S46" s="1725" t="n"/>
      <c r="T46" s="1726" t="n">
        <v>129650</v>
      </c>
      <c r="U46" s="1727" t="n">
        <v>129650</v>
      </c>
      <c r="V46" s="1729" t="n">
        <v>0.1</v>
      </c>
      <c r="W46" s="1732" t="n">
        <v>0.055</v>
      </c>
      <c r="X46" s="1732" t="n">
        <v>0.12</v>
      </c>
      <c r="Y46" s="1733" t="n"/>
      <c r="Z46" s="1732" t="n">
        <v>0.04</v>
      </c>
      <c r="AA46" s="1731">
        <f>U46*(1+V46+W46+X46+Y46+Z46)</f>
        <v>170489.75</v>
      </c>
      <c r="AB46" s="1734" t="n"/>
    </row>
    <row r="47" ht="14.25" customHeight="1" s="866">
      <c r="A47" s="1718" t="inlineStr">
        <is>
          <t>V</t>
        </is>
      </c>
      <c r="B47" s="1719" t="inlineStr">
        <is>
          <t>Vacant</t>
        </is>
      </c>
      <c r="C47" s="1720" t="inlineStr">
        <is>
          <t>Operations Analyst</t>
        </is>
      </c>
      <c r="D47" s="1719" t="inlineStr">
        <is>
          <t>Mick Collins</t>
        </is>
      </c>
      <c r="E47" s="1719" t="inlineStr">
        <is>
          <t xml:space="preserve">Manager Service Management &amp; Major Incident Management Lead </t>
        </is>
      </c>
      <c r="F47" s="1719" t="inlineStr">
        <is>
          <t>Cyber, Risk &amp; Operations</t>
        </is>
      </c>
      <c r="G47" s="1721" t="inlineStr">
        <is>
          <t>Service Op &amp; Assurance</t>
        </is>
      </c>
      <c r="H47" s="1719" t="inlineStr">
        <is>
          <t>NA</t>
        </is>
      </c>
      <c r="I47" s="1719" t="inlineStr">
        <is>
          <t>NA</t>
        </is>
      </c>
      <c r="J47" s="1719" t="inlineStr">
        <is>
          <t>NA</t>
        </is>
      </c>
      <c r="K47" s="1719" t="inlineStr">
        <is>
          <t>NA</t>
        </is>
      </c>
      <c r="L47" s="1719" t="n"/>
      <c r="M47" s="1722" t="inlineStr">
        <is>
          <t>Australia</t>
        </is>
      </c>
      <c r="N47" s="1723" t="inlineStr">
        <is>
          <t>cia</t>
        </is>
      </c>
      <c r="O47" s="1723" t="n">
        <v>1</v>
      </c>
      <c r="P47" s="1723" t="n"/>
      <c r="Q47" s="1723" t="inlineStr">
        <is>
          <t>v</t>
        </is>
      </c>
      <c r="R47" s="1725" t="n"/>
      <c r="S47" s="1725" t="n"/>
      <c r="T47" s="1726" t="n">
        <v>129650</v>
      </c>
      <c r="U47" s="1727" t="n">
        <v>129650</v>
      </c>
      <c r="V47" s="1729" t="n">
        <v>0.1</v>
      </c>
      <c r="W47" s="1732" t="n">
        <v>0.055</v>
      </c>
      <c r="X47" s="1732" t="n">
        <v>0.12</v>
      </c>
      <c r="Y47" s="1733" t="n"/>
      <c r="Z47" s="1732" t="n">
        <v>0.04</v>
      </c>
      <c r="AA47" s="1731">
        <f>U47*(1+V47+W47+X47+Y47+Z47)</f>
        <v>170489.75</v>
      </c>
      <c r="AB47" s="1734" t="n"/>
    </row>
    <row r="48" ht="14.25" customHeight="1" s="866">
      <c r="A48" s="1718" t="inlineStr">
        <is>
          <t>V</t>
        </is>
      </c>
      <c r="B48" s="1719" t="inlineStr">
        <is>
          <t xml:space="preserve">Vacant </t>
        </is>
      </c>
      <c r="C48" s="1720" t="inlineStr">
        <is>
          <t>Data Risk Analyst</t>
        </is>
      </c>
      <c r="D48" s="1719" t="inlineStr">
        <is>
          <t>Brian Gates</t>
        </is>
      </c>
      <c r="E48" s="1719" t="n"/>
      <c r="F48" s="1719" t="inlineStr">
        <is>
          <t>Cyber, Risk &amp; Operations</t>
        </is>
      </c>
      <c r="G48" s="1721" t="inlineStr">
        <is>
          <t>Cyber Risk</t>
        </is>
      </c>
      <c r="H48" s="1719" t="inlineStr">
        <is>
          <t>NA</t>
        </is>
      </c>
      <c r="I48" s="1719" t="inlineStr">
        <is>
          <t>NA</t>
        </is>
      </c>
      <c r="J48" s="1719" t="inlineStr">
        <is>
          <t>NA</t>
        </is>
      </c>
      <c r="K48" s="1719" t="inlineStr">
        <is>
          <t>NA</t>
        </is>
      </c>
      <c r="L48" s="1719" t="n"/>
      <c r="M48" s="1722" t="inlineStr">
        <is>
          <t>Australia</t>
        </is>
      </c>
      <c r="N48" s="1723" t="inlineStr">
        <is>
          <t>CIA</t>
        </is>
      </c>
      <c r="O48" s="1723" t="n">
        <v>1</v>
      </c>
      <c r="P48" s="1723" t="n"/>
      <c r="Q48" s="1723" t="inlineStr">
        <is>
          <t>V</t>
        </is>
      </c>
      <c r="R48" s="1725" t="n"/>
      <c r="S48" s="1725" t="n"/>
      <c r="T48" s="1726" t="n">
        <v>129650</v>
      </c>
      <c r="U48" s="1727" t="n">
        <v>129650</v>
      </c>
      <c r="V48" s="1729" t="n">
        <v>0.1</v>
      </c>
      <c r="W48" s="1732" t="n">
        <v>0.055</v>
      </c>
      <c r="X48" s="1732" t="n">
        <v>0.12</v>
      </c>
      <c r="Y48" s="1733" t="n"/>
      <c r="Z48" s="1732" t="n">
        <v>0.04</v>
      </c>
      <c r="AA48" s="1731">
        <f>U48*(1+V48+W48+X48+Y48+Z48)</f>
        <v>170489.75</v>
      </c>
      <c r="AB48" s="1734" t="n"/>
    </row>
    <row r="49" ht="14.25" customHeight="1" s="866">
      <c r="A49" s="1718" t="inlineStr">
        <is>
          <t>V</t>
        </is>
      </c>
      <c r="B49" s="1719" t="inlineStr">
        <is>
          <t xml:space="preserve">Vacant </t>
        </is>
      </c>
      <c r="C49" s="1720" t="inlineStr">
        <is>
          <t>Data Risk Analyst</t>
        </is>
      </c>
      <c r="D49" s="1719" t="inlineStr">
        <is>
          <t>Brian Gates</t>
        </is>
      </c>
      <c r="E49" s="1719" t="n"/>
      <c r="F49" s="1719" t="inlineStr">
        <is>
          <t>Cyber, Risk &amp; Operations</t>
        </is>
      </c>
      <c r="G49" s="1721" t="inlineStr">
        <is>
          <t>Cyber Risk</t>
        </is>
      </c>
      <c r="H49" s="1719" t="inlineStr">
        <is>
          <t>NA</t>
        </is>
      </c>
      <c r="I49" s="1719" t="inlineStr">
        <is>
          <t>NA</t>
        </is>
      </c>
      <c r="J49" s="1719" t="inlineStr">
        <is>
          <t>NA</t>
        </is>
      </c>
      <c r="K49" s="1719" t="inlineStr">
        <is>
          <t>NA</t>
        </is>
      </c>
      <c r="L49" s="1719" t="n"/>
      <c r="M49" s="1722" t="inlineStr">
        <is>
          <t>Australia</t>
        </is>
      </c>
      <c r="N49" s="1723" t="inlineStr">
        <is>
          <t>CIA</t>
        </is>
      </c>
      <c r="O49" s="1723" t="n">
        <v>1</v>
      </c>
      <c r="P49" s="1723" t="n"/>
      <c r="Q49" s="1723" t="inlineStr">
        <is>
          <t>V</t>
        </is>
      </c>
      <c r="R49" s="1725" t="n"/>
      <c r="S49" s="1725" t="n"/>
      <c r="T49" s="1726" t="n">
        <v>129650</v>
      </c>
      <c r="U49" s="1727" t="n">
        <v>129650</v>
      </c>
      <c r="V49" s="1729" t="n">
        <v>0.1</v>
      </c>
      <c r="W49" s="1732" t="n">
        <v>0.055</v>
      </c>
      <c r="X49" s="1732" t="n">
        <v>0.12</v>
      </c>
      <c r="Y49" s="1733" t="n"/>
      <c r="Z49" s="1732" t="n">
        <v>0.04</v>
      </c>
      <c r="AA49" s="1731">
        <f>U49*(1+V49+W49+X49+Y49+Z49)</f>
        <v>170489.75</v>
      </c>
      <c r="AB49" s="1734" t="n"/>
    </row>
    <row r="50" ht="14.25" customHeight="1" s="866">
      <c r="A50" s="1718" t="inlineStr">
        <is>
          <t>V</t>
        </is>
      </c>
      <c r="B50" s="1719" t="inlineStr">
        <is>
          <t>Vacant  (AKL )</t>
        </is>
      </c>
      <c r="C50" s="1720" t="inlineStr">
        <is>
          <t>Tech Support Technician</t>
        </is>
      </c>
      <c r="D50" s="1719" t="inlineStr">
        <is>
          <t>Mark Pearson</t>
        </is>
      </c>
      <c r="E50" s="1719" t="n"/>
      <c r="F50" s="1719" t="inlineStr">
        <is>
          <t>Cyber, Risk &amp; Operations</t>
        </is>
      </c>
      <c r="G50" s="1721" t="inlineStr">
        <is>
          <t>Service Op &amp; Assurance</t>
        </is>
      </c>
      <c r="H50" s="1719" t="inlineStr">
        <is>
          <t>NA</t>
        </is>
      </c>
      <c r="I50" s="1719" t="inlineStr">
        <is>
          <t>NA</t>
        </is>
      </c>
      <c r="J50" s="1719" t="inlineStr">
        <is>
          <t>NA</t>
        </is>
      </c>
      <c r="K50" s="1719" t="inlineStr">
        <is>
          <t>NA</t>
        </is>
      </c>
      <c r="L50" s="1719" t="n"/>
      <c r="M50" s="1722" t="inlineStr">
        <is>
          <t>Australia</t>
        </is>
      </c>
      <c r="N50" s="1723" t="inlineStr">
        <is>
          <t>CDB</t>
        </is>
      </c>
      <c r="O50" s="1723" t="n">
        <v>1</v>
      </c>
      <c r="P50" s="1723" t="n"/>
      <c r="Q50" s="1723" t="inlineStr">
        <is>
          <t>v</t>
        </is>
      </c>
      <c r="R50" s="1725" t="n"/>
      <c r="S50" s="1725" t="n"/>
      <c r="T50" s="1726" t="n">
        <v>94650</v>
      </c>
      <c r="U50" s="1727" t="n">
        <v>94650</v>
      </c>
      <c r="V50" s="1729" t="n">
        <v>0.08</v>
      </c>
      <c r="W50" s="1732" t="n">
        <v>0.055</v>
      </c>
      <c r="X50" s="1732" t="n">
        <v>0.12</v>
      </c>
      <c r="Y50" s="1733" t="n"/>
      <c r="Z50" s="1732" t="n">
        <v>0.04</v>
      </c>
      <c r="AA50" s="1731">
        <f>U50*(1+V50+W50+X50+Y50+Z50)</f>
        <v>122571.75</v>
      </c>
      <c r="AB50" s="1734" t="n"/>
    </row>
    <row r="51" ht="14.25" customHeight="1" s="866">
      <c r="A51" s="1718" t="inlineStr">
        <is>
          <t>V</t>
        </is>
      </c>
      <c r="B51" s="1719" t="inlineStr">
        <is>
          <t>Vacant (SYD)</t>
        </is>
      </c>
      <c r="C51" s="1720" t="inlineStr">
        <is>
          <t>Tech Support Technician</t>
        </is>
      </c>
      <c r="D51" s="1719" t="inlineStr">
        <is>
          <t>Mark Pearson</t>
        </is>
      </c>
      <c r="E51" s="1719" t="n"/>
      <c r="F51" s="1719" t="inlineStr">
        <is>
          <t>Cyber, Risk &amp; Operations</t>
        </is>
      </c>
      <c r="G51" s="1721" t="inlineStr">
        <is>
          <t>Service Op &amp; Assurance</t>
        </is>
      </c>
      <c r="H51" s="1719" t="inlineStr">
        <is>
          <t>NA</t>
        </is>
      </c>
      <c r="I51" s="1719" t="inlineStr">
        <is>
          <t>NA</t>
        </is>
      </c>
      <c r="J51" s="1719" t="inlineStr">
        <is>
          <t>NA</t>
        </is>
      </c>
      <c r="K51" s="1719" t="inlineStr">
        <is>
          <t>NA</t>
        </is>
      </c>
      <c r="L51" s="1719" t="n"/>
      <c r="M51" s="1722" t="inlineStr">
        <is>
          <t>Australia</t>
        </is>
      </c>
      <c r="N51" s="1723" t="inlineStr">
        <is>
          <t>CDB</t>
        </is>
      </c>
      <c r="O51" s="1723" t="n">
        <v>1</v>
      </c>
      <c r="P51" s="1723" t="n"/>
      <c r="Q51" s="1723" t="inlineStr">
        <is>
          <t>v</t>
        </is>
      </c>
      <c r="R51" s="1725" t="n"/>
      <c r="S51" s="1725" t="n"/>
      <c r="T51" s="1726" t="n">
        <v>94650</v>
      </c>
      <c r="U51" s="1727" t="n">
        <v>94650</v>
      </c>
      <c r="V51" s="1729" t="n">
        <v>0.08</v>
      </c>
      <c r="W51" s="1732" t="n">
        <v>0.055</v>
      </c>
      <c r="X51" s="1732" t="n">
        <v>0.12</v>
      </c>
      <c r="Y51" s="1733" t="n"/>
      <c r="Z51" s="1732" t="n">
        <v>0.04</v>
      </c>
      <c r="AA51" s="1731">
        <f>U51*(1+V51+W51+X51+Y51+Z51)</f>
        <v>122571.75</v>
      </c>
      <c r="AB51" s="1734" t="n"/>
    </row>
    <row r="52" ht="14.25" customHeight="1" s="866">
      <c r="A52" s="1718" t="n">
        <v>99999101697</v>
      </c>
      <c r="B52" s="1719" t="inlineStr">
        <is>
          <t>Vanessa Castro</t>
        </is>
      </c>
      <c r="C52" s="1720" t="inlineStr">
        <is>
          <t>Cyber GRC Analyst</t>
        </is>
      </c>
      <c r="D52" s="1719" t="inlineStr">
        <is>
          <t>Diya Thomas</t>
        </is>
      </c>
      <c r="E52" s="1719" t="n"/>
      <c r="F52" s="1719" t="inlineStr">
        <is>
          <t>Cyber, Risk &amp; Operations</t>
        </is>
      </c>
      <c r="G52" s="1721" t="inlineStr">
        <is>
          <t>Cyber GRC</t>
        </is>
      </c>
      <c r="H52" s="1719" t="inlineStr">
        <is>
          <t>NA</t>
        </is>
      </c>
      <c r="I52" s="1719" t="inlineStr">
        <is>
          <t>NA</t>
        </is>
      </c>
      <c r="J52" s="1719" t="inlineStr">
        <is>
          <t>NA</t>
        </is>
      </c>
      <c r="K52" s="1719" t="inlineStr">
        <is>
          <t>NA</t>
        </is>
      </c>
      <c r="L52" s="1719" t="n"/>
      <c r="M52" s="1722" t="inlineStr">
        <is>
          <t>NZ</t>
        </is>
      </c>
      <c r="N52" s="1723" t="inlineStr">
        <is>
          <t>CIA</t>
        </is>
      </c>
      <c r="O52" s="1724" t="n">
        <v>1</v>
      </c>
      <c r="P52" s="1723" t="n"/>
      <c r="Q52" s="1724" t="inlineStr">
        <is>
          <t>Permanent - Full Time</t>
        </is>
      </c>
      <c r="R52" s="1725" t="n"/>
      <c r="S52" s="1725" t="n"/>
      <c r="T52" s="1726" t="n">
        <v>113930</v>
      </c>
      <c r="U52" s="1727" t="n">
        <v>104815.6</v>
      </c>
      <c r="V52" s="1728" t="n">
        <v>0.15</v>
      </c>
      <c r="W52" s="1725" t="n"/>
      <c r="X52" s="1729" t="n">
        <v>0.05</v>
      </c>
      <c r="Y52" s="1730" t="n">
        <v>2910</v>
      </c>
      <c r="Z52" s="1729" t="n">
        <v>0.03</v>
      </c>
      <c r="AA52" s="1731">
        <f>U52*(1+V52+X52+Z52)+Y52</f>
        <v>131833.188</v>
      </c>
      <c r="AB52" s="1432" t="n">
        <v>113621</v>
      </c>
    </row>
    <row r="53" ht="14.25" customHeight="1" s="866">
      <c r="A53" s="1718" t="n">
        <v>101830</v>
      </c>
      <c r="B53" s="1719" t="inlineStr">
        <is>
          <t>Vivienne Vasak</t>
        </is>
      </c>
      <c r="C53" s="1720" t="inlineStr">
        <is>
          <t>Portfolio Manager Cyber Security</t>
        </is>
      </c>
      <c r="D53" s="1719" t="inlineStr">
        <is>
          <t>James Byrne</t>
        </is>
      </c>
      <c r="E53" s="1719" t="inlineStr">
        <is>
          <t xml:space="preserve">Manager Service Perforance &amp; Assurance </t>
        </is>
      </c>
      <c r="F53" s="1719" t="inlineStr">
        <is>
          <t>Cyber, Risk &amp; Operations</t>
        </is>
      </c>
      <c r="G53" s="1721" t="inlineStr">
        <is>
          <t>Cyber Strat &amp; Tech</t>
        </is>
      </c>
      <c r="H53" s="1719" t="inlineStr">
        <is>
          <t>NA</t>
        </is>
      </c>
      <c r="I53" s="1719" t="inlineStr">
        <is>
          <t>NA</t>
        </is>
      </c>
      <c r="J53" s="1719" t="inlineStr">
        <is>
          <t>NA</t>
        </is>
      </c>
      <c r="K53" s="1719" t="inlineStr">
        <is>
          <t>NA</t>
        </is>
      </c>
      <c r="L53" s="1719" t="n"/>
      <c r="M53" s="1722" t="inlineStr">
        <is>
          <t>Australia</t>
        </is>
      </c>
      <c r="N53" s="1723" t="inlineStr">
        <is>
          <t>CSB</t>
        </is>
      </c>
      <c r="O53" s="1723" t="n">
        <v>1</v>
      </c>
      <c r="P53" s="1723" t="n"/>
      <c r="Q53" s="1723" t="inlineStr">
        <is>
          <t>Permanent - Full Time</t>
        </is>
      </c>
      <c r="R53" s="1725" t="n"/>
      <c r="S53" s="1725" t="n"/>
      <c r="T53" s="1726" t="n">
        <v>232970</v>
      </c>
      <c r="U53" s="1727" t="n">
        <v>232970</v>
      </c>
      <c r="V53" s="1729" t="n">
        <v>0.14</v>
      </c>
      <c r="W53" s="1732" t="n">
        <v>0.055</v>
      </c>
      <c r="X53" s="1732" t="n">
        <v>0.12</v>
      </c>
      <c r="Y53" s="1733" t="n"/>
      <c r="Z53" s="1732" t="n">
        <v>0.04</v>
      </c>
      <c r="AA53" s="1731">
        <f>U53*(1+V53+W53+X53+Y53+Z53)</f>
        <v>315674.35</v>
      </c>
      <c r="AB53" s="1734" t="n"/>
    </row>
    <row r="54" ht="14.25" customHeight="1" s="866">
      <c r="A54" s="1718" t="inlineStr">
        <is>
          <t>C</t>
        </is>
      </c>
      <c r="B54" s="1719" t="inlineStr">
        <is>
          <t>Ahmed Yehya</t>
        </is>
      </c>
      <c r="C54" s="1720" t="inlineStr">
        <is>
          <t>TDD Strategic Delivery</t>
        </is>
      </c>
      <c r="D54" s="1719" t="inlineStr">
        <is>
          <t>Greg Cassis</t>
        </is>
      </c>
      <c r="E54" s="1721" t="inlineStr">
        <is>
          <t>GM TDD, EGI</t>
        </is>
      </c>
      <c r="F54" s="1719" t="inlineStr">
        <is>
          <t>EGI</t>
        </is>
      </c>
      <c r="G54" s="1721" t="inlineStr">
        <is>
          <t>EGI</t>
        </is>
      </c>
      <c r="H54" s="1721" t="inlineStr">
        <is>
          <t>EGI</t>
        </is>
      </c>
      <c r="I54" s="1721" t="inlineStr">
        <is>
          <t>EGI</t>
        </is>
      </c>
      <c r="J54" s="1721" t="inlineStr">
        <is>
          <t>EGI</t>
        </is>
      </c>
      <c r="K54" s="1721" t="inlineStr">
        <is>
          <t>EGI</t>
        </is>
      </c>
      <c r="L54" s="1721" t="n"/>
      <c r="M54" s="1722" t="inlineStr">
        <is>
          <t>Australia</t>
        </is>
      </c>
      <c r="N54" s="1723" t="inlineStr">
        <is>
          <t>na</t>
        </is>
      </c>
      <c r="O54" s="1723" t="n">
        <v>1</v>
      </c>
      <c r="P54" s="1723" t="n"/>
      <c r="Q54" s="1725" t="inlineStr">
        <is>
          <t>cxc</t>
        </is>
      </c>
      <c r="R54" s="1725" t="inlineStr">
        <is>
          <t>Daily</t>
        </is>
      </c>
      <c r="S54" s="1725" t="n">
        <v>1250</v>
      </c>
      <c r="T54" s="1726" t="n">
        <v>0</v>
      </c>
      <c r="U54" s="1727" t="n"/>
      <c r="V54" s="1729" t="n"/>
      <c r="W54" s="1732" t="n"/>
      <c r="X54" s="1732" t="n"/>
      <c r="Y54" s="1733" t="n"/>
      <c r="Z54" s="1732" t="n"/>
      <c r="AA54" s="1745">
        <f>S54*222</f>
        <v>277500</v>
      </c>
      <c r="AB54" s="1734" t="n"/>
    </row>
    <row r="55" ht="14.25" customHeight="1" s="866">
      <c r="A55" s="1718" t="inlineStr">
        <is>
          <t>C</t>
        </is>
      </c>
      <c r="B55" s="1719" t="inlineStr">
        <is>
          <t>Anthony Huynh</t>
        </is>
      </c>
      <c r="C55" s="1720" t="inlineStr">
        <is>
          <t>Strategic Delivery Consultant</t>
        </is>
      </c>
      <c r="D55" s="1719" t="inlineStr">
        <is>
          <t>Greg Cassis</t>
        </is>
      </c>
      <c r="E55" s="1721" t="inlineStr">
        <is>
          <t>GM TDD, EGI</t>
        </is>
      </c>
      <c r="F55" s="1719" t="inlineStr">
        <is>
          <t>EGI</t>
        </is>
      </c>
      <c r="G55" s="1721" t="inlineStr">
        <is>
          <t>EGI</t>
        </is>
      </c>
      <c r="H55" s="1721" t="inlineStr">
        <is>
          <t>EGI</t>
        </is>
      </c>
      <c r="I55" s="1721" t="inlineStr">
        <is>
          <t>EGI</t>
        </is>
      </c>
      <c r="J55" s="1719" t="inlineStr">
        <is>
          <t>EGI</t>
        </is>
      </c>
      <c r="K55" s="1719" t="inlineStr">
        <is>
          <t>EGI</t>
        </is>
      </c>
      <c r="L55" s="1721" t="n"/>
      <c r="M55" s="1722" t="inlineStr">
        <is>
          <t>australia</t>
        </is>
      </c>
      <c r="N55" s="1723" t="inlineStr">
        <is>
          <t>NA</t>
        </is>
      </c>
      <c r="O55" s="1723" t="n">
        <v>1</v>
      </c>
      <c r="P55" s="1723" t="n"/>
      <c r="Q55" s="1725" t="inlineStr">
        <is>
          <t>cxc</t>
        </is>
      </c>
      <c r="R55" s="1725" t="inlineStr">
        <is>
          <t>daily</t>
        </is>
      </c>
      <c r="S55" s="1725" t="n">
        <v>1357</v>
      </c>
      <c r="T55" s="1726" t="n">
        <v>0</v>
      </c>
      <c r="U55" s="1727" t="n"/>
      <c r="V55" s="1729" t="n"/>
      <c r="W55" s="1732" t="n"/>
      <c r="X55" s="1732" t="n"/>
      <c r="Y55" s="1733" t="n"/>
      <c r="Z55" s="1732" t="n"/>
      <c r="AA55" s="1745">
        <f>S55*222</f>
        <v>301254</v>
      </c>
      <c r="AB55" s="1734" t="n"/>
    </row>
    <row r="56" ht="14.25" customHeight="1" s="866">
      <c r="A56" s="1718" t="inlineStr">
        <is>
          <t>C</t>
        </is>
      </c>
      <c r="B56" s="1719" t="inlineStr">
        <is>
          <t>Areum Kim Lee</t>
        </is>
      </c>
      <c r="C56" s="1720" t="inlineStr">
        <is>
          <t>Program Manager (PEP13-EGI-UKG)</t>
        </is>
      </c>
      <c r="D56" s="1719" t="inlineStr">
        <is>
          <t>Greg Cassis</t>
        </is>
      </c>
      <c r="E56" s="1721" t="inlineStr">
        <is>
          <t>GM TDD, EGI</t>
        </is>
      </c>
      <c r="F56" s="1719" t="inlineStr">
        <is>
          <t>EGI</t>
        </is>
      </c>
      <c r="G56" s="1721" t="inlineStr">
        <is>
          <t>EGI</t>
        </is>
      </c>
      <c r="H56" s="1721" t="inlineStr">
        <is>
          <t>EGI</t>
        </is>
      </c>
      <c r="I56" s="1721" t="inlineStr">
        <is>
          <t>EGI</t>
        </is>
      </c>
      <c r="J56" s="1721" t="inlineStr">
        <is>
          <t>EGI</t>
        </is>
      </c>
      <c r="K56" s="1719" t="inlineStr">
        <is>
          <t>EGI</t>
        </is>
      </c>
      <c r="L56" s="1721" t="n"/>
      <c r="M56" s="1722" t="inlineStr">
        <is>
          <t>Australia</t>
        </is>
      </c>
      <c r="N56" s="1725" t="inlineStr">
        <is>
          <t>NA</t>
        </is>
      </c>
      <c r="O56" s="1723" t="n">
        <v>1</v>
      </c>
      <c r="P56" s="1725" t="n"/>
      <c r="Q56" s="1725" t="inlineStr">
        <is>
          <t>cxc</t>
        </is>
      </c>
      <c r="R56" s="1746" t="inlineStr">
        <is>
          <t>Daily</t>
        </is>
      </c>
      <c r="S56" s="1725" t="n">
        <v>1545.76</v>
      </c>
      <c r="T56" s="1726" t="n">
        <v>0</v>
      </c>
      <c r="U56" s="1726" t="n"/>
      <c r="V56" s="1721" t="n"/>
      <c r="W56" s="1721" t="n"/>
      <c r="X56" s="1721" t="n"/>
      <c r="Y56" s="1721" t="n"/>
      <c r="Z56" s="1721" t="n"/>
      <c r="AA56" s="1745">
        <f>S56*222</f>
        <v>343158.72</v>
      </c>
      <c r="AB56" s="1734" t="n"/>
    </row>
    <row r="57" ht="14.25" customHeight="1" s="866">
      <c r="A57" s="1718" t="inlineStr">
        <is>
          <t>C</t>
        </is>
      </c>
      <c r="B57" s="1719" t="inlineStr">
        <is>
          <t>Ernesto Pereira</t>
        </is>
      </c>
      <c r="C57" s="1720" t="inlineStr">
        <is>
          <t>Project Manger</t>
        </is>
      </c>
      <c r="D57" s="1719" t="inlineStr">
        <is>
          <t>Trena Foote</t>
        </is>
      </c>
      <c r="E57" s="1719" t="inlineStr">
        <is>
          <t>Project Manger</t>
        </is>
      </c>
      <c r="F57" s="1719" t="inlineStr">
        <is>
          <t>EGI</t>
        </is>
      </c>
      <c r="G57" s="1721" t="inlineStr">
        <is>
          <t>EGI</t>
        </is>
      </c>
      <c r="H57" s="1721" t="inlineStr">
        <is>
          <t>EGI</t>
        </is>
      </c>
      <c r="I57" s="1721" t="inlineStr">
        <is>
          <t>EGI</t>
        </is>
      </c>
      <c r="J57" s="1721" t="inlineStr">
        <is>
          <t>EGI</t>
        </is>
      </c>
      <c r="K57" s="1721" t="inlineStr">
        <is>
          <t>EGI</t>
        </is>
      </c>
      <c r="L57" s="1721" t="n"/>
      <c r="M57" s="1722" t="inlineStr">
        <is>
          <t>Australia</t>
        </is>
      </c>
      <c r="N57" s="1725" t="inlineStr">
        <is>
          <t>na</t>
        </is>
      </c>
      <c r="O57" s="1725" t="n">
        <v>1</v>
      </c>
      <c r="P57" s="1725" t="n"/>
      <c r="Q57" s="1725" t="inlineStr">
        <is>
          <t>cxc</t>
        </is>
      </c>
      <c r="R57" s="1725" t="inlineStr">
        <is>
          <t>daily</t>
        </is>
      </c>
      <c r="S57" s="1725" t="n">
        <v>1000</v>
      </c>
      <c r="T57" s="1726" t="n">
        <v>0</v>
      </c>
      <c r="U57" s="1727" t="n"/>
      <c r="V57" s="1729" t="n"/>
      <c r="W57" s="1732" t="n"/>
      <c r="X57" s="1732" t="n"/>
      <c r="Y57" s="1733" t="n"/>
      <c r="Z57" s="1732" t="n"/>
      <c r="AA57" s="1745">
        <f>S57*222</f>
        <v>222000</v>
      </c>
      <c r="AB57" s="1734" t="n"/>
    </row>
    <row r="58" ht="14.25" customHeight="1" s="866">
      <c r="A58" s="1718" t="inlineStr">
        <is>
          <t>C</t>
        </is>
      </c>
      <c r="B58" s="1719" t="inlineStr">
        <is>
          <t>Harish Dasari</t>
        </is>
      </c>
      <c r="C58" s="1720" t="inlineStr">
        <is>
          <t>Business Analyst (SAP Payroll)</t>
        </is>
      </c>
      <c r="D58" s="1719" t="inlineStr">
        <is>
          <t>Areum Kim-Lee</t>
        </is>
      </c>
      <c r="E58" s="1721" t="inlineStr">
        <is>
          <t>GM TDD, EGI</t>
        </is>
      </c>
      <c r="F58" s="1719" t="inlineStr">
        <is>
          <t>EGI</t>
        </is>
      </c>
      <c r="G58" s="1721" t="inlineStr">
        <is>
          <t>EGI</t>
        </is>
      </c>
      <c r="H58" s="1721" t="inlineStr">
        <is>
          <t>EGI</t>
        </is>
      </c>
      <c r="I58" s="1721" t="inlineStr">
        <is>
          <t>EGI</t>
        </is>
      </c>
      <c r="J58" s="1721" t="inlineStr">
        <is>
          <t>EGI</t>
        </is>
      </c>
      <c r="K58" s="1721" t="inlineStr">
        <is>
          <t>EGI</t>
        </is>
      </c>
      <c r="L58" s="1721" t="n"/>
      <c r="M58" s="1722" t="inlineStr">
        <is>
          <t>Australia</t>
        </is>
      </c>
      <c r="N58" s="1723" t="inlineStr">
        <is>
          <t>na</t>
        </is>
      </c>
      <c r="O58" s="1723" t="n">
        <v>1</v>
      </c>
      <c r="P58" s="1723" t="n"/>
      <c r="Q58" s="1725" t="inlineStr">
        <is>
          <t>cxc</t>
        </is>
      </c>
      <c r="R58" s="1725" t="inlineStr">
        <is>
          <t>daily</t>
        </is>
      </c>
      <c r="S58" s="1725" t="n">
        <v>1100</v>
      </c>
      <c r="T58" s="1726" t="n">
        <v>0</v>
      </c>
      <c r="U58" s="1727" t="n"/>
      <c r="V58" s="1729" t="n"/>
      <c r="W58" s="1725" t="n"/>
      <c r="X58" s="1729" t="n"/>
      <c r="Y58" s="1730" t="n"/>
      <c r="Z58" s="1747" t="n"/>
      <c r="AA58" s="1745">
        <f>S58*222</f>
        <v>244200</v>
      </c>
      <c r="AB58" s="1734" t="n"/>
    </row>
    <row r="59" ht="14.25" customHeight="1" s="866">
      <c r="A59" s="1718" t="inlineStr">
        <is>
          <t>C</t>
        </is>
      </c>
      <c r="B59" s="1719" t="inlineStr">
        <is>
          <t>James Munt</t>
        </is>
      </c>
      <c r="C59" s="1720" t="inlineStr">
        <is>
          <t>Program Manager Tech &amp; P&amp;C</t>
        </is>
      </c>
      <c r="D59" s="1721" t="inlineStr">
        <is>
          <t>Greg Cassis</t>
        </is>
      </c>
      <c r="E59" s="1721" t="inlineStr">
        <is>
          <t>GM TDD, EGI</t>
        </is>
      </c>
      <c r="F59" s="1719" t="inlineStr">
        <is>
          <t>EGI</t>
        </is>
      </c>
      <c r="G59" s="1721" t="inlineStr">
        <is>
          <t>EGI</t>
        </is>
      </c>
      <c r="H59" s="1721" t="inlineStr">
        <is>
          <t>EGI</t>
        </is>
      </c>
      <c r="I59" s="1721" t="inlineStr">
        <is>
          <t>EGI</t>
        </is>
      </c>
      <c r="J59" s="1721" t="inlineStr">
        <is>
          <t>EGI</t>
        </is>
      </c>
      <c r="K59" s="1721" t="inlineStr">
        <is>
          <t>EGI</t>
        </is>
      </c>
      <c r="L59" s="1721" t="n"/>
      <c r="M59" s="1722" t="inlineStr">
        <is>
          <t>Australia</t>
        </is>
      </c>
      <c r="N59" s="1723" t="inlineStr">
        <is>
          <t>na</t>
        </is>
      </c>
      <c r="O59" s="1723" t="n">
        <v>1</v>
      </c>
      <c r="P59" s="1723" t="n"/>
      <c r="Q59" s="1725" t="inlineStr">
        <is>
          <t>cxc</t>
        </is>
      </c>
      <c r="R59" s="1725" t="inlineStr">
        <is>
          <t>daily</t>
        </is>
      </c>
      <c r="S59" s="1725" t="n">
        <v>1200</v>
      </c>
      <c r="T59" s="1726" t="n">
        <v>0</v>
      </c>
      <c r="U59" s="1727" t="n"/>
      <c r="V59" s="1729" t="n"/>
      <c r="W59" s="1732" t="n"/>
      <c r="X59" s="1732" t="n"/>
      <c r="Y59" s="1733" t="n"/>
      <c r="Z59" s="1732" t="n"/>
      <c r="AA59" s="1745">
        <f>S59*222</f>
        <v>266400</v>
      </c>
      <c r="AB59" s="1734" t="n"/>
    </row>
    <row r="60" ht="14.25" customHeight="1" s="866">
      <c r="A60" s="1718" t="inlineStr">
        <is>
          <t>c</t>
        </is>
      </c>
      <c r="B60" s="1719" t="inlineStr">
        <is>
          <t>Jason McNamara</t>
        </is>
      </c>
      <c r="C60" s="1720" t="inlineStr">
        <is>
          <t>Project Manager Retail</t>
        </is>
      </c>
      <c r="D60" s="1719" t="inlineStr">
        <is>
          <t>Greg Cassis</t>
        </is>
      </c>
      <c r="E60" s="1721" t="inlineStr">
        <is>
          <t>GM TDD, EGI</t>
        </is>
      </c>
      <c r="F60" s="1719" t="inlineStr">
        <is>
          <t>EGI</t>
        </is>
      </c>
      <c r="G60" s="1721" t="inlineStr">
        <is>
          <t>EGI</t>
        </is>
      </c>
      <c r="H60" s="1721" t="inlineStr">
        <is>
          <t>EGI</t>
        </is>
      </c>
      <c r="I60" s="1721" t="inlineStr">
        <is>
          <t>EGI</t>
        </is>
      </c>
      <c r="J60" s="1721" t="inlineStr">
        <is>
          <t>EGI</t>
        </is>
      </c>
      <c r="K60" s="1721" t="inlineStr">
        <is>
          <t>EGI</t>
        </is>
      </c>
      <c r="L60" s="1721" t="n"/>
      <c r="M60" s="1722" t="inlineStr">
        <is>
          <t>Australia</t>
        </is>
      </c>
      <c r="N60" s="1723" t="inlineStr">
        <is>
          <t>na</t>
        </is>
      </c>
      <c r="O60" s="1724" t="n">
        <v>1</v>
      </c>
      <c r="P60" s="1723" t="n"/>
      <c r="Q60" s="1725" t="inlineStr">
        <is>
          <t>cxc</t>
        </is>
      </c>
      <c r="R60" s="1725" t="inlineStr">
        <is>
          <t>daily</t>
        </is>
      </c>
      <c r="S60" s="1725" t="n">
        <v>2200</v>
      </c>
      <c r="T60" s="1726" t="n">
        <v>0</v>
      </c>
      <c r="U60" s="1727" t="n"/>
      <c r="V60" s="1728" t="n"/>
      <c r="W60" s="1724" t="n"/>
      <c r="X60" s="1729" t="n"/>
      <c r="Y60" s="1730" t="n"/>
      <c r="Z60" s="1729" t="n"/>
      <c r="AA60" s="1745">
        <f>S60*222</f>
        <v>488400</v>
      </c>
    </row>
    <row r="61" ht="14.25" customHeight="1" s="866">
      <c r="A61" s="1718" t="inlineStr">
        <is>
          <t>c</t>
        </is>
      </c>
      <c r="B61" s="1719" t="inlineStr">
        <is>
          <t>Jason Sipkovic</t>
        </is>
      </c>
      <c r="C61" s="1720" t="inlineStr">
        <is>
          <t>strategic program architect</t>
        </is>
      </c>
      <c r="D61" s="1719" t="inlineStr">
        <is>
          <t>Trena Foote</t>
        </is>
      </c>
      <c r="E61" s="1719" t="inlineStr">
        <is>
          <t>Project Manger</t>
        </is>
      </c>
      <c r="F61" s="1719" t="inlineStr">
        <is>
          <t>EGI</t>
        </is>
      </c>
      <c r="G61" s="1721" t="inlineStr">
        <is>
          <t>EGI</t>
        </is>
      </c>
      <c r="H61" s="1721" t="inlineStr">
        <is>
          <t>EGI</t>
        </is>
      </c>
      <c r="I61" s="1721" t="inlineStr">
        <is>
          <t>EGI</t>
        </is>
      </c>
      <c r="J61" s="1721" t="inlineStr">
        <is>
          <t>EGI</t>
        </is>
      </c>
      <c r="K61" s="1721" t="inlineStr">
        <is>
          <t>EGI</t>
        </is>
      </c>
      <c r="L61" s="1721" t="n"/>
      <c r="M61" s="1722" t="inlineStr">
        <is>
          <t>Australia</t>
        </is>
      </c>
      <c r="N61" s="1723" t="inlineStr">
        <is>
          <t>na</t>
        </is>
      </c>
      <c r="O61" s="1724" t="n">
        <v>1</v>
      </c>
      <c r="P61" s="1723" t="n"/>
      <c r="Q61" s="1725" t="inlineStr">
        <is>
          <t>cxc</t>
        </is>
      </c>
      <c r="R61" s="1725" t="inlineStr">
        <is>
          <t>daily</t>
        </is>
      </c>
      <c r="S61" s="1725" t="n">
        <v>1500</v>
      </c>
      <c r="T61" s="1726" t="n">
        <v>0</v>
      </c>
      <c r="U61" s="1727" t="n"/>
      <c r="V61" s="1728" t="n"/>
      <c r="W61" s="1724" t="n"/>
      <c r="X61" s="1729" t="n"/>
      <c r="Y61" s="1730" t="n"/>
      <c r="Z61" s="1729" t="n"/>
      <c r="AA61" s="1745">
        <f>S61*222</f>
        <v>333000</v>
      </c>
    </row>
    <row r="62" ht="14.25" customHeight="1" s="866">
      <c r="A62" s="1718" t="inlineStr">
        <is>
          <t>c</t>
        </is>
      </c>
      <c r="B62" s="1719" t="inlineStr">
        <is>
          <t>Kanika Narula</t>
        </is>
      </c>
      <c r="C62" s="1720" t="inlineStr">
        <is>
          <t>Business Analyst Digital</t>
        </is>
      </c>
      <c r="D62" s="1719" t="inlineStr">
        <is>
          <t>Mitesh Shah</t>
        </is>
      </c>
      <c r="E62" s="1719" t="inlineStr">
        <is>
          <t>Technology Manager, Digitial</t>
        </is>
      </c>
      <c r="F62" s="1719" t="inlineStr">
        <is>
          <t>EGI</t>
        </is>
      </c>
      <c r="G62" s="1721" t="inlineStr">
        <is>
          <t>EGI</t>
        </is>
      </c>
      <c r="H62" s="1721" t="inlineStr">
        <is>
          <t>EGI</t>
        </is>
      </c>
      <c r="I62" s="1721" t="inlineStr">
        <is>
          <t>EGI</t>
        </is>
      </c>
      <c r="J62" s="1721" t="inlineStr">
        <is>
          <t>EGI</t>
        </is>
      </c>
      <c r="K62" s="1721" t="inlineStr">
        <is>
          <t>EGI</t>
        </is>
      </c>
      <c r="L62" s="1719" t="n"/>
      <c r="M62" s="1722" t="inlineStr">
        <is>
          <t>Australia</t>
        </is>
      </c>
      <c r="N62" s="1723" t="inlineStr">
        <is>
          <t>na</t>
        </is>
      </c>
      <c r="O62" s="1723" t="n">
        <v>1</v>
      </c>
      <c r="P62" s="1723" t="n"/>
      <c r="Q62" s="1725" t="inlineStr">
        <is>
          <t>cxc</t>
        </is>
      </c>
      <c r="R62" s="1725" t="inlineStr">
        <is>
          <t>daily</t>
        </is>
      </c>
      <c r="S62" s="1725" t="n">
        <v>1078.84</v>
      </c>
      <c r="T62" s="1726" t="n">
        <v>0</v>
      </c>
      <c r="U62" s="1727" t="n"/>
      <c r="V62" s="1729" t="n"/>
      <c r="W62" s="1732" t="n"/>
      <c r="X62" s="1732" t="n"/>
      <c r="Y62" s="1733" t="n"/>
      <c r="Z62" s="1732" t="n"/>
      <c r="AA62" s="1745">
        <f>S62*222</f>
        <v>239502.48</v>
      </c>
      <c r="AB62" s="1734" t="n"/>
    </row>
    <row r="63" ht="14.25" customHeight="1" s="866">
      <c r="A63" s="1718" t="inlineStr">
        <is>
          <t>c</t>
        </is>
      </c>
      <c r="B63" s="1719" t="inlineStr">
        <is>
          <t>Karl Reyneke</t>
        </is>
      </c>
      <c r="C63" s="1720" t="inlineStr">
        <is>
          <t>Strategic Delivery Consultant</t>
        </is>
      </c>
      <c r="D63" s="1719" t="inlineStr">
        <is>
          <t>Greg Cassis</t>
        </is>
      </c>
      <c r="E63" s="1721" t="inlineStr">
        <is>
          <t>GM TDD, EGI</t>
        </is>
      </c>
      <c r="F63" s="1719" t="inlineStr">
        <is>
          <t>EGI</t>
        </is>
      </c>
      <c r="G63" s="1721" t="inlineStr">
        <is>
          <t>EGI</t>
        </is>
      </c>
      <c r="H63" s="1721" t="inlineStr">
        <is>
          <t>EGI</t>
        </is>
      </c>
      <c r="I63" s="1721" t="inlineStr">
        <is>
          <t>EGI</t>
        </is>
      </c>
      <c r="J63" s="1721" t="inlineStr">
        <is>
          <t>EGI</t>
        </is>
      </c>
      <c r="K63" s="1721" t="inlineStr">
        <is>
          <t>EGI</t>
        </is>
      </c>
      <c r="L63" s="1721" t="n"/>
      <c r="M63" s="1722" t="inlineStr">
        <is>
          <t>australia</t>
        </is>
      </c>
      <c r="N63" s="1725" t="inlineStr">
        <is>
          <t>na</t>
        </is>
      </c>
      <c r="O63" s="1723" t="n">
        <v>1</v>
      </c>
      <c r="P63" s="1725" t="n"/>
      <c r="Q63" s="1725" t="inlineStr">
        <is>
          <t>cxc</t>
        </is>
      </c>
      <c r="R63" s="1746" t="inlineStr">
        <is>
          <t>daily</t>
        </is>
      </c>
      <c r="S63" s="1725" t="n">
        <v>1350</v>
      </c>
      <c r="T63" s="1726" t="n">
        <v>0</v>
      </c>
      <c r="U63" s="1726" t="n"/>
      <c r="V63" s="1721" t="n"/>
      <c r="W63" s="1721" t="n"/>
      <c r="X63" s="1721" t="n"/>
      <c r="Y63" s="1721" t="n"/>
      <c r="Z63" s="1721" t="n"/>
      <c r="AA63" s="1745">
        <f>S63*222</f>
        <v>299700</v>
      </c>
      <c r="AB63" s="1734" t="n"/>
    </row>
    <row r="64" ht="14.25" customHeight="1" s="866">
      <c r="A64" s="1718" t="inlineStr">
        <is>
          <t>c</t>
        </is>
      </c>
      <c r="B64" s="1719" t="inlineStr">
        <is>
          <t>michelle Siegman</t>
        </is>
      </c>
      <c r="C64" s="1720" t="inlineStr">
        <is>
          <t>Strategic Delivery Consultant</t>
        </is>
      </c>
      <c r="D64" s="1719" t="inlineStr">
        <is>
          <t>Greg Cassis</t>
        </is>
      </c>
      <c r="E64" s="1721" t="inlineStr">
        <is>
          <t>GM TDD, EGI</t>
        </is>
      </c>
      <c r="F64" s="1719" t="inlineStr">
        <is>
          <t>EGI</t>
        </is>
      </c>
      <c r="G64" s="1721" t="inlineStr">
        <is>
          <t>EGI</t>
        </is>
      </c>
      <c r="H64" s="1721" t="inlineStr">
        <is>
          <t>EGI</t>
        </is>
      </c>
      <c r="I64" s="1721" t="inlineStr">
        <is>
          <t>EGI</t>
        </is>
      </c>
      <c r="J64" s="1721" t="inlineStr">
        <is>
          <t>EGI</t>
        </is>
      </c>
      <c r="K64" s="1721" t="inlineStr">
        <is>
          <t>EGI</t>
        </is>
      </c>
      <c r="L64" s="1721" t="n"/>
      <c r="M64" s="1722" t="inlineStr">
        <is>
          <t>Australia</t>
        </is>
      </c>
      <c r="N64" s="1723" t="inlineStr">
        <is>
          <t>na</t>
        </is>
      </c>
      <c r="O64" s="1724" t="n">
        <v>1</v>
      </c>
      <c r="P64" s="1723" t="n"/>
      <c r="Q64" s="1725" t="inlineStr">
        <is>
          <t>cxc</t>
        </is>
      </c>
      <c r="R64" s="1725" t="inlineStr">
        <is>
          <t>Daily</t>
        </is>
      </c>
      <c r="S64" s="1725" t="n">
        <v>1038</v>
      </c>
      <c r="T64" s="1726" t="n">
        <v>0</v>
      </c>
      <c r="U64" s="1727" t="n"/>
      <c r="V64" s="1728" t="n"/>
      <c r="W64" s="1725" t="n"/>
      <c r="X64" s="1729" t="n"/>
      <c r="Y64" s="1730" t="n"/>
      <c r="Z64" s="1729" t="n"/>
      <c r="AA64" s="1745">
        <f>S64*222</f>
        <v>230436</v>
      </c>
    </row>
    <row r="65" ht="14.25" customHeight="1" s="866">
      <c r="A65" s="1748" t="n">
        <v>106830</v>
      </c>
      <c r="B65" s="1719" t="inlineStr">
        <is>
          <t>Moitri Pal</t>
        </is>
      </c>
      <c r="C65" s="1720" t="inlineStr">
        <is>
          <t>Portfolio Mnager</t>
        </is>
      </c>
      <c r="D65" s="1719" t="inlineStr">
        <is>
          <t>Greg Cassis</t>
        </is>
      </c>
      <c r="E65" s="1719" t="inlineStr">
        <is>
          <t>GM TDD, EGI</t>
        </is>
      </c>
      <c r="F65" s="1719" t="inlineStr">
        <is>
          <t>EGI</t>
        </is>
      </c>
      <c r="G65" s="1721" t="inlineStr">
        <is>
          <t>EGI</t>
        </is>
      </c>
      <c r="H65" s="1721" t="inlineStr">
        <is>
          <t>EGI</t>
        </is>
      </c>
      <c r="I65" s="1721" t="inlineStr">
        <is>
          <t>EGI</t>
        </is>
      </c>
      <c r="J65" s="1721" t="inlineStr">
        <is>
          <t>EGI</t>
        </is>
      </c>
      <c r="K65" s="1721" t="inlineStr">
        <is>
          <t>EGI</t>
        </is>
      </c>
      <c r="L65" s="1721" t="n"/>
      <c r="M65" s="1722" t="inlineStr">
        <is>
          <t>Australia</t>
        </is>
      </c>
      <c r="N65" s="1723" t="inlineStr">
        <is>
          <t>CSC</t>
        </is>
      </c>
      <c r="O65" s="1723" t="n">
        <v>1</v>
      </c>
      <c r="P65" s="1723" t="n"/>
      <c r="Q65" s="1723" t="inlineStr">
        <is>
          <t>Permanent - Full Time</t>
        </is>
      </c>
      <c r="R65" s="1725" t="n"/>
      <c r="S65" s="1725" t="n"/>
      <c r="T65" s="1726" t="n">
        <v>230010</v>
      </c>
      <c r="U65" s="1727">
        <f>T65</f>
        <v>230010</v>
      </c>
      <c r="V65" s="1729" t="n">
        <v>0.2</v>
      </c>
      <c r="W65" s="1732" t="n">
        <v>0.055</v>
      </c>
      <c r="X65" s="1732" t="n">
        <v>0.12</v>
      </c>
      <c r="Y65" s="1733" t="n"/>
      <c r="Z65" s="1732" t="n">
        <v>0.04</v>
      </c>
      <c r="AA65" s="1731">
        <f>U65*(1+V65+W65+X65+Y65+Z65)</f>
        <v>325464.15</v>
      </c>
      <c r="AB65" s="1734" t="n"/>
    </row>
    <row r="66" ht="14.25" customHeight="1" s="866">
      <c r="A66" s="1718" t="inlineStr">
        <is>
          <t>C</t>
        </is>
      </c>
      <c r="B66" s="1719" t="inlineStr">
        <is>
          <t>Niall Greene</t>
        </is>
      </c>
      <c r="C66" s="1720" t="inlineStr">
        <is>
          <t>Project Manager (PEP13-EGI-UKG)</t>
        </is>
      </c>
      <c r="D66" s="1719" t="inlineStr">
        <is>
          <t>Areum Kim-Lee</t>
        </is>
      </c>
      <c r="E66" s="1721" t="inlineStr">
        <is>
          <t>GM TDD, EGI</t>
        </is>
      </c>
      <c r="F66" s="1719" t="inlineStr">
        <is>
          <t>EGI</t>
        </is>
      </c>
      <c r="G66" s="1721" t="inlineStr">
        <is>
          <t>EGI</t>
        </is>
      </c>
      <c r="H66" s="1721" t="inlineStr">
        <is>
          <t>EGI</t>
        </is>
      </c>
      <c r="I66" s="1721" t="inlineStr">
        <is>
          <t>EGI</t>
        </is>
      </c>
      <c r="J66" s="1721" t="inlineStr">
        <is>
          <t>EGI</t>
        </is>
      </c>
      <c r="K66" s="1719" t="inlineStr">
        <is>
          <t>EGI</t>
        </is>
      </c>
      <c r="L66" s="1721" t="n"/>
      <c r="M66" s="1722" t="inlineStr">
        <is>
          <t>Australia</t>
        </is>
      </c>
      <c r="N66" s="1725" t="inlineStr">
        <is>
          <t>NA</t>
        </is>
      </c>
      <c r="O66" s="1723" t="n">
        <v>1</v>
      </c>
      <c r="P66" s="1725" t="n"/>
      <c r="Q66" s="1725" t="inlineStr">
        <is>
          <t>cxc</t>
        </is>
      </c>
      <c r="R66" s="1746" t="inlineStr">
        <is>
          <t>Daily</t>
        </is>
      </c>
      <c r="S66" s="1725" t="n">
        <v>1100</v>
      </c>
      <c r="T66" s="1726" t="n">
        <v>0</v>
      </c>
      <c r="U66" s="1726" t="n"/>
      <c r="V66" s="1721" t="n"/>
      <c r="W66" s="1721" t="n"/>
      <c r="X66" s="1721" t="n"/>
      <c r="Y66" s="1721" t="n"/>
      <c r="Z66" s="1721" t="n"/>
      <c r="AA66" s="1745">
        <f>S66*222</f>
        <v>244200</v>
      </c>
      <c r="AB66" s="1734" t="n"/>
    </row>
    <row r="67" ht="14.25" customHeight="1" s="866">
      <c r="A67" s="1718" t="inlineStr">
        <is>
          <t>c</t>
        </is>
      </c>
      <c r="B67" s="1719" t="inlineStr">
        <is>
          <t>Paul Hassey</t>
        </is>
      </c>
      <c r="C67" s="1720" t="inlineStr">
        <is>
          <t>Program Architect</t>
        </is>
      </c>
      <c r="D67" s="1721" t="inlineStr">
        <is>
          <t>Ed Tacey</t>
        </is>
      </c>
      <c r="E67" s="1719" t="n"/>
      <c r="F67" s="1719" t="inlineStr">
        <is>
          <t>EGI</t>
        </is>
      </c>
      <c r="G67" s="1721" t="inlineStr">
        <is>
          <t>EGI</t>
        </is>
      </c>
      <c r="H67" s="1721" t="inlineStr">
        <is>
          <t>EGI</t>
        </is>
      </c>
      <c r="I67" s="1721" t="inlineStr">
        <is>
          <t>EGI</t>
        </is>
      </c>
      <c r="J67" s="1721" t="inlineStr">
        <is>
          <t>EGI</t>
        </is>
      </c>
      <c r="K67" s="1721" t="inlineStr">
        <is>
          <t>EGI</t>
        </is>
      </c>
      <c r="L67" s="1719" t="n"/>
      <c r="M67" s="1722" t="inlineStr">
        <is>
          <t>Australia</t>
        </is>
      </c>
      <c r="N67" s="1723" t="inlineStr">
        <is>
          <t>na</t>
        </is>
      </c>
      <c r="O67" s="1723" t="n">
        <v>1</v>
      </c>
      <c r="P67" s="1723" t="n"/>
      <c r="Q67" s="1725" t="inlineStr">
        <is>
          <t>cxc</t>
        </is>
      </c>
      <c r="R67" s="1725" t="inlineStr">
        <is>
          <t>Daily</t>
        </is>
      </c>
      <c r="S67" s="1725" t="n">
        <v>1400</v>
      </c>
      <c r="T67" s="1726" t="n">
        <v>0</v>
      </c>
      <c r="U67" s="1727" t="n"/>
      <c r="V67" s="1729" t="n"/>
      <c r="W67" s="1732" t="n"/>
      <c r="X67" s="1732" t="n"/>
      <c r="Y67" s="1733" t="n"/>
      <c r="Z67" s="1732" t="n"/>
      <c r="AA67" s="1745">
        <f>S67*222</f>
        <v>310800</v>
      </c>
      <c r="AB67" s="1734" t="n"/>
    </row>
    <row r="68" ht="14.25" customHeight="1" s="866">
      <c r="A68" s="1718" t="inlineStr">
        <is>
          <t>c</t>
        </is>
      </c>
      <c r="B68" s="1719" t="inlineStr">
        <is>
          <t>vijay Solanki</t>
        </is>
      </c>
      <c r="C68" s="1720" t="inlineStr">
        <is>
          <t>Project Manager Deployment</t>
        </is>
      </c>
      <c r="D68" s="1719" t="inlineStr">
        <is>
          <t>greg Cassis</t>
        </is>
      </c>
      <c r="E68" s="1719" t="n"/>
      <c r="F68" s="1719" t="inlineStr">
        <is>
          <t>EGI</t>
        </is>
      </c>
      <c r="G68" s="1721" t="n"/>
      <c r="H68" s="1719" t="n"/>
      <c r="I68" s="1719" t="n"/>
      <c r="J68" s="1749" t="inlineStr">
        <is>
          <t>EGI</t>
        </is>
      </c>
      <c r="K68" s="1719" t="inlineStr">
        <is>
          <t>EGI</t>
        </is>
      </c>
      <c r="L68" s="1721" t="n"/>
      <c r="M68" s="1722" t="inlineStr">
        <is>
          <t>Australia</t>
        </is>
      </c>
      <c r="N68" s="1723" t="inlineStr">
        <is>
          <t>na</t>
        </is>
      </c>
      <c r="O68" s="1723" t="n">
        <v>1</v>
      </c>
      <c r="P68" s="1723" t="n"/>
      <c r="Q68" s="1725" t="inlineStr">
        <is>
          <t>cxc</t>
        </is>
      </c>
      <c r="R68" s="1725" t="inlineStr">
        <is>
          <t>Daily</t>
        </is>
      </c>
      <c r="S68" s="1725" t="n">
        <v>1200</v>
      </c>
      <c r="T68" s="1726" t="n">
        <v>0</v>
      </c>
      <c r="U68" s="1727" t="n"/>
      <c r="V68" s="1729" t="n"/>
      <c r="W68" s="1732" t="n"/>
      <c r="X68" s="1732" t="n"/>
      <c r="Y68" s="1733" t="n"/>
      <c r="Z68" s="1732" t="n"/>
      <c r="AA68" s="1745">
        <f>S68*222</f>
        <v>266400</v>
      </c>
      <c r="AB68" s="1734" t="n"/>
    </row>
    <row r="69" ht="14.25" customHeight="1" s="866">
      <c r="A69" s="1718" t="inlineStr">
        <is>
          <t>C</t>
        </is>
      </c>
      <c r="B69" s="1719" t="inlineStr">
        <is>
          <t>Winnie Fernandes</t>
        </is>
      </c>
      <c r="C69" s="1720" t="inlineStr">
        <is>
          <t>Delivery Lead - Integration</t>
        </is>
      </c>
      <c r="D69" s="1719" t="inlineStr">
        <is>
          <t>Moitri Pal</t>
        </is>
      </c>
      <c r="E69" s="1719" t="inlineStr">
        <is>
          <t>Program Manager - EGI</t>
        </is>
      </c>
      <c r="F69" s="1719" t="inlineStr">
        <is>
          <t>EGI</t>
        </is>
      </c>
      <c r="G69" s="1721" t="inlineStr">
        <is>
          <t>EGI</t>
        </is>
      </c>
      <c r="H69" s="1721" t="inlineStr">
        <is>
          <t>EGI</t>
        </is>
      </c>
      <c r="I69" s="1721" t="inlineStr">
        <is>
          <t>EGI</t>
        </is>
      </c>
      <c r="J69" s="1721" t="inlineStr">
        <is>
          <t>EGI</t>
        </is>
      </c>
      <c r="K69" s="1719" t="inlineStr">
        <is>
          <t>EGI</t>
        </is>
      </c>
      <c r="L69" s="1721" t="n"/>
      <c r="M69" s="1722" t="inlineStr">
        <is>
          <t>Australia</t>
        </is>
      </c>
      <c r="N69" s="1725" t="inlineStr">
        <is>
          <t>NA</t>
        </is>
      </c>
      <c r="O69" s="1723" t="n">
        <v>1</v>
      </c>
      <c r="P69" s="1725" t="n"/>
      <c r="Q69" s="1725" t="inlineStr">
        <is>
          <t>cxc</t>
        </is>
      </c>
      <c r="R69" s="1746" t="inlineStr">
        <is>
          <t>Daily</t>
        </is>
      </c>
      <c r="S69" s="1725" t="n">
        <v>1232</v>
      </c>
      <c r="T69" s="1726" t="n">
        <v>0</v>
      </c>
      <c r="U69" s="1726" t="n"/>
      <c r="V69" s="1721" t="n"/>
      <c r="W69" s="1721" t="n"/>
      <c r="X69" s="1721" t="n"/>
      <c r="Y69" s="1721" t="n"/>
      <c r="Z69" s="1721" t="n"/>
      <c r="AA69" s="1745">
        <f>S69*222</f>
        <v>273504</v>
      </c>
      <c r="AB69" s="1734" t="n"/>
    </row>
    <row r="70" ht="14.25" customHeight="1" s="866">
      <c r="A70" s="1718" t="n">
        <v>95835</v>
      </c>
      <c r="B70" s="1719" t="inlineStr">
        <is>
          <t>Briony Scott</t>
        </is>
      </c>
      <c r="C70" s="1720" t="inlineStr">
        <is>
          <t>Service &amp; Contract Specialist AU</t>
        </is>
      </c>
      <c r="D70" s="1721" t="inlineStr">
        <is>
          <t>Vacant</t>
        </is>
      </c>
      <c r="E70" s="1719" t="inlineStr">
        <is>
          <t>Commercial Director</t>
        </is>
      </c>
      <c r="F70" s="1719" t="inlineStr">
        <is>
          <t>Partnering &amp; Transformation</t>
        </is>
      </c>
      <c r="G70" s="1719" t="inlineStr">
        <is>
          <t>Commercial</t>
        </is>
      </c>
      <c r="H70" s="1719" t="inlineStr">
        <is>
          <t>NA</t>
        </is>
      </c>
      <c r="I70" s="1719" t="inlineStr">
        <is>
          <t>NA</t>
        </is>
      </c>
      <c r="J70" s="1719" t="inlineStr">
        <is>
          <t>NA</t>
        </is>
      </c>
      <c r="K70" s="1719" t="inlineStr">
        <is>
          <t>NA</t>
        </is>
      </c>
      <c r="L70" s="1721" t="n"/>
      <c r="M70" s="1722" t="inlineStr">
        <is>
          <t>Australia</t>
        </is>
      </c>
      <c r="N70" s="1723" t="inlineStr">
        <is>
          <t>CIB</t>
        </is>
      </c>
      <c r="O70" s="1723" t="n">
        <v>1</v>
      </c>
      <c r="P70" s="1723" t="n"/>
      <c r="Q70" s="1723" t="inlineStr">
        <is>
          <t>Permanent - Full Time</t>
        </is>
      </c>
      <c r="R70" s="1725" t="n"/>
      <c r="S70" s="1725" t="n"/>
      <c r="T70" s="1726" t="n">
        <v>153600</v>
      </c>
      <c r="U70" s="1727" t="n">
        <v>153600</v>
      </c>
      <c r="V70" s="1729" t="n">
        <v>0.12</v>
      </c>
      <c r="W70" s="1732" t="n">
        <v>0.055</v>
      </c>
      <c r="X70" s="1732" t="n">
        <v>0.12</v>
      </c>
      <c r="Y70" s="1733" t="n"/>
      <c r="Z70" s="1732" t="n">
        <v>0.04</v>
      </c>
      <c r="AA70" s="1731">
        <f>U70*(1+V70+W70+X70+Y70+Z70)</f>
        <v>205056</v>
      </c>
      <c r="AB70" s="1734" t="n"/>
    </row>
    <row r="71" ht="14.25" customHeight="1" s="866">
      <c r="A71" s="1718" t="n">
        <v>102411</v>
      </c>
      <c r="B71" s="1719" t="inlineStr">
        <is>
          <t>Conli Mills</t>
        </is>
      </c>
      <c r="C71" s="1720" t="inlineStr">
        <is>
          <t>TDD BP - Infrastructure</t>
        </is>
      </c>
      <c r="D71" s="1432" t="inlineStr">
        <is>
          <t>Michael Schofield</t>
        </is>
      </c>
      <c r="E71" s="1719" t="inlineStr">
        <is>
          <t>GM TDD, Partnering &amp; Transformation</t>
        </is>
      </c>
      <c r="F71" s="1719" t="inlineStr">
        <is>
          <t>Partnering &amp; Transformation</t>
        </is>
      </c>
      <c r="G71" s="1719" t="inlineStr">
        <is>
          <t>TDD Business Partner</t>
        </is>
      </c>
      <c r="H71" s="1719" t="inlineStr">
        <is>
          <t>NA</t>
        </is>
      </c>
      <c r="I71" s="1719" t="inlineStr">
        <is>
          <t>NA</t>
        </is>
      </c>
      <c r="J71" s="1719" t="inlineStr">
        <is>
          <t>NA</t>
        </is>
      </c>
      <c r="K71" s="1719" t="inlineStr">
        <is>
          <t>NA</t>
        </is>
      </c>
      <c r="L71" s="1721" t="n"/>
      <c r="M71" s="1722" t="inlineStr">
        <is>
          <t>Australia</t>
        </is>
      </c>
      <c r="N71" s="1723" t="inlineStr">
        <is>
          <t>CSC</t>
        </is>
      </c>
      <c r="O71" s="1723" t="n">
        <v>1</v>
      </c>
      <c r="P71" s="1723" t="n"/>
      <c r="Q71" s="1723" t="inlineStr">
        <is>
          <t>Permanent - Full Time</t>
        </is>
      </c>
      <c r="R71" s="1725" t="n"/>
      <c r="S71" s="1725" t="n"/>
      <c r="T71" s="1726" t="n">
        <v>210000</v>
      </c>
      <c r="U71" s="1727" t="n">
        <v>210000</v>
      </c>
      <c r="V71" s="1729" t="n">
        <v>0.2</v>
      </c>
      <c r="W71" s="1732" t="n">
        <v>0.055</v>
      </c>
      <c r="X71" s="1732" t="n">
        <v>0.12</v>
      </c>
      <c r="Y71" s="1733" t="n"/>
      <c r="Z71" s="1732" t="n">
        <v>0.04</v>
      </c>
      <c r="AA71" s="1731">
        <f>U71*(1+V71+W71+X71+Y71+Z71)</f>
        <v>297150</v>
      </c>
      <c r="AB71" s="1734" t="n"/>
    </row>
    <row r="72" ht="14.25" customHeight="1" s="866">
      <c r="A72" s="1718" t="n">
        <v>99999170371</v>
      </c>
      <c r="B72" s="1719" t="inlineStr">
        <is>
          <t>Helen Ngu</t>
        </is>
      </c>
      <c r="C72" s="1720" t="inlineStr">
        <is>
          <t>Service &amp; Contract Specialist NZ</t>
        </is>
      </c>
      <c r="D72" s="1721" t="inlineStr">
        <is>
          <t>Vacant</t>
        </is>
      </c>
      <c r="E72" s="1719" t="inlineStr">
        <is>
          <t>Commercial Director</t>
        </is>
      </c>
      <c r="F72" s="1719" t="inlineStr">
        <is>
          <t>Partnering &amp; Transformation</t>
        </is>
      </c>
      <c r="G72" s="1719" t="inlineStr">
        <is>
          <t>Commercial</t>
        </is>
      </c>
      <c r="H72" s="1719" t="inlineStr">
        <is>
          <t>NA</t>
        </is>
      </c>
      <c r="I72" s="1719" t="inlineStr">
        <is>
          <t>NA</t>
        </is>
      </c>
      <c r="J72" s="1719" t="inlineStr">
        <is>
          <t>NA</t>
        </is>
      </c>
      <c r="K72" s="1719" t="inlineStr">
        <is>
          <t>NA</t>
        </is>
      </c>
      <c r="L72" s="1721" t="n"/>
      <c r="M72" s="1722" t="inlineStr">
        <is>
          <t>NZ</t>
        </is>
      </c>
      <c r="N72" s="1723" t="inlineStr">
        <is>
          <t>CIA</t>
        </is>
      </c>
      <c r="O72" s="1724" t="n">
        <v>1</v>
      </c>
      <c r="P72" s="1723" t="n"/>
      <c r="Q72" s="1724" t="inlineStr">
        <is>
          <t>Permanent - Full Time</t>
        </is>
      </c>
      <c r="R72" s="1725" t="n"/>
      <c r="S72" s="1725" t="n"/>
      <c r="T72" s="1726" t="n">
        <v>130870</v>
      </c>
      <c r="U72" s="1727" t="n">
        <v>120400.4</v>
      </c>
      <c r="V72" s="1728" t="n">
        <v>0.15</v>
      </c>
      <c r="W72" s="1724" t="n"/>
      <c r="X72" s="1729" t="n">
        <v>0.05</v>
      </c>
      <c r="Y72" s="1730" t="n">
        <v>2910</v>
      </c>
      <c r="Z72" s="1729" t="n">
        <v>0.03</v>
      </c>
      <c r="AA72" s="1731">
        <f>U72*(1+V72+X72+Z72)+Y72</f>
        <v>151002.492</v>
      </c>
      <c r="AB72" s="1432" t="n">
        <v>113546</v>
      </c>
    </row>
    <row r="73" ht="14.25" customHeight="1" s="866">
      <c r="A73" s="1718" t="n">
        <v>113362</v>
      </c>
      <c r="B73" s="1719" t="inlineStr">
        <is>
          <t>Jane Esclandra</t>
        </is>
      </c>
      <c r="C73" s="1720" t="inlineStr">
        <is>
          <t>Software Asset Specialist</t>
        </is>
      </c>
      <c r="D73" s="1721" t="inlineStr">
        <is>
          <t>Vacant</t>
        </is>
      </c>
      <c r="E73" s="1719" t="inlineStr">
        <is>
          <t>Commercial Director</t>
        </is>
      </c>
      <c r="F73" s="1719" t="inlineStr">
        <is>
          <t>Partnering &amp; Transformation</t>
        </is>
      </c>
      <c r="G73" s="1719" t="inlineStr">
        <is>
          <t>Commercial</t>
        </is>
      </c>
      <c r="H73" s="1719" t="inlineStr">
        <is>
          <t>NA</t>
        </is>
      </c>
      <c r="I73" s="1719" t="inlineStr">
        <is>
          <t>NA</t>
        </is>
      </c>
      <c r="J73" s="1719" t="inlineStr">
        <is>
          <t>NA</t>
        </is>
      </c>
      <c r="K73" s="1719" t="inlineStr">
        <is>
          <t>NA</t>
        </is>
      </c>
      <c r="L73" s="1721" t="n"/>
      <c r="M73" s="1722" t="inlineStr">
        <is>
          <t>Australia</t>
        </is>
      </c>
      <c r="N73" s="1723" t="inlineStr">
        <is>
          <t>CIB</t>
        </is>
      </c>
      <c r="O73" s="1723" t="n">
        <v>1</v>
      </c>
      <c r="P73" s="1723" t="n"/>
      <c r="Q73" s="1723" t="inlineStr">
        <is>
          <t>Permanent - Full Time</t>
        </is>
      </c>
      <c r="R73" s="1725" t="n"/>
      <c r="S73" s="1725" t="n"/>
      <c r="T73" s="1726" t="n">
        <v>137420</v>
      </c>
      <c r="U73" s="1727" t="n">
        <v>137420</v>
      </c>
      <c r="V73" s="1729" t="n">
        <v>0.12</v>
      </c>
      <c r="W73" s="1732" t="n">
        <v>0.055</v>
      </c>
      <c r="X73" s="1732" t="n">
        <v>0.12</v>
      </c>
      <c r="Y73" s="1733" t="n"/>
      <c r="Z73" s="1732" t="n">
        <v>0.04</v>
      </c>
      <c r="AA73" s="1731">
        <f>U73*(1+V73+W73+X73+Y73+Z73)</f>
        <v>183455.7</v>
      </c>
      <c r="AB73" s="1734" t="n"/>
    </row>
    <row r="74" ht="14.25" customHeight="1" s="866">
      <c r="A74" s="1718" t="n">
        <v>12992</v>
      </c>
      <c r="B74" s="1719" t="inlineStr">
        <is>
          <t>Jeannie Chu</t>
        </is>
      </c>
      <c r="C74" s="1720" t="inlineStr">
        <is>
          <t>Snr Finance Support Administrator</t>
        </is>
      </c>
      <c r="D74" s="1432" t="inlineStr">
        <is>
          <t>Sam Chan</t>
        </is>
      </c>
      <c r="E74" s="1719" t="inlineStr">
        <is>
          <t>Fin Ops Manager</t>
        </is>
      </c>
      <c r="F74" s="1719" t="inlineStr">
        <is>
          <t>Partnering &amp; Transformation</t>
        </is>
      </c>
      <c r="G74" s="1719" t="inlineStr">
        <is>
          <t>Transformation</t>
        </is>
      </c>
      <c r="H74" s="1719" t="inlineStr">
        <is>
          <t>NA</t>
        </is>
      </c>
      <c r="I74" s="1719" t="inlineStr">
        <is>
          <t>NA</t>
        </is>
      </c>
      <c r="J74" s="1719" t="inlineStr">
        <is>
          <t>NA</t>
        </is>
      </c>
      <c r="K74" s="1719" t="inlineStr">
        <is>
          <t>NA</t>
        </is>
      </c>
      <c r="L74" s="1721" t="n"/>
      <c r="M74" s="1722" t="inlineStr">
        <is>
          <t>Australia</t>
        </is>
      </c>
      <c r="N74" s="1725" t="inlineStr">
        <is>
          <t>CDC</t>
        </is>
      </c>
      <c r="O74" s="1725" t="n">
        <v>1</v>
      </c>
      <c r="P74" s="1725" t="n"/>
      <c r="Q74" s="1725" t="inlineStr">
        <is>
          <t>Permanent - Full Time</t>
        </is>
      </c>
      <c r="R74" s="1725" t="n"/>
      <c r="S74" s="1725" t="n"/>
      <c r="T74" s="1726" t="n">
        <v>112310</v>
      </c>
      <c r="U74" s="1727" t="n">
        <v>112310</v>
      </c>
      <c r="V74" s="1729" t="n">
        <v>0.1</v>
      </c>
      <c r="W74" s="1732" t="n">
        <v>0.055</v>
      </c>
      <c r="X74" s="1732" t="n">
        <v>0.12</v>
      </c>
      <c r="Y74" s="1733" t="n"/>
      <c r="Z74" s="1732" t="n">
        <v>0.04</v>
      </c>
      <c r="AA74" s="1731">
        <f>U74*(1+V74+W74+X74+Y74+Z74)</f>
        <v>147687.65</v>
      </c>
      <c r="AB74" s="1734" t="n"/>
    </row>
    <row r="75" ht="14.25" customHeight="1" s="866">
      <c r="A75" s="1718" t="n">
        <v>82561</v>
      </c>
      <c r="B75" s="1719" t="inlineStr">
        <is>
          <t>Jenny Chan</t>
        </is>
      </c>
      <c r="C75" s="1720" t="inlineStr">
        <is>
          <t>Project Finance Lead</t>
        </is>
      </c>
      <c r="D75" s="1719" t="inlineStr">
        <is>
          <t>Sam Chan</t>
        </is>
      </c>
      <c r="E75" s="1719" t="inlineStr">
        <is>
          <t xml:space="preserve">Manager Risk &amp; Resilience </t>
        </is>
      </c>
      <c r="F75" s="1719" t="inlineStr">
        <is>
          <t>Partnering &amp; Transformation</t>
        </is>
      </c>
      <c r="G75" s="1719" t="inlineStr">
        <is>
          <t>Transformation</t>
        </is>
      </c>
      <c r="H75" s="1719" t="inlineStr">
        <is>
          <t>NA</t>
        </is>
      </c>
      <c r="I75" s="1719" t="inlineStr">
        <is>
          <t>NA</t>
        </is>
      </c>
      <c r="J75" s="1719" t="inlineStr">
        <is>
          <t>NA</t>
        </is>
      </c>
      <c r="K75" s="1719" t="inlineStr">
        <is>
          <t>NA</t>
        </is>
      </c>
      <c r="L75" s="1721" t="n"/>
      <c r="M75" s="1722" t="inlineStr">
        <is>
          <t>Australia</t>
        </is>
      </c>
      <c r="N75" s="1725" t="inlineStr">
        <is>
          <t>CIB</t>
        </is>
      </c>
      <c r="O75" s="1725" t="n">
        <v>1</v>
      </c>
      <c r="P75" s="1725" t="n"/>
      <c r="Q75" s="1725" t="inlineStr">
        <is>
          <t>Permanent - Full Time</t>
        </is>
      </c>
      <c r="R75" s="1725" t="n"/>
      <c r="S75" s="1725" t="n"/>
      <c r="T75" s="1726" t="n">
        <v>154400</v>
      </c>
      <c r="U75" s="1727" t="n">
        <v>154400</v>
      </c>
      <c r="V75" s="1729" t="n">
        <v>0.12</v>
      </c>
      <c r="W75" s="1732" t="n">
        <v>0.055</v>
      </c>
      <c r="X75" s="1732" t="n">
        <v>0.12</v>
      </c>
      <c r="Y75" s="1733" t="n"/>
      <c r="Z75" s="1732" t="n">
        <v>0.04</v>
      </c>
      <c r="AA75" s="1731">
        <f>U75*(1+V75+W75+X75+Y75+Z75)</f>
        <v>206124</v>
      </c>
      <c r="AB75" s="1734" t="n"/>
    </row>
    <row r="76" ht="14.25" customHeight="1" s="866">
      <c r="A76" s="1718" t="inlineStr">
        <is>
          <t>tbc</t>
        </is>
      </c>
      <c r="B76" s="1719" t="inlineStr">
        <is>
          <t>Malcolm Deare</t>
        </is>
      </c>
      <c r="C76" s="1720" t="inlineStr">
        <is>
          <t>TDD BP, Group Functions</t>
        </is>
      </c>
      <c r="D76" s="1719" t="inlineStr">
        <is>
          <t>Michael Schofield</t>
        </is>
      </c>
      <c r="E76" s="1719" t="inlineStr">
        <is>
          <t>GM TDD, Partnering &amp; Transformation</t>
        </is>
      </c>
      <c r="F76" s="1719" t="inlineStr">
        <is>
          <t>Partnering &amp; Transformation</t>
        </is>
      </c>
      <c r="G76" s="1719" t="inlineStr">
        <is>
          <t>TDD Business Partner</t>
        </is>
      </c>
      <c r="H76" s="1719" t="inlineStr">
        <is>
          <t>NA</t>
        </is>
      </c>
      <c r="I76" s="1719" t="inlineStr">
        <is>
          <t>NA</t>
        </is>
      </c>
      <c r="J76" s="1719" t="inlineStr">
        <is>
          <t>NA</t>
        </is>
      </c>
      <c r="K76" s="1719" t="inlineStr">
        <is>
          <t>NA</t>
        </is>
      </c>
      <c r="L76" s="1721" t="n"/>
      <c r="M76" s="1722" t="inlineStr">
        <is>
          <t>Australia</t>
        </is>
      </c>
      <c r="N76" s="1723" t="inlineStr">
        <is>
          <t>CSB</t>
        </is>
      </c>
      <c r="O76" s="1723" t="n">
        <v>1</v>
      </c>
      <c r="P76" s="1723" t="n"/>
      <c r="Q76" s="1723" t="inlineStr">
        <is>
          <t>Permanent - Full Time</t>
        </is>
      </c>
      <c r="R76" s="1725" t="n"/>
      <c r="S76" s="1725" t="n"/>
      <c r="T76" s="1726" t="n">
        <v>220000</v>
      </c>
      <c r="U76" s="1727" t="n">
        <v>220000</v>
      </c>
      <c r="V76" s="1729" t="n">
        <v>0.14</v>
      </c>
      <c r="W76" s="1732" t="n">
        <v>0.055</v>
      </c>
      <c r="X76" s="1732" t="n">
        <v>0.12</v>
      </c>
      <c r="Y76" s="1733" t="n"/>
      <c r="Z76" s="1732" t="n">
        <v>0.04</v>
      </c>
      <c r="AA76" s="1731">
        <f>U76*(1+V76+W76+X76+Y76+Z76)</f>
        <v>298100</v>
      </c>
      <c r="AB76" s="1734" t="n"/>
    </row>
    <row r="77" ht="14.25" customHeight="1" s="866">
      <c r="A77" s="1718" t="n">
        <v>5607</v>
      </c>
      <c r="B77" s="1719" t="inlineStr">
        <is>
          <t>Maria Somera</t>
        </is>
      </c>
      <c r="C77" s="1720" t="inlineStr">
        <is>
          <t>Technology Finance Analyst</t>
        </is>
      </c>
      <c r="D77" s="1719" t="inlineStr">
        <is>
          <t>Sam Chan</t>
        </is>
      </c>
      <c r="E77" s="1719" t="inlineStr">
        <is>
          <t>Fin Ops Manager</t>
        </is>
      </c>
      <c r="F77" s="1719" t="inlineStr">
        <is>
          <t>Partnering &amp; Transformation</t>
        </is>
      </c>
      <c r="G77" s="1719" t="inlineStr">
        <is>
          <t>Transformation</t>
        </is>
      </c>
      <c r="H77" s="1719" t="inlineStr">
        <is>
          <t>NA</t>
        </is>
      </c>
      <c r="I77" s="1719" t="inlineStr">
        <is>
          <t>NA</t>
        </is>
      </c>
      <c r="J77" s="1719" t="inlineStr">
        <is>
          <t>NA</t>
        </is>
      </c>
      <c r="K77" s="1719" t="inlineStr">
        <is>
          <t>NA</t>
        </is>
      </c>
      <c r="L77" s="1721" t="n"/>
      <c r="M77" s="1722" t="inlineStr">
        <is>
          <t>Australia</t>
        </is>
      </c>
      <c r="N77" s="1725" t="inlineStr">
        <is>
          <t>CIA</t>
        </is>
      </c>
      <c r="O77" s="1725" t="n">
        <v>1</v>
      </c>
      <c r="P77" s="1725" t="n"/>
      <c r="Q77" s="1725" t="inlineStr">
        <is>
          <t>Permanent - Full Time</t>
        </is>
      </c>
      <c r="R77" s="1725" t="n"/>
      <c r="S77" s="1725" t="n"/>
      <c r="T77" s="1726" t="n">
        <v>136360</v>
      </c>
      <c r="U77" s="1727" t="n">
        <v>136360</v>
      </c>
      <c r="V77" s="1729" t="n">
        <v>0.1</v>
      </c>
      <c r="W77" s="1732" t="n">
        <v>0.055</v>
      </c>
      <c r="X77" s="1732" t="n">
        <v>0.12</v>
      </c>
      <c r="Y77" s="1733" t="n"/>
      <c r="Z77" s="1732" t="n">
        <v>0.04</v>
      </c>
      <c r="AA77" s="1731">
        <f>U77*(1+V77+W77+X77+Y77+Z77)</f>
        <v>179313.4</v>
      </c>
      <c r="AB77" s="1734" t="n"/>
    </row>
    <row r="78" ht="14.25" customHeight="1" s="866">
      <c r="A78" s="1718" t="n">
        <v>99999102029</v>
      </c>
      <c r="B78" s="1719" t="inlineStr">
        <is>
          <t>Matt Saunders</t>
        </is>
      </c>
      <c r="C78" s="1720" t="inlineStr">
        <is>
          <t>Scrum Master</t>
        </is>
      </c>
      <c r="D78" s="1721" t="inlineStr">
        <is>
          <t>Vacant</t>
        </is>
      </c>
      <c r="E78" s="1719" t="inlineStr">
        <is>
          <t xml:space="preserve">Lead Technology Support </t>
        </is>
      </c>
      <c r="F78" s="1719" t="inlineStr">
        <is>
          <t>Partnering &amp; Transformation</t>
        </is>
      </c>
      <c r="G78" s="1719" t="inlineStr">
        <is>
          <t>Transformation</t>
        </is>
      </c>
      <c r="H78" s="1719" t="inlineStr">
        <is>
          <t>NA</t>
        </is>
      </c>
      <c r="I78" s="1719" t="inlineStr">
        <is>
          <t>NA</t>
        </is>
      </c>
      <c r="J78" s="1719" t="inlineStr">
        <is>
          <t>NA</t>
        </is>
      </c>
      <c r="K78" s="1719" t="inlineStr">
        <is>
          <t>NA</t>
        </is>
      </c>
      <c r="L78" s="1721" t="n"/>
      <c r="M78" s="1722" t="inlineStr">
        <is>
          <t>NZ</t>
        </is>
      </c>
      <c r="N78" s="1723" t="inlineStr">
        <is>
          <t>CIA</t>
        </is>
      </c>
      <c r="O78" s="1724" t="n">
        <v>1</v>
      </c>
      <c r="P78" s="1723" t="n"/>
      <c r="Q78" s="1724" t="inlineStr">
        <is>
          <t>Permanent - Full Time</t>
        </is>
      </c>
      <c r="R78" s="1725" t="n"/>
      <c r="S78" s="1725" t="n"/>
      <c r="T78" s="1726" t="n">
        <v>128000</v>
      </c>
      <c r="U78" s="1727" t="n">
        <v>117760</v>
      </c>
      <c r="V78" s="1728" t="n">
        <v>0.15</v>
      </c>
      <c r="W78" s="1725" t="n"/>
      <c r="X78" s="1729" t="n">
        <v>0.05</v>
      </c>
      <c r="Y78" s="1730" t="n">
        <v>2910</v>
      </c>
      <c r="Z78" s="1729" t="n">
        <v>0.03</v>
      </c>
      <c r="AA78" s="1731">
        <f>U78*(1+V78+X78+Z78)+Y78</f>
        <v>147754.8</v>
      </c>
      <c r="AB78" s="1432" t="n">
        <v>115827</v>
      </c>
    </row>
    <row r="79" ht="14.25" customHeight="1" s="866">
      <c r="A79" s="1718" t="n">
        <v>116540</v>
      </c>
      <c r="B79" s="1719" t="inlineStr">
        <is>
          <t>Neil Reilly</t>
        </is>
      </c>
      <c r="C79" s="1720" t="inlineStr">
        <is>
          <t>TDD BP - T&amp;S</t>
        </is>
      </c>
      <c r="D79" s="1719" t="inlineStr">
        <is>
          <t>Michael Schofield</t>
        </is>
      </c>
      <c r="E79" s="1719" t="inlineStr">
        <is>
          <t>GM TDD, Partnering &amp; Transformation</t>
        </is>
      </c>
      <c r="F79" s="1719" t="inlineStr">
        <is>
          <t>Partnering &amp; Transformation</t>
        </is>
      </c>
      <c r="G79" s="1719" t="inlineStr">
        <is>
          <t>TDD Business Partner</t>
        </is>
      </c>
      <c r="H79" s="1719" t="inlineStr">
        <is>
          <t>NA</t>
        </is>
      </c>
      <c r="I79" s="1719" t="inlineStr">
        <is>
          <t>NA</t>
        </is>
      </c>
      <c r="J79" s="1719" t="inlineStr">
        <is>
          <t>NA</t>
        </is>
      </c>
      <c r="K79" s="1719" t="inlineStr">
        <is>
          <t>NA</t>
        </is>
      </c>
      <c r="L79" s="1721" t="n"/>
      <c r="M79" s="1722" t="inlineStr">
        <is>
          <t>Singapore</t>
        </is>
      </c>
      <c r="N79" s="1723" t="inlineStr">
        <is>
          <t>CSC</t>
        </is>
      </c>
      <c r="O79" s="1723" t="n">
        <v>1</v>
      </c>
      <c r="P79" s="1723" t="n"/>
      <c r="Q79" s="1723" t="inlineStr">
        <is>
          <t>Permanent - Full Time</t>
        </is>
      </c>
      <c r="R79" s="1725" t="n"/>
      <c r="S79" s="1725" t="n"/>
      <c r="T79" s="1726" t="n">
        <v>350000</v>
      </c>
      <c r="U79" s="1727" t="n">
        <v>423500</v>
      </c>
      <c r="V79" s="1729" t="n">
        <v>0.35</v>
      </c>
      <c r="W79" s="1725" t="n"/>
      <c r="X79" s="1729" t="n">
        <v>0.17</v>
      </c>
      <c r="Y79" s="1730" t="n">
        <v>3310</v>
      </c>
      <c r="Z79" s="1747" t="n">
        <v>0.045</v>
      </c>
      <c r="AA79" s="1731">
        <f>U79*(1+V79+X79+Z79)+Y79</f>
        <v>666087.5</v>
      </c>
      <c r="AB79" s="1734" t="n"/>
    </row>
    <row r="80" ht="14.25" customHeight="1" s="866">
      <c r="A80" s="1718" t="n">
        <v>113835</v>
      </c>
      <c r="B80" s="1719" t="inlineStr">
        <is>
          <t>Ruth Chou</t>
        </is>
      </c>
      <c r="C80" s="1720" t="inlineStr">
        <is>
          <t>Portfolio Reporting Manager</t>
        </is>
      </c>
      <c r="D80" s="1721" t="inlineStr">
        <is>
          <t>Vacant</t>
        </is>
      </c>
      <c r="E80" s="1719" t="inlineStr">
        <is>
          <t xml:space="preserve">Manager Service Perforance &amp; Assurance </t>
        </is>
      </c>
      <c r="F80" s="1719" t="inlineStr">
        <is>
          <t>Partnering &amp; Transformation</t>
        </is>
      </c>
      <c r="G80" s="1719" t="inlineStr">
        <is>
          <t>Transformation</t>
        </is>
      </c>
      <c r="H80" s="1719" t="inlineStr">
        <is>
          <t>NA</t>
        </is>
      </c>
      <c r="I80" s="1719" t="inlineStr">
        <is>
          <t>NA</t>
        </is>
      </c>
      <c r="J80" s="1719" t="inlineStr">
        <is>
          <t>NA</t>
        </is>
      </c>
      <c r="K80" s="1719" t="inlineStr">
        <is>
          <t>NA</t>
        </is>
      </c>
      <c r="L80" s="1721" t="n"/>
      <c r="M80" s="1722" t="inlineStr">
        <is>
          <t>Australia</t>
        </is>
      </c>
      <c r="N80" s="1723" t="inlineStr">
        <is>
          <t>CSB</t>
        </is>
      </c>
      <c r="O80" s="1723" t="n">
        <v>1</v>
      </c>
      <c r="P80" s="1723" t="n"/>
      <c r="Q80" s="1723" t="inlineStr">
        <is>
          <t>Permanent - Full Time</t>
        </is>
      </c>
      <c r="R80" s="1725" t="n"/>
      <c r="S80" s="1725" t="n"/>
      <c r="T80" s="1726" t="n">
        <v>216470</v>
      </c>
      <c r="U80" s="1727" t="n">
        <v>216470</v>
      </c>
      <c r="V80" s="1729" t="n">
        <v>0.14</v>
      </c>
      <c r="W80" s="1732" t="n">
        <v>0.055</v>
      </c>
      <c r="X80" s="1732" t="n">
        <v>0.12</v>
      </c>
      <c r="Y80" s="1733" t="n"/>
      <c r="Z80" s="1732" t="n">
        <v>0.04</v>
      </c>
      <c r="AA80" s="1731">
        <f>U80*(1+V80+W80+X80+Y80+Z80)</f>
        <v>293316.85</v>
      </c>
      <c r="AB80" s="1734" t="n"/>
    </row>
    <row r="81" ht="14.25" customHeight="1" s="866">
      <c r="A81" s="1718" t="n">
        <v>83658</v>
      </c>
      <c r="B81" s="1719" t="inlineStr">
        <is>
          <t>Sam Chan</t>
        </is>
      </c>
      <c r="C81" s="1720" t="inlineStr">
        <is>
          <t>FinOps Manager</t>
        </is>
      </c>
      <c r="D81" s="1721" t="inlineStr">
        <is>
          <t>Vacant</t>
        </is>
      </c>
      <c r="E81" s="1719" t="inlineStr">
        <is>
          <t xml:space="preserve">Manager Cyber Security Operations </t>
        </is>
      </c>
      <c r="F81" s="1719" t="inlineStr">
        <is>
          <t>Partnering &amp; Transformation</t>
        </is>
      </c>
      <c r="G81" s="1719" t="inlineStr">
        <is>
          <t>Transformation</t>
        </is>
      </c>
      <c r="H81" s="1432" t="inlineStr">
        <is>
          <t>NA</t>
        </is>
      </c>
      <c r="I81" s="1719" t="inlineStr">
        <is>
          <t>NA</t>
        </is>
      </c>
      <c r="J81" s="1719" t="inlineStr">
        <is>
          <t>NA</t>
        </is>
      </c>
      <c r="K81" s="1719" t="inlineStr">
        <is>
          <t>NA</t>
        </is>
      </c>
      <c r="L81" s="1721" t="n"/>
      <c r="M81" s="1722" t="inlineStr">
        <is>
          <t>Australia</t>
        </is>
      </c>
      <c r="N81" s="1725" t="inlineStr">
        <is>
          <t>CIC</t>
        </is>
      </c>
      <c r="O81" s="1725" t="n">
        <v>1</v>
      </c>
      <c r="P81" s="1725" t="n"/>
      <c r="Q81" s="1725" t="inlineStr">
        <is>
          <t>Permanent - Full Time</t>
        </is>
      </c>
      <c r="R81" s="1725" t="n"/>
      <c r="S81" s="1725" t="n"/>
      <c r="T81" s="1726" t="n">
        <v>169130</v>
      </c>
      <c r="U81" s="1727" t="n">
        <v>169130</v>
      </c>
      <c r="V81" s="1729" t="n">
        <v>0.12</v>
      </c>
      <c r="W81" s="1732" t="n">
        <v>0.055</v>
      </c>
      <c r="X81" s="1732" t="n">
        <v>0.12</v>
      </c>
      <c r="Y81" s="1733" t="n"/>
      <c r="Z81" s="1732" t="n">
        <v>0.04</v>
      </c>
      <c r="AA81" s="1731">
        <f>U81*(1+V81+W81+X81+Y81+Z81)</f>
        <v>225788.55</v>
      </c>
      <c r="AB81" s="1734" t="n"/>
    </row>
    <row r="82" ht="14.25" customHeight="1" s="866">
      <c r="A82" s="1718" t="n">
        <v>99999102144</v>
      </c>
      <c r="B82" s="1719" t="inlineStr">
        <is>
          <t>Shelley Crawford</t>
        </is>
      </c>
      <c r="C82" s="1720" t="inlineStr">
        <is>
          <t>TDD BP - Z</t>
        </is>
      </c>
      <c r="D82" s="1719" t="inlineStr">
        <is>
          <t>Michael Schofield</t>
        </is>
      </c>
      <c r="E82" s="1719" t="inlineStr">
        <is>
          <t>GM TDD, Partnering &amp; Transformation</t>
        </is>
      </c>
      <c r="F82" s="1719" t="inlineStr">
        <is>
          <t>Partnering &amp; Transformation</t>
        </is>
      </c>
      <c r="G82" s="1719" t="inlineStr">
        <is>
          <t>TDD Business Partner</t>
        </is>
      </c>
      <c r="H82" s="1719" t="inlineStr">
        <is>
          <t>NA</t>
        </is>
      </c>
      <c r="I82" s="1719" t="inlineStr">
        <is>
          <t>NA</t>
        </is>
      </c>
      <c r="J82" s="1719" t="inlineStr">
        <is>
          <t>NA</t>
        </is>
      </c>
      <c r="K82" s="1719" t="inlineStr">
        <is>
          <t>NA</t>
        </is>
      </c>
      <c r="L82" s="1721" t="n"/>
      <c r="M82" s="1722" t="inlineStr">
        <is>
          <t>NZ</t>
        </is>
      </c>
      <c r="N82" s="1723" t="inlineStr">
        <is>
          <t>CSC</t>
        </is>
      </c>
      <c r="O82" s="1724" t="n">
        <v>1</v>
      </c>
      <c r="P82" s="1723" t="n"/>
      <c r="Q82" s="1724" t="inlineStr">
        <is>
          <t>Permanent - Full Time</t>
        </is>
      </c>
      <c r="R82" s="1725" t="n"/>
      <c r="S82" s="1725" t="n"/>
      <c r="T82" s="1726" t="n">
        <v>245000</v>
      </c>
      <c r="U82" s="1727" t="n">
        <v>225400</v>
      </c>
      <c r="V82" s="1728" t="n">
        <v>0.2</v>
      </c>
      <c r="W82" s="1725" t="n"/>
      <c r="X82" s="1729" t="n">
        <v>0.05</v>
      </c>
      <c r="Y82" s="1730" t="n">
        <v>2910</v>
      </c>
      <c r="Z82" s="1729" t="n">
        <v>0.03</v>
      </c>
      <c r="AA82" s="1731">
        <f>U82*(1+V82+X82+Z82)+Y82</f>
        <v>291422</v>
      </c>
      <c r="AB82" s="1432" t="n">
        <v>116452</v>
      </c>
    </row>
    <row r="83" ht="14.25" customHeight="1" s="866">
      <c r="A83" s="1718" t="n">
        <v>113935</v>
      </c>
      <c r="B83" s="1719" t="inlineStr">
        <is>
          <t>Thomas Reid</t>
        </is>
      </c>
      <c r="C83" s="1720" t="inlineStr">
        <is>
          <t>TDD BP - Retail &amp; Customer - Store Digital</t>
        </is>
      </c>
      <c r="D83" s="1719" t="inlineStr">
        <is>
          <t>Michael Schofield</t>
        </is>
      </c>
      <c r="E83" s="1719" t="inlineStr">
        <is>
          <t>GM TDD, Partnering &amp; Transformation</t>
        </is>
      </c>
      <c r="F83" s="1719" t="inlineStr">
        <is>
          <t>Partnering &amp; Transformation</t>
        </is>
      </c>
      <c r="G83" s="1719" t="inlineStr">
        <is>
          <t>TDD Business Partner</t>
        </is>
      </c>
      <c r="H83" s="1719" t="inlineStr">
        <is>
          <t>NA</t>
        </is>
      </c>
      <c r="I83" s="1719" t="inlineStr">
        <is>
          <t>NA</t>
        </is>
      </c>
      <c r="J83" s="1719" t="inlineStr">
        <is>
          <t>NA</t>
        </is>
      </c>
      <c r="K83" s="1719" t="inlineStr">
        <is>
          <t>NA</t>
        </is>
      </c>
      <c r="L83" s="1721" t="n"/>
      <c r="M83" s="1722" t="inlineStr">
        <is>
          <t>Australia</t>
        </is>
      </c>
      <c r="N83" s="1723" t="inlineStr">
        <is>
          <t>CSC</t>
        </is>
      </c>
      <c r="O83" s="1723" t="n">
        <v>1</v>
      </c>
      <c r="P83" s="1723" t="n"/>
      <c r="Q83" s="1723" t="inlineStr">
        <is>
          <t>Permanent - Full Time</t>
        </is>
      </c>
      <c r="R83" s="1725" t="n"/>
      <c r="S83" s="1725" t="n"/>
      <c r="T83" s="1726" t="n">
        <v>295000</v>
      </c>
      <c r="U83" s="1727" t="n">
        <v>295000</v>
      </c>
      <c r="V83" s="1729" t="n">
        <v>0.2</v>
      </c>
      <c r="W83" s="1732" t="n">
        <v>0.055</v>
      </c>
      <c r="X83" s="1732" t="n">
        <v>0.12</v>
      </c>
      <c r="Y83" s="1733" t="n"/>
      <c r="Z83" s="1732" t="n">
        <v>0.04</v>
      </c>
      <c r="AA83" s="1731">
        <f>U83*(1+V83+W83+X83+Y83+Z83)</f>
        <v>417425</v>
      </c>
      <c r="AB83" s="1734" t="n"/>
    </row>
    <row r="84" ht="14.25" customHeight="1" s="866">
      <c r="A84" s="1718" t="inlineStr">
        <is>
          <t>V</t>
        </is>
      </c>
      <c r="B84" s="1719" t="inlineStr">
        <is>
          <t>Vacant</t>
        </is>
      </c>
      <c r="C84" s="1720" t="inlineStr">
        <is>
          <t>Commercial Director</t>
        </is>
      </c>
      <c r="D84" s="1719" t="inlineStr">
        <is>
          <t>Michael Schofield</t>
        </is>
      </c>
      <c r="E84" s="1719" t="inlineStr">
        <is>
          <t>GM TDD, Partnering &amp; Transformation</t>
        </is>
      </c>
      <c r="F84" s="1719" t="inlineStr">
        <is>
          <t>Partnering &amp; Transformation</t>
        </is>
      </c>
      <c r="G84" s="1719" t="inlineStr">
        <is>
          <t>Commercial</t>
        </is>
      </c>
      <c r="H84" s="1719" t="inlineStr">
        <is>
          <t>NA</t>
        </is>
      </c>
      <c r="I84" s="1719" t="inlineStr">
        <is>
          <t>NA</t>
        </is>
      </c>
      <c r="J84" s="1719" t="inlineStr">
        <is>
          <t>NA</t>
        </is>
      </c>
      <c r="K84" s="1719" t="inlineStr">
        <is>
          <t>NA</t>
        </is>
      </c>
      <c r="L84" s="1721" t="n"/>
      <c r="M84" s="1722" t="inlineStr">
        <is>
          <t>Australia</t>
        </is>
      </c>
      <c r="N84" s="1723" t="inlineStr">
        <is>
          <t>LSB</t>
        </is>
      </c>
      <c r="O84" s="1723" t="n">
        <v>1</v>
      </c>
      <c r="P84" s="1723" t="n"/>
      <c r="Q84" s="1723" t="inlineStr">
        <is>
          <t>v</t>
        </is>
      </c>
      <c r="R84" s="1725" t="n"/>
      <c r="S84" s="1725" t="n"/>
      <c r="T84" s="1726" t="n">
        <v>300000</v>
      </c>
      <c r="U84" s="1727" t="n">
        <v>300000</v>
      </c>
      <c r="V84" s="1729" t="n">
        <v>0.25</v>
      </c>
      <c r="W84" s="1732" t="n">
        <v>0.055</v>
      </c>
      <c r="X84" s="1732" t="n">
        <v>0.12</v>
      </c>
      <c r="Y84" s="1733" t="n"/>
      <c r="Z84" s="1732" t="n">
        <v>0.04</v>
      </c>
      <c r="AA84" s="1731">
        <f>U84*(1+V84+W84+X84+Y84+Z84)</f>
        <v>439500</v>
      </c>
      <c r="AB84" s="1734" t="n"/>
    </row>
    <row r="85" ht="14.25" customHeight="1" s="866">
      <c r="A85" s="1718" t="inlineStr">
        <is>
          <t>V</t>
        </is>
      </c>
      <c r="B85" s="1719" t="inlineStr">
        <is>
          <t>Vacant</t>
        </is>
      </c>
      <c r="C85" s="1720" t="inlineStr">
        <is>
          <t>Head of Transformation</t>
        </is>
      </c>
      <c r="D85" s="1719" t="inlineStr">
        <is>
          <t>Michael Schofield</t>
        </is>
      </c>
      <c r="E85" s="1719" t="inlineStr">
        <is>
          <t>Head of Service Operatoins &amp; Assurance</t>
        </is>
      </c>
      <c r="F85" s="1719" t="inlineStr">
        <is>
          <t>Partnering &amp; Transformation</t>
        </is>
      </c>
      <c r="G85" s="1719" t="inlineStr">
        <is>
          <t>Transformation</t>
        </is>
      </c>
      <c r="H85" s="1719" t="inlineStr">
        <is>
          <t>NA</t>
        </is>
      </c>
      <c r="I85" s="1719" t="inlineStr">
        <is>
          <t>NA</t>
        </is>
      </c>
      <c r="J85" s="1719" t="inlineStr">
        <is>
          <t>NA</t>
        </is>
      </c>
      <c r="K85" s="1719" t="inlineStr">
        <is>
          <t>NA</t>
        </is>
      </c>
      <c r="L85" s="1721" t="n"/>
      <c r="M85" s="1722" t="inlineStr">
        <is>
          <t>Australia</t>
        </is>
      </c>
      <c r="N85" s="1723" t="inlineStr">
        <is>
          <t>CSC</t>
        </is>
      </c>
      <c r="O85" s="1723" t="n">
        <v>1</v>
      </c>
      <c r="P85" s="1723" t="n"/>
      <c r="Q85" s="1723" t="inlineStr">
        <is>
          <t>v</t>
        </is>
      </c>
      <c r="R85" s="1725" t="n"/>
      <c r="S85" s="1725" t="n"/>
      <c r="T85" s="1726" t="n">
        <v>260000</v>
      </c>
      <c r="U85" s="1727" t="n">
        <v>260000</v>
      </c>
      <c r="V85" s="1729" t="n">
        <v>0.2</v>
      </c>
      <c r="W85" s="1732" t="n">
        <v>0.055</v>
      </c>
      <c r="X85" s="1732" t="n">
        <v>0.12</v>
      </c>
      <c r="Y85" s="1733" t="n"/>
      <c r="Z85" s="1732" t="n">
        <v>0.04</v>
      </c>
      <c r="AA85" s="1731">
        <f>U85*(1+V85+W85+X85+Y85+Z85)</f>
        <v>367900</v>
      </c>
      <c r="AB85" s="1734" t="n"/>
    </row>
    <row r="86" ht="14.25" customHeight="1" s="866">
      <c r="A86" s="1718" t="inlineStr">
        <is>
          <t>V</t>
        </is>
      </c>
      <c r="B86" s="1719" t="inlineStr">
        <is>
          <t>Vacant</t>
        </is>
      </c>
      <c r="C86" s="1720" t="inlineStr">
        <is>
          <t>Delivery Systems Analyst</t>
        </is>
      </c>
      <c r="D86" s="1719" t="inlineStr">
        <is>
          <t>Ruth Chou</t>
        </is>
      </c>
      <c r="E86" s="1719" t="inlineStr">
        <is>
          <t>Portfolio Reporting Manger</t>
        </is>
      </c>
      <c r="F86" s="1719" t="inlineStr">
        <is>
          <t>Partnering &amp; Transformation</t>
        </is>
      </c>
      <c r="G86" s="1719" t="inlineStr">
        <is>
          <t>Transformation</t>
        </is>
      </c>
      <c r="H86" s="1719" t="inlineStr">
        <is>
          <t>NA</t>
        </is>
      </c>
      <c r="I86" s="1719" t="inlineStr">
        <is>
          <t>NA</t>
        </is>
      </c>
      <c r="J86" s="1719" t="inlineStr">
        <is>
          <t>NA</t>
        </is>
      </c>
      <c r="K86" s="1719" t="inlineStr">
        <is>
          <t>NA</t>
        </is>
      </c>
      <c r="L86" s="1721" t="n"/>
      <c r="M86" s="1722" t="inlineStr">
        <is>
          <t>Australia</t>
        </is>
      </c>
      <c r="N86" s="1723" t="inlineStr">
        <is>
          <t>cib</t>
        </is>
      </c>
      <c r="O86" s="1723" t="n">
        <v>1</v>
      </c>
      <c r="P86" s="1723" t="n"/>
      <c r="Q86" s="1723" t="inlineStr">
        <is>
          <t>V</t>
        </is>
      </c>
      <c r="R86" s="1725" t="n"/>
      <c r="S86" s="1725" t="n"/>
      <c r="T86" s="1726" t="n">
        <v>151950</v>
      </c>
      <c r="U86" s="1727" t="n">
        <v>151950</v>
      </c>
      <c r="V86" s="1729" t="n">
        <v>0.12</v>
      </c>
      <c r="W86" s="1732" t="n">
        <v>0.055</v>
      </c>
      <c r="X86" s="1732" t="n">
        <v>0.12</v>
      </c>
      <c r="Y86" s="1733" t="n"/>
      <c r="Z86" s="1732" t="n">
        <v>0.04</v>
      </c>
      <c r="AA86" s="1731">
        <f>U86*(1+V86+W86+X86+Y86+Z86)</f>
        <v>202853.25</v>
      </c>
      <c r="AB86" s="1734" t="n"/>
    </row>
    <row r="87" ht="14.25" customHeight="1" s="866">
      <c r="A87" s="1718" t="inlineStr">
        <is>
          <t>V</t>
        </is>
      </c>
      <c r="B87" s="1719" t="inlineStr">
        <is>
          <t>Vacant</t>
        </is>
      </c>
      <c r="C87" s="1720" t="inlineStr">
        <is>
          <t>Business Analysis Practice Lead</t>
        </is>
      </c>
      <c r="D87" s="1721" t="inlineStr">
        <is>
          <t>Vacant</t>
        </is>
      </c>
      <c r="E87" s="1719" t="inlineStr">
        <is>
          <t>Delivery Excellence Manager</t>
        </is>
      </c>
      <c r="F87" s="1719" t="inlineStr">
        <is>
          <t>Partnering &amp; Transformation</t>
        </is>
      </c>
      <c r="G87" s="1719" t="inlineStr">
        <is>
          <t>Transformation</t>
        </is>
      </c>
      <c r="H87" s="1432" t="inlineStr">
        <is>
          <t>NA</t>
        </is>
      </c>
      <c r="I87" s="1719" t="inlineStr">
        <is>
          <t>NA</t>
        </is>
      </c>
      <c r="J87" s="1719" t="inlineStr">
        <is>
          <t>NA</t>
        </is>
      </c>
      <c r="K87" s="1719" t="inlineStr">
        <is>
          <t>NA</t>
        </is>
      </c>
      <c r="L87" s="1721" t="n"/>
      <c r="M87" s="1722" t="inlineStr">
        <is>
          <t>Australia</t>
        </is>
      </c>
      <c r="N87" s="1723" t="inlineStr">
        <is>
          <t>CIC</t>
        </is>
      </c>
      <c r="O87" s="1723" t="n">
        <v>1</v>
      </c>
      <c r="P87" s="1723" t="n"/>
      <c r="Q87" s="1723" t="inlineStr">
        <is>
          <t>V</t>
        </is>
      </c>
      <c r="R87" s="1725" t="n"/>
      <c r="S87" s="1725" t="n"/>
      <c r="T87" s="1726" t="n">
        <v>173550</v>
      </c>
      <c r="U87" s="1727" t="n">
        <v>173550</v>
      </c>
      <c r="V87" s="1729" t="n">
        <v>0.12</v>
      </c>
      <c r="W87" s="1732" t="n">
        <v>0.055</v>
      </c>
      <c r="X87" s="1732" t="n">
        <v>0.12</v>
      </c>
      <c r="Y87" s="1733" t="n"/>
      <c r="Z87" s="1732" t="n">
        <v>0.04</v>
      </c>
      <c r="AA87" s="1731">
        <f>U87*(1+V87+W87+X87+Y87+Z87)</f>
        <v>231689.25</v>
      </c>
      <c r="AB87" s="1734" t="n"/>
    </row>
    <row r="88" ht="14.25" customHeight="1" s="866">
      <c r="A88" s="1718" t="inlineStr">
        <is>
          <t>V</t>
        </is>
      </c>
      <c r="B88" s="1721" t="inlineStr">
        <is>
          <t>Vacant</t>
        </is>
      </c>
      <c r="C88" s="1750" t="inlineStr">
        <is>
          <t>Delivery Assurance Manager</t>
        </is>
      </c>
      <c r="D88" s="1721" t="inlineStr">
        <is>
          <t>Vacant</t>
        </is>
      </c>
      <c r="E88" s="1721" t="inlineStr">
        <is>
          <t xml:space="preserve">Manager Identity &amp; Access Management </t>
        </is>
      </c>
      <c r="F88" s="1719" t="inlineStr">
        <is>
          <t>Partnering &amp; Transformation</t>
        </is>
      </c>
      <c r="G88" s="1721" t="inlineStr">
        <is>
          <t>Transformation</t>
        </is>
      </c>
      <c r="H88" s="1719" t="inlineStr">
        <is>
          <t>NA</t>
        </is>
      </c>
      <c r="I88" s="1719" t="inlineStr">
        <is>
          <t>NA</t>
        </is>
      </c>
      <c r="J88" s="1719" t="inlineStr">
        <is>
          <t>NA</t>
        </is>
      </c>
      <c r="K88" s="1719" t="inlineStr">
        <is>
          <t>NA</t>
        </is>
      </c>
      <c r="L88" s="1721" t="n"/>
      <c r="M88" s="1722" t="inlineStr">
        <is>
          <t>Australia</t>
        </is>
      </c>
      <c r="N88" s="1723" t="inlineStr">
        <is>
          <t>CSB</t>
        </is>
      </c>
      <c r="O88" s="1723" t="n">
        <v>1</v>
      </c>
      <c r="P88" s="1723" t="n"/>
      <c r="Q88" s="1723" t="inlineStr">
        <is>
          <t>V</t>
        </is>
      </c>
      <c r="R88" s="1725" t="n"/>
      <c r="S88" s="1725" t="n"/>
      <c r="T88" s="1726" t="n">
        <v>203550</v>
      </c>
      <c r="U88" s="1727" t="n">
        <v>203550</v>
      </c>
      <c r="V88" s="1729" t="n">
        <v>0.14</v>
      </c>
      <c r="W88" s="1732" t="n">
        <v>0.055</v>
      </c>
      <c r="X88" s="1732" t="n">
        <v>0.12</v>
      </c>
      <c r="Y88" s="1733" t="n"/>
      <c r="Z88" s="1732" t="n">
        <v>0.04</v>
      </c>
      <c r="AA88" s="1731">
        <f>U88*(1+V88+W88+X88+Y88+Z88)</f>
        <v>275810.25</v>
      </c>
      <c r="AB88" s="1734" t="n"/>
    </row>
    <row r="89" ht="14.25" customHeight="1" s="866">
      <c r="A89" s="1718" t="inlineStr">
        <is>
          <t>V</t>
        </is>
      </c>
      <c r="B89" s="1719" t="inlineStr">
        <is>
          <t>Vacant</t>
        </is>
      </c>
      <c r="C89" s="1720" t="inlineStr">
        <is>
          <t>Delivery Capacity &amp; Assurance Lead</t>
        </is>
      </c>
      <c r="D89" s="1721" t="inlineStr">
        <is>
          <t>Vacant</t>
        </is>
      </c>
      <c r="E89" s="1721" t="inlineStr">
        <is>
          <t>vacant</t>
        </is>
      </c>
      <c r="F89" s="1719" t="inlineStr">
        <is>
          <t>Partnering &amp; Transformation</t>
        </is>
      </c>
      <c r="G89" s="1719" t="inlineStr">
        <is>
          <t>Transformation</t>
        </is>
      </c>
      <c r="H89" s="1719" t="inlineStr">
        <is>
          <t>NA</t>
        </is>
      </c>
      <c r="I89" s="1719" t="inlineStr">
        <is>
          <t>NA</t>
        </is>
      </c>
      <c r="J89" s="1719" t="inlineStr">
        <is>
          <t>NA</t>
        </is>
      </c>
      <c r="K89" s="1719" t="inlineStr">
        <is>
          <t>NA</t>
        </is>
      </c>
      <c r="L89" s="1721" t="n"/>
      <c r="M89" s="1722" t="inlineStr">
        <is>
          <t>Australia</t>
        </is>
      </c>
      <c r="N89" s="1723" t="inlineStr">
        <is>
          <t>CIC</t>
        </is>
      </c>
      <c r="O89" s="1723" t="n">
        <v>1</v>
      </c>
      <c r="P89" s="1723" t="n"/>
      <c r="Q89" s="1723" t="inlineStr">
        <is>
          <t>V</t>
        </is>
      </c>
      <c r="R89" s="1725" t="n"/>
      <c r="S89" s="1725" t="n"/>
      <c r="T89" s="1726" t="n">
        <v>173550</v>
      </c>
      <c r="U89" s="1727" t="n">
        <v>173550</v>
      </c>
      <c r="V89" s="1729" t="n">
        <v>0.12</v>
      </c>
      <c r="W89" s="1732" t="n">
        <v>0.055</v>
      </c>
      <c r="X89" s="1732" t="n">
        <v>0.12</v>
      </c>
      <c r="Y89" s="1733" t="n"/>
      <c r="Z89" s="1732" t="n">
        <v>0.04</v>
      </c>
      <c r="AA89" s="1731">
        <f>U89*(1+V89+W89+X89+Y89+Z89)</f>
        <v>231689.25</v>
      </c>
      <c r="AB89" s="1734" t="n"/>
    </row>
    <row r="90" ht="14.25" customHeight="1" s="866">
      <c r="A90" s="1718" t="inlineStr">
        <is>
          <t>V</t>
        </is>
      </c>
      <c r="B90" s="1719" t="inlineStr">
        <is>
          <t>Vacant</t>
        </is>
      </c>
      <c r="C90" s="1720" t="inlineStr">
        <is>
          <t>Delivery Excellence Manager</t>
        </is>
      </c>
      <c r="D90" s="1721" t="inlineStr">
        <is>
          <t>Vacant</t>
        </is>
      </c>
      <c r="E90" s="1719" t="inlineStr">
        <is>
          <t xml:space="preserve">CISO </t>
        </is>
      </c>
      <c r="F90" s="1719" t="inlineStr">
        <is>
          <t>Partnering &amp; Transformation</t>
        </is>
      </c>
      <c r="G90" s="1719" t="inlineStr">
        <is>
          <t>Transformation</t>
        </is>
      </c>
      <c r="H90" s="1719" t="inlineStr">
        <is>
          <t>NA</t>
        </is>
      </c>
      <c r="I90" s="1719" t="inlineStr">
        <is>
          <t>NA</t>
        </is>
      </c>
      <c r="J90" s="1719" t="inlineStr">
        <is>
          <t>NA</t>
        </is>
      </c>
      <c r="K90" s="1719" t="inlineStr">
        <is>
          <t>NA</t>
        </is>
      </c>
      <c r="L90" s="1721" t="n"/>
      <c r="M90" s="1722" t="inlineStr">
        <is>
          <t>Australia</t>
        </is>
      </c>
      <c r="N90" s="1723" t="inlineStr">
        <is>
          <t>CSB</t>
        </is>
      </c>
      <c r="O90" s="1723" t="n">
        <v>1</v>
      </c>
      <c r="P90" s="1723" t="n"/>
      <c r="Q90" s="1723" t="inlineStr">
        <is>
          <t>V</t>
        </is>
      </c>
      <c r="R90" s="1725" t="n"/>
      <c r="S90" s="1725" t="n"/>
      <c r="T90" s="1726" t="n">
        <v>203550</v>
      </c>
      <c r="U90" s="1727" t="n">
        <v>203550</v>
      </c>
      <c r="V90" s="1729" t="n">
        <v>0.14</v>
      </c>
      <c r="W90" s="1732" t="n">
        <v>0.055</v>
      </c>
      <c r="X90" s="1732" t="n">
        <v>0.12</v>
      </c>
      <c r="Y90" s="1733" t="n"/>
      <c r="Z90" s="1732" t="n">
        <v>0.04</v>
      </c>
      <c r="AA90" s="1731">
        <f>U90*(1+V90+W90+X90+Y90+Z90)</f>
        <v>275810.25</v>
      </c>
      <c r="AB90" s="1734" t="n"/>
    </row>
    <row r="91" ht="14.25" customHeight="1" s="866">
      <c r="A91" s="1718" t="inlineStr">
        <is>
          <t>V</t>
        </is>
      </c>
      <c r="B91" s="1719" t="inlineStr">
        <is>
          <t>Vacant</t>
        </is>
      </c>
      <c r="C91" s="1720" t="inlineStr">
        <is>
          <t>Scrum Master</t>
        </is>
      </c>
      <c r="D91" s="1721" t="inlineStr">
        <is>
          <t>Vacant</t>
        </is>
      </c>
      <c r="E91" s="1719" t="inlineStr">
        <is>
          <t xml:space="preserve">Lead Technology Support </t>
        </is>
      </c>
      <c r="F91" s="1719" t="inlineStr">
        <is>
          <t>Partnering &amp; Transformation</t>
        </is>
      </c>
      <c r="G91" s="1719" t="inlineStr">
        <is>
          <t>Transformation</t>
        </is>
      </c>
      <c r="H91" s="1719" t="inlineStr">
        <is>
          <t>NA</t>
        </is>
      </c>
      <c r="I91" s="1719" t="inlineStr">
        <is>
          <t>NA</t>
        </is>
      </c>
      <c r="J91" s="1719" t="inlineStr">
        <is>
          <t>NA</t>
        </is>
      </c>
      <c r="K91" s="1719" t="inlineStr">
        <is>
          <t>NA</t>
        </is>
      </c>
      <c r="L91" s="1721" t="n"/>
      <c r="M91" s="1722" t="inlineStr">
        <is>
          <t>NZ</t>
        </is>
      </c>
      <c r="N91" s="1723" t="inlineStr">
        <is>
          <t>CIA</t>
        </is>
      </c>
      <c r="O91" s="1723" t="n">
        <v>1</v>
      </c>
      <c r="P91" s="1723" t="n"/>
      <c r="Q91" s="1723" t="inlineStr">
        <is>
          <t>v</t>
        </is>
      </c>
      <c r="R91" s="1725" t="n"/>
      <c r="S91" s="1725" t="n"/>
      <c r="T91" s="1726" t="n">
        <v>131550</v>
      </c>
      <c r="U91" s="1727" t="n">
        <v>121026</v>
      </c>
      <c r="V91" s="1728" t="n">
        <v>0.15</v>
      </c>
      <c r="W91" s="1725" t="n"/>
      <c r="X91" s="1729" t="n">
        <v>0.05</v>
      </c>
      <c r="Y91" s="1730" t="n">
        <v>2910</v>
      </c>
      <c r="Z91" s="1729" t="n">
        <v>0.03</v>
      </c>
      <c r="AA91" s="1731">
        <f>U91*(1+V91+X91+Z91)+Y91</f>
        <v>151771.98</v>
      </c>
      <c r="AB91" s="1734" t="n"/>
    </row>
    <row r="92" ht="14.25" customHeight="1" s="866">
      <c r="A92" s="1718" t="inlineStr">
        <is>
          <t>V</t>
        </is>
      </c>
      <c r="B92" s="1719" t="inlineStr">
        <is>
          <t xml:space="preserve">Vacant </t>
        </is>
      </c>
      <c r="C92" s="1720" t="inlineStr">
        <is>
          <t>Portfolio Analyst</t>
        </is>
      </c>
      <c r="D92" s="1719" t="inlineStr">
        <is>
          <t>Ruth Chou</t>
        </is>
      </c>
      <c r="E92" s="1719" t="inlineStr">
        <is>
          <t xml:space="preserve">Manager Service Perforance &amp; Assurance </t>
        </is>
      </c>
      <c r="F92" s="1719" t="inlineStr">
        <is>
          <t>Partnering &amp; Transformation</t>
        </is>
      </c>
      <c r="G92" s="1719" t="inlineStr">
        <is>
          <t>Transformation</t>
        </is>
      </c>
      <c r="H92" s="1719" t="inlineStr">
        <is>
          <t>NA</t>
        </is>
      </c>
      <c r="I92" s="1719" t="inlineStr">
        <is>
          <t>NA</t>
        </is>
      </c>
      <c r="J92" s="1719" t="inlineStr">
        <is>
          <t>NA</t>
        </is>
      </c>
      <c r="K92" s="1719" t="inlineStr">
        <is>
          <t>NA</t>
        </is>
      </c>
      <c r="L92" s="1721" t="n"/>
      <c r="M92" s="1722" t="inlineStr">
        <is>
          <t>Australia</t>
        </is>
      </c>
      <c r="N92" s="1723" t="inlineStr">
        <is>
          <t>CIA</t>
        </is>
      </c>
      <c r="O92" s="1723" t="n">
        <v>1</v>
      </c>
      <c r="P92" s="1723" t="n"/>
      <c r="Q92" s="1723" t="inlineStr">
        <is>
          <t>v</t>
        </is>
      </c>
      <c r="R92" s="1725" t="n"/>
      <c r="S92" s="1725" t="n"/>
      <c r="T92" s="1726" t="n">
        <v>129650</v>
      </c>
      <c r="U92" s="1727" t="n">
        <v>129650</v>
      </c>
      <c r="V92" s="1729" t="n">
        <v>0.1</v>
      </c>
      <c r="W92" s="1732" t="n">
        <v>0.055</v>
      </c>
      <c r="X92" s="1732" t="n">
        <v>0.12</v>
      </c>
      <c r="Y92" s="1733" t="n"/>
      <c r="Z92" s="1732" t="n">
        <v>0.04</v>
      </c>
      <c r="AA92" s="1731">
        <f>U92*(1+V92+W92+X92+Y92+Z92)</f>
        <v>170489.75</v>
      </c>
      <c r="AB92" s="1734" t="n"/>
    </row>
    <row r="93" ht="14.25" customHeight="1" s="866">
      <c r="A93" s="1718" t="n">
        <v>101862</v>
      </c>
      <c r="B93" s="1719" t="inlineStr">
        <is>
          <t>Vaughn Scott</t>
        </is>
      </c>
      <c r="C93" s="1720" t="inlineStr">
        <is>
          <t>TDD BP - ES</t>
        </is>
      </c>
      <c r="D93" s="1719" t="inlineStr">
        <is>
          <t>Michael Schofield</t>
        </is>
      </c>
      <c r="E93" s="1719" t="inlineStr">
        <is>
          <t>GM TDD, Partnering &amp; Transformation</t>
        </is>
      </c>
      <c r="F93" s="1719" t="inlineStr">
        <is>
          <t>Partnering &amp; Transformation</t>
        </is>
      </c>
      <c r="G93" s="1719" t="inlineStr">
        <is>
          <t>TDD Business Partner</t>
        </is>
      </c>
      <c r="H93" s="1719" t="inlineStr">
        <is>
          <t>NA</t>
        </is>
      </c>
      <c r="I93" s="1719" t="inlineStr">
        <is>
          <t>NA</t>
        </is>
      </c>
      <c r="J93" s="1719" t="inlineStr">
        <is>
          <t>NA</t>
        </is>
      </c>
      <c r="K93" s="1719" t="inlineStr">
        <is>
          <t>NA</t>
        </is>
      </c>
      <c r="L93" s="1721" t="n"/>
      <c r="M93" s="1722" t="inlineStr">
        <is>
          <t>Australia</t>
        </is>
      </c>
      <c r="N93" s="1723" t="inlineStr">
        <is>
          <t>CSC</t>
        </is>
      </c>
      <c r="O93" s="1723" t="n">
        <v>1</v>
      </c>
      <c r="P93" s="1723" t="n"/>
      <c r="Q93" s="1723" t="inlineStr">
        <is>
          <t>Permanent - Full Time</t>
        </is>
      </c>
      <c r="R93" s="1725" t="n"/>
      <c r="S93" s="1725" t="n"/>
      <c r="T93" s="1726" t="n">
        <v>242660</v>
      </c>
      <c r="U93" s="1727" t="n">
        <v>242660</v>
      </c>
      <c r="V93" s="1729" t="n">
        <v>0.2</v>
      </c>
      <c r="W93" s="1732" t="n">
        <v>0.055</v>
      </c>
      <c r="X93" s="1732" t="n">
        <v>0.12</v>
      </c>
      <c r="Y93" s="1733" t="n"/>
      <c r="Z93" s="1732" t="n">
        <v>0.04</v>
      </c>
      <c r="AA93" s="1731">
        <f>U93*(1+V93+W93+X93+Y93+Z93)</f>
        <v>343363.9</v>
      </c>
      <c r="AB93" s="1734" t="n"/>
    </row>
    <row r="94" ht="14.25" customHeight="1" s="866">
      <c r="A94" s="1718" t="n">
        <v>116032</v>
      </c>
      <c r="B94" s="1721" t="inlineStr">
        <is>
          <t>Abdul Ghaffar</t>
        </is>
      </c>
      <c r="C94" s="1750" t="inlineStr">
        <is>
          <t>Applications Specialist - Demand Planning</t>
        </is>
      </c>
      <c r="D94" s="1719" t="inlineStr">
        <is>
          <t>Sai Konka</t>
        </is>
      </c>
      <c r="E94" s="1719" t="inlineStr">
        <is>
          <t>Applications &amp; Analytics Manager</t>
        </is>
      </c>
      <c r="F94" s="1751" t="inlineStr">
        <is>
          <t>Strategy, Architecture &amp; Data</t>
        </is>
      </c>
      <c r="G94" s="1721" t="inlineStr">
        <is>
          <t>Group Data</t>
        </is>
      </c>
      <c r="H94" s="1751" t="inlineStr">
        <is>
          <t>Data Engineering &amp; Platforms</t>
        </is>
      </c>
      <c r="I94" s="1751" t="inlineStr">
        <is>
          <t>Enterprise Data</t>
        </is>
      </c>
      <c r="J94" s="1751" t="inlineStr">
        <is>
          <t>EGI</t>
        </is>
      </c>
      <c r="K94" s="1751" t="inlineStr">
        <is>
          <t>Reporting &amp; Analytics</t>
        </is>
      </c>
      <c r="L94" s="1721" t="n"/>
      <c r="M94" s="1722" t="inlineStr">
        <is>
          <t>Australia</t>
        </is>
      </c>
      <c r="N94" s="1723" t="inlineStr">
        <is>
          <t>CIB</t>
        </is>
      </c>
      <c r="O94" s="1723" t="n">
        <v>1</v>
      </c>
      <c r="P94" s="1723" t="n"/>
      <c r="Q94" s="1723" t="inlineStr">
        <is>
          <t>Permanent - Full Time</t>
        </is>
      </c>
      <c r="R94" s="1725" t="n"/>
      <c r="S94" s="1725" t="n"/>
      <c r="T94" s="1726" t="n">
        <v>180000</v>
      </c>
      <c r="U94" s="1727" t="n">
        <v>180000</v>
      </c>
      <c r="V94" s="1729" t="n">
        <v>0.12</v>
      </c>
      <c r="W94" s="1732" t="n">
        <v>0.055</v>
      </c>
      <c r="X94" s="1732" t="n">
        <v>0.12</v>
      </c>
      <c r="Y94" s="1733" t="n"/>
      <c r="Z94" s="1732" t="n">
        <v>0.04</v>
      </c>
      <c r="AA94" s="1731">
        <f>U94*(1+V94+W94+X94+Y94+Z94)</f>
        <v>240300</v>
      </c>
      <c r="AB94" s="1734" t="n"/>
    </row>
    <row r="95" ht="14.25" customHeight="1" s="866">
      <c r="A95" s="1718" t="n">
        <v>102098</v>
      </c>
      <c r="B95" s="1719" t="inlineStr">
        <is>
          <t>Bobby Mason</t>
        </is>
      </c>
      <c r="C95" s="1720" t="inlineStr">
        <is>
          <t>Reporting Analyst</t>
        </is>
      </c>
      <c r="D95" s="1719" t="inlineStr">
        <is>
          <t>Prashanth Krishnankutty</t>
        </is>
      </c>
      <c r="E95" s="1719" t="inlineStr">
        <is>
          <t>Lead, Reporting &amp; Insights</t>
        </is>
      </c>
      <c r="F95" s="1751" t="inlineStr">
        <is>
          <t>Strategy, Architecture &amp; Data</t>
        </is>
      </c>
      <c r="G95" s="1721" t="inlineStr">
        <is>
          <t>Group Data</t>
        </is>
      </c>
      <c r="H95" s="1751" t="inlineStr">
        <is>
          <t>Data Engineering &amp; Platforms</t>
        </is>
      </c>
      <c r="I95" s="1751" t="inlineStr">
        <is>
          <t>Enterprise Data</t>
        </is>
      </c>
      <c r="J95" s="1751" t="inlineStr">
        <is>
          <t>Group Data</t>
        </is>
      </c>
      <c r="K95" s="1751" t="inlineStr">
        <is>
          <t>Reporting &amp; Analytics</t>
        </is>
      </c>
      <c r="L95" s="1721" t="n"/>
      <c r="M95" s="1722" t="inlineStr">
        <is>
          <t>Australia</t>
        </is>
      </c>
      <c r="N95" s="1723" t="inlineStr">
        <is>
          <t>CIB</t>
        </is>
      </c>
      <c r="O95" s="1723" t="n">
        <v>1</v>
      </c>
      <c r="P95" s="1723" t="n"/>
      <c r="Q95" s="1723" t="inlineStr">
        <is>
          <t>Permanent - Full Time</t>
        </is>
      </c>
      <c r="R95" s="1725" t="n"/>
      <c r="S95" s="1725" t="n"/>
      <c r="T95" s="1726" t="n">
        <v>166560</v>
      </c>
      <c r="U95" s="1727" t="n">
        <v>166560</v>
      </c>
      <c r="V95" s="1729" t="n">
        <v>0.12</v>
      </c>
      <c r="W95" s="1732" t="n">
        <v>0.055</v>
      </c>
      <c r="X95" s="1732" t="n">
        <v>0.12</v>
      </c>
      <c r="Y95" s="1733" t="n"/>
      <c r="Z95" s="1732" t="n">
        <v>0.04</v>
      </c>
      <c r="AA95" s="1731">
        <f>U95*(1+V95+W95+X95+Y95+Z95)</f>
        <v>222357.6</v>
      </c>
      <c r="AB95" s="1734" t="n"/>
    </row>
    <row r="96" ht="14.25" customHeight="1" s="866">
      <c r="A96" s="1718" t="n">
        <v>99999101507</v>
      </c>
      <c r="B96" s="1719" t="inlineStr">
        <is>
          <t>Carol Kuang</t>
        </is>
      </c>
      <c r="C96" s="1720" t="inlineStr">
        <is>
          <t>Senior Data Scientist</t>
        </is>
      </c>
      <c r="D96" s="1719" t="inlineStr">
        <is>
          <t>Jonathan Robinson</t>
        </is>
      </c>
      <c r="E96" s="1719" t="inlineStr">
        <is>
          <t>Technology Manager, Data Science</t>
        </is>
      </c>
      <c r="F96" s="1751" t="inlineStr">
        <is>
          <t>Strategy, Architecture &amp; Data</t>
        </is>
      </c>
      <c r="G96" s="1721" t="inlineStr">
        <is>
          <t>Group Data</t>
        </is>
      </c>
      <c r="H96" s="1751" t="inlineStr">
        <is>
          <t>Data Science</t>
        </is>
      </c>
      <c r="I96" s="1751" t="inlineStr">
        <is>
          <t>Enterprise Data</t>
        </is>
      </c>
      <c r="J96" s="1751" t="inlineStr">
        <is>
          <t>Group Data</t>
        </is>
      </c>
      <c r="K96" s="1721" t="inlineStr">
        <is>
          <t>Data Science</t>
        </is>
      </c>
      <c r="L96" s="1721" t="n"/>
      <c r="M96" s="1722" t="inlineStr">
        <is>
          <t>NZ</t>
        </is>
      </c>
      <c r="N96" s="1723" t="inlineStr">
        <is>
          <t>CIC</t>
        </is>
      </c>
      <c r="O96" s="1724" t="n">
        <v>1</v>
      </c>
      <c r="P96" s="1723" t="n"/>
      <c r="Q96" s="1724" t="inlineStr">
        <is>
          <t>Permanent - Full Time</t>
        </is>
      </c>
      <c r="R96" s="1725" t="n"/>
      <c r="S96" s="1725" t="n"/>
      <c r="T96" s="1726" t="n">
        <v>160800</v>
      </c>
      <c r="U96" s="1727" t="n">
        <v>147936</v>
      </c>
      <c r="V96" s="1728" t="n">
        <v>0.15</v>
      </c>
      <c r="W96" s="1724" t="n"/>
      <c r="X96" s="1729" t="n">
        <v>0.05</v>
      </c>
      <c r="Y96" s="1730" t="n">
        <v>2910</v>
      </c>
      <c r="Z96" s="1729" t="n">
        <v>0.03</v>
      </c>
      <c r="AA96" s="1731">
        <f>U96*(1+V96+X96+Z96)+Y96</f>
        <v>184871.28</v>
      </c>
      <c r="AB96" s="1432" t="n">
        <v>113527</v>
      </c>
    </row>
    <row r="97" ht="14.25" customHeight="1" s="866">
      <c r="A97" s="1725" t="n">
        <v>115483</v>
      </c>
      <c r="B97" s="1718" t="inlineStr">
        <is>
          <t>Craig Ambrose</t>
        </is>
      </c>
      <c r="C97" s="1720" t="inlineStr">
        <is>
          <t>Domain Architect - Group Functions</t>
        </is>
      </c>
      <c r="D97" s="1719" t="inlineStr">
        <is>
          <t>Vacant</t>
        </is>
      </c>
      <c r="E97" s="1719" t="inlineStr">
        <is>
          <t>Head of Architecture</t>
        </is>
      </c>
      <c r="F97" s="1751" t="inlineStr">
        <is>
          <t>Strategy, Architecture &amp; Data</t>
        </is>
      </c>
      <c r="G97" s="1721" t="inlineStr">
        <is>
          <t>Architecture</t>
        </is>
      </c>
      <c r="H97" s="1751" t="inlineStr">
        <is>
          <t>Architecture</t>
        </is>
      </c>
      <c r="I97" s="1751" t="n"/>
      <c r="J97" s="1751" t="n"/>
      <c r="K97" s="1721" t="n"/>
      <c r="L97" s="1721" t="n"/>
      <c r="M97" s="1722" t="inlineStr">
        <is>
          <t>NZ</t>
        </is>
      </c>
      <c r="N97" s="1723" t="inlineStr">
        <is>
          <t>CSB</t>
        </is>
      </c>
      <c r="O97" s="1723" t="n">
        <v>1</v>
      </c>
      <c r="P97" s="1723" t="n"/>
      <c r="Q97" s="1723" t="inlineStr">
        <is>
          <t>Permanent - Full Time</t>
        </is>
      </c>
      <c r="R97" s="1725" t="n"/>
      <c r="S97" s="1725" t="n"/>
      <c r="T97" s="1726" t="n">
        <v>211940</v>
      </c>
      <c r="U97" s="1727" t="n">
        <v>194984.8</v>
      </c>
      <c r="V97" s="1728" t="n">
        <v>0.15</v>
      </c>
      <c r="W97" s="1725" t="n"/>
      <c r="X97" s="1729" t="n">
        <v>0.05</v>
      </c>
      <c r="Y97" s="1730" t="n">
        <v>2910</v>
      </c>
      <c r="Z97" s="1729" t="n">
        <v>0.03</v>
      </c>
      <c r="AA97" s="1731">
        <f>U97*(1+V97+X97+Z97)+Y97</f>
        <v>242741.304</v>
      </c>
      <c r="AB97" s="1734" t="n"/>
    </row>
    <row r="98" ht="14.25" customHeight="1" s="866">
      <c r="A98" s="1718" t="n">
        <v>113956</v>
      </c>
      <c r="B98" s="1719" t="inlineStr">
        <is>
          <t>Deepali Mahajan</t>
        </is>
      </c>
      <c r="C98" s="1720" t="inlineStr">
        <is>
          <t>Data Operations Manager</t>
        </is>
      </c>
      <c r="D98" s="1719" t="inlineStr">
        <is>
          <t>James Holgate</t>
        </is>
      </c>
      <c r="E98" s="1719" t="inlineStr">
        <is>
          <t>Head of Technology,  Group Data</t>
        </is>
      </c>
      <c r="F98" s="1751" t="inlineStr">
        <is>
          <t>Strategy, Architecture &amp; Data</t>
        </is>
      </c>
      <c r="G98" s="1721" t="inlineStr">
        <is>
          <t>Group Data</t>
        </is>
      </c>
      <c r="H98" s="1721" t="inlineStr">
        <is>
          <t>Data Operations</t>
        </is>
      </c>
      <c r="I98" s="1751" t="inlineStr">
        <is>
          <t>Enterprise Data</t>
        </is>
      </c>
      <c r="J98" s="1751" t="inlineStr">
        <is>
          <t>Leadership</t>
        </is>
      </c>
      <c r="K98" s="1721" t="n"/>
      <c r="L98" s="1721" t="n"/>
      <c r="M98" s="1722" t="inlineStr">
        <is>
          <t>Australia</t>
        </is>
      </c>
      <c r="N98" s="1723" t="inlineStr">
        <is>
          <t>CSB</t>
        </is>
      </c>
      <c r="O98" s="1723" t="n">
        <v>1</v>
      </c>
      <c r="P98" s="1723" t="n"/>
      <c r="Q98" s="1723" t="inlineStr">
        <is>
          <t>Permanent - Full Time</t>
        </is>
      </c>
      <c r="R98" s="1725" t="n"/>
      <c r="S98" s="1725" t="n"/>
      <c r="T98" s="1726" t="n">
        <v>218390</v>
      </c>
      <c r="U98" s="1727" t="n">
        <v>218390</v>
      </c>
      <c r="V98" s="1729" t="n">
        <v>0.14</v>
      </c>
      <c r="W98" s="1732" t="n">
        <v>0.055</v>
      </c>
      <c r="X98" s="1732" t="n">
        <v>0.12</v>
      </c>
      <c r="Y98" s="1733" t="n"/>
      <c r="Z98" s="1732" t="n">
        <v>0.04</v>
      </c>
      <c r="AA98" s="1731">
        <f>U98*(1+V98+W98+X98+Y98+Z98)</f>
        <v>295918.45</v>
      </c>
      <c r="AB98" s="1734" t="n"/>
    </row>
    <row r="99" ht="14.25" customHeight="1" s="866">
      <c r="A99" s="1752" t="n">
        <v>105010</v>
      </c>
      <c r="B99" s="1719" t="inlineStr">
        <is>
          <t>Dinesh Chandrasekaran</t>
        </is>
      </c>
      <c r="C99" s="1720" t="inlineStr">
        <is>
          <t>Lead Engineer (Snowflake)</t>
        </is>
      </c>
      <c r="D99" s="1719" t="inlineStr">
        <is>
          <t>Jason Gleason</t>
        </is>
      </c>
      <c r="E99" s="1719" t="inlineStr">
        <is>
          <t>Technology Manager, Data Engineering &amp; Platforms</t>
        </is>
      </c>
      <c r="F99" s="1719" t="inlineStr">
        <is>
          <t>Strategy, Architecture &amp; Data</t>
        </is>
      </c>
      <c r="G99" s="1719" t="inlineStr">
        <is>
          <t>Group Data</t>
        </is>
      </c>
      <c r="H99" s="1751" t="inlineStr">
        <is>
          <t>Data Engineering &amp; Platforms</t>
        </is>
      </c>
      <c r="I99" s="1721" t="inlineStr">
        <is>
          <t>Enterprise Data</t>
        </is>
      </c>
      <c r="J99" s="1751" t="inlineStr">
        <is>
          <t>Group Data</t>
        </is>
      </c>
      <c r="K99" s="1721" t="inlineStr">
        <is>
          <t>Data Platform</t>
        </is>
      </c>
      <c r="L99" s="1721" t="n"/>
      <c r="M99" s="1722" t="inlineStr">
        <is>
          <t>Australia</t>
        </is>
      </c>
      <c r="N99" s="1753" t="inlineStr">
        <is>
          <t xml:space="preserve">CIB </t>
        </is>
      </c>
      <c r="O99" s="1753" t="n">
        <v>1</v>
      </c>
      <c r="P99" s="1753" t="n"/>
      <c r="Q99" s="1753" t="inlineStr">
        <is>
          <t>Permanent - Full Time</t>
        </is>
      </c>
      <c r="R99" s="1719" t="n"/>
      <c r="S99" s="1719" t="n"/>
      <c r="T99" s="1754" t="n">
        <v>182760</v>
      </c>
      <c r="U99" s="1727" t="n">
        <v>182760</v>
      </c>
      <c r="V99" s="1729" t="n">
        <v>0.12</v>
      </c>
      <c r="W99" s="1732" t="n">
        <v>0.055</v>
      </c>
      <c r="X99" s="1732" t="n">
        <v>0.12</v>
      </c>
      <c r="Y99" s="1733" t="n"/>
      <c r="Z99" s="1732" t="n">
        <v>0.04</v>
      </c>
      <c r="AA99" s="1731">
        <f>U99*(1+V99+W99+X99+Y99+Z99)</f>
        <v>243984.6</v>
      </c>
      <c r="AB99" s="1734" t="n"/>
    </row>
    <row r="100" ht="14.25" customHeight="1" s="866">
      <c r="A100" s="1718" t="n">
        <v>80469</v>
      </c>
      <c r="B100" s="1719" t="inlineStr">
        <is>
          <t>James Holgate</t>
        </is>
      </c>
      <c r="C100" s="1720" t="inlineStr">
        <is>
          <t>Head of Technology,  Group Data</t>
        </is>
      </c>
      <c r="D100" s="1719" t="inlineStr">
        <is>
          <t>Matt Ashley</t>
        </is>
      </c>
      <c r="E100" s="1719" t="inlineStr">
        <is>
          <t>GM TDD, Strategy, Architecture, Data</t>
        </is>
      </c>
      <c r="F100" s="1751" t="inlineStr">
        <is>
          <t>Strategy, Architecture &amp; Data</t>
        </is>
      </c>
      <c r="G100" s="1721" t="inlineStr">
        <is>
          <t>Group Data</t>
        </is>
      </c>
      <c r="H100" s="1751" t="n"/>
      <c r="I100" s="1721" t="n"/>
      <c r="J100" s="1751" t="inlineStr">
        <is>
          <t>Leadership</t>
        </is>
      </c>
      <c r="K100" s="1751" t="n"/>
      <c r="L100" s="1721" t="n"/>
      <c r="M100" s="1722" t="inlineStr">
        <is>
          <t>Australia</t>
        </is>
      </c>
      <c r="N100" s="1725" t="inlineStr">
        <is>
          <t>CSC</t>
        </is>
      </c>
      <c r="O100" s="1725" t="n">
        <v>1</v>
      </c>
      <c r="P100" s="1725" t="n"/>
      <c r="Q100" s="1725" t="inlineStr">
        <is>
          <t>Permanent - Full Time</t>
        </is>
      </c>
      <c r="R100" s="1725" t="n"/>
      <c r="S100" s="1725" t="n"/>
      <c r="T100" s="1726" t="n">
        <v>289580</v>
      </c>
      <c r="U100" s="1727" t="n">
        <v>289580</v>
      </c>
      <c r="V100" s="1729" t="n">
        <v>0.2</v>
      </c>
      <c r="W100" s="1732" t="n">
        <v>0.055</v>
      </c>
      <c r="X100" s="1732" t="n">
        <v>0.12</v>
      </c>
      <c r="Y100" s="1733" t="n"/>
      <c r="Z100" s="1732" t="n">
        <v>0.04</v>
      </c>
      <c r="AA100" s="1731">
        <f>U100*(1+V100+W100+X100+Y100+Z100)</f>
        <v>409755.7</v>
      </c>
      <c r="AB100" s="1734" t="n"/>
    </row>
    <row r="101" ht="14.25" customHeight="1" s="866">
      <c r="A101" s="1718" t="n">
        <v>99999102152</v>
      </c>
      <c r="B101" s="1719" t="inlineStr">
        <is>
          <t>Jason Gleason</t>
        </is>
      </c>
      <c r="C101" s="1720" t="inlineStr">
        <is>
          <t>Technology Manager, Data Engineering &amp; Platforms</t>
        </is>
      </c>
      <c r="D101" s="1719" t="inlineStr">
        <is>
          <t>James Holgate</t>
        </is>
      </c>
      <c r="E101" s="1719" t="inlineStr">
        <is>
          <t>Head of Technology,  Group Data</t>
        </is>
      </c>
      <c r="F101" s="1751" t="inlineStr">
        <is>
          <t>Strategy, Architecture &amp; Data</t>
        </is>
      </c>
      <c r="G101" s="1721" t="inlineStr">
        <is>
          <t>Group Data</t>
        </is>
      </c>
      <c r="H101" s="1751" t="inlineStr">
        <is>
          <t>Data Engineering &amp; Platforms</t>
        </is>
      </c>
      <c r="I101" s="1751" t="inlineStr">
        <is>
          <t>Enterprise Data</t>
        </is>
      </c>
      <c r="J101" s="1755" t="inlineStr">
        <is>
          <t>Leadership</t>
        </is>
      </c>
      <c r="K101" s="1721" t="n"/>
      <c r="L101" s="1721" t="n"/>
      <c r="M101" s="1722" t="inlineStr">
        <is>
          <t>NZ</t>
        </is>
      </c>
      <c r="N101" s="1723" t="inlineStr">
        <is>
          <t>CSC</t>
        </is>
      </c>
      <c r="O101" s="1724" t="n">
        <v>1</v>
      </c>
      <c r="P101" s="1723" t="n"/>
      <c r="Q101" s="1724" t="inlineStr">
        <is>
          <t>Permanent - Full Time</t>
        </is>
      </c>
      <c r="R101" s="1725" t="n"/>
      <c r="S101" s="1725" t="n"/>
      <c r="T101" s="1726" t="n">
        <v>270000</v>
      </c>
      <c r="U101" s="1727" t="n">
        <v>248400</v>
      </c>
      <c r="V101" s="1728" t="n">
        <v>0.2</v>
      </c>
      <c r="W101" s="1724" t="n"/>
      <c r="X101" s="1729" t="n">
        <v>0.05</v>
      </c>
      <c r="Y101" s="1730" t="n">
        <v>2910</v>
      </c>
      <c r="Z101" s="1729" t="n">
        <v>0.03</v>
      </c>
      <c r="AA101" s="1731">
        <f>U101*(1+V101+X101+Z101)+Y101</f>
        <v>320862</v>
      </c>
      <c r="AB101" s="1432" t="n">
        <v>116999</v>
      </c>
    </row>
    <row r="102" ht="14.25" customHeight="1" s="866">
      <c r="A102" s="1718" t="n">
        <v>113381</v>
      </c>
      <c r="B102" s="1719" t="inlineStr">
        <is>
          <t>Joel Vijayakumar</t>
        </is>
      </c>
      <c r="C102" s="1720" t="inlineStr">
        <is>
          <t>Delivery Manager, Strategy, Architecture &amp; Data</t>
        </is>
      </c>
      <c r="D102" s="1719" t="inlineStr">
        <is>
          <t>Matt Ashley</t>
        </is>
      </c>
      <c r="E102" s="1719" t="inlineStr">
        <is>
          <t>GM TDD, Strategy, Architecture, Data</t>
        </is>
      </c>
      <c r="F102" s="1751" t="inlineStr">
        <is>
          <t>Strategy, Architecture &amp; Data</t>
        </is>
      </c>
      <c r="G102" s="1721" t="inlineStr">
        <is>
          <t>Delivery, SADA</t>
        </is>
      </c>
      <c r="H102" s="1721" t="n"/>
      <c r="I102" s="1721" t="n"/>
      <c r="J102" s="1751" t="inlineStr">
        <is>
          <t>Leadership</t>
        </is>
      </c>
      <c r="K102" s="1751" t="n"/>
      <c r="L102" s="1721" t="n"/>
      <c r="M102" s="1722" t="inlineStr">
        <is>
          <t>Australia</t>
        </is>
      </c>
      <c r="N102" s="1723" t="inlineStr">
        <is>
          <t>CSC</t>
        </is>
      </c>
      <c r="O102" s="1723" t="n">
        <v>1</v>
      </c>
      <c r="P102" s="1723" t="n"/>
      <c r="Q102" s="1723" t="inlineStr">
        <is>
          <t>Permanent - Full Time</t>
        </is>
      </c>
      <c r="R102" s="1725" t="n"/>
      <c r="S102" s="1725" t="n"/>
      <c r="T102" s="1726" t="n">
        <v>260840</v>
      </c>
      <c r="U102" s="1727" t="n">
        <v>260840</v>
      </c>
      <c r="V102" s="1729" t="n">
        <v>0.2</v>
      </c>
      <c r="W102" s="1732" t="n">
        <v>0.055</v>
      </c>
      <c r="X102" s="1732" t="n">
        <v>0.12</v>
      </c>
      <c r="Y102" s="1733" t="n"/>
      <c r="Z102" s="1732" t="n">
        <v>0.04</v>
      </c>
      <c r="AA102" s="1731">
        <f>U102*(1+V102+W102+X102+Y102+Z102)</f>
        <v>369088.6</v>
      </c>
      <c r="AB102" s="1734" t="n"/>
    </row>
    <row r="103" ht="14.25" customHeight="1" s="866">
      <c r="A103" s="1718" t="n"/>
      <c r="B103" s="1719" t="inlineStr">
        <is>
          <t>John Forde</t>
        </is>
      </c>
      <c r="C103" s="1720" t="inlineStr">
        <is>
          <t>Enterprise Architect</t>
        </is>
      </c>
      <c r="D103" s="1719" t="inlineStr">
        <is>
          <t>Vacant</t>
        </is>
      </c>
      <c r="E103" s="1719" t="inlineStr">
        <is>
          <t>Head of Architecture</t>
        </is>
      </c>
      <c r="F103" s="1751" t="inlineStr">
        <is>
          <t>Strategy, Architecture &amp; Data</t>
        </is>
      </c>
      <c r="G103" s="1721" t="inlineStr">
        <is>
          <t>Architecture</t>
        </is>
      </c>
      <c r="H103" s="1751" t="inlineStr">
        <is>
          <t>Architecture</t>
        </is>
      </c>
      <c r="I103" s="1751" t="n"/>
      <c r="J103" s="1751" t="n"/>
      <c r="K103" s="1721" t="n"/>
      <c r="L103" s="1721" t="n"/>
      <c r="M103" s="1722" t="inlineStr">
        <is>
          <t>NZ</t>
        </is>
      </c>
      <c r="N103" s="1723" t="inlineStr">
        <is>
          <t>CSB</t>
        </is>
      </c>
      <c r="O103" s="1723" t="n">
        <v>1</v>
      </c>
      <c r="P103" s="1723" t="n"/>
      <c r="Q103" s="1723" t="inlineStr">
        <is>
          <t>Permanent - Full Time</t>
        </is>
      </c>
      <c r="R103" s="1746" t="n"/>
      <c r="S103" s="1725" t="n"/>
      <c r="T103" s="1726" t="n">
        <v>186780</v>
      </c>
      <c r="U103" s="1727" t="n">
        <v>171837.6</v>
      </c>
      <c r="V103" s="1728" t="n">
        <v>0.15</v>
      </c>
      <c r="W103" s="1725" t="n"/>
      <c r="X103" s="1729" t="n">
        <v>0.05</v>
      </c>
      <c r="Y103" s="1730" t="n">
        <v>2910</v>
      </c>
      <c r="Z103" s="1729" t="n">
        <v>0.03</v>
      </c>
      <c r="AA103" s="1731">
        <f>U103*(1+V103+X103+Z103)+Y103</f>
        <v>214270.248</v>
      </c>
      <c r="AB103" s="1734" t="n"/>
    </row>
    <row r="104" ht="14.25" customHeight="1" s="866">
      <c r="A104" s="1718" t="n">
        <v>114067</v>
      </c>
      <c r="B104" s="1719" t="inlineStr">
        <is>
          <t>Jonathan Robinson</t>
        </is>
      </c>
      <c r="C104" s="1720" t="inlineStr">
        <is>
          <t>Technology Manager  Data Science</t>
        </is>
      </c>
      <c r="D104" s="1719" t="inlineStr">
        <is>
          <t>James Holgate</t>
        </is>
      </c>
      <c r="E104" s="1719" t="inlineStr">
        <is>
          <t>Head of Technology,  Group Data</t>
        </is>
      </c>
      <c r="F104" s="1751" t="inlineStr">
        <is>
          <t>Strategy, Architecture &amp; Data</t>
        </is>
      </c>
      <c r="G104" s="1721" t="inlineStr">
        <is>
          <t>Group Data</t>
        </is>
      </c>
      <c r="H104" s="1721" t="inlineStr">
        <is>
          <t>Data Science</t>
        </is>
      </c>
      <c r="I104" s="1751" t="inlineStr">
        <is>
          <t>Enterprise Data</t>
        </is>
      </c>
      <c r="J104" s="1751" t="inlineStr">
        <is>
          <t>Leadership</t>
        </is>
      </c>
      <c r="K104" s="1721" t="n"/>
      <c r="L104" s="1721" t="n"/>
      <c r="M104" s="1722" t="inlineStr">
        <is>
          <t>Australia</t>
        </is>
      </c>
      <c r="N104" s="1723" t="inlineStr">
        <is>
          <t>CSB</t>
        </is>
      </c>
      <c r="O104" s="1723" t="n">
        <v>1</v>
      </c>
      <c r="P104" s="1723" t="n"/>
      <c r="Q104" s="1723" t="inlineStr">
        <is>
          <t>Permanent - Full Time</t>
        </is>
      </c>
      <c r="R104" s="1725" t="n"/>
      <c r="S104" s="1725" t="n"/>
      <c r="T104" s="1726" t="n">
        <v>243850</v>
      </c>
      <c r="U104" s="1727" t="n">
        <v>243850</v>
      </c>
      <c r="V104" s="1729" t="n">
        <v>0.14</v>
      </c>
      <c r="W104" s="1732" t="n">
        <v>0.055</v>
      </c>
      <c r="X104" s="1732" t="n">
        <v>0.12</v>
      </c>
      <c r="Y104" s="1733" t="n"/>
      <c r="Z104" s="1732" t="n">
        <v>0.04</v>
      </c>
      <c r="AA104" s="1731">
        <f>U104*(1+V104+W104+X104+Y104+Z104)</f>
        <v>330416.75</v>
      </c>
      <c r="AB104" s="1734" t="n"/>
    </row>
    <row r="105" ht="28.5" customHeight="1" s="866">
      <c r="A105" s="1718" t="n">
        <v>80477</v>
      </c>
      <c r="B105" s="1719" t="inlineStr">
        <is>
          <t>Kina Birkby</t>
        </is>
      </c>
      <c r="C105" s="1720" t="inlineStr">
        <is>
          <t>Delivery Lead</t>
        </is>
      </c>
      <c r="D105" s="1719" t="inlineStr">
        <is>
          <t>Joel Vijayakumar</t>
        </is>
      </c>
      <c r="E105" s="1719" t="inlineStr">
        <is>
          <t>Delivery Manager, Strategy, Architecture &amp; Data</t>
        </is>
      </c>
      <c r="F105" s="1751" t="inlineStr">
        <is>
          <t>Strategy, Architecture &amp; Data</t>
        </is>
      </c>
      <c r="G105" s="1721" t="inlineStr">
        <is>
          <t>Delivery, SADA</t>
        </is>
      </c>
      <c r="H105" s="1721" t="n"/>
      <c r="I105" s="1751" t="inlineStr">
        <is>
          <t>Enterprise Data</t>
        </is>
      </c>
      <c r="J105" s="1751" t="inlineStr">
        <is>
          <t>Group Data</t>
        </is>
      </c>
      <c r="K105" s="1751" t="inlineStr">
        <is>
          <t>Reporting &amp; Analytics</t>
        </is>
      </c>
      <c r="L105" s="1721" t="n"/>
      <c r="M105" s="1722" t="inlineStr">
        <is>
          <t>Australia</t>
        </is>
      </c>
      <c r="N105" s="1725" t="inlineStr">
        <is>
          <t>CIC</t>
        </is>
      </c>
      <c r="O105" s="1725" t="n">
        <v>0.6</v>
      </c>
      <c r="P105" s="1725" t="n"/>
      <c r="Q105" s="1725" t="inlineStr">
        <is>
          <t>Permanent - Part Time</t>
        </is>
      </c>
      <c r="R105" s="1725" t="n"/>
      <c r="S105" s="1725" t="n"/>
      <c r="T105" s="1726" t="n">
        <v>197180</v>
      </c>
      <c r="U105" s="1727" t="n">
        <v>197180</v>
      </c>
      <c r="V105" s="1729" t="n">
        <v>0.12</v>
      </c>
      <c r="W105" s="1732" t="n">
        <v>0.055</v>
      </c>
      <c r="X105" s="1732" t="n">
        <v>0.12</v>
      </c>
      <c r="Y105" s="1733" t="n"/>
      <c r="Z105" s="1732" t="n">
        <v>0.04</v>
      </c>
      <c r="AA105" s="1731">
        <f>U105*(1+V105+W105+X105+Y105+Z105)</f>
        <v>263235.3</v>
      </c>
      <c r="AB105" s="1734" t="n"/>
    </row>
    <row r="106" ht="14.25" customHeight="1" s="866">
      <c r="A106" s="1718" t="n">
        <v>99999101535</v>
      </c>
      <c r="B106" s="1719" t="inlineStr">
        <is>
          <t>Lynn Yiew</t>
        </is>
      </c>
      <c r="C106" s="1720" t="inlineStr">
        <is>
          <t>Data Governance Specialist</t>
        </is>
      </c>
      <c r="D106" s="1721" t="inlineStr">
        <is>
          <t>Sanjay Tikoo</t>
        </is>
      </c>
      <c r="E106" s="1719" t="inlineStr">
        <is>
          <t>Data Capability Manager</t>
        </is>
      </c>
      <c r="F106" s="1751" t="inlineStr">
        <is>
          <t>Strategy, Architecture &amp; Data</t>
        </is>
      </c>
      <c r="G106" s="1721" t="inlineStr">
        <is>
          <t>Group Data</t>
        </is>
      </c>
      <c r="H106" s="1721" t="inlineStr">
        <is>
          <t>Data Capability</t>
        </is>
      </c>
      <c r="I106" s="1751" t="inlineStr">
        <is>
          <t>Enterprise Data</t>
        </is>
      </c>
      <c r="J106" s="1751" t="inlineStr">
        <is>
          <t>Group Data</t>
        </is>
      </c>
      <c r="K106" s="1721" t="n"/>
      <c r="L106" s="1721" t="n"/>
      <c r="M106" s="1722" t="inlineStr">
        <is>
          <t>NZ</t>
        </is>
      </c>
      <c r="N106" s="1723" t="inlineStr">
        <is>
          <t>CIB</t>
        </is>
      </c>
      <c r="O106" s="1724" t="n">
        <v>1</v>
      </c>
      <c r="P106" s="1723" t="n"/>
      <c r="Q106" s="1724" t="inlineStr">
        <is>
          <t>Permanent - Full Time</t>
        </is>
      </c>
      <c r="R106" s="1725" t="n"/>
      <c r="S106" s="1725" t="n"/>
      <c r="T106" s="1726" t="n">
        <v>129760</v>
      </c>
      <c r="U106" s="1727" t="n">
        <v>119379.2</v>
      </c>
      <c r="V106" s="1728" t="n">
        <v>0.15</v>
      </c>
      <c r="W106" s="1725" t="n"/>
      <c r="X106" s="1729" t="n">
        <v>0.05</v>
      </c>
      <c r="Y106" s="1730" t="n">
        <v>2910</v>
      </c>
      <c r="Z106" s="1729" t="n">
        <v>0.03</v>
      </c>
      <c r="AA106" s="1731">
        <f>U106*(1+V106+X106+Z106)+Y106</f>
        <v>149746.416</v>
      </c>
      <c r="AB106" s="1432" t="n">
        <v>113582</v>
      </c>
    </row>
    <row r="107" ht="14.25" customHeight="1" s="866">
      <c r="A107" s="1725" t="n">
        <v>113595</v>
      </c>
      <c r="B107" s="1718" t="inlineStr">
        <is>
          <t>Mike Gilbert</t>
        </is>
      </c>
      <c r="C107" s="1720" t="inlineStr">
        <is>
          <t xml:space="preserve">Domain Architect - CFE &amp; Infrastructure </t>
        </is>
      </c>
      <c r="D107" s="1719" t="inlineStr">
        <is>
          <t>Vacant</t>
        </is>
      </c>
      <c r="E107" s="1719" t="inlineStr">
        <is>
          <t>Head of Architecture</t>
        </is>
      </c>
      <c r="F107" s="1751" t="inlineStr">
        <is>
          <t>Strategy, Architecture &amp; Data</t>
        </is>
      </c>
      <c r="G107" s="1721" t="inlineStr">
        <is>
          <t>Architecture</t>
        </is>
      </c>
      <c r="H107" s="1751" t="inlineStr">
        <is>
          <t>Architecture</t>
        </is>
      </c>
      <c r="I107" s="1751" t="n"/>
      <c r="J107" s="1751" t="n"/>
      <c r="K107" s="1721" t="n"/>
      <c r="L107" s="1721" t="n"/>
      <c r="M107" s="1722" t="inlineStr">
        <is>
          <t>NZ</t>
        </is>
      </c>
      <c r="N107" s="1723" t="inlineStr">
        <is>
          <t>CSB</t>
        </is>
      </c>
      <c r="O107" s="1723" t="n">
        <v>1</v>
      </c>
      <c r="P107" s="1723" t="n"/>
      <c r="Q107" s="1723" t="inlineStr">
        <is>
          <t>Permanent - Full Time</t>
        </is>
      </c>
      <c r="R107" s="1725" t="n"/>
      <c r="S107" s="1725" t="n"/>
      <c r="T107" s="1726" t="n">
        <v>206740</v>
      </c>
      <c r="U107" s="1727" t="n">
        <v>190200.8</v>
      </c>
      <c r="V107" s="1728" t="n">
        <v>0.15</v>
      </c>
      <c r="W107" s="1725" t="n"/>
      <c r="X107" s="1729" t="n">
        <v>0.05</v>
      </c>
      <c r="Y107" s="1730" t="n">
        <v>2910</v>
      </c>
      <c r="Z107" s="1729" t="n">
        <v>0.03</v>
      </c>
      <c r="AA107" s="1731">
        <f>U107*(1+V107+X107+Z107)+Y107</f>
        <v>236856.984</v>
      </c>
      <c r="AB107" s="1734" t="n"/>
    </row>
    <row r="108" ht="14.25" customHeight="1" s="866">
      <c r="A108" s="1718" t="n">
        <v>100330</v>
      </c>
      <c r="B108" s="1719" t="inlineStr">
        <is>
          <t>Milan Patel</t>
        </is>
      </c>
      <c r="C108" s="1720" t="inlineStr">
        <is>
          <t>Platform Architect</t>
        </is>
      </c>
      <c r="D108" s="1721" t="inlineStr">
        <is>
          <t>Sanjay Tikoo</t>
        </is>
      </c>
      <c r="E108" s="1719" t="inlineStr">
        <is>
          <t>Data Capability Manager</t>
        </is>
      </c>
      <c r="F108" s="1751" t="inlineStr">
        <is>
          <t>Strategy, Architecture &amp; Data</t>
        </is>
      </c>
      <c r="G108" s="1721" t="inlineStr">
        <is>
          <t>Group Data</t>
        </is>
      </c>
      <c r="H108" s="1721" t="inlineStr">
        <is>
          <t>Data Capability</t>
        </is>
      </c>
      <c r="I108" s="1751" t="inlineStr">
        <is>
          <t>Enterprise Data</t>
        </is>
      </c>
      <c r="J108" s="1751" t="inlineStr">
        <is>
          <t>Group Data</t>
        </is>
      </c>
      <c r="K108" s="1721" t="inlineStr">
        <is>
          <t>Data Platform</t>
        </is>
      </c>
      <c r="L108" s="1721" t="n"/>
      <c r="M108" s="1722" t="inlineStr">
        <is>
          <t>Australia</t>
        </is>
      </c>
      <c r="N108" s="1723" t="inlineStr">
        <is>
          <t>CIC</t>
        </is>
      </c>
      <c r="O108" s="1723" t="n">
        <v>1</v>
      </c>
      <c r="P108" s="1723" t="n"/>
      <c r="Q108" s="1723" t="inlineStr">
        <is>
          <t>Permanent - Full Time</t>
        </is>
      </c>
      <c r="R108" s="1725" t="n"/>
      <c r="S108" s="1725" t="n"/>
      <c r="T108" s="1726" t="n">
        <v>198940</v>
      </c>
      <c r="U108" s="1727" t="n">
        <v>198940</v>
      </c>
      <c r="V108" s="1729" t="n">
        <v>0.12</v>
      </c>
      <c r="W108" s="1732" t="n">
        <v>0.055</v>
      </c>
      <c r="X108" s="1732" t="n">
        <v>0.12</v>
      </c>
      <c r="Y108" s="1733" t="n"/>
      <c r="Z108" s="1732" t="n">
        <v>0.04</v>
      </c>
      <c r="AA108" s="1731">
        <f>U108*(1+V108+W108+X108+Y108+Z108)</f>
        <v>265584.9</v>
      </c>
      <c r="AB108" s="1734" t="n"/>
    </row>
    <row r="109" ht="14.25" customHeight="1" s="866">
      <c r="A109" s="1718" t="n">
        <v>99522</v>
      </c>
      <c r="B109" s="1719" t="inlineStr">
        <is>
          <t>Mitchell Clarke</t>
        </is>
      </c>
      <c r="C109" s="1720" t="inlineStr">
        <is>
          <t>Snr Data Governance Specialist</t>
        </is>
      </c>
      <c r="D109" s="1721" t="inlineStr">
        <is>
          <t>Sanjay Tikoo</t>
        </is>
      </c>
      <c r="E109" s="1719" t="inlineStr">
        <is>
          <t>Data Capability Manager</t>
        </is>
      </c>
      <c r="F109" s="1751" t="inlineStr">
        <is>
          <t>Strategy, Architecture &amp; Data</t>
        </is>
      </c>
      <c r="G109" s="1721" t="inlineStr">
        <is>
          <t>Group Data</t>
        </is>
      </c>
      <c r="H109" s="1721" t="inlineStr">
        <is>
          <t>Data Capability</t>
        </is>
      </c>
      <c r="I109" s="1751" t="inlineStr">
        <is>
          <t>Enterprise Data</t>
        </is>
      </c>
      <c r="J109" s="1751" t="inlineStr">
        <is>
          <t>Group Data</t>
        </is>
      </c>
      <c r="K109" s="1721" t="n"/>
      <c r="L109" s="1721" t="n"/>
      <c r="M109" s="1722" t="inlineStr">
        <is>
          <t>Australia</t>
        </is>
      </c>
      <c r="N109" s="1723" t="inlineStr">
        <is>
          <t>CIC</t>
        </is>
      </c>
      <c r="O109" s="1723" t="n">
        <v>1</v>
      </c>
      <c r="P109" s="1723" t="n"/>
      <c r="Q109" s="1723" t="inlineStr">
        <is>
          <t>Permanent - Full Time</t>
        </is>
      </c>
      <c r="R109" s="1725" t="n"/>
      <c r="S109" s="1725" t="n"/>
      <c r="T109" s="1726" t="n">
        <v>169280</v>
      </c>
      <c r="U109" s="1727" t="n">
        <v>169280</v>
      </c>
      <c r="V109" s="1729" t="n">
        <v>0.12</v>
      </c>
      <c r="W109" s="1732" t="n">
        <v>0.055</v>
      </c>
      <c r="X109" s="1732" t="n">
        <v>0.12</v>
      </c>
      <c r="Y109" s="1733" t="n"/>
      <c r="Z109" s="1732" t="n">
        <v>0.04</v>
      </c>
      <c r="AA109" s="1731">
        <f>U109*(1+V109+W109+X109+Y109+Z109)</f>
        <v>225988.8</v>
      </c>
      <c r="AB109" s="1734" t="n"/>
    </row>
    <row r="110" ht="14.25" customHeight="1" s="866">
      <c r="A110" s="1718" t="n">
        <v>107048</v>
      </c>
      <c r="B110" s="1719" t="inlineStr">
        <is>
          <t>Om Singh</t>
        </is>
      </c>
      <c r="C110" s="1720" t="inlineStr">
        <is>
          <t>Data Scientist</t>
        </is>
      </c>
      <c r="D110" s="1719" t="inlineStr">
        <is>
          <t>Jonathan Robinson</t>
        </is>
      </c>
      <c r="E110" s="1719" t="inlineStr">
        <is>
          <t>Technology Manager, Data Science</t>
        </is>
      </c>
      <c r="F110" s="1751" t="inlineStr">
        <is>
          <t>Strategy, Architecture &amp; Data</t>
        </is>
      </c>
      <c r="G110" s="1721" t="inlineStr">
        <is>
          <t>Group Data</t>
        </is>
      </c>
      <c r="H110" s="1751" t="inlineStr">
        <is>
          <t>Data Science</t>
        </is>
      </c>
      <c r="I110" s="1751" t="inlineStr">
        <is>
          <t>Enterprise Data</t>
        </is>
      </c>
      <c r="J110" s="1751" t="inlineStr">
        <is>
          <t>Group Data</t>
        </is>
      </c>
      <c r="K110" s="1721" t="inlineStr">
        <is>
          <t>Data Science</t>
        </is>
      </c>
      <c r="L110" s="1721" t="n"/>
      <c r="M110" s="1722" t="inlineStr">
        <is>
          <t>Australia</t>
        </is>
      </c>
      <c r="N110" s="1723" t="inlineStr">
        <is>
          <t>CIA</t>
        </is>
      </c>
      <c r="O110" s="1723" t="n">
        <v>1</v>
      </c>
      <c r="P110" s="1723" t="n"/>
      <c r="Q110" s="1723" t="inlineStr">
        <is>
          <t>Temporary - Full Time</t>
        </is>
      </c>
      <c r="R110" s="1725" t="n"/>
      <c r="S110" s="1725" t="n"/>
      <c r="T110" s="1726" t="n">
        <v>138000</v>
      </c>
      <c r="U110" s="1727" t="n">
        <v>138000</v>
      </c>
      <c r="V110" s="1729" t="n">
        <v>0.1</v>
      </c>
      <c r="W110" s="1732" t="n">
        <v>0.055</v>
      </c>
      <c r="X110" s="1732" t="n">
        <v>0.12</v>
      </c>
      <c r="Y110" s="1733" t="n"/>
      <c r="Z110" s="1732" t="n">
        <v>0.04</v>
      </c>
      <c r="AA110" s="1731">
        <f>U110*(1+V110+W110+X110+Y110+Z110)</f>
        <v>181470</v>
      </c>
      <c r="AB110" s="1734" t="n"/>
    </row>
    <row r="111" ht="14.25" customHeight="1" s="866">
      <c r="A111" s="1718" t="n">
        <v>107154</v>
      </c>
      <c r="B111" s="1719" t="inlineStr">
        <is>
          <t>Prashant Tataskar</t>
        </is>
      </c>
      <c r="C111" s="1720" t="inlineStr">
        <is>
          <t>Data Scientist</t>
        </is>
      </c>
      <c r="D111" s="1719" t="inlineStr">
        <is>
          <t>Jonathan Robinson</t>
        </is>
      </c>
      <c r="E111" s="1719" t="inlineStr">
        <is>
          <t>Technology Manager, Data Science</t>
        </is>
      </c>
      <c r="F111" s="1751" t="inlineStr">
        <is>
          <t>Strategy, Architecture &amp; Data</t>
        </is>
      </c>
      <c r="G111" s="1721" t="inlineStr">
        <is>
          <t>Group Data</t>
        </is>
      </c>
      <c r="H111" s="1751" t="inlineStr">
        <is>
          <t>Data Science</t>
        </is>
      </c>
      <c r="I111" s="1751" t="inlineStr">
        <is>
          <t>Enterprise Data</t>
        </is>
      </c>
      <c r="J111" s="1751" t="inlineStr">
        <is>
          <t>Group Data</t>
        </is>
      </c>
      <c r="K111" s="1721" t="inlineStr">
        <is>
          <t>Data Science</t>
        </is>
      </c>
      <c r="L111" s="1721" t="n"/>
      <c r="M111" s="1722" t="inlineStr">
        <is>
          <t>Australia</t>
        </is>
      </c>
      <c r="N111" s="1723" t="inlineStr">
        <is>
          <t>CIB</t>
        </is>
      </c>
      <c r="O111" s="1723" t="n">
        <v>1</v>
      </c>
      <c r="P111" s="1723" t="n"/>
      <c r="Q111" s="1723" t="inlineStr">
        <is>
          <t>Permanent - Full Time</t>
        </is>
      </c>
      <c r="R111" s="1725" t="n"/>
      <c r="S111" s="1725" t="n"/>
      <c r="T111" s="1726" t="n">
        <v>156160</v>
      </c>
      <c r="U111" s="1727" t="n">
        <v>156160</v>
      </c>
      <c r="V111" s="1729" t="n">
        <v>0.12</v>
      </c>
      <c r="W111" s="1732" t="n">
        <v>0.055</v>
      </c>
      <c r="X111" s="1732" t="n">
        <v>0.12</v>
      </c>
      <c r="Y111" s="1733" t="n"/>
      <c r="Z111" s="1732" t="n">
        <v>0.04</v>
      </c>
      <c r="AA111" s="1731">
        <f>U111*(1+V111+W111+X111+Y111+Z111)</f>
        <v>208473.6</v>
      </c>
      <c r="AB111" s="1734" t="n"/>
    </row>
    <row r="112" ht="14.25" customHeight="1" s="866">
      <c r="A112" s="1718" t="n">
        <v>113451</v>
      </c>
      <c r="B112" s="1719" t="inlineStr">
        <is>
          <t>Prashanth Krishnankutty</t>
        </is>
      </c>
      <c r="C112" s="1720" t="inlineStr">
        <is>
          <t>Lead Reporting &amp; Insights</t>
        </is>
      </c>
      <c r="D112" s="1719" t="inlineStr">
        <is>
          <t>Jason Gleason</t>
        </is>
      </c>
      <c r="E112" s="1719" t="inlineStr">
        <is>
          <t>Technology Manager, Data Engineering &amp; Platforms</t>
        </is>
      </c>
      <c r="F112" s="1751" t="inlineStr">
        <is>
          <t>Strategy, Architecture &amp; Data</t>
        </is>
      </c>
      <c r="G112" s="1721" t="inlineStr">
        <is>
          <t>Group Data</t>
        </is>
      </c>
      <c r="H112" s="1751" t="inlineStr">
        <is>
          <t>Data Engineering &amp; Platforms</t>
        </is>
      </c>
      <c r="I112" s="1751" t="inlineStr">
        <is>
          <t>Enterprise Data</t>
        </is>
      </c>
      <c r="J112" s="1751" t="inlineStr">
        <is>
          <t>Group Data</t>
        </is>
      </c>
      <c r="K112" s="1751" t="inlineStr">
        <is>
          <t>Reporting &amp; Analytics</t>
        </is>
      </c>
      <c r="L112" s="1721" t="n"/>
      <c r="M112" s="1722" t="inlineStr">
        <is>
          <t>Australia</t>
        </is>
      </c>
      <c r="N112" s="1723" t="inlineStr">
        <is>
          <t>CIC</t>
        </is>
      </c>
      <c r="O112" s="1723" t="n">
        <v>1</v>
      </c>
      <c r="P112" s="1723" t="n"/>
      <c r="Q112" s="1723" t="inlineStr">
        <is>
          <t>Permanent - Full Time</t>
        </is>
      </c>
      <c r="R112" s="1725" t="n"/>
      <c r="S112" s="1725" t="n"/>
      <c r="T112" s="1726" t="n">
        <v>191290</v>
      </c>
      <c r="U112" s="1727" t="n">
        <v>191290</v>
      </c>
      <c r="V112" s="1729" t="n">
        <v>0.12</v>
      </c>
      <c r="W112" s="1732" t="n">
        <v>0.055</v>
      </c>
      <c r="X112" s="1732" t="n">
        <v>0.12</v>
      </c>
      <c r="Y112" s="1733" t="n"/>
      <c r="Z112" s="1732" t="n">
        <v>0.04</v>
      </c>
      <c r="AA112" s="1731">
        <f>U112*(1+V112+W112+X112+Y112+Z112)</f>
        <v>255372.15</v>
      </c>
      <c r="AB112" s="1734" t="n"/>
    </row>
    <row r="113" ht="14.25" customHeight="1" s="866">
      <c r="A113" s="1718" t="n">
        <v>83092</v>
      </c>
      <c r="B113" s="1719" t="inlineStr">
        <is>
          <t>Rakshit Kaul</t>
        </is>
      </c>
      <c r="C113" s="1720" t="inlineStr">
        <is>
          <t>Applications Specialist</t>
        </is>
      </c>
      <c r="D113" s="1719" t="inlineStr">
        <is>
          <t>Sai Konka</t>
        </is>
      </c>
      <c r="E113" s="1719" t="inlineStr">
        <is>
          <t>Applications &amp; Analytics Manager</t>
        </is>
      </c>
      <c r="F113" s="1751" t="inlineStr">
        <is>
          <t>Strategy, Architecture &amp; Data</t>
        </is>
      </c>
      <c r="G113" s="1721" t="inlineStr">
        <is>
          <t>Group Data</t>
        </is>
      </c>
      <c r="H113" s="1751" t="inlineStr">
        <is>
          <t>Data Engineering &amp; Platforms</t>
        </is>
      </c>
      <c r="I113" s="1751" t="inlineStr">
        <is>
          <t>Enterprise Data</t>
        </is>
      </c>
      <c r="J113" s="1751" t="inlineStr">
        <is>
          <t>EGI</t>
        </is>
      </c>
      <c r="K113" s="1751" t="inlineStr">
        <is>
          <t>Reporting &amp; Analytics</t>
        </is>
      </c>
      <c r="L113" s="1721" t="n"/>
      <c r="M113" s="1722" t="inlineStr">
        <is>
          <t>Australia</t>
        </is>
      </c>
      <c r="N113" s="1725" t="inlineStr">
        <is>
          <t>CIB</t>
        </is>
      </c>
      <c r="O113" s="1725" t="n">
        <v>1</v>
      </c>
      <c r="P113" s="1725" t="n"/>
      <c r="Q113" s="1725" t="inlineStr">
        <is>
          <t>Permanent - Full Time</t>
        </is>
      </c>
      <c r="R113" s="1725" t="n"/>
      <c r="S113" s="1725" t="n"/>
      <c r="T113" s="1726" t="n">
        <v>178100</v>
      </c>
      <c r="U113" s="1727" t="n">
        <v>178100</v>
      </c>
      <c r="V113" s="1729" t="n">
        <v>0.12</v>
      </c>
      <c r="W113" s="1732" t="n">
        <v>0.055</v>
      </c>
      <c r="X113" s="1732" t="n">
        <v>0.12</v>
      </c>
      <c r="Y113" s="1733" t="n"/>
      <c r="Z113" s="1732" t="n">
        <v>0.04</v>
      </c>
      <c r="AA113" s="1731">
        <f>U113*(1+V113+W113+X113+Y113+Z113)</f>
        <v>237763.5</v>
      </c>
      <c r="AB113" s="1734" t="n"/>
    </row>
    <row r="114" ht="14.25" customHeight="1" s="866">
      <c r="A114" s="1718" t="n">
        <v>98599</v>
      </c>
      <c r="B114" s="1719" t="inlineStr">
        <is>
          <t>Raymond Bai</t>
        </is>
      </c>
      <c r="C114" s="1720" t="inlineStr">
        <is>
          <t>Data Adoption Specialist</t>
        </is>
      </c>
      <c r="D114" s="1721" t="inlineStr">
        <is>
          <t>Sanjay Tikoo</t>
        </is>
      </c>
      <c r="E114" s="1719" t="inlineStr">
        <is>
          <t>Lead Engineer (Databricks)</t>
        </is>
      </c>
      <c r="F114" s="1751" t="inlineStr">
        <is>
          <t>Strategy, Architecture &amp; Data</t>
        </is>
      </c>
      <c r="G114" s="1721" t="inlineStr">
        <is>
          <t>Group Data</t>
        </is>
      </c>
      <c r="H114" s="1751" t="inlineStr">
        <is>
          <t>Data Capability</t>
        </is>
      </c>
      <c r="I114" s="1721" t="inlineStr">
        <is>
          <t>Enterprise Data</t>
        </is>
      </c>
      <c r="J114" s="1751" t="inlineStr">
        <is>
          <t>Group Data</t>
        </is>
      </c>
      <c r="K114" s="1721" t="n"/>
      <c r="L114" s="1721" t="n"/>
      <c r="M114" s="1722" t="inlineStr">
        <is>
          <t>Australia</t>
        </is>
      </c>
      <c r="N114" s="1723" t="inlineStr">
        <is>
          <t>CIB</t>
        </is>
      </c>
      <c r="O114" s="1723" t="n">
        <v>1</v>
      </c>
      <c r="P114" s="1723" t="n"/>
      <c r="Q114" s="1723" t="inlineStr">
        <is>
          <t>Permanent - Full Time</t>
        </is>
      </c>
      <c r="R114" s="1725" t="n"/>
      <c r="S114" s="1725" t="n"/>
      <c r="T114" s="1726" t="n">
        <v>131740</v>
      </c>
      <c r="U114" s="1727" t="n">
        <v>131740</v>
      </c>
      <c r="V114" s="1729" t="n">
        <v>0.12</v>
      </c>
      <c r="W114" s="1732" t="n">
        <v>0.055</v>
      </c>
      <c r="X114" s="1732" t="n">
        <v>0.12</v>
      </c>
      <c r="Y114" s="1733" t="n"/>
      <c r="Z114" s="1732" t="n">
        <v>0.04</v>
      </c>
      <c r="AA114" s="1731">
        <f>U114*(1+V114+W114+X114+Y114+Z114)</f>
        <v>175872.9</v>
      </c>
      <c r="AB114" s="1734" t="n"/>
    </row>
    <row r="115" ht="14.25" customHeight="1" s="866">
      <c r="A115" s="1718" t="n">
        <v>110146</v>
      </c>
      <c r="B115" s="1719" t="inlineStr">
        <is>
          <t>Renosh Matthew Thomas</t>
        </is>
      </c>
      <c r="C115" s="1720" t="inlineStr">
        <is>
          <t>Data Enablement Lead</t>
        </is>
      </c>
      <c r="D115" s="1721" t="inlineStr">
        <is>
          <t>Sanjay Tikoo</t>
        </is>
      </c>
      <c r="E115" s="1719" t="inlineStr">
        <is>
          <t>Data Capability Manager</t>
        </is>
      </c>
      <c r="F115" s="1751" t="inlineStr">
        <is>
          <t>Strategy, Architecture &amp; Data</t>
        </is>
      </c>
      <c r="G115" s="1721" t="inlineStr">
        <is>
          <t>Group Data</t>
        </is>
      </c>
      <c r="H115" s="1721" t="inlineStr">
        <is>
          <t>Data Capability</t>
        </is>
      </c>
      <c r="I115" s="1751" t="inlineStr">
        <is>
          <t>Enterprise Data</t>
        </is>
      </c>
      <c r="J115" s="1751" t="inlineStr">
        <is>
          <t>Group Data</t>
        </is>
      </c>
      <c r="K115" s="1721" t="n"/>
      <c r="L115" s="1721" t="n"/>
      <c r="M115" s="1722" t="inlineStr">
        <is>
          <t>Australia</t>
        </is>
      </c>
      <c r="N115" s="1723" t="inlineStr">
        <is>
          <t>CIB</t>
        </is>
      </c>
      <c r="O115" s="1723" t="n">
        <v>1</v>
      </c>
      <c r="P115" s="1723" t="n"/>
      <c r="Q115" s="1723" t="inlineStr">
        <is>
          <t>Permanent - Full Time</t>
        </is>
      </c>
      <c r="R115" s="1725" t="n"/>
      <c r="S115" s="1725" t="n"/>
      <c r="T115" s="1726" t="n">
        <v>170080</v>
      </c>
      <c r="U115" s="1727" t="n">
        <v>170080</v>
      </c>
      <c r="V115" s="1729" t="n">
        <v>0.12</v>
      </c>
      <c r="W115" s="1732" t="n">
        <v>0.055</v>
      </c>
      <c r="X115" s="1732" t="n">
        <v>0.12</v>
      </c>
      <c r="Y115" s="1733" t="n"/>
      <c r="Z115" s="1732" t="n">
        <v>0.04</v>
      </c>
      <c r="AA115" s="1731">
        <f>U115*(1+V115+W115+X115+Y115+Z115)</f>
        <v>227056.8</v>
      </c>
      <c r="AB115" s="1734" t="n"/>
    </row>
    <row r="116" ht="14.25" customHeight="1" s="866">
      <c r="A116" s="1718" t="n">
        <v>94631</v>
      </c>
      <c r="B116" s="1719" t="inlineStr">
        <is>
          <t>Rihan Schalkwyk</t>
        </is>
      </c>
      <c r="C116" s="1720" t="inlineStr">
        <is>
          <t>Senior Business Analyst</t>
        </is>
      </c>
      <c r="D116" s="1719" t="inlineStr">
        <is>
          <t>Joel Vijayakumar</t>
        </is>
      </c>
      <c r="E116" s="1719" t="inlineStr">
        <is>
          <t>Delivery Manager, Strategy, Architecture &amp; Data</t>
        </is>
      </c>
      <c r="F116" s="1751" t="inlineStr">
        <is>
          <t>Strategy, Architecture &amp; Data</t>
        </is>
      </c>
      <c r="G116" s="1721" t="inlineStr">
        <is>
          <t>Delivery, SADA</t>
        </is>
      </c>
      <c r="H116" s="1721" t="n"/>
      <c r="I116" s="1721" t="n"/>
      <c r="J116" s="1751" t="n"/>
      <c r="K116" s="1721" t="n"/>
      <c r="L116" s="1721" t="n"/>
      <c r="M116" s="1722" t="inlineStr">
        <is>
          <t>Australia</t>
        </is>
      </c>
      <c r="N116" s="1723" t="inlineStr">
        <is>
          <t>CIC</t>
        </is>
      </c>
      <c r="O116" s="1723" t="n">
        <v>1</v>
      </c>
      <c r="P116" s="1723" t="n"/>
      <c r="Q116" s="1723" t="inlineStr">
        <is>
          <t>Permanent - Full Time</t>
        </is>
      </c>
      <c r="R116" s="1725" t="n"/>
      <c r="S116" s="1725" t="n"/>
      <c r="T116" s="1726" t="n">
        <v>186610</v>
      </c>
      <c r="U116" s="1727" t="n">
        <v>186610</v>
      </c>
      <c r="V116" s="1729" t="n">
        <v>0.12</v>
      </c>
      <c r="W116" s="1732" t="n">
        <v>0.055</v>
      </c>
      <c r="X116" s="1732" t="n">
        <v>0.12</v>
      </c>
      <c r="Y116" s="1733" t="n"/>
      <c r="Z116" s="1732" t="n">
        <v>0.04</v>
      </c>
      <c r="AA116" s="1731">
        <f>U116*(1+V116+W116+X116+Y116+Z116)</f>
        <v>249124.35</v>
      </c>
      <c r="AB116" s="1734" t="n"/>
    </row>
    <row r="117" ht="14.25" customHeight="1" s="866">
      <c r="A117" s="1718" t="inlineStr">
        <is>
          <t>V</t>
        </is>
      </c>
      <c r="B117" s="1719" t="inlineStr">
        <is>
          <t>ring fenced</t>
        </is>
      </c>
      <c r="C117" s="1720" t="inlineStr">
        <is>
          <t>Enterprise Architect</t>
        </is>
      </c>
      <c r="D117" s="1719" t="inlineStr">
        <is>
          <t>Vacant</t>
        </is>
      </c>
      <c r="E117" s="1719" t="inlineStr">
        <is>
          <t>Head of Architecture</t>
        </is>
      </c>
      <c r="F117" s="1751" t="inlineStr">
        <is>
          <t>Strategy, Architecture &amp; Data</t>
        </is>
      </c>
      <c r="G117" s="1721" t="inlineStr">
        <is>
          <t>Architecture</t>
        </is>
      </c>
      <c r="H117" s="1751" t="inlineStr">
        <is>
          <t>Architecture</t>
        </is>
      </c>
      <c r="I117" s="1751" t="n"/>
      <c r="J117" s="1751" t="n"/>
      <c r="K117" s="1721" t="n"/>
      <c r="L117" s="1721" t="n"/>
      <c r="M117" s="1722" t="inlineStr">
        <is>
          <t>Australia</t>
        </is>
      </c>
      <c r="N117" s="1723" t="inlineStr">
        <is>
          <t>CSB</t>
        </is>
      </c>
      <c r="O117" s="1723" t="n">
        <v>1</v>
      </c>
      <c r="P117" s="1723" t="n"/>
      <c r="Q117" s="1723" t="inlineStr">
        <is>
          <t>Pause</t>
        </is>
      </c>
      <c r="R117" s="1746" t="n"/>
      <c r="S117" s="1725" t="n"/>
      <c r="T117" s="1726" t="n">
        <v>203550</v>
      </c>
      <c r="U117" s="1727" t="n">
        <v>203550</v>
      </c>
      <c r="V117" s="1729" t="n">
        <v>0.14</v>
      </c>
      <c r="W117" s="1732" t="n">
        <v>0.055</v>
      </c>
      <c r="X117" s="1732" t="n">
        <v>0.12</v>
      </c>
      <c r="Y117" s="1733" t="n"/>
      <c r="Z117" s="1732" t="n">
        <v>0.04</v>
      </c>
      <c r="AA117" s="1731">
        <f>U117*(1+V117+W117+X117+Y117+Z117)</f>
        <v>275810.25</v>
      </c>
      <c r="AB117" s="1734" t="n"/>
    </row>
    <row r="118" ht="14.25" customHeight="1" s="866">
      <c r="A118" s="1718" t="n"/>
      <c r="B118" s="1719" t="inlineStr">
        <is>
          <t>ring fenced</t>
        </is>
      </c>
      <c r="C118" s="1720" t="inlineStr">
        <is>
          <t>Domain Architect - Customer &amp; Digital Tech</t>
        </is>
      </c>
      <c r="D118" s="1719" t="inlineStr">
        <is>
          <t>Vacant</t>
        </is>
      </c>
      <c r="E118" s="1719" t="inlineStr">
        <is>
          <t>Head of Architecture</t>
        </is>
      </c>
      <c r="F118" s="1751" t="inlineStr">
        <is>
          <t>Strategy, Architecture &amp; Data</t>
        </is>
      </c>
      <c r="G118" s="1721" t="inlineStr">
        <is>
          <t>Architecture</t>
        </is>
      </c>
      <c r="H118" s="1751" t="inlineStr">
        <is>
          <t>Architecture</t>
        </is>
      </c>
      <c r="I118" s="1751" t="n"/>
      <c r="J118" s="1751" t="n"/>
      <c r="K118" s="1721" t="n"/>
      <c r="L118" s="1721" t="n"/>
      <c r="M118" s="1722" t="inlineStr">
        <is>
          <t>Australia</t>
        </is>
      </c>
      <c r="N118" s="1723" t="inlineStr">
        <is>
          <t>CIC</t>
        </is>
      </c>
      <c r="O118" s="1723" t="n">
        <v>1</v>
      </c>
      <c r="P118" s="1723" t="n"/>
      <c r="Q118" s="1723" t="inlineStr">
        <is>
          <t>v</t>
        </is>
      </c>
      <c r="R118" s="1746" t="n"/>
      <c r="S118" s="1725" t="n"/>
      <c r="T118" s="1726" t="n">
        <v>173550</v>
      </c>
      <c r="U118" s="1727" t="n">
        <v>173550</v>
      </c>
      <c r="V118" s="1729" t="n">
        <v>0.12</v>
      </c>
      <c r="W118" s="1732" t="n">
        <v>0.055</v>
      </c>
      <c r="X118" s="1732" t="n">
        <v>0.12</v>
      </c>
      <c r="Y118" s="1733" t="n"/>
      <c r="Z118" s="1732" t="n">
        <v>0.04</v>
      </c>
      <c r="AA118" s="1731">
        <f>U118*(1+V118+W118+X118+Y118+Z118)</f>
        <v>231689.25</v>
      </c>
      <c r="AB118" s="1734" t="n"/>
    </row>
    <row r="119" ht="14.25" customHeight="1" s="866">
      <c r="A119" s="1718" t="n"/>
      <c r="B119" s="1719" t="inlineStr">
        <is>
          <t>ring fenced</t>
        </is>
      </c>
      <c r="C119" s="1720" t="inlineStr">
        <is>
          <t>Domain Architect - Retail &amp; Z</t>
        </is>
      </c>
      <c r="D119" s="1719" t="inlineStr">
        <is>
          <t>Vacant</t>
        </is>
      </c>
      <c r="E119" s="1719" t="inlineStr">
        <is>
          <t>Head of Architecture</t>
        </is>
      </c>
      <c r="F119" s="1751" t="inlineStr">
        <is>
          <t>Strategy, Architecture &amp; Data</t>
        </is>
      </c>
      <c r="G119" s="1721" t="inlineStr">
        <is>
          <t>Architecture</t>
        </is>
      </c>
      <c r="H119" s="1751" t="inlineStr">
        <is>
          <t>Architecture</t>
        </is>
      </c>
      <c r="I119" s="1751" t="n"/>
      <c r="J119" s="1751" t="n"/>
      <c r="K119" s="1721" t="n"/>
      <c r="L119" s="1721" t="n"/>
      <c r="M119" s="1722" t="inlineStr">
        <is>
          <t>Australia</t>
        </is>
      </c>
      <c r="N119" s="1723" t="inlineStr">
        <is>
          <t>CIC</t>
        </is>
      </c>
      <c r="O119" s="1723" t="n">
        <v>1</v>
      </c>
      <c r="P119" s="1723" t="n"/>
      <c r="Q119" s="1723" t="inlineStr">
        <is>
          <t>v</t>
        </is>
      </c>
      <c r="R119" s="1746" t="n"/>
      <c r="S119" s="1725" t="n"/>
      <c r="T119" s="1726" t="n">
        <v>173550</v>
      </c>
      <c r="U119" s="1727" t="n">
        <v>173550</v>
      </c>
      <c r="V119" s="1729" t="n">
        <v>0.12</v>
      </c>
      <c r="W119" s="1732" t="n">
        <v>0.055</v>
      </c>
      <c r="X119" s="1732" t="n">
        <v>0.12</v>
      </c>
      <c r="Y119" s="1733" t="n"/>
      <c r="Z119" s="1732" t="n">
        <v>0.04</v>
      </c>
      <c r="AA119" s="1731">
        <f>U119*(1+V119+W119+X119+Y119+Z119)</f>
        <v>231689.25</v>
      </c>
      <c r="AB119" s="1734" t="n"/>
    </row>
    <row r="120" ht="14.25" customHeight="1" s="866">
      <c r="A120" s="1718" t="n"/>
      <c r="B120" s="1719" t="inlineStr">
        <is>
          <t>ring fenced</t>
        </is>
      </c>
      <c r="C120" s="1720" t="inlineStr">
        <is>
          <t>Domain Architect - TDD</t>
        </is>
      </c>
      <c r="D120" s="1719" t="inlineStr">
        <is>
          <t>Vacant</t>
        </is>
      </c>
      <c r="E120" s="1719" t="inlineStr">
        <is>
          <t>Head of Architecture</t>
        </is>
      </c>
      <c r="F120" s="1751" t="inlineStr">
        <is>
          <t>Strategy, Architecture &amp; Data</t>
        </is>
      </c>
      <c r="G120" s="1721" t="inlineStr">
        <is>
          <t>Architecture</t>
        </is>
      </c>
      <c r="H120" s="1751" t="inlineStr">
        <is>
          <t>Architecture</t>
        </is>
      </c>
      <c r="I120" s="1751" t="n"/>
      <c r="J120" s="1751" t="n"/>
      <c r="K120" s="1721" t="n"/>
      <c r="L120" s="1721" t="n"/>
      <c r="M120" s="1722" t="inlineStr">
        <is>
          <t>Australia</t>
        </is>
      </c>
      <c r="N120" s="1723" t="inlineStr">
        <is>
          <t>CIC</t>
        </is>
      </c>
      <c r="O120" s="1723" t="n">
        <v>1</v>
      </c>
      <c r="P120" s="1723" t="n"/>
      <c r="Q120" s="1723" t="inlineStr">
        <is>
          <t>v</t>
        </is>
      </c>
      <c r="R120" s="1746" t="n"/>
      <c r="S120" s="1725" t="n"/>
      <c r="T120" s="1726" t="n">
        <v>173550</v>
      </c>
      <c r="U120" s="1727" t="n">
        <v>173550</v>
      </c>
      <c r="V120" s="1729" t="n">
        <v>0.12</v>
      </c>
      <c r="W120" s="1732" t="n">
        <v>0.055</v>
      </c>
      <c r="X120" s="1732" t="n">
        <v>0.12</v>
      </c>
      <c r="Y120" s="1733" t="n"/>
      <c r="Z120" s="1732" t="n">
        <v>0.04</v>
      </c>
      <c r="AA120" s="1731">
        <f>U120*(1+V120+W120+X120+Y120+Z120)</f>
        <v>231689.25</v>
      </c>
      <c r="AB120" s="1734" t="n"/>
    </row>
    <row r="121" ht="14.25" customHeight="1" s="866">
      <c r="A121" s="1718" t="n">
        <v>109802</v>
      </c>
      <c r="B121" s="1719" t="inlineStr">
        <is>
          <t>Roger Blazey</t>
        </is>
      </c>
      <c r="C121" s="1720" t="inlineStr">
        <is>
          <t>Architect (AI Innovation)</t>
        </is>
      </c>
      <c r="D121" s="1719" t="inlineStr">
        <is>
          <t>Vacant</t>
        </is>
      </c>
      <c r="E121" s="1719" t="inlineStr">
        <is>
          <t>Head of Technology  Strategy &amp; AI Capability</t>
        </is>
      </c>
      <c r="F121" s="1751" t="inlineStr">
        <is>
          <t>Strategy, Architecture &amp; Data</t>
        </is>
      </c>
      <c r="G121" s="1721" t="inlineStr">
        <is>
          <t>Technology Strategy &amp; AI Capability</t>
        </is>
      </c>
      <c r="H121" s="1721" t="inlineStr">
        <is>
          <t>Technology Strategy &amp; AI Capability</t>
        </is>
      </c>
      <c r="I121" s="1751" t="n"/>
      <c r="J121" s="1751" t="n"/>
      <c r="K121" s="1721" t="n"/>
      <c r="L121" s="1721" t="n"/>
      <c r="M121" s="1722" t="inlineStr">
        <is>
          <t>Australia</t>
        </is>
      </c>
      <c r="N121" s="1723" t="inlineStr">
        <is>
          <t>CIC</t>
        </is>
      </c>
      <c r="O121" s="1723" t="n">
        <v>1</v>
      </c>
      <c r="P121" s="1723" t="n"/>
      <c r="Q121" s="1723" t="inlineStr">
        <is>
          <t>Permanent - Full Time</t>
        </is>
      </c>
      <c r="R121" s="1725" t="n"/>
      <c r="S121" s="1725" t="n"/>
      <c r="T121" s="1726" t="n">
        <v>187450</v>
      </c>
      <c r="U121" s="1727" t="n">
        <v>187450</v>
      </c>
      <c r="V121" s="1729" t="n">
        <v>0.12</v>
      </c>
      <c r="W121" s="1732" t="n">
        <v>0.055</v>
      </c>
      <c r="X121" s="1732" t="n">
        <v>0.12</v>
      </c>
      <c r="Y121" s="1733" t="n"/>
      <c r="Z121" s="1732" t="n">
        <v>0.04</v>
      </c>
      <c r="AA121" s="1731">
        <f>U121*(1+V121+W121+X121+Y121+Z121)</f>
        <v>250245.75</v>
      </c>
      <c r="AB121" s="1734" t="n"/>
    </row>
    <row r="122" ht="14.25" customHeight="1" s="866">
      <c r="A122" s="1718" t="n">
        <v>99999101674</v>
      </c>
      <c r="B122" s="1719" t="inlineStr">
        <is>
          <t>Roozbeh Shahbazirad</t>
        </is>
      </c>
      <c r="C122" s="1720" t="inlineStr">
        <is>
          <t>Lead Engineer</t>
        </is>
      </c>
      <c r="D122" s="1719" t="inlineStr">
        <is>
          <t>Jason Gleason</t>
        </is>
      </c>
      <c r="E122" s="1719" t="inlineStr">
        <is>
          <t>Technology Manager, Data Engineering &amp; Platforms</t>
        </is>
      </c>
      <c r="F122" s="1751" t="inlineStr">
        <is>
          <t>Strategy, Architecture &amp; Data</t>
        </is>
      </c>
      <c r="G122" s="1721" t="inlineStr">
        <is>
          <t>Group Data</t>
        </is>
      </c>
      <c r="H122" s="1751" t="inlineStr">
        <is>
          <t>Data Engineering &amp; Platforms</t>
        </is>
      </c>
      <c r="I122" s="1721" t="inlineStr">
        <is>
          <t>Enterprise Data</t>
        </is>
      </c>
      <c r="J122" s="1751" t="inlineStr">
        <is>
          <t>Group Data</t>
        </is>
      </c>
      <c r="K122" s="1721" t="inlineStr">
        <is>
          <t>Data Platform</t>
        </is>
      </c>
      <c r="L122" s="1721" t="n"/>
      <c r="M122" s="1722" t="inlineStr">
        <is>
          <t>NZ</t>
        </is>
      </c>
      <c r="N122" s="1723" t="inlineStr">
        <is>
          <t>CIC</t>
        </is>
      </c>
      <c r="O122" s="1724" t="n">
        <v>1</v>
      </c>
      <c r="P122" s="1723" t="n"/>
      <c r="Q122" s="1724" t="inlineStr">
        <is>
          <t>Permanent - Full Time</t>
        </is>
      </c>
      <c r="R122" s="1725" t="n"/>
      <c r="S122" s="1725" t="n"/>
      <c r="T122" s="1726" t="n">
        <v>177710</v>
      </c>
      <c r="U122" s="1727" t="n">
        <v>163493.2</v>
      </c>
      <c r="V122" s="1728" t="n">
        <v>0.15</v>
      </c>
      <c r="W122" s="1725" t="n"/>
      <c r="X122" s="1729" t="n">
        <v>0.05</v>
      </c>
      <c r="Y122" s="1730" t="n">
        <v>2910</v>
      </c>
      <c r="Z122" s="1729" t="n">
        <v>0.03</v>
      </c>
      <c r="AA122" s="1731">
        <f>U122*(1+V122+X122+Z122)+Y122</f>
        <v>204006.636</v>
      </c>
      <c r="AB122" s="1432" t="n">
        <v>113607</v>
      </c>
    </row>
    <row r="123" ht="14.25" customHeight="1" s="866">
      <c r="A123" s="1718" t="n">
        <v>12010</v>
      </c>
      <c r="B123" s="1719" t="inlineStr">
        <is>
          <t>Sai Konka</t>
        </is>
      </c>
      <c r="C123" s="1720" t="inlineStr">
        <is>
          <t>Application &amp; Analytics Manager</t>
        </is>
      </c>
      <c r="D123" s="1719" t="inlineStr">
        <is>
          <t>Jason Gleason</t>
        </is>
      </c>
      <c r="E123" s="1719" t="inlineStr">
        <is>
          <t>Technology Manager, Data Engineering &amp; Platforms</t>
        </is>
      </c>
      <c r="F123" s="1751" t="inlineStr">
        <is>
          <t>Strategy, Architecture &amp; Data</t>
        </is>
      </c>
      <c r="G123" s="1721" t="inlineStr">
        <is>
          <t>Group Data</t>
        </is>
      </c>
      <c r="H123" s="1751" t="inlineStr">
        <is>
          <t>Data Engineering &amp; Platforms</t>
        </is>
      </c>
      <c r="I123" s="1751" t="inlineStr">
        <is>
          <t>Enterprise Data</t>
        </is>
      </c>
      <c r="J123" s="1751" t="inlineStr">
        <is>
          <t>EGI</t>
        </is>
      </c>
      <c r="K123" s="1751" t="inlineStr">
        <is>
          <t>Reporting &amp; Analytics</t>
        </is>
      </c>
      <c r="L123" s="1721" t="n"/>
      <c r="M123" s="1722" t="inlineStr">
        <is>
          <t>Australia</t>
        </is>
      </c>
      <c r="N123" s="1725" t="inlineStr">
        <is>
          <t>CIC</t>
        </is>
      </c>
      <c r="O123" s="1725" t="n">
        <v>1</v>
      </c>
      <c r="P123" s="1725" t="n"/>
      <c r="Q123" s="1725" t="inlineStr">
        <is>
          <t>Permanent - Full Time</t>
        </is>
      </c>
      <c r="R123" s="1725" t="n"/>
      <c r="S123" s="1725" t="n"/>
      <c r="T123" s="1726" t="n">
        <v>197480</v>
      </c>
      <c r="U123" s="1727" t="n">
        <v>197480</v>
      </c>
      <c r="V123" s="1729" t="n">
        <v>0.12</v>
      </c>
      <c r="W123" s="1732" t="n">
        <v>0.055</v>
      </c>
      <c r="X123" s="1732" t="n">
        <v>0.12</v>
      </c>
      <c r="Y123" s="1733" t="n"/>
      <c r="Z123" s="1732" t="n">
        <v>0.04</v>
      </c>
      <c r="AA123" s="1731">
        <f>U123*(1+V123+W123+X123+Y123+Z123)</f>
        <v>263635.8</v>
      </c>
      <c r="AB123" s="1734" t="n"/>
    </row>
    <row r="124" ht="14.25" customHeight="1" s="866">
      <c r="A124" s="1718" t="n"/>
      <c r="B124" s="1719" t="inlineStr">
        <is>
          <t>Sanjay Tikoo</t>
        </is>
      </c>
      <c r="C124" s="1720" t="inlineStr">
        <is>
          <t>Principal, Data Architecture &amp; Governance</t>
        </is>
      </c>
      <c r="D124" s="1719" t="inlineStr">
        <is>
          <t>James Holgate</t>
        </is>
      </c>
      <c r="E124" s="1719" t="inlineStr">
        <is>
          <t>Head of Technology,  Group Data</t>
        </is>
      </c>
      <c r="F124" s="1751" t="inlineStr">
        <is>
          <t>Strategy, Architecture &amp; Data</t>
        </is>
      </c>
      <c r="G124" s="1721" t="inlineStr">
        <is>
          <t>Group Data</t>
        </is>
      </c>
      <c r="H124" s="1721" t="inlineStr">
        <is>
          <t>Data Capability</t>
        </is>
      </c>
      <c r="I124" s="1751" t="inlineStr">
        <is>
          <t>Enterprise Data</t>
        </is>
      </c>
      <c r="J124" s="1751" t="inlineStr">
        <is>
          <t>Leadership</t>
        </is>
      </c>
      <c r="K124" s="1721" t="n"/>
      <c r="L124" s="1721" t="n"/>
      <c r="M124" s="1722" t="inlineStr">
        <is>
          <t>Australia</t>
        </is>
      </c>
      <c r="N124" s="1723" t="inlineStr">
        <is>
          <t>CSC</t>
        </is>
      </c>
      <c r="O124" s="1723" t="n">
        <v>1</v>
      </c>
      <c r="P124" s="1723" t="n"/>
      <c r="Q124" s="1723" t="inlineStr">
        <is>
          <t>Permanent - Full Time</t>
        </is>
      </c>
      <c r="R124" s="1725" t="n"/>
      <c r="S124" s="1725" t="n"/>
      <c r="T124" s="1726" t="n">
        <v>275000</v>
      </c>
      <c r="U124" s="1727" t="n">
        <v>275000</v>
      </c>
      <c r="V124" s="1729" t="n">
        <v>0.2</v>
      </c>
      <c r="W124" s="1732" t="n">
        <v>0.055</v>
      </c>
      <c r="X124" s="1732" t="n">
        <v>0.12</v>
      </c>
      <c r="Y124" s="1733" t="n"/>
      <c r="Z124" s="1732" t="n">
        <v>0.04</v>
      </c>
      <c r="AA124" s="1731">
        <f>U124*(1+V124+W124+X124+Y124+Z124)</f>
        <v>389125</v>
      </c>
      <c r="AB124" s="1734" t="n"/>
    </row>
    <row r="125" ht="14.25" customHeight="1" s="866">
      <c r="A125" s="1718" t="n">
        <v>80549</v>
      </c>
      <c r="B125" s="1719" t="inlineStr">
        <is>
          <t>Steve Murray</t>
        </is>
      </c>
      <c r="C125" s="1720" t="inlineStr">
        <is>
          <t>Applications Specialist</t>
        </is>
      </c>
      <c r="D125" s="1719" t="inlineStr">
        <is>
          <t>Sai Konka</t>
        </is>
      </c>
      <c r="E125" s="1719" t="inlineStr">
        <is>
          <t>Applications &amp; Analytics Manager</t>
        </is>
      </c>
      <c r="F125" s="1751" t="inlineStr">
        <is>
          <t>Strategy, Architecture &amp; Data</t>
        </is>
      </c>
      <c r="G125" s="1721" t="inlineStr">
        <is>
          <t>Group Data</t>
        </is>
      </c>
      <c r="H125" s="1751" t="inlineStr">
        <is>
          <t>Data Engineering &amp; Platforms</t>
        </is>
      </c>
      <c r="I125" s="1751" t="inlineStr">
        <is>
          <t>Enterprise Data</t>
        </is>
      </c>
      <c r="J125" s="1751" t="inlineStr">
        <is>
          <t>EGI</t>
        </is>
      </c>
      <c r="K125" s="1751" t="inlineStr">
        <is>
          <t>Reporting &amp; Analytics</t>
        </is>
      </c>
      <c r="L125" s="1721" t="n"/>
      <c r="M125" s="1722" t="inlineStr">
        <is>
          <t>Australia</t>
        </is>
      </c>
      <c r="N125" s="1725" t="inlineStr">
        <is>
          <t>CIB</t>
        </is>
      </c>
      <c r="O125" s="1725" t="n">
        <v>1</v>
      </c>
      <c r="P125" s="1725" t="n"/>
      <c r="Q125" s="1725" t="inlineStr">
        <is>
          <t>Permanent - Full Time</t>
        </is>
      </c>
      <c r="R125" s="1725" t="n"/>
      <c r="S125" s="1725" t="n"/>
      <c r="T125" s="1726" t="n">
        <v>182000</v>
      </c>
      <c r="U125" s="1727" t="n">
        <v>182000</v>
      </c>
      <c r="V125" s="1729" t="n">
        <v>0.12</v>
      </c>
      <c r="W125" s="1732" t="n">
        <v>0.055</v>
      </c>
      <c r="X125" s="1732" t="n">
        <v>0.12</v>
      </c>
      <c r="Y125" s="1733" t="n"/>
      <c r="Z125" s="1732" t="n">
        <v>0.04</v>
      </c>
      <c r="AA125" s="1731">
        <f>U125*(1+V125+W125+X125+Y125+Z125)</f>
        <v>242970</v>
      </c>
      <c r="AB125" s="1734" t="n"/>
    </row>
    <row r="126" ht="14.25" customHeight="1" s="866">
      <c r="A126" s="1718" t="n">
        <v>114147</v>
      </c>
      <c r="B126" s="1719" t="inlineStr">
        <is>
          <t>Sumathi Manikkampichai</t>
        </is>
      </c>
      <c r="C126" s="1720" t="inlineStr">
        <is>
          <t>Data Architect</t>
        </is>
      </c>
      <c r="D126" s="1719" t="inlineStr">
        <is>
          <t>Jason Gleason</t>
        </is>
      </c>
      <c r="E126" s="1719" t="inlineStr">
        <is>
          <t>Technology Manager, Data Engineering &amp; Platforms</t>
        </is>
      </c>
      <c r="F126" s="1751" t="inlineStr">
        <is>
          <t>Strategy, Architecture &amp; Data</t>
        </is>
      </c>
      <c r="G126" s="1721" t="inlineStr">
        <is>
          <t>Group Data</t>
        </is>
      </c>
      <c r="H126" s="1751" t="inlineStr">
        <is>
          <t>Data Engineering &amp; Platforms</t>
        </is>
      </c>
      <c r="I126" s="1751" t="inlineStr">
        <is>
          <t>Enterprise Data</t>
        </is>
      </c>
      <c r="J126" s="1751" t="inlineStr">
        <is>
          <t>EGI</t>
        </is>
      </c>
      <c r="K126" s="1751" t="inlineStr">
        <is>
          <t>Reporting &amp; Analytics</t>
        </is>
      </c>
      <c r="L126" s="1721" t="n"/>
      <c r="M126" s="1722" t="inlineStr">
        <is>
          <t>Australia</t>
        </is>
      </c>
      <c r="N126" s="1723" t="inlineStr">
        <is>
          <t>CIC</t>
        </is>
      </c>
      <c r="O126" s="1723" t="n">
        <v>1</v>
      </c>
      <c r="P126" s="1723" t="n"/>
      <c r="Q126" s="1723" t="inlineStr">
        <is>
          <t>Permanent - Full Time</t>
        </is>
      </c>
      <c r="R126" s="1725" t="n"/>
      <c r="S126" s="1725" t="n"/>
      <c r="T126" s="1726" t="n">
        <v>188010</v>
      </c>
      <c r="U126" s="1727" t="n">
        <v>188010</v>
      </c>
      <c r="V126" s="1729" t="n">
        <v>0.12</v>
      </c>
      <c r="W126" s="1732" t="n">
        <v>0.055</v>
      </c>
      <c r="X126" s="1732" t="n">
        <v>0.12</v>
      </c>
      <c r="Y126" s="1733" t="n"/>
      <c r="Z126" s="1732" t="n">
        <v>0.04</v>
      </c>
      <c r="AA126" s="1731">
        <f>U126*(1+V126+W126+X126+Y126+Z126)</f>
        <v>250993.35</v>
      </c>
      <c r="AB126" s="1734" t="n"/>
    </row>
    <row r="127" ht="14.25" customHeight="1" s="866">
      <c r="A127" s="1718" t="n">
        <v>99999101251</v>
      </c>
      <c r="B127" s="1719" t="inlineStr">
        <is>
          <t>Tim Snedden</t>
        </is>
      </c>
      <c r="C127" s="1720" t="inlineStr">
        <is>
          <t>Delivery Lead</t>
        </is>
      </c>
      <c r="D127" s="1719" t="inlineStr">
        <is>
          <t>Joel Vijayakumar</t>
        </is>
      </c>
      <c r="E127" s="1719" t="inlineStr">
        <is>
          <t>Delivery Manager, Strategy, Architecture &amp; Data</t>
        </is>
      </c>
      <c r="F127" s="1751" t="inlineStr">
        <is>
          <t>Strategy, Architecture &amp; Data</t>
        </is>
      </c>
      <c r="G127" s="1721" t="inlineStr">
        <is>
          <t>Delivery, SADA</t>
        </is>
      </c>
      <c r="H127" s="1721" t="n"/>
      <c r="I127" s="1721" t="inlineStr">
        <is>
          <t>Enterprise Data</t>
        </is>
      </c>
      <c r="J127" s="1751" t="inlineStr">
        <is>
          <t>Group Data</t>
        </is>
      </c>
      <c r="K127" s="1721" t="inlineStr">
        <is>
          <t>Data Platform</t>
        </is>
      </c>
      <c r="L127" s="1721" t="n"/>
      <c r="M127" s="1722" t="inlineStr">
        <is>
          <t>NZ</t>
        </is>
      </c>
      <c r="N127" s="1723" t="inlineStr">
        <is>
          <t>CSB</t>
        </is>
      </c>
      <c r="O127" s="1724" t="n">
        <v>1</v>
      </c>
      <c r="P127" s="1723" t="n"/>
      <c r="Q127" s="1724" t="inlineStr">
        <is>
          <t>Permanent - Full Time</t>
        </is>
      </c>
      <c r="R127" s="1725" t="n"/>
      <c r="S127" s="1725" t="n"/>
      <c r="T127" s="1726" t="n">
        <v>161600</v>
      </c>
      <c r="U127" s="1727" t="n">
        <v>148672</v>
      </c>
      <c r="V127" s="1728" t="n">
        <v>0.15</v>
      </c>
      <c r="W127" s="1725" t="n"/>
      <c r="X127" s="1729" t="n">
        <v>0.05</v>
      </c>
      <c r="Y127" s="1730" t="n">
        <v>2910</v>
      </c>
      <c r="Z127" s="1729" t="n">
        <v>0.03</v>
      </c>
      <c r="AA127" s="1731">
        <f>U127*(1+V127+X127+Z127)+Y127</f>
        <v>185776.56</v>
      </c>
      <c r="AB127" s="1432" t="n">
        <v>15175</v>
      </c>
    </row>
    <row r="128" ht="14.25" customHeight="1" s="866">
      <c r="A128" s="1718" t="inlineStr">
        <is>
          <t>V</t>
        </is>
      </c>
      <c r="B128" s="1719" t="inlineStr">
        <is>
          <t>Vacant</t>
        </is>
      </c>
      <c r="C128" s="1720" t="inlineStr">
        <is>
          <t>Service Transition Lead</t>
        </is>
      </c>
      <c r="D128" s="1719" t="inlineStr">
        <is>
          <t>Deepali Mahajan</t>
        </is>
      </c>
      <c r="E128" s="1719" t="inlineStr">
        <is>
          <t>Data Operations Manager</t>
        </is>
      </c>
      <c r="F128" s="1751" t="inlineStr">
        <is>
          <t>Strategy, Architecture &amp; Data</t>
        </is>
      </c>
      <c r="G128" s="1721" t="inlineStr">
        <is>
          <t>Group Data</t>
        </is>
      </c>
      <c r="H128" s="1751" t="inlineStr">
        <is>
          <t>Data Operations</t>
        </is>
      </c>
      <c r="I128" s="1751" t="inlineStr">
        <is>
          <t>Enterprise Data</t>
        </is>
      </c>
      <c r="J128" s="1721" t="inlineStr">
        <is>
          <t>Leadership</t>
        </is>
      </c>
      <c r="K128" s="1721" t="n"/>
      <c r="L128" s="1721" t="n"/>
      <c r="M128" s="1722" t="inlineStr">
        <is>
          <t>Australia</t>
        </is>
      </c>
      <c r="N128" s="1723" t="inlineStr">
        <is>
          <t>CIB</t>
        </is>
      </c>
      <c r="O128" s="1723" t="n">
        <v>1</v>
      </c>
      <c r="P128" s="1723" t="n"/>
      <c r="Q128" s="1723" t="inlineStr">
        <is>
          <t>v</t>
        </is>
      </c>
      <c r="R128" s="1725" t="n"/>
      <c r="S128" s="1725" t="n"/>
      <c r="T128" s="1726" t="n">
        <v>151950</v>
      </c>
      <c r="U128" s="1727" t="n">
        <v>151950</v>
      </c>
      <c r="V128" s="1729" t="n">
        <v>0.12</v>
      </c>
      <c r="W128" s="1732" t="n">
        <v>0.055</v>
      </c>
      <c r="X128" s="1732" t="n">
        <v>0.12</v>
      </c>
      <c r="Y128" s="1733" t="n"/>
      <c r="Z128" s="1732" t="n">
        <v>0.04</v>
      </c>
      <c r="AA128" s="1731">
        <f>U128*(1+V128+W128+X128+Y128+Z128)</f>
        <v>202853.25</v>
      </c>
      <c r="AB128" s="1734" t="n"/>
    </row>
    <row r="129" ht="14.25" customHeight="1" s="866">
      <c r="A129" s="1718" t="inlineStr">
        <is>
          <t>V</t>
        </is>
      </c>
      <c r="B129" s="1719" t="inlineStr">
        <is>
          <t>Vacant</t>
        </is>
      </c>
      <c r="C129" s="1720" t="inlineStr">
        <is>
          <t xml:space="preserve">Engineer Data  </t>
        </is>
      </c>
      <c r="D129" s="1719" t="inlineStr">
        <is>
          <t>Dinesh Chandrasekaran</t>
        </is>
      </c>
      <c r="E129" s="1719" t="inlineStr">
        <is>
          <t>Lead Engineer (Snowflake)</t>
        </is>
      </c>
      <c r="F129" s="1751" t="inlineStr">
        <is>
          <t>Strategy, Architecture &amp; Data</t>
        </is>
      </c>
      <c r="G129" s="1721" t="inlineStr">
        <is>
          <t>Group Data</t>
        </is>
      </c>
      <c r="H129" s="1751" t="inlineStr">
        <is>
          <t>Data Engineering &amp; Platforms</t>
        </is>
      </c>
      <c r="I129" s="1721" t="inlineStr">
        <is>
          <t>Enterprise Data</t>
        </is>
      </c>
      <c r="J129" s="1751" t="inlineStr">
        <is>
          <t>Group Data</t>
        </is>
      </c>
      <c r="K129" s="1721" t="inlineStr">
        <is>
          <t>Data Platform</t>
        </is>
      </c>
      <c r="L129" s="1721" t="n"/>
      <c r="M129" s="1722" t="inlineStr">
        <is>
          <t>Australia</t>
        </is>
      </c>
      <c r="N129" s="1723" t="inlineStr">
        <is>
          <t>CIB</t>
        </is>
      </c>
      <c r="O129" s="1723" t="n">
        <v>1</v>
      </c>
      <c r="P129" s="1723" t="n"/>
      <c r="Q129" s="1723" t="inlineStr">
        <is>
          <t>V</t>
        </is>
      </c>
      <c r="R129" s="1725" t="n"/>
      <c r="S129" s="1725" t="n"/>
      <c r="T129" s="1726" t="n">
        <v>151950</v>
      </c>
      <c r="U129" s="1727" t="n">
        <v>151950</v>
      </c>
      <c r="V129" s="1729" t="n">
        <v>0.12</v>
      </c>
      <c r="W129" s="1732" t="n">
        <v>0.055</v>
      </c>
      <c r="X129" s="1732" t="n">
        <v>0.12</v>
      </c>
      <c r="Y129" s="1733" t="n"/>
      <c r="Z129" s="1732" t="n">
        <v>0.04</v>
      </c>
      <c r="AA129" s="1731">
        <f>U129*(1+V129+W129+X129+Y129+Z129)</f>
        <v>202853.25</v>
      </c>
      <c r="AB129" s="1734" t="n"/>
    </row>
    <row r="130" ht="14.25" customHeight="1" s="866">
      <c r="A130" s="1718" t="inlineStr">
        <is>
          <t>V</t>
        </is>
      </c>
      <c r="B130" s="1719" t="inlineStr">
        <is>
          <t>Vacant</t>
        </is>
      </c>
      <c r="C130" s="1720" t="inlineStr">
        <is>
          <t>Engineer Data - Reporting</t>
        </is>
      </c>
      <c r="D130" s="1719" t="inlineStr">
        <is>
          <t>Dinesh Chandrasekaran</t>
        </is>
      </c>
      <c r="E130" s="1719" t="inlineStr">
        <is>
          <t>Lead Engineer (Snowflake)</t>
        </is>
      </c>
      <c r="F130" s="1751" t="inlineStr">
        <is>
          <t>Strategy, Architecture &amp; Data</t>
        </is>
      </c>
      <c r="G130" s="1721" t="inlineStr">
        <is>
          <t>Group Data</t>
        </is>
      </c>
      <c r="H130" s="1751" t="inlineStr">
        <is>
          <t>Data Engineering &amp; Platforms</t>
        </is>
      </c>
      <c r="I130" s="1751" t="inlineStr">
        <is>
          <t>Enterprise Data</t>
        </is>
      </c>
      <c r="J130" s="1751" t="inlineStr">
        <is>
          <t>Group Data</t>
        </is>
      </c>
      <c r="K130" s="1751" t="inlineStr">
        <is>
          <t>Reporting &amp; Analytics</t>
        </is>
      </c>
      <c r="L130" s="1721" t="n"/>
      <c r="M130" s="1722" t="inlineStr">
        <is>
          <t>Australia</t>
        </is>
      </c>
      <c r="N130" s="1723" t="inlineStr">
        <is>
          <t>CIB</t>
        </is>
      </c>
      <c r="O130" s="1723" t="n">
        <v>1</v>
      </c>
      <c r="P130" s="1723" t="n"/>
      <c r="Q130" s="1723" t="inlineStr">
        <is>
          <t>Pause</t>
        </is>
      </c>
      <c r="R130" s="1725" t="n"/>
      <c r="S130" s="1725" t="n"/>
      <c r="T130" s="1726" t="n">
        <v>151950</v>
      </c>
      <c r="U130" s="1727" t="n">
        <v>151950</v>
      </c>
      <c r="V130" s="1729" t="n">
        <v>0.12</v>
      </c>
      <c r="W130" s="1732" t="n">
        <v>0.055</v>
      </c>
      <c r="X130" s="1732" t="n">
        <v>0.12</v>
      </c>
      <c r="Y130" s="1733" t="n"/>
      <c r="Z130" s="1732" t="n">
        <v>0.04</v>
      </c>
      <c r="AA130" s="1731">
        <f>U130*(1+V130+W130+X130+Y130+Z130)</f>
        <v>202853.25</v>
      </c>
      <c r="AB130" s="1734" t="n"/>
    </row>
    <row r="131" ht="14.25" customHeight="1" s="866">
      <c r="A131" s="1718" t="inlineStr">
        <is>
          <t>V</t>
        </is>
      </c>
      <c r="B131" s="1719" t="inlineStr">
        <is>
          <t>Vacant</t>
        </is>
      </c>
      <c r="C131" s="1720" t="inlineStr">
        <is>
          <t>Quality Assurance</t>
        </is>
      </c>
      <c r="D131" s="1719" t="inlineStr">
        <is>
          <t>Dinesh Chandrasekaran</t>
        </is>
      </c>
      <c r="E131" s="1719" t="inlineStr">
        <is>
          <t>Lead Engineer (Snowflake)</t>
        </is>
      </c>
      <c r="F131" s="1751" t="inlineStr">
        <is>
          <t>Strategy, Architecture &amp; Data</t>
        </is>
      </c>
      <c r="G131" s="1721" t="inlineStr">
        <is>
          <t>Group Data</t>
        </is>
      </c>
      <c r="H131" s="1751" t="inlineStr">
        <is>
          <t>Data Engineering &amp; Platforms</t>
        </is>
      </c>
      <c r="I131" s="1721" t="inlineStr">
        <is>
          <t>Enterprise Data</t>
        </is>
      </c>
      <c r="J131" s="1751" t="inlineStr">
        <is>
          <t>Group Data</t>
        </is>
      </c>
      <c r="K131" s="1721" t="inlineStr">
        <is>
          <t>Data Platform</t>
        </is>
      </c>
      <c r="L131" s="1721" t="n"/>
      <c r="M131" s="1722" t="inlineStr">
        <is>
          <t>Australia</t>
        </is>
      </c>
      <c r="N131" s="1723" t="inlineStr">
        <is>
          <t>CIA</t>
        </is>
      </c>
      <c r="O131" s="1723" t="n">
        <v>1</v>
      </c>
      <c r="P131" s="1723" t="n"/>
      <c r="Q131" s="1723" t="inlineStr">
        <is>
          <t>v</t>
        </is>
      </c>
      <c r="R131" s="1725" t="n"/>
      <c r="S131" s="1725" t="n"/>
      <c r="T131" s="1726" t="n">
        <v>129650</v>
      </c>
      <c r="U131" s="1727" t="n">
        <v>129650</v>
      </c>
      <c r="V131" s="1729" t="n">
        <v>0.1</v>
      </c>
      <c r="W131" s="1732" t="n">
        <v>0.055</v>
      </c>
      <c r="X131" s="1732" t="n">
        <v>0.12</v>
      </c>
      <c r="Y131" s="1733" t="n"/>
      <c r="Z131" s="1732" t="n">
        <v>0.04</v>
      </c>
      <c r="AA131" s="1731">
        <f>U131*(1+V131+W131+X131+Y131+Z131)</f>
        <v>170489.75</v>
      </c>
      <c r="AB131" s="1734" t="n"/>
    </row>
    <row r="132" ht="14.25" customHeight="1" s="866">
      <c r="A132" s="1718" t="inlineStr">
        <is>
          <t>V</t>
        </is>
      </c>
      <c r="B132" s="1719" t="inlineStr">
        <is>
          <t>Vacant</t>
        </is>
      </c>
      <c r="C132" s="1720" t="inlineStr">
        <is>
          <t>Engineer - DevOps</t>
        </is>
      </c>
      <c r="D132" s="1719" t="inlineStr">
        <is>
          <t>Jason Gleason</t>
        </is>
      </c>
      <c r="E132" s="1719" t="inlineStr">
        <is>
          <t>Technology Manager, Data Engineering &amp; Platforms</t>
        </is>
      </c>
      <c r="F132" s="1751" t="inlineStr">
        <is>
          <t>Strategy, Architecture &amp; Data</t>
        </is>
      </c>
      <c r="G132" s="1734" t="inlineStr">
        <is>
          <t>Group Data</t>
        </is>
      </c>
      <c r="H132" s="1755" t="inlineStr">
        <is>
          <t>Data Engineering &amp; Platforms</t>
        </is>
      </c>
      <c r="I132" s="1721" t="inlineStr">
        <is>
          <t>Enterprise Data</t>
        </is>
      </c>
      <c r="J132" s="1751" t="inlineStr">
        <is>
          <t>Group Data</t>
        </is>
      </c>
      <c r="K132" s="1721" t="inlineStr">
        <is>
          <t>Data Platform</t>
        </is>
      </c>
      <c r="L132" s="1721" t="n"/>
      <c r="M132" s="1722" t="inlineStr">
        <is>
          <t>Australia</t>
        </is>
      </c>
      <c r="N132" s="1723" t="inlineStr">
        <is>
          <t>cib</t>
        </is>
      </c>
      <c r="O132" s="1723" t="n">
        <v>1</v>
      </c>
      <c r="P132" s="1723" t="n"/>
      <c r="Q132" s="1723" t="inlineStr">
        <is>
          <t>V</t>
        </is>
      </c>
      <c r="R132" s="1725" t="n"/>
      <c r="S132" s="1725" t="n"/>
      <c r="T132" s="1726" t="n">
        <v>151950</v>
      </c>
      <c r="U132" s="1727" t="n">
        <v>151950</v>
      </c>
      <c r="V132" s="1729" t="n">
        <v>0.12</v>
      </c>
      <c r="W132" s="1732" t="n">
        <v>0.055</v>
      </c>
      <c r="X132" s="1732" t="n">
        <v>0.12</v>
      </c>
      <c r="Y132" s="1733" t="n"/>
      <c r="Z132" s="1732" t="n">
        <v>0.04</v>
      </c>
      <c r="AA132" s="1731">
        <f>U132*(1+V132+W132+X132+Y132+Z132)</f>
        <v>202853.25</v>
      </c>
      <c r="AB132" s="1734" t="n"/>
    </row>
    <row r="133" ht="14.25" customHeight="1" s="866">
      <c r="A133" s="1718" t="inlineStr">
        <is>
          <t>V</t>
        </is>
      </c>
      <c r="B133" s="1719" t="inlineStr">
        <is>
          <t>Vacant</t>
        </is>
      </c>
      <c r="C133" s="1720" t="inlineStr">
        <is>
          <t>Business Analyst</t>
        </is>
      </c>
      <c r="D133" s="1719" t="inlineStr">
        <is>
          <t>Joel Vijayakumar</t>
        </is>
      </c>
      <c r="E133" s="1719" t="inlineStr">
        <is>
          <t>Delivery Manager, Strategy, Architecture &amp; Data</t>
        </is>
      </c>
      <c r="F133" s="1751" t="inlineStr">
        <is>
          <t>Strategy, Architecture &amp; Data</t>
        </is>
      </c>
      <c r="G133" s="1721" t="inlineStr">
        <is>
          <t>Delivery, SADA</t>
        </is>
      </c>
      <c r="H133" s="1721" t="n"/>
      <c r="I133" s="1721" t="inlineStr">
        <is>
          <t>Enterprise Data</t>
        </is>
      </c>
      <c r="J133" s="1751" t="inlineStr">
        <is>
          <t>Group Data</t>
        </is>
      </c>
      <c r="K133" s="1721" t="inlineStr">
        <is>
          <t>Data Platform</t>
        </is>
      </c>
      <c r="L133" s="1721" t="n"/>
      <c r="M133" s="1722" t="inlineStr">
        <is>
          <t>Australia</t>
        </is>
      </c>
      <c r="N133" s="1723" t="inlineStr">
        <is>
          <t>CIB</t>
        </is>
      </c>
      <c r="O133" s="1723" t="n">
        <v>1</v>
      </c>
      <c r="P133" s="1723" t="n"/>
      <c r="Q133" s="1723" t="inlineStr">
        <is>
          <t>V</t>
        </is>
      </c>
      <c r="R133" s="1725" t="n"/>
      <c r="S133" s="1725" t="n"/>
      <c r="T133" s="1726" t="n">
        <v>151950</v>
      </c>
      <c r="U133" s="1727" t="n">
        <v>151950</v>
      </c>
      <c r="V133" s="1729" t="n">
        <v>0.12</v>
      </c>
      <c r="W133" s="1732" t="n">
        <v>0.055</v>
      </c>
      <c r="X133" s="1732" t="n">
        <v>0.12</v>
      </c>
      <c r="Y133" s="1733" t="n"/>
      <c r="Z133" s="1732" t="n">
        <v>0.04</v>
      </c>
      <c r="AA133" s="1731">
        <f>U133*(1+V133+W133+X133+Y133+Z133)</f>
        <v>202853.25</v>
      </c>
      <c r="AB133" s="1734" t="n"/>
    </row>
    <row r="134" ht="14.25" customHeight="1" s="866">
      <c r="A134" s="1718" t="inlineStr">
        <is>
          <t>V</t>
        </is>
      </c>
      <c r="B134" s="1719" t="inlineStr">
        <is>
          <t>Vacant</t>
        </is>
      </c>
      <c r="C134" s="1720" t="inlineStr">
        <is>
          <t>Business Analyst</t>
        </is>
      </c>
      <c r="D134" s="1719" t="inlineStr">
        <is>
          <t>Joel Vijayakumar</t>
        </is>
      </c>
      <c r="E134" s="1719" t="inlineStr">
        <is>
          <t>Delivery Manager, Strategy, Architecture &amp; Data</t>
        </is>
      </c>
      <c r="F134" s="1751" t="inlineStr">
        <is>
          <t>Strategy, Architecture &amp; Data</t>
        </is>
      </c>
      <c r="G134" s="1721" t="inlineStr">
        <is>
          <t>Delivery, SADA</t>
        </is>
      </c>
      <c r="H134" s="1721" t="n"/>
      <c r="I134" s="1751" t="inlineStr">
        <is>
          <t>Enterprise Data</t>
        </is>
      </c>
      <c r="J134" s="1751" t="inlineStr">
        <is>
          <t>EGI</t>
        </is>
      </c>
      <c r="K134" s="1751" t="inlineStr">
        <is>
          <t>Reporting &amp; Analytics</t>
        </is>
      </c>
      <c r="L134" s="1721" t="n"/>
      <c r="M134" s="1722" t="inlineStr">
        <is>
          <t>Australia</t>
        </is>
      </c>
      <c r="N134" s="1723" t="inlineStr">
        <is>
          <t>CIB</t>
        </is>
      </c>
      <c r="O134" s="1723" t="n">
        <v>1</v>
      </c>
      <c r="P134" s="1723" t="n"/>
      <c r="Q134" s="1723" t="inlineStr">
        <is>
          <t>Pause</t>
        </is>
      </c>
      <c r="R134" s="1725" t="n"/>
      <c r="S134" s="1725" t="n"/>
      <c r="T134" s="1726" t="n">
        <v>151950</v>
      </c>
      <c r="U134" s="1727" t="n">
        <v>151950</v>
      </c>
      <c r="V134" s="1729" t="n">
        <v>0.12</v>
      </c>
      <c r="W134" s="1732" t="n">
        <v>0.055</v>
      </c>
      <c r="X134" s="1732" t="n">
        <v>0.12</v>
      </c>
      <c r="Y134" s="1733" t="n"/>
      <c r="Z134" s="1732" t="n">
        <v>0.04</v>
      </c>
      <c r="AA134" s="1731">
        <f>U134*(1+V134+W134+X134+Y134+Z134)</f>
        <v>202853.25</v>
      </c>
      <c r="AB134" s="1734" t="n"/>
    </row>
    <row r="135" ht="14.25" customHeight="1" s="866">
      <c r="A135" s="1718" t="inlineStr">
        <is>
          <t>V</t>
        </is>
      </c>
      <c r="B135" s="1719" t="inlineStr">
        <is>
          <t>vacant</t>
        </is>
      </c>
      <c r="C135" s="1720" t="inlineStr">
        <is>
          <t>Data Analyst</t>
        </is>
      </c>
      <c r="D135" s="1719" t="inlineStr">
        <is>
          <t>Jonathan Robinson</t>
        </is>
      </c>
      <c r="E135" s="1719" t="inlineStr">
        <is>
          <t>Technology Manager, Data Science</t>
        </is>
      </c>
      <c r="F135" s="1751" t="inlineStr">
        <is>
          <t>Strategy, Architecture &amp; Data</t>
        </is>
      </c>
      <c r="G135" s="1721" t="inlineStr">
        <is>
          <t>Group Data</t>
        </is>
      </c>
      <c r="H135" s="1751" t="inlineStr">
        <is>
          <t>Data Science</t>
        </is>
      </c>
      <c r="I135" s="1751" t="inlineStr">
        <is>
          <t>Enterprise Data</t>
        </is>
      </c>
      <c r="J135" s="1751" t="inlineStr">
        <is>
          <t>Group Data</t>
        </is>
      </c>
      <c r="K135" s="1721" t="inlineStr">
        <is>
          <t>Data Science</t>
        </is>
      </c>
      <c r="L135" s="1721" t="n"/>
      <c r="M135" s="1722" t="inlineStr">
        <is>
          <t>Australia</t>
        </is>
      </c>
      <c r="N135" s="1723" t="inlineStr">
        <is>
          <t>CIB</t>
        </is>
      </c>
      <c r="O135" s="1723" t="n">
        <v>1</v>
      </c>
      <c r="P135" s="1723" t="n"/>
      <c r="Q135" s="1723" t="inlineStr">
        <is>
          <t>Pause</t>
        </is>
      </c>
      <c r="R135" s="1725" t="n"/>
      <c r="S135" s="1725" t="n"/>
      <c r="T135" s="1726" t="n">
        <v>151000</v>
      </c>
      <c r="U135" s="1727" t="n">
        <v>151000</v>
      </c>
      <c r="V135" s="1729" t="n">
        <v>0.12</v>
      </c>
      <c r="W135" s="1732" t="n">
        <v>0.055</v>
      </c>
      <c r="X135" s="1732" t="n">
        <v>0.12</v>
      </c>
      <c r="Y135" s="1733" t="n"/>
      <c r="Z135" s="1732" t="n">
        <v>0.04</v>
      </c>
      <c r="AA135" s="1731">
        <f>U135*(1+V135+W135+X135+Y135+Z135)</f>
        <v>201585</v>
      </c>
      <c r="AB135" s="1734" t="n"/>
    </row>
    <row r="136" ht="14.25" customHeight="1" s="866">
      <c r="A136" s="1718" t="inlineStr">
        <is>
          <t>V</t>
        </is>
      </c>
      <c r="B136" s="1719" t="inlineStr">
        <is>
          <t>Vacant</t>
        </is>
      </c>
      <c r="C136" s="1720" t="inlineStr">
        <is>
          <t>Data Analyst</t>
        </is>
      </c>
      <c r="D136" s="1719" t="inlineStr">
        <is>
          <t>Jonathan Robinson</t>
        </is>
      </c>
      <c r="E136" s="1719" t="inlineStr">
        <is>
          <t>Technology Manager, Data Science</t>
        </is>
      </c>
      <c r="F136" s="1751" t="inlineStr">
        <is>
          <t>Strategy, Architecture &amp; Data</t>
        </is>
      </c>
      <c r="G136" s="1721" t="inlineStr">
        <is>
          <t>Group Data</t>
        </is>
      </c>
      <c r="H136" s="1751" t="inlineStr">
        <is>
          <t>Data Science</t>
        </is>
      </c>
      <c r="I136" s="1751" t="inlineStr">
        <is>
          <t>Enterprise Data</t>
        </is>
      </c>
      <c r="J136" s="1751" t="inlineStr">
        <is>
          <t>Group Data</t>
        </is>
      </c>
      <c r="K136" s="1721" t="inlineStr">
        <is>
          <t>Data Science</t>
        </is>
      </c>
      <c r="L136" s="1721" t="n"/>
      <c r="M136" s="1722" t="inlineStr">
        <is>
          <t>Australia</t>
        </is>
      </c>
      <c r="N136" s="1723" t="inlineStr">
        <is>
          <t>CIB</t>
        </is>
      </c>
      <c r="O136" s="1723" t="n">
        <v>1</v>
      </c>
      <c r="P136" s="1723" t="n"/>
      <c r="Q136" s="1723" t="inlineStr">
        <is>
          <t>Pause</t>
        </is>
      </c>
      <c r="R136" s="1725" t="n"/>
      <c r="S136" s="1725" t="n"/>
      <c r="T136" s="1726" t="n">
        <v>151000</v>
      </c>
      <c r="U136" s="1727" t="n">
        <v>151000</v>
      </c>
      <c r="V136" s="1729" t="n">
        <v>0.12</v>
      </c>
      <c r="W136" s="1732" t="n">
        <v>0.055</v>
      </c>
      <c r="X136" s="1732" t="n">
        <v>0.12</v>
      </c>
      <c r="Y136" s="1733" t="n"/>
      <c r="Z136" s="1732" t="n">
        <v>0.04</v>
      </c>
      <c r="AA136" s="1731">
        <f>U136*(1+V136+W136+X136+Y136+Z136)</f>
        <v>201585</v>
      </c>
      <c r="AB136" s="1734" t="n"/>
    </row>
    <row r="137" ht="14.25" customHeight="1" s="866">
      <c r="A137" s="1718" t="inlineStr">
        <is>
          <t>V</t>
        </is>
      </c>
      <c r="B137" s="1719" t="inlineStr">
        <is>
          <t>vacant</t>
        </is>
      </c>
      <c r="C137" s="1720" t="inlineStr">
        <is>
          <t>Data Scientist</t>
        </is>
      </c>
      <c r="D137" s="1719" t="inlineStr">
        <is>
          <t>Jonathan Robinson</t>
        </is>
      </c>
      <c r="E137" s="1719" t="inlineStr">
        <is>
          <t>Technology Manager, Data Science</t>
        </is>
      </c>
      <c r="F137" s="1751" t="inlineStr">
        <is>
          <t>Strategy, Architecture &amp; Data</t>
        </is>
      </c>
      <c r="G137" s="1721" t="inlineStr">
        <is>
          <t>Group Data</t>
        </is>
      </c>
      <c r="H137" s="1751" t="inlineStr">
        <is>
          <t>Data Science</t>
        </is>
      </c>
      <c r="I137" s="1751" t="inlineStr">
        <is>
          <t>Enterprise Data</t>
        </is>
      </c>
      <c r="J137" s="1751" t="inlineStr">
        <is>
          <t>Group Data</t>
        </is>
      </c>
      <c r="K137" s="1721" t="inlineStr">
        <is>
          <t>Data Science</t>
        </is>
      </c>
      <c r="L137" s="1721" t="n"/>
      <c r="M137" s="1722" t="inlineStr">
        <is>
          <t>Australia</t>
        </is>
      </c>
      <c r="N137" s="1723" t="inlineStr">
        <is>
          <t>CIB</t>
        </is>
      </c>
      <c r="O137" s="1723" t="n">
        <v>1</v>
      </c>
      <c r="P137" s="1723" t="n"/>
      <c r="Q137" s="1723" t="inlineStr">
        <is>
          <t>Pause</t>
        </is>
      </c>
      <c r="R137" s="1725" t="n"/>
      <c r="S137" s="1725" t="n"/>
      <c r="T137" s="1726" t="n">
        <v>151950</v>
      </c>
      <c r="U137" s="1727" t="n">
        <v>151950</v>
      </c>
      <c r="V137" s="1729" t="n">
        <v>0.12</v>
      </c>
      <c r="W137" s="1732" t="n">
        <v>0.055</v>
      </c>
      <c r="X137" s="1732" t="n">
        <v>0.12</v>
      </c>
      <c r="Y137" s="1733" t="n"/>
      <c r="Z137" s="1732" t="n">
        <v>0.04</v>
      </c>
      <c r="AA137" s="1731">
        <f>U137*(1+V137+W137+X137+Y137+Z137)</f>
        <v>202853.25</v>
      </c>
      <c r="AB137" s="1734" t="n"/>
    </row>
    <row r="138" ht="14.25" customHeight="1" s="866">
      <c r="A138" s="1718" t="inlineStr">
        <is>
          <t>V</t>
        </is>
      </c>
      <c r="B138" s="1719" t="inlineStr">
        <is>
          <t>Vacant</t>
        </is>
      </c>
      <c r="C138" s="1720" t="inlineStr">
        <is>
          <t xml:space="preserve">Reporting Lead </t>
        </is>
      </c>
      <c r="D138" s="1719" t="inlineStr">
        <is>
          <t>Prashanth Krishnankutty</t>
        </is>
      </c>
      <c r="E138" s="1719" t="inlineStr">
        <is>
          <t>Lead, Reporting &amp; Insights</t>
        </is>
      </c>
      <c r="F138" s="1751" t="inlineStr">
        <is>
          <t>Strategy, Architecture &amp; Data</t>
        </is>
      </c>
      <c r="G138" s="1721" t="inlineStr">
        <is>
          <t>Group Data</t>
        </is>
      </c>
      <c r="H138" s="1751" t="inlineStr">
        <is>
          <t>Data Engineering &amp; Platforms</t>
        </is>
      </c>
      <c r="I138" s="1751" t="inlineStr">
        <is>
          <t>Enterprise Data</t>
        </is>
      </c>
      <c r="J138" s="1751" t="inlineStr">
        <is>
          <t>Group Data</t>
        </is>
      </c>
      <c r="K138" s="1751" t="inlineStr">
        <is>
          <t>Reporting &amp; Analytics</t>
        </is>
      </c>
      <c r="L138" s="1721" t="n"/>
      <c r="M138" s="1722" t="inlineStr">
        <is>
          <t>Australia</t>
        </is>
      </c>
      <c r="N138" s="1723" t="inlineStr">
        <is>
          <t>CIB</t>
        </is>
      </c>
      <c r="O138" s="1723" t="n">
        <v>1</v>
      </c>
      <c r="P138" s="1723" t="n"/>
      <c r="Q138" s="1723" t="inlineStr">
        <is>
          <t>Pause</t>
        </is>
      </c>
      <c r="R138" s="1725" t="n"/>
      <c r="S138" s="1725" t="n"/>
      <c r="T138" s="1726" t="n">
        <v>151950</v>
      </c>
      <c r="U138" s="1727" t="n">
        <v>151950</v>
      </c>
      <c r="V138" s="1729" t="n">
        <v>0.12</v>
      </c>
      <c r="W138" s="1732" t="n">
        <v>0.055</v>
      </c>
      <c r="X138" s="1732" t="n">
        <v>0.12</v>
      </c>
      <c r="Y138" s="1733" t="n"/>
      <c r="Z138" s="1732" t="n">
        <v>0.04</v>
      </c>
      <c r="AA138" s="1731">
        <f>U138*(1+V138+W138+X138+Y138+Z138)</f>
        <v>202853.25</v>
      </c>
      <c r="AB138" s="1734" t="n"/>
    </row>
    <row r="139" ht="14.25" customHeight="1" s="866">
      <c r="A139" s="1718" t="inlineStr">
        <is>
          <t>V</t>
        </is>
      </c>
      <c r="B139" s="1719" t="inlineStr">
        <is>
          <t>vacant</t>
        </is>
      </c>
      <c r="C139" s="1720" t="inlineStr">
        <is>
          <t>Engineer - Data</t>
        </is>
      </c>
      <c r="D139" s="1719" t="inlineStr">
        <is>
          <t>Roozbeh Shahbazirad</t>
        </is>
      </c>
      <c r="E139" s="1719" t="inlineStr">
        <is>
          <t>Lead Engineer (Databricks)</t>
        </is>
      </c>
      <c r="F139" s="1751" t="inlineStr">
        <is>
          <t>Strategy, Architecture &amp; Data</t>
        </is>
      </c>
      <c r="G139" s="1721" t="inlineStr">
        <is>
          <t>Group Data</t>
        </is>
      </c>
      <c r="H139" s="1751" t="inlineStr">
        <is>
          <t>Data Engineering &amp; Platforms</t>
        </is>
      </c>
      <c r="I139" s="1721" t="inlineStr">
        <is>
          <t>Enterprise Data</t>
        </is>
      </c>
      <c r="J139" s="1751" t="inlineStr">
        <is>
          <t>Group Data</t>
        </is>
      </c>
      <c r="K139" s="1721" t="inlineStr">
        <is>
          <t>Data Platform</t>
        </is>
      </c>
      <c r="L139" s="1721" t="n"/>
      <c r="M139" s="1722" t="inlineStr">
        <is>
          <t>Australia</t>
        </is>
      </c>
      <c r="N139" s="1723" t="inlineStr">
        <is>
          <t>CIB</t>
        </is>
      </c>
      <c r="O139" s="1723" t="n">
        <v>1</v>
      </c>
      <c r="P139" s="1723" t="n"/>
      <c r="Q139" s="1723" t="inlineStr">
        <is>
          <t>V</t>
        </is>
      </c>
      <c r="R139" s="1725" t="n"/>
      <c r="S139" s="1725" t="n"/>
      <c r="T139" s="1726" t="n">
        <v>151950</v>
      </c>
      <c r="U139" s="1727" t="n">
        <v>151950</v>
      </c>
      <c r="V139" s="1729" t="n">
        <v>0.12</v>
      </c>
      <c r="W139" s="1732" t="n">
        <v>0.055</v>
      </c>
      <c r="X139" s="1732" t="n">
        <v>0.12</v>
      </c>
      <c r="Y139" s="1733" t="n"/>
      <c r="Z139" s="1732" t="n">
        <v>0.04</v>
      </c>
      <c r="AA139" s="1731">
        <f>U139*(1+V139+W139+X139+Y139+Z139)</f>
        <v>202853.25</v>
      </c>
      <c r="AB139" s="1734" t="n"/>
    </row>
    <row r="140" ht="14.25" customHeight="1" s="866">
      <c r="A140" s="1718" t="inlineStr">
        <is>
          <t>V</t>
        </is>
      </c>
      <c r="B140" s="1719" t="inlineStr">
        <is>
          <t>vacant</t>
        </is>
      </c>
      <c r="C140" s="1720" t="inlineStr">
        <is>
          <t>Quality Assurance</t>
        </is>
      </c>
      <c r="D140" s="1719" t="inlineStr">
        <is>
          <t>Roozbeh Shahbazirad</t>
        </is>
      </c>
      <c r="E140" s="1719" t="inlineStr">
        <is>
          <t>Lead Engineer (Databricks)</t>
        </is>
      </c>
      <c r="F140" s="1751" t="inlineStr">
        <is>
          <t>Strategy, Architecture &amp; Data</t>
        </is>
      </c>
      <c r="G140" s="1721" t="inlineStr">
        <is>
          <t>Group Data</t>
        </is>
      </c>
      <c r="H140" s="1751" t="inlineStr">
        <is>
          <t>Data Engineering &amp; Platforms</t>
        </is>
      </c>
      <c r="I140" s="1721" t="inlineStr">
        <is>
          <t>Enterprise Data</t>
        </is>
      </c>
      <c r="J140" s="1751" t="inlineStr">
        <is>
          <t>EGI</t>
        </is>
      </c>
      <c r="K140" s="1721" t="inlineStr">
        <is>
          <t>Data Platform</t>
        </is>
      </c>
      <c r="L140" s="1721" t="n"/>
      <c r="M140" s="1722" t="inlineStr">
        <is>
          <t>Australia</t>
        </is>
      </c>
      <c r="N140" s="1723" t="inlineStr">
        <is>
          <t>CIA</t>
        </is>
      </c>
      <c r="O140" s="1723" t="n">
        <v>1</v>
      </c>
      <c r="P140" s="1723" t="n"/>
      <c r="Q140" s="1723" t="inlineStr">
        <is>
          <t>v</t>
        </is>
      </c>
      <c r="R140" s="1725" t="n"/>
      <c r="S140" s="1725" t="n"/>
      <c r="T140" s="1726" t="n">
        <v>129650</v>
      </c>
      <c r="U140" s="1727" t="n">
        <v>129650</v>
      </c>
      <c r="V140" s="1729" t="n">
        <v>0.1</v>
      </c>
      <c r="W140" s="1732" t="n">
        <v>0.055</v>
      </c>
      <c r="X140" s="1732" t="n">
        <v>0.12</v>
      </c>
      <c r="Y140" s="1733" t="n"/>
      <c r="Z140" s="1732" t="n">
        <v>0.04</v>
      </c>
      <c r="AA140" s="1731">
        <f>U140*(1+V140+W140+X140+Y140+Z140)</f>
        <v>170489.75</v>
      </c>
      <c r="AB140" s="1734" t="n"/>
    </row>
    <row r="141" ht="14.25" customHeight="1" s="866">
      <c r="A141" s="1718" t="inlineStr">
        <is>
          <t>V</t>
        </is>
      </c>
      <c r="B141" s="1719" t="inlineStr">
        <is>
          <t>Vacant</t>
        </is>
      </c>
      <c r="C141" s="1720" t="inlineStr">
        <is>
          <t>Data Governance Lead</t>
        </is>
      </c>
      <c r="D141" s="1721" t="inlineStr">
        <is>
          <t>Sanjay Tikoo</t>
        </is>
      </c>
      <c r="E141" s="1719" t="inlineStr">
        <is>
          <t>Data Capability Manager</t>
        </is>
      </c>
      <c r="F141" s="1751" t="inlineStr">
        <is>
          <t>Strategy, Architecture &amp; Data</t>
        </is>
      </c>
      <c r="G141" s="1721" t="inlineStr">
        <is>
          <t>Group Data</t>
        </is>
      </c>
      <c r="H141" s="1751" t="inlineStr">
        <is>
          <t>Data Capability</t>
        </is>
      </c>
      <c r="I141" s="1751" t="inlineStr">
        <is>
          <t>Enterprise Data</t>
        </is>
      </c>
      <c r="J141" s="1751" t="inlineStr">
        <is>
          <t>Group Data</t>
        </is>
      </c>
      <c r="K141" s="1721" t="n"/>
      <c r="L141" s="1721" t="n"/>
      <c r="M141" s="1722" t="inlineStr">
        <is>
          <t>australia</t>
        </is>
      </c>
      <c r="N141" s="1756" t="inlineStr">
        <is>
          <t>CSC</t>
        </is>
      </c>
      <c r="O141" s="1723" t="n">
        <v>1</v>
      </c>
      <c r="P141" s="1723" t="n"/>
      <c r="Q141" s="1723" t="inlineStr">
        <is>
          <t>V</t>
        </is>
      </c>
      <c r="R141" s="1725" t="n"/>
      <c r="S141" s="1725" t="n"/>
      <c r="T141" s="1726" t="n">
        <v>275340</v>
      </c>
      <c r="U141" s="1727" t="n">
        <v>275340</v>
      </c>
      <c r="V141" s="1729" t="n">
        <v>0.2</v>
      </c>
      <c r="W141" s="1732" t="n">
        <v>0.055</v>
      </c>
      <c r="X141" s="1732" t="n">
        <v>0.12</v>
      </c>
      <c r="Y141" s="1733" t="n"/>
      <c r="Z141" s="1732" t="n">
        <v>0.04</v>
      </c>
      <c r="AA141" s="1731">
        <f>U141*(1+V141+W141+X141+Y141+Z141)</f>
        <v>389606.1</v>
      </c>
      <c r="AB141" s="1734" t="n"/>
    </row>
    <row r="142" ht="14.25" customHeight="1" s="866">
      <c r="A142" s="1718" t="inlineStr">
        <is>
          <t>V</t>
        </is>
      </c>
      <c r="B142" s="1719" t="inlineStr">
        <is>
          <t>Vacant</t>
        </is>
      </c>
      <c r="C142" s="1720" t="inlineStr">
        <is>
          <t>Head of Architecture</t>
        </is>
      </c>
      <c r="D142" s="1719" t="inlineStr">
        <is>
          <t>Matt Ashley</t>
        </is>
      </c>
      <c r="E142" s="1719" t="inlineStr">
        <is>
          <t>GM TDD, Strategy, Architecture, Data</t>
        </is>
      </c>
      <c r="F142" s="1751" t="inlineStr">
        <is>
          <t>Strategy, Architecture &amp; Data</t>
        </is>
      </c>
      <c r="G142" s="1721" t="inlineStr">
        <is>
          <t>Architecture</t>
        </is>
      </c>
      <c r="H142" s="1721" t="n"/>
      <c r="I142" s="1721" t="n"/>
      <c r="J142" s="1751" t="inlineStr">
        <is>
          <t>Leadership</t>
        </is>
      </c>
      <c r="K142" s="1751" t="n"/>
      <c r="L142" s="1721" t="n"/>
      <c r="M142" s="1722" t="inlineStr">
        <is>
          <t>Australia</t>
        </is>
      </c>
      <c r="N142" s="1723" t="inlineStr">
        <is>
          <t>CSC</t>
        </is>
      </c>
      <c r="O142" s="1723" t="n">
        <v>1</v>
      </c>
      <c r="P142" s="1723" t="n"/>
      <c r="Q142" s="1723" t="inlineStr">
        <is>
          <t>v</t>
        </is>
      </c>
      <c r="R142" s="1725" t="n"/>
      <c r="S142" s="1725" t="n"/>
      <c r="T142" s="1726" t="n">
        <v>236730</v>
      </c>
      <c r="U142" s="1727" t="n">
        <v>236730</v>
      </c>
      <c r="V142" s="1729" t="n">
        <v>0.2</v>
      </c>
      <c r="W142" s="1732" t="n">
        <v>0.055</v>
      </c>
      <c r="X142" s="1732" t="n">
        <v>0.12</v>
      </c>
      <c r="Y142" s="1733" t="n"/>
      <c r="Z142" s="1732" t="n">
        <v>0.04</v>
      </c>
      <c r="AA142" s="1731">
        <f>U142*(1+V142+W142+X142+Y142+Z142)</f>
        <v>334972.95</v>
      </c>
      <c r="AB142" s="1734" t="n"/>
    </row>
    <row r="143" ht="14.25" customHeight="1" s="866">
      <c r="A143" s="1718" t="inlineStr">
        <is>
          <t>V</t>
        </is>
      </c>
      <c r="B143" s="1719" t="inlineStr">
        <is>
          <t>Vacant</t>
        </is>
      </c>
      <c r="C143" s="1720" t="inlineStr">
        <is>
          <t>Head of Technology Strategy &amp; AI Capability</t>
        </is>
      </c>
      <c r="D143" s="1719" t="inlineStr">
        <is>
          <t>Matt Ashley</t>
        </is>
      </c>
      <c r="E143" s="1719" t="inlineStr">
        <is>
          <t>GM TDD, Strategy, Architecture, Data</t>
        </is>
      </c>
      <c r="F143" s="1751" t="inlineStr">
        <is>
          <t>Strategy, Architecture &amp; Data</t>
        </is>
      </c>
      <c r="G143" s="1721" t="inlineStr">
        <is>
          <t>Technology Strategy &amp; AI Capability</t>
        </is>
      </c>
      <c r="H143" s="1734" t="n"/>
      <c r="I143" s="1721" t="n"/>
      <c r="J143" s="1751" t="inlineStr">
        <is>
          <t>Leadership</t>
        </is>
      </c>
      <c r="K143" s="1751" t="n"/>
      <c r="L143" s="1721" t="n"/>
      <c r="M143" s="1722" t="inlineStr">
        <is>
          <t>Australia</t>
        </is>
      </c>
      <c r="N143" s="1723" t="inlineStr">
        <is>
          <t>CSC</t>
        </is>
      </c>
      <c r="O143" s="1723" t="n">
        <v>1</v>
      </c>
      <c r="P143" s="1723" t="n"/>
      <c r="Q143" s="1723" t="inlineStr">
        <is>
          <t>v</t>
        </is>
      </c>
      <c r="R143" s="1725" t="n"/>
      <c r="S143" s="1725" t="n"/>
      <c r="T143" s="1726" t="n">
        <v>235350</v>
      </c>
      <c r="U143" s="1727" t="n">
        <v>235350</v>
      </c>
      <c r="V143" s="1729" t="n">
        <v>0.2</v>
      </c>
      <c r="W143" s="1732" t="n">
        <v>0.055</v>
      </c>
      <c r="X143" s="1732" t="n">
        <v>0.12</v>
      </c>
      <c r="Y143" s="1733" t="n"/>
      <c r="Z143" s="1732" t="n">
        <v>0.04</v>
      </c>
      <c r="AA143" s="1731">
        <f>U143*(1+V143+W143+X143+Y143+Z143)</f>
        <v>333020.25</v>
      </c>
      <c r="AB143" s="1734" t="n"/>
    </row>
    <row r="144" ht="14.25" customHeight="1" s="866">
      <c r="A144" s="1718" t="inlineStr">
        <is>
          <t>V</t>
        </is>
      </c>
      <c r="B144" s="1719" t="inlineStr">
        <is>
          <t>Vacant</t>
        </is>
      </c>
      <c r="C144" s="1720" t="inlineStr">
        <is>
          <t>Senior Communications Advisor</t>
        </is>
      </c>
      <c r="D144" s="1719" t="inlineStr">
        <is>
          <t>Matt Ashley</t>
        </is>
      </c>
      <c r="E144" s="1719" t="inlineStr">
        <is>
          <t>GM TDD, Strategy, Architecture, Data</t>
        </is>
      </c>
      <c r="F144" s="1751" t="inlineStr">
        <is>
          <t>Strategy, Architecture &amp; Data</t>
        </is>
      </c>
      <c r="G144" s="1721" t="inlineStr">
        <is>
          <t>na</t>
        </is>
      </c>
      <c r="H144" s="1721" t="n"/>
      <c r="I144" s="1721" t="n"/>
      <c r="J144" s="1751" t="inlineStr">
        <is>
          <t>Leadership</t>
        </is>
      </c>
      <c r="K144" s="1751" t="n"/>
      <c r="L144" s="1721" t="n"/>
      <c r="M144" s="1722" t="inlineStr">
        <is>
          <t>Australia</t>
        </is>
      </c>
      <c r="N144" s="1723" t="inlineStr">
        <is>
          <t>CIB</t>
        </is>
      </c>
      <c r="O144" s="1723" t="n">
        <v>1</v>
      </c>
      <c r="P144" s="1723" t="n"/>
      <c r="Q144" s="1723" t="inlineStr">
        <is>
          <t>v</t>
        </is>
      </c>
      <c r="R144" s="1725" t="n"/>
      <c r="S144" s="1725" t="n"/>
      <c r="T144" s="1726" t="n">
        <v>140000</v>
      </c>
      <c r="U144" s="1727" t="n">
        <v>140000</v>
      </c>
      <c r="V144" s="1729" t="n">
        <v>0.12</v>
      </c>
      <c r="W144" s="1732" t="n">
        <v>0.055</v>
      </c>
      <c r="X144" s="1732" t="n">
        <v>0.12</v>
      </c>
      <c r="Y144" s="1733" t="n"/>
      <c r="Z144" s="1732" t="n">
        <v>0.04</v>
      </c>
      <c r="AA144" s="1731">
        <f>U144*(1+V144+W144+X144+Y144+Z144)</f>
        <v>186900</v>
      </c>
      <c r="AB144" s="1734" t="n"/>
    </row>
    <row r="145" ht="14.25" customHeight="1" s="866">
      <c r="A145" s="1718" t="inlineStr">
        <is>
          <t>V</t>
        </is>
      </c>
      <c r="B145" s="1757" t="inlineStr">
        <is>
          <t>Vacant</t>
        </is>
      </c>
      <c r="C145" s="1758" t="inlineStr">
        <is>
          <t>Enterprise Data Architect</t>
        </is>
      </c>
      <c r="D145" s="1759" t="inlineStr">
        <is>
          <t>Sanjay Tikoo</t>
        </is>
      </c>
      <c r="E145" s="1757" t="inlineStr">
        <is>
          <t>Data Capability Manager</t>
        </is>
      </c>
      <c r="F145" s="1760" t="inlineStr">
        <is>
          <t>Strategy, Architecture &amp; Data</t>
        </is>
      </c>
      <c r="G145" s="1761" t="inlineStr">
        <is>
          <t>Group Data</t>
        </is>
      </c>
      <c r="H145" s="1761" t="inlineStr">
        <is>
          <t>Data Capability</t>
        </is>
      </c>
      <c r="I145" s="1760" t="inlineStr">
        <is>
          <t>Enterprise Data</t>
        </is>
      </c>
      <c r="J145" s="1760" t="inlineStr">
        <is>
          <t>Group Data</t>
        </is>
      </c>
      <c r="K145" s="1761" t="n"/>
      <c r="L145" s="1761" t="n"/>
      <c r="M145" s="1722" t="inlineStr">
        <is>
          <t>Australia</t>
        </is>
      </c>
      <c r="N145" s="1723" t="inlineStr">
        <is>
          <t>CSB</t>
        </is>
      </c>
      <c r="O145" s="1723" t="n">
        <v>1</v>
      </c>
      <c r="P145" s="1723" t="n"/>
      <c r="Q145" s="1723" t="inlineStr">
        <is>
          <t>Pause</t>
        </is>
      </c>
      <c r="R145" s="1746" t="n"/>
      <c r="S145" s="1725" t="n"/>
      <c r="T145" s="1726" t="n">
        <v>203550</v>
      </c>
      <c r="U145" s="1727" t="n">
        <v>203550</v>
      </c>
      <c r="V145" s="1729" t="n">
        <v>0.14</v>
      </c>
      <c r="W145" s="1732" t="n">
        <v>0.055</v>
      </c>
      <c r="X145" s="1732" t="n">
        <v>0.12</v>
      </c>
      <c r="Y145" s="1733" t="n"/>
      <c r="Z145" s="1732" t="n">
        <v>0.04</v>
      </c>
      <c r="AA145" s="1731">
        <f>U145*(1+V145+W145+X145+Y145+Z145)</f>
        <v>275810.25</v>
      </c>
      <c r="AB145" s="1734" t="n"/>
    </row>
    <row r="146" ht="14.25" customHeight="1" s="866">
      <c r="A146" s="1718" t="inlineStr">
        <is>
          <t>V</t>
        </is>
      </c>
      <c r="B146" s="1719" t="inlineStr">
        <is>
          <t>Vacant</t>
        </is>
      </c>
      <c r="C146" s="1720" t="inlineStr">
        <is>
          <t>AI Capability Lead</t>
        </is>
      </c>
      <c r="D146" s="1432" t="inlineStr">
        <is>
          <t>Vacant</t>
        </is>
      </c>
      <c r="E146" s="1719" t="inlineStr">
        <is>
          <t>Head of Technology  Strategy &amp; AI Capability</t>
        </is>
      </c>
      <c r="F146" s="1751" t="inlineStr">
        <is>
          <t>Strategy, Architecture &amp; Data</t>
        </is>
      </c>
      <c r="G146" s="1721" t="inlineStr">
        <is>
          <t>Technology Strategy &amp; AI Capability</t>
        </is>
      </c>
      <c r="H146" s="1721" t="inlineStr">
        <is>
          <t>Technology Strategy &amp; AI Capability</t>
        </is>
      </c>
      <c r="I146" s="1751" t="n"/>
      <c r="J146" s="1751" t="n"/>
      <c r="K146" s="1721" t="n"/>
      <c r="L146" s="1721" t="n"/>
      <c r="M146" s="1722" t="inlineStr">
        <is>
          <t>Australia</t>
        </is>
      </c>
      <c r="N146" s="1723" t="inlineStr">
        <is>
          <t>CSB</t>
        </is>
      </c>
      <c r="O146" s="1723" t="n">
        <v>1</v>
      </c>
      <c r="P146" s="1723" t="n"/>
      <c r="Q146" s="1723" t="inlineStr">
        <is>
          <t>V</t>
        </is>
      </c>
      <c r="R146" s="1725" t="n"/>
      <c r="S146" s="1725" t="n"/>
      <c r="T146" s="1726" t="n">
        <v>203550</v>
      </c>
      <c r="U146" s="1727" t="n">
        <v>203550</v>
      </c>
      <c r="V146" s="1729" t="n">
        <v>0.14</v>
      </c>
      <c r="W146" s="1732" t="n">
        <v>0.055</v>
      </c>
      <c r="X146" s="1732" t="n">
        <v>0.12</v>
      </c>
      <c r="Y146" s="1733" t="n"/>
      <c r="Z146" s="1732" t="n">
        <v>0.04</v>
      </c>
      <c r="AA146" s="1731">
        <f>U146*(1+V146+W146+X146+Y146+Z146)</f>
        <v>275810.25</v>
      </c>
      <c r="AB146" s="1734" t="n"/>
    </row>
    <row r="147" ht="14.25" customHeight="1" s="866">
      <c r="A147" s="1718" t="inlineStr">
        <is>
          <t>V</t>
        </is>
      </c>
      <c r="B147" s="1719" t="inlineStr">
        <is>
          <t>Vacant</t>
        </is>
      </c>
      <c r="C147" s="1720" t="inlineStr">
        <is>
          <t>Enterprise Process Lead</t>
        </is>
      </c>
      <c r="D147" s="1432" t="inlineStr">
        <is>
          <t>Vacant</t>
        </is>
      </c>
      <c r="E147" s="1719" t="inlineStr">
        <is>
          <t>Head of Technology  Strategy &amp; AI Capability</t>
        </is>
      </c>
      <c r="F147" s="1751" t="inlineStr">
        <is>
          <t>Strategy, Architecture &amp; Data</t>
        </is>
      </c>
      <c r="G147" s="1721" t="inlineStr">
        <is>
          <t>Technology Strategy &amp; AI Capability</t>
        </is>
      </c>
      <c r="H147" s="1721" t="inlineStr">
        <is>
          <t>Technology Strategy &amp; AI Capability</t>
        </is>
      </c>
      <c r="I147" s="1751" t="n"/>
      <c r="J147" s="1751" t="n"/>
      <c r="K147" s="1721" t="n"/>
      <c r="L147" s="1721" t="n"/>
      <c r="M147" s="1722" t="inlineStr">
        <is>
          <t>Australia</t>
        </is>
      </c>
      <c r="N147" s="1723" t="inlineStr">
        <is>
          <t>CIB</t>
        </is>
      </c>
      <c r="O147" s="1723" t="n">
        <v>1</v>
      </c>
      <c r="P147" s="1723" t="n"/>
      <c r="Q147" s="1723" t="inlineStr">
        <is>
          <t>V</t>
        </is>
      </c>
      <c r="R147" s="1725" t="n"/>
      <c r="S147" s="1725" t="n"/>
      <c r="T147" s="1726" t="n">
        <v>151950</v>
      </c>
      <c r="U147" s="1727" t="n">
        <v>151950</v>
      </c>
      <c r="V147" s="1729" t="n">
        <v>0.12</v>
      </c>
      <c r="W147" s="1732" t="n">
        <v>0.055</v>
      </c>
      <c r="X147" s="1732" t="n">
        <v>0.12</v>
      </c>
      <c r="Y147" s="1733" t="n"/>
      <c r="Z147" s="1732" t="n">
        <v>0.04</v>
      </c>
      <c r="AA147" s="1731">
        <f>U147*(1+V147+W147+X147+Y147+Z147)</f>
        <v>202853.25</v>
      </c>
      <c r="AB147" s="1734" t="n"/>
    </row>
    <row r="148" ht="14.25" customHeight="1" s="866">
      <c r="A148" s="1718" t="inlineStr">
        <is>
          <t>V</t>
        </is>
      </c>
      <c r="B148" s="1719" t="inlineStr">
        <is>
          <t>Vacant</t>
        </is>
      </c>
      <c r="C148" s="1720" t="inlineStr">
        <is>
          <t>EnterpriseProcess Analyst</t>
        </is>
      </c>
      <c r="D148" s="1734" t="inlineStr">
        <is>
          <t>Vacant</t>
        </is>
      </c>
      <c r="E148" s="1719" t="inlineStr">
        <is>
          <t>Enterprise Process Lead</t>
        </is>
      </c>
      <c r="F148" s="1751" t="inlineStr">
        <is>
          <t>Strategy, Architecture &amp; Data</t>
        </is>
      </c>
      <c r="G148" s="1721" t="inlineStr">
        <is>
          <t>Technology Strategy &amp; AI Capability</t>
        </is>
      </c>
      <c r="H148" s="1721" t="inlineStr">
        <is>
          <t>Technology Strategy &amp; AI Capability</t>
        </is>
      </c>
      <c r="I148" s="1751" t="n"/>
      <c r="J148" s="1751" t="n"/>
      <c r="K148" s="1721" t="n"/>
      <c r="L148" s="1721" t="n"/>
      <c r="M148" s="1722" t="inlineStr">
        <is>
          <t>Australia</t>
        </is>
      </c>
      <c r="N148" s="1723" t="inlineStr">
        <is>
          <t>CIA</t>
        </is>
      </c>
      <c r="O148" s="1723" t="n">
        <v>1</v>
      </c>
      <c r="P148" s="1723" t="n"/>
      <c r="Q148" s="1723" t="inlineStr">
        <is>
          <t>V</t>
        </is>
      </c>
      <c r="R148" s="1725" t="n"/>
      <c r="S148" s="1725" t="n"/>
      <c r="T148" s="1726" t="n">
        <v>129650</v>
      </c>
      <c r="U148" s="1727" t="n">
        <v>129650</v>
      </c>
      <c r="V148" s="1729" t="n">
        <v>0.1</v>
      </c>
      <c r="W148" s="1732" t="n">
        <v>0.055</v>
      </c>
      <c r="X148" s="1732" t="n">
        <v>0.12</v>
      </c>
      <c r="Y148" s="1733" t="n"/>
      <c r="Z148" s="1732" t="n">
        <v>0.04</v>
      </c>
      <c r="AA148" s="1731">
        <f>U148*(1+V148+W148+X148+Y148+Z148)</f>
        <v>170489.75</v>
      </c>
      <c r="AB148" s="1734" t="n"/>
    </row>
    <row r="149" ht="14.25" customHeight="1" s="866">
      <c r="A149" s="1718" t="inlineStr">
        <is>
          <t>V</t>
        </is>
      </c>
      <c r="B149" s="1719" t="inlineStr">
        <is>
          <t>Vacant</t>
        </is>
      </c>
      <c r="C149" s="1720" t="inlineStr">
        <is>
          <t>Strategy Analyst</t>
        </is>
      </c>
      <c r="D149" s="1432" t="inlineStr">
        <is>
          <t>Vacant</t>
        </is>
      </c>
      <c r="E149" s="1719" t="inlineStr">
        <is>
          <t>Head of Technology  Strategy &amp; AI Capability</t>
        </is>
      </c>
      <c r="F149" s="1751" t="inlineStr">
        <is>
          <t>Strategy, Architecture &amp; Data</t>
        </is>
      </c>
      <c r="G149" s="1721" t="inlineStr">
        <is>
          <t>Technology Strategy &amp; AI Capability</t>
        </is>
      </c>
      <c r="H149" s="1734" t="inlineStr">
        <is>
          <t>Technology Strategy &amp; AI Capability</t>
        </is>
      </c>
      <c r="I149" s="1751" t="n"/>
      <c r="J149" s="1751" t="n"/>
      <c r="K149" s="1721" t="n"/>
      <c r="L149" s="1721" t="n"/>
      <c r="M149" s="1722" t="inlineStr">
        <is>
          <t>Australia</t>
        </is>
      </c>
      <c r="N149" s="1723" t="inlineStr">
        <is>
          <t>CIA</t>
        </is>
      </c>
      <c r="O149" s="1723" t="n">
        <v>1</v>
      </c>
      <c r="P149" s="1723" t="n"/>
      <c r="Q149" s="1723" t="inlineStr">
        <is>
          <t>v</t>
        </is>
      </c>
      <c r="R149" s="1725" t="n"/>
      <c r="S149" s="1725" t="n"/>
      <c r="T149" s="1726" t="n">
        <v>129650</v>
      </c>
      <c r="U149" s="1727" t="n">
        <v>129650</v>
      </c>
      <c r="V149" s="1729" t="n">
        <v>0.1</v>
      </c>
      <c r="W149" s="1732" t="n">
        <v>0.055</v>
      </c>
      <c r="X149" s="1732" t="n">
        <v>0.12</v>
      </c>
      <c r="Y149" s="1733" t="n"/>
      <c r="Z149" s="1732" t="n">
        <v>0.04</v>
      </c>
      <c r="AA149" s="1731">
        <f>U149*(1+V149+W149+X149+Y149+Z149)</f>
        <v>170489.75</v>
      </c>
      <c r="AB149" s="1734" t="n"/>
    </row>
    <row r="150" ht="14.25" customHeight="1" s="866">
      <c r="A150" s="1718" t="inlineStr">
        <is>
          <t>V</t>
        </is>
      </c>
      <c r="B150" s="1719" t="inlineStr">
        <is>
          <t>Vacant  (Contract)</t>
        </is>
      </c>
      <c r="C150" s="1720" t="inlineStr">
        <is>
          <t>Applications Specialist - Strategic Programs</t>
        </is>
      </c>
      <c r="D150" s="1432" t="inlineStr">
        <is>
          <t>Sai Konka</t>
        </is>
      </c>
      <c r="E150" s="1432" t="inlineStr">
        <is>
          <t>Applications &amp; Analytics Manager</t>
        </is>
      </c>
      <c r="F150" s="1751" t="inlineStr">
        <is>
          <t>Strategy, Architecture &amp; Data</t>
        </is>
      </c>
      <c r="G150" s="1721" t="inlineStr">
        <is>
          <t>Group Data</t>
        </is>
      </c>
      <c r="H150" s="1751" t="inlineStr">
        <is>
          <t>Data Engineering &amp; Platforms</t>
        </is>
      </c>
      <c r="I150" s="1721" t="inlineStr">
        <is>
          <t>Enterprise Data</t>
        </is>
      </c>
      <c r="J150" s="1751" t="inlineStr">
        <is>
          <t>EGI</t>
        </is>
      </c>
      <c r="K150" s="1751" t="inlineStr">
        <is>
          <t>Reporting &amp; Analytics</t>
        </is>
      </c>
      <c r="L150" s="1721" t="n"/>
      <c r="M150" s="1722" t="inlineStr">
        <is>
          <t>Australia</t>
        </is>
      </c>
      <c r="N150" s="1723" t="inlineStr">
        <is>
          <t>CIB</t>
        </is>
      </c>
      <c r="O150" s="1723" t="n">
        <v>1</v>
      </c>
      <c r="P150" s="1723" t="n"/>
      <c r="Q150" s="1723" t="inlineStr">
        <is>
          <t>Pause</t>
        </is>
      </c>
      <c r="R150" s="1725" t="n"/>
      <c r="S150" s="1725" t="n"/>
      <c r="T150" s="1726" t="n">
        <v>151950</v>
      </c>
      <c r="U150" s="1727" t="n">
        <v>151950</v>
      </c>
      <c r="V150" s="1729" t="n">
        <v>0.12</v>
      </c>
      <c r="W150" s="1732" t="n">
        <v>0.055</v>
      </c>
      <c r="X150" s="1732" t="n">
        <v>0.12</v>
      </c>
      <c r="Y150" s="1733" t="n"/>
      <c r="Z150" s="1732" t="n">
        <v>0.04</v>
      </c>
      <c r="AA150" s="1731">
        <f>U150*(1+V150+W150+X150+Y150+Z150)</f>
        <v>202853.25</v>
      </c>
      <c r="AB150" s="1734" t="n"/>
    </row>
    <row r="151" ht="14.25" customHeight="1" s="866">
      <c r="A151" s="1718" t="inlineStr">
        <is>
          <t>V</t>
        </is>
      </c>
      <c r="B151" s="1719" t="inlineStr">
        <is>
          <t>Vacant (contract)</t>
        </is>
      </c>
      <c r="C151" s="1720" t="inlineStr">
        <is>
          <t>Reporting analysts - Strategic Programs</t>
        </is>
      </c>
      <c r="D151" s="1432" t="inlineStr">
        <is>
          <t>Prashanth Krishnankutty</t>
        </is>
      </c>
      <c r="E151" s="1719" t="inlineStr">
        <is>
          <t>Lead, Reporting &amp; Insights</t>
        </is>
      </c>
      <c r="F151" s="1751" t="inlineStr">
        <is>
          <t>Strategy, Architecture &amp; Data</t>
        </is>
      </c>
      <c r="G151" s="1721" t="inlineStr">
        <is>
          <t>Group Data</t>
        </is>
      </c>
      <c r="H151" s="1751" t="inlineStr">
        <is>
          <t>Data Engineering &amp; Platforms</t>
        </is>
      </c>
      <c r="I151" s="1721" t="inlineStr">
        <is>
          <t>Enterprise Data</t>
        </is>
      </c>
      <c r="J151" s="1751" t="inlineStr">
        <is>
          <t>Group Data</t>
        </is>
      </c>
      <c r="K151" s="1751" t="inlineStr">
        <is>
          <t>Reporting &amp; Analytics</t>
        </is>
      </c>
      <c r="L151" s="1721" t="n"/>
      <c r="M151" s="1722" t="inlineStr">
        <is>
          <t>Australia</t>
        </is>
      </c>
      <c r="N151" s="1723" t="inlineStr">
        <is>
          <t>CIB</t>
        </is>
      </c>
      <c r="O151" s="1723" t="n">
        <v>1</v>
      </c>
      <c r="P151" s="1723" t="n"/>
      <c r="Q151" s="1723" t="inlineStr">
        <is>
          <t>Pause</t>
        </is>
      </c>
      <c r="R151" s="1725" t="n"/>
      <c r="S151" s="1725" t="n"/>
      <c r="T151" s="1726" t="n">
        <v>151950</v>
      </c>
      <c r="U151" s="1727" t="n">
        <v>151950</v>
      </c>
      <c r="V151" s="1729" t="n">
        <v>0.12</v>
      </c>
      <c r="W151" s="1732" t="n">
        <v>0.055</v>
      </c>
      <c r="X151" s="1732" t="n">
        <v>0.12</v>
      </c>
      <c r="Y151" s="1733" t="n"/>
      <c r="Z151" s="1732" t="n">
        <v>0.04</v>
      </c>
      <c r="AA151" s="1731">
        <f>U151*(1+V151+W151+X151+Y151+Z151)</f>
        <v>202853.25</v>
      </c>
      <c r="AB151" s="1734" t="n"/>
    </row>
    <row r="152" ht="14.25" customHeight="1" s="866">
      <c r="A152" s="1718" t="n">
        <v>106026</v>
      </c>
      <c r="B152" s="1719" t="inlineStr">
        <is>
          <t>Vincent Lu</t>
        </is>
      </c>
      <c r="C152" s="1720" t="inlineStr">
        <is>
          <t>Reporting Analyst</t>
        </is>
      </c>
      <c r="D152" s="1432" t="inlineStr">
        <is>
          <t>Prashanth Krishnankutty</t>
        </is>
      </c>
      <c r="E152" s="1719" t="inlineStr">
        <is>
          <t>Lead, Reporting &amp; Insights</t>
        </is>
      </c>
      <c r="F152" s="1751" t="inlineStr">
        <is>
          <t>Strategy, Architecture &amp; Data</t>
        </is>
      </c>
      <c r="G152" s="1721" t="inlineStr">
        <is>
          <t>Group Data</t>
        </is>
      </c>
      <c r="H152" s="1751" t="inlineStr">
        <is>
          <t>Data Engineering &amp; Platforms</t>
        </is>
      </c>
      <c r="I152" s="1751" t="inlineStr">
        <is>
          <t>Enterprise Data</t>
        </is>
      </c>
      <c r="J152" s="1751" t="inlineStr">
        <is>
          <t>Group Data</t>
        </is>
      </c>
      <c r="K152" s="1751" t="inlineStr">
        <is>
          <t>Reporting &amp; Analytics</t>
        </is>
      </c>
      <c r="L152" s="1721" t="n"/>
      <c r="M152" s="1722" t="inlineStr">
        <is>
          <t>Australia</t>
        </is>
      </c>
      <c r="N152" s="1723" t="inlineStr">
        <is>
          <t>CIB</t>
        </is>
      </c>
      <c r="O152" s="1723" t="n">
        <v>1</v>
      </c>
      <c r="P152" s="1723" t="n"/>
      <c r="Q152" s="1723" t="inlineStr">
        <is>
          <t>Permanent - Full Time</t>
        </is>
      </c>
      <c r="R152" s="1725" t="n"/>
      <c r="S152" s="1725" t="n"/>
      <c r="T152" s="1726" t="n">
        <v>134550</v>
      </c>
      <c r="U152" s="1727" t="n">
        <v>134550</v>
      </c>
      <c r="V152" s="1729" t="n">
        <v>0.12</v>
      </c>
      <c r="W152" s="1732" t="n">
        <v>0.055</v>
      </c>
      <c r="X152" s="1732" t="n">
        <v>0.12</v>
      </c>
      <c r="Y152" s="1733" t="n"/>
      <c r="Z152" s="1732" t="n">
        <v>0.04</v>
      </c>
      <c r="AA152" s="1731">
        <f>U152*(1+V152+W152+X152+Y152+Z152)</f>
        <v>179624.25</v>
      </c>
      <c r="AB152" s="1734" t="n"/>
    </row>
    <row r="153" ht="14.25" customHeight="1" s="866">
      <c r="A153" s="1718" t="n">
        <v>101166</v>
      </c>
      <c r="B153" s="1721" t="inlineStr">
        <is>
          <t>Yu Chen</t>
        </is>
      </c>
      <c r="C153" s="1750" t="inlineStr">
        <is>
          <t>Senior Data Scientist</t>
        </is>
      </c>
      <c r="D153" s="1432" t="inlineStr">
        <is>
          <t>Jonathan Robinson</t>
        </is>
      </c>
      <c r="E153" s="1719" t="inlineStr">
        <is>
          <t>Technology Manager, Data Science</t>
        </is>
      </c>
      <c r="F153" s="1751" t="inlineStr">
        <is>
          <t>Strategy, Architecture &amp; Data</t>
        </is>
      </c>
      <c r="G153" s="1721" t="inlineStr">
        <is>
          <t>Group Data</t>
        </is>
      </c>
      <c r="H153" s="1751" t="inlineStr">
        <is>
          <t>Data Science</t>
        </is>
      </c>
      <c r="I153" s="1751" t="inlineStr">
        <is>
          <t>Enterprise Data</t>
        </is>
      </c>
      <c r="J153" s="1751" t="inlineStr">
        <is>
          <t>Group Data</t>
        </is>
      </c>
      <c r="K153" s="1721" t="inlineStr">
        <is>
          <t>Data Science</t>
        </is>
      </c>
      <c r="L153" s="1721" t="n"/>
      <c r="M153" s="1722" t="inlineStr">
        <is>
          <t>Australia</t>
        </is>
      </c>
      <c r="N153" s="1723" t="inlineStr">
        <is>
          <t>CIC</t>
        </is>
      </c>
      <c r="O153" s="1723" t="n">
        <v>1</v>
      </c>
      <c r="P153" s="1723" t="n"/>
      <c r="Q153" s="1723" t="inlineStr">
        <is>
          <t>Permanent - Full Time</t>
        </is>
      </c>
      <c r="R153" s="1725" t="n"/>
      <c r="S153" s="1725" t="n"/>
      <c r="T153" s="1726" t="n">
        <v>173470</v>
      </c>
      <c r="U153" s="1727" t="n">
        <v>173470</v>
      </c>
      <c r="V153" s="1729" t="n">
        <v>0.12</v>
      </c>
      <c r="W153" s="1732" t="n">
        <v>0.055</v>
      </c>
      <c r="X153" s="1732" t="n">
        <v>0.12</v>
      </c>
      <c r="Y153" s="1733" t="n"/>
      <c r="Z153" s="1732" t="n">
        <v>0.04</v>
      </c>
      <c r="AA153" s="1731">
        <f>U153*(1+V153+W153+X153+Y153+Z153)</f>
        <v>231582.45</v>
      </c>
      <c r="AB153" s="1734" t="n"/>
    </row>
  </sheetData>
  <autoFilter ref="A1:AB153"/>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I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4.25" zeroHeight="0" outlineLevelRow="0"/>
  <cols>
    <col width="20" customWidth="1" style="865" min="2" max="2"/>
    <col width="36.54" customWidth="1" style="865" min="3" max="3"/>
    <col width="10" customWidth="1" style="865" min="4" max="4"/>
    <col width="15" customWidth="1" style="865" min="5" max="6"/>
    <col width="13" customWidth="1" style="865" min="7" max="7"/>
    <col width="15" customWidth="1" style="865" min="8" max="8"/>
    <col width="10" customWidth="1" style="865" min="9" max="9"/>
  </cols>
  <sheetData>
    <row r="1"/>
    <row r="2" ht="18" customHeight="1" s="866">
      <c r="B2" s="1000" t="inlineStr">
        <is>
          <t>FY2026 Budget by Business Segment</t>
        </is>
      </c>
      <c r="C2" s="865" t="n"/>
      <c r="D2" s="865" t="n"/>
      <c r="E2" s="865" t="n"/>
      <c r="F2" s="865" t="n"/>
      <c r="G2" s="865" t="n"/>
      <c r="H2" s="865" t="n"/>
      <c r="I2" s="865" t="n"/>
    </row>
    <row r="3" ht="14.25" customHeight="1" s="866">
      <c r="B3" s="1762" t="n"/>
      <c r="C3" s="865" t="n"/>
      <c r="D3" s="865" t="n"/>
      <c r="E3" s="865" t="n"/>
      <c r="F3" s="865" t="n"/>
      <c r="G3" s="865" t="n"/>
      <c r="H3" s="865" t="n"/>
      <c r="I3" s="865" t="n"/>
    </row>
    <row r="4"/>
    <row r="5" ht="14.25" customHeight="1" s="866">
      <c r="B5" s="1002" t="inlineStr">
        <is>
          <t>Business Segment</t>
        </is>
      </c>
      <c r="C5" s="1002" t="inlineStr">
        <is>
          <t>TDD GM</t>
        </is>
      </c>
      <c r="D5" s="1002" t="inlineStr">
        <is>
          <t>Total</t>
        </is>
      </c>
      <c r="E5" s="1002" t="inlineStr">
        <is>
          <t>OpEx: Lights On</t>
        </is>
      </c>
      <c r="F5" s="1002" t="inlineStr">
        <is>
          <t>OpEx: Initiatives</t>
        </is>
      </c>
      <c r="G5" s="1002" t="inlineStr">
        <is>
          <t>Depreciation</t>
        </is>
      </c>
      <c r="H5" s="1002" t="inlineStr">
        <is>
          <t>Significant Items</t>
        </is>
      </c>
      <c r="I5" s="1002" t="inlineStr">
        <is>
          <t>CapEx</t>
        </is>
      </c>
    </row>
    <row r="6" ht="14.25" customHeight="1" s="866">
      <c r="B6" s="1033" t="inlineStr">
        <is>
          <t>TDD (Corporate)</t>
        </is>
      </c>
      <c r="C6" s="1033" t="inlineStr">
        <is>
          <t>Brad Blyth / Greg Cassis</t>
        </is>
      </c>
      <c r="D6" s="1035" t="n">
        <v>112.75951309</v>
      </c>
      <c r="E6" s="1035" t="n">
        <v>78.89486321</v>
      </c>
      <c r="F6" s="1035" t="n">
        <v>3</v>
      </c>
      <c r="G6" s="1035" t="n">
        <v>5.80004988</v>
      </c>
      <c r="H6" s="1035" t="n">
        <v>20.1966</v>
      </c>
      <c r="I6" s="1035" t="n">
        <v>4.868</v>
      </c>
    </row>
    <row r="7" ht="14.25" customHeight="1" s="866">
      <c r="B7" s="1012" t="inlineStr">
        <is>
          <t>Z-Energy</t>
        </is>
      </c>
      <c r="C7" s="1012" t="inlineStr">
        <is>
          <t>Vance Anderson / Harley Giles</t>
        </is>
      </c>
      <c r="D7" s="1014" t="n">
        <v>76.70351405</v>
      </c>
      <c r="E7" s="1014" t="n">
        <v>52.22525962</v>
      </c>
      <c r="F7" s="1014" t="n">
        <v>1.44624</v>
      </c>
      <c r="G7" s="1014" t="n">
        <v>11.30652059</v>
      </c>
      <c r="H7" s="1014" t="n">
        <v>0</v>
      </c>
      <c r="I7" s="1014" t="n">
        <v>11.72549384</v>
      </c>
    </row>
    <row r="8" ht="14.25" customHeight="1" s="866">
      <c r="B8" s="1033" t="inlineStr">
        <is>
          <t>Commercial Fuels</t>
        </is>
      </c>
      <c r="C8" s="1033" t="inlineStr">
        <is>
          <t>Roanne Steele</t>
        </is>
      </c>
      <c r="D8" s="1035" t="n">
        <v>40.53422304</v>
      </c>
      <c r="E8" s="1035" t="n">
        <v>13.65558128</v>
      </c>
      <c r="F8" s="1035" t="n">
        <v>5.86172092</v>
      </c>
      <c r="G8" s="1035" t="n">
        <v>0</v>
      </c>
      <c r="H8" s="1035" t="n">
        <v>14.219208</v>
      </c>
      <c r="I8" s="1035" t="n">
        <v>6.79771284</v>
      </c>
    </row>
    <row r="9" ht="14.25" customHeight="1" s="866">
      <c r="B9" s="1012" t="inlineStr">
        <is>
          <t>Retail</t>
        </is>
      </c>
      <c r="C9" s="1012" t="inlineStr">
        <is>
          <t>Vance Anderson</t>
        </is>
      </c>
      <c r="D9" s="1014" t="n">
        <v>33.88085459</v>
      </c>
      <c r="E9" s="1014" t="n">
        <v>13.92585459</v>
      </c>
      <c r="F9" s="1014" t="n">
        <v>1.31</v>
      </c>
      <c r="G9" s="1014" t="n">
        <v>0</v>
      </c>
      <c r="H9" s="1014" t="n">
        <v>6.845</v>
      </c>
      <c r="I9" s="1014" t="n">
        <v>11.8</v>
      </c>
    </row>
    <row r="10" ht="14.25" customHeight="1" s="866">
      <c r="B10" s="1033" t="inlineStr">
        <is>
          <t>Energy Solutions</t>
        </is>
      </c>
      <c r="C10" s="1033" t="inlineStr">
        <is>
          <t>Roanne Steele</t>
        </is>
      </c>
      <c r="D10" s="1035" t="n">
        <v>8.009524369999999</v>
      </c>
      <c r="E10" s="1035" t="n">
        <v>4.04193945</v>
      </c>
      <c r="F10" s="1035" t="n">
        <v>0.97</v>
      </c>
      <c r="G10" s="1035" t="n">
        <v>0</v>
      </c>
      <c r="H10" s="1035" t="n">
        <v>0</v>
      </c>
      <c r="I10" s="1035" t="n">
        <v>2.99758492</v>
      </c>
    </row>
    <row r="11" ht="14.25" customHeight="1" s="866">
      <c r="B11" s="1012" t="inlineStr">
        <is>
          <t>Infrastructure</t>
        </is>
      </c>
      <c r="C11" s="1012" t="inlineStr">
        <is>
          <t>Roanne Steele</t>
        </is>
      </c>
      <c r="D11" s="1014" t="n">
        <v>9.24937596</v>
      </c>
      <c r="E11" s="1014" t="n">
        <v>3.594596</v>
      </c>
      <c r="F11" s="1014" t="n">
        <v>0.763362</v>
      </c>
      <c r="G11" s="1014" t="n">
        <v>0</v>
      </c>
      <c r="H11" s="1014" t="n">
        <v>0</v>
      </c>
      <c r="I11" s="1014" t="n">
        <v>4.89141796</v>
      </c>
    </row>
    <row r="12" ht="14.25" customHeight="1" s="866">
      <c r="B12" s="1033" t="inlineStr">
        <is>
          <t>Finance &amp; Other Corp</t>
        </is>
      </c>
      <c r="C12" s="1033" t="inlineStr">
        <is>
          <t>Emily Mogic</t>
        </is>
      </c>
      <c r="D12" s="1035" t="n">
        <v>3.88077368</v>
      </c>
      <c r="E12" s="1035" t="n">
        <v>2.94528707</v>
      </c>
      <c r="F12" s="1035" t="n">
        <v>0.93548661</v>
      </c>
      <c r="G12" s="1035" t="n">
        <v>0</v>
      </c>
      <c r="H12" s="1035" t="n">
        <v>0</v>
      </c>
      <c r="I12" s="1035" t="n">
        <v>0</v>
      </c>
    </row>
    <row r="13" ht="14.25" customHeight="1" s="866">
      <c r="B13" s="1012" t="inlineStr">
        <is>
          <t>P&amp;C</t>
        </is>
      </c>
      <c r="C13" s="1012" t="inlineStr">
        <is>
          <t>Emily Mogic</t>
        </is>
      </c>
      <c r="D13" s="1014" t="n">
        <v>5.81303803</v>
      </c>
      <c r="E13" s="1014" t="n">
        <v>2.14803803</v>
      </c>
      <c r="F13" s="1014" t="n">
        <v>1.975</v>
      </c>
      <c r="G13" s="1014" t="n">
        <v>0</v>
      </c>
      <c r="H13" s="1014" t="n">
        <v>1.36</v>
      </c>
      <c r="I13" s="1014" t="n">
        <v>0.33</v>
      </c>
    </row>
    <row r="14" ht="14.25" customHeight="1" s="866">
      <c r="B14" s="1033" t="inlineStr">
        <is>
          <t>Customer</t>
        </is>
      </c>
      <c r="C14" s="1033" t="inlineStr">
        <is>
          <t>Harley Giles</t>
        </is>
      </c>
      <c r="D14" s="1035" t="n">
        <v>11.69153287</v>
      </c>
      <c r="E14" s="1035" t="n">
        <v>1.69153283</v>
      </c>
      <c r="F14" s="1035" t="n">
        <v>0</v>
      </c>
      <c r="G14" s="1035" t="n">
        <v>0</v>
      </c>
      <c r="H14" s="1035" t="n">
        <v>5.00000004</v>
      </c>
      <c r="I14" s="1035" t="n">
        <v>5</v>
      </c>
    </row>
    <row r="15" ht="14.25" customHeight="1" s="866">
      <c r="B15" s="1017" t="inlineStr">
        <is>
          <t>Total Technology</t>
        </is>
      </c>
      <c r="C15" s="865" t="n"/>
      <c r="D15" s="1404">
        <f>SUM(D6:D14)</f>
        <v>302.52234968</v>
      </c>
      <c r="E15" s="1404">
        <f>SUM(E6:E14)</f>
        <v>173.12295208</v>
      </c>
      <c r="F15" s="1404">
        <f>SUM(F6:F14)</f>
        <v>16.26180953</v>
      </c>
      <c r="G15" s="1404">
        <f>SUM(G6:G14)</f>
        <v>17.10657047</v>
      </c>
      <c r="H15" s="1404">
        <f>SUM(H6:H14)</f>
        <v>47.62080804</v>
      </c>
      <c r="I15" s="1404">
        <f>SUM(I6:I14)</f>
        <v>48.41020956</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heetView>
  </sheetViews>
  <sheetFormatPr baseColWidth="8" defaultColWidth="8.54296875" defaultRowHeight="14.25" zeroHeight="0" outlineLevelRow="0"/>
  <cols>
    <col width="37" customWidth="1" style="865" min="4" max="4"/>
    <col width="23.45" customWidth="1" style="865" min="5" max="5"/>
    <col width="28" customWidth="1" style="865" min="6" max="6"/>
    <col width="10.54" customWidth="1" style="865" min="7" max="7"/>
    <col width="12.81" customWidth="1" style="865" min="8" max="8"/>
  </cols>
  <sheetData>
    <row r="1"/>
    <row r="2"/>
    <row r="3"/>
    <row r="4"/>
    <row r="5"/>
    <row r="6"/>
    <row r="7" ht="14.25" customHeight="1" s="866">
      <c r="D7" s="865" t="inlineStr">
        <is>
          <t>Portfolio</t>
        </is>
      </c>
      <c r="E7" s="865" t="inlineStr">
        <is>
          <t>Platform</t>
        </is>
      </c>
      <c r="F7" s="865" t="inlineStr">
        <is>
          <t>Squad</t>
        </is>
      </c>
      <c r="G7" s="865" t="inlineStr">
        <is>
          <t>Type</t>
        </is>
      </c>
      <c r="H7" s="865" t="inlineStr">
        <is>
          <t>Size</t>
        </is>
      </c>
      <c r="I7" s="865" t="inlineStr">
        <is>
          <t>On/Off</t>
        </is>
      </c>
    </row>
    <row r="8" ht="14.25" customHeight="1" s="866">
      <c r="D8" s="865" t="inlineStr">
        <is>
          <t>Customer</t>
        </is>
      </c>
      <c r="E8" s="865" t="inlineStr">
        <is>
          <t>Ampol Digital</t>
        </is>
      </c>
      <c r="F8" s="865" t="inlineStr">
        <is>
          <t>Ampol App</t>
        </is>
      </c>
      <c r="G8" s="865" t="inlineStr">
        <is>
          <t>Engineering</t>
        </is>
      </c>
      <c r="H8" s="865" t="inlineStr">
        <is>
          <t>L</t>
        </is>
      </c>
      <c r="I8" s="1763" t="inlineStr">
        <is>
          <t>Onshore</t>
        </is>
      </c>
    </row>
    <row r="9" ht="14.25" customHeight="1" s="866">
      <c r="D9" s="865" t="n"/>
      <c r="E9" s="865" t="n"/>
      <c r="F9" s="865" t="inlineStr">
        <is>
          <t>Ampol Web</t>
        </is>
      </c>
      <c r="G9" s="865" t="inlineStr">
        <is>
          <t>Engineering</t>
        </is>
      </c>
      <c r="H9" s="865" t="inlineStr">
        <is>
          <t>L</t>
        </is>
      </c>
      <c r="I9" s="1763" t="inlineStr">
        <is>
          <t>Onshore</t>
        </is>
      </c>
    </row>
    <row r="10" ht="14.25" customHeight="1" s="866">
      <c r="D10" s="865" t="n"/>
      <c r="E10" s="865" t="n"/>
      <c r="F10" s="865" t="inlineStr">
        <is>
          <t>Digital Operations</t>
        </is>
      </c>
      <c r="G10" s="865" t="inlineStr">
        <is>
          <t>Operations</t>
        </is>
      </c>
      <c r="H10" s="865" t="inlineStr">
        <is>
          <t>M</t>
        </is>
      </c>
      <c r="I10" s="1763" t="inlineStr">
        <is>
          <t>Onshore</t>
        </is>
      </c>
    </row>
    <row r="11" ht="14.25" customHeight="1" s="866">
      <c r="D11" s="865" t="n"/>
      <c r="E11" s="865" t="inlineStr">
        <is>
          <t>Customer Z</t>
        </is>
      </c>
      <c r="F11" s="865" t="inlineStr">
        <is>
          <t>Z Energy Apps</t>
        </is>
      </c>
      <c r="G11" s="865" t="inlineStr">
        <is>
          <t>Product</t>
        </is>
      </c>
      <c r="H11" s="865" t="inlineStr">
        <is>
          <t>M</t>
        </is>
      </c>
      <c r="I11" s="1763" t="inlineStr">
        <is>
          <t>Onshore</t>
        </is>
      </c>
    </row>
    <row r="12" ht="14.25" customHeight="1" s="866">
      <c r="D12" s="865" t="n"/>
      <c r="E12" s="865" t="n"/>
      <c r="F12" s="865" t="inlineStr">
        <is>
          <t>Z Energy Martech</t>
        </is>
      </c>
      <c r="G12" s="865" t="inlineStr">
        <is>
          <t>Product</t>
        </is>
      </c>
      <c r="H12" s="865" t="inlineStr">
        <is>
          <t>L</t>
        </is>
      </c>
      <c r="I12" s="1763" t="inlineStr">
        <is>
          <t>Onshore</t>
        </is>
      </c>
    </row>
    <row r="13" ht="14.25" customHeight="1" s="866">
      <c r="D13" s="865" t="n"/>
      <c r="E13" s="865" t="inlineStr">
        <is>
          <t>Group Customer Platforms</t>
        </is>
      </c>
      <c r="F13" s="865" t="inlineStr">
        <is>
          <t>Loyalty &amp; Martech</t>
        </is>
      </c>
      <c r="G13" s="865" t="inlineStr">
        <is>
          <t>Product</t>
        </is>
      </c>
      <c r="H13" s="865" t="inlineStr">
        <is>
          <t>L</t>
        </is>
      </c>
      <c r="I13" s="1763" t="inlineStr">
        <is>
          <t>Onshore</t>
        </is>
      </c>
    </row>
    <row r="14"/>
    <row r="15" ht="14.25" customHeight="1" s="866">
      <c r="D15" s="865" t="inlineStr">
        <is>
          <t>Enterprise Data</t>
        </is>
      </c>
      <c r="E15" s="865" t="inlineStr">
        <is>
          <t>Group Data</t>
        </is>
      </c>
      <c r="F15" s="865" t="inlineStr">
        <is>
          <t>Data Science</t>
        </is>
      </c>
      <c r="G15" s="1763" t="inlineStr">
        <is>
          <t>Enterprise Data and Insights</t>
        </is>
      </c>
      <c r="H15" s="865" t="inlineStr">
        <is>
          <t>M</t>
        </is>
      </c>
      <c r="I15" s="1763" t="inlineStr">
        <is>
          <t>Onshore</t>
        </is>
      </c>
    </row>
    <row r="16" ht="14.25" customHeight="1" s="866">
      <c r="D16" s="865" t="n"/>
      <c r="E16" s="865" t="n"/>
      <c r="F16" s="865" t="inlineStr">
        <is>
          <t>Reporting &amp; Analytics</t>
        </is>
      </c>
      <c r="G16" s="1763" t="inlineStr">
        <is>
          <t>Build and Run</t>
        </is>
      </c>
      <c r="H16" s="865" t="inlineStr">
        <is>
          <t>L</t>
        </is>
      </c>
      <c r="I16" s="1763" t="inlineStr">
        <is>
          <t>Onshore</t>
        </is>
      </c>
    </row>
    <row r="17" ht="14.25" customHeight="1" s="866">
      <c r="D17" s="865" t="n"/>
      <c r="E17" s="865" t="n"/>
      <c r="F17" s="865" t="inlineStr">
        <is>
          <t>Data Platforms</t>
        </is>
      </c>
      <c r="G17" s="1763" t="inlineStr">
        <is>
          <t>Build and Run</t>
        </is>
      </c>
      <c r="H17" s="865" t="inlineStr">
        <is>
          <t>L</t>
        </is>
      </c>
      <c r="I17" s="1763" t="inlineStr">
        <is>
          <t>Onshore</t>
        </is>
      </c>
    </row>
    <row r="18" ht="14.25" customHeight="1" s="866">
      <c r="D18" s="865" t="n"/>
      <c r="E18" s="865" t="n"/>
      <c r="F18" s="865" t="inlineStr">
        <is>
          <t>Enterprise Data Delivery</t>
        </is>
      </c>
      <c r="G18" s="1763" t="inlineStr">
        <is>
          <t>Enterprise Data and Insights</t>
        </is>
      </c>
      <c r="H18" s="1763" t="inlineStr">
        <is>
          <t>M</t>
        </is>
      </c>
      <c r="I18" s="865" t="inlineStr">
        <is>
          <t>Offshore</t>
        </is>
      </c>
    </row>
    <row r="19"/>
    <row r="20"/>
    <row r="21" ht="14.25" customHeight="1" s="866">
      <c r="D21" s="865" t="inlineStr">
        <is>
          <t>TDD Group Functions</t>
        </is>
      </c>
      <c r="E21" s="865" t="inlineStr">
        <is>
          <t>TDD Group Functions</t>
        </is>
      </c>
      <c r="F21" s="865" t="inlineStr">
        <is>
          <t>Workplace &amp; Enterprise Tooling</t>
        </is>
      </c>
      <c r="G21" s="1763" t="inlineStr">
        <is>
          <t>Configuration / Integration</t>
        </is>
      </c>
      <c r="H21" s="865" t="inlineStr">
        <is>
          <t>S</t>
        </is>
      </c>
      <c r="I21" s="1763" t="inlineStr">
        <is>
          <t>Onshore</t>
        </is>
      </c>
    </row>
    <row r="22" ht="14.25" customHeight="1" s="866">
      <c r="D22" s="865" t="n"/>
      <c r="E22" s="865" t="n"/>
      <c r="F22" s="865" t="inlineStr">
        <is>
          <t>Network &amp; Infrastructure</t>
        </is>
      </c>
      <c r="G22" s="1763" t="inlineStr">
        <is>
          <t>Operations</t>
        </is>
      </c>
      <c r="H22" s="1763" t="inlineStr">
        <is>
          <t>M</t>
        </is>
      </c>
      <c r="I22" s="1763" t="inlineStr">
        <is>
          <t>Onshore</t>
        </is>
      </c>
    </row>
    <row r="23" ht="14.25" customHeight="1" s="866">
      <c r="D23" s="865" t="n"/>
      <c r="E23" s="865" t="n"/>
      <c r="F23" s="865" t="inlineStr">
        <is>
          <t>DevOps &amp; Engineering</t>
        </is>
      </c>
      <c r="G23" s="865" t="inlineStr">
        <is>
          <t>Engineering</t>
        </is>
      </c>
      <c r="H23" s="865" t="inlineStr">
        <is>
          <t>S</t>
        </is>
      </c>
      <c r="I23" s="1763" t="inlineStr">
        <is>
          <t>Onshore</t>
        </is>
      </c>
    </row>
    <row r="24" ht="14.25" customHeight="1" s="866">
      <c r="D24" s="865" t="n"/>
      <c r="E24" s="865" t="n"/>
      <c r="F24" s="865" t="inlineStr">
        <is>
          <t>Integration</t>
        </is>
      </c>
      <c r="G24" s="1763" t="inlineStr">
        <is>
          <t>Configuration / Integration</t>
        </is>
      </c>
      <c r="H24" s="1763" t="inlineStr">
        <is>
          <t>M</t>
        </is>
      </c>
      <c r="I24" s="1763" t="inlineStr">
        <is>
          <t>Onshore</t>
        </is>
      </c>
    </row>
    <row r="25"/>
    <row r="26" ht="14.25" customHeight="1" s="866">
      <c r="D26" s="865" t="inlineStr">
        <is>
          <t>P&amp;C</t>
        </is>
      </c>
      <c r="E26" s="865" t="inlineStr">
        <is>
          <t>P&amp;C</t>
        </is>
      </c>
      <c r="F26" s="865" t="inlineStr">
        <is>
          <t>P&amp;C</t>
        </is>
      </c>
      <c r="G26" s="1763" t="inlineStr">
        <is>
          <t>Configuration / Integration</t>
        </is>
      </c>
      <c r="H26" s="865" t="inlineStr">
        <is>
          <t>M</t>
        </is>
      </c>
      <c r="I26" s="1763" t="inlineStr">
        <is>
          <t>Onshore</t>
        </is>
      </c>
    </row>
    <row r="27" ht="14.25" customHeight="1" s="866">
      <c r="D27" s="865" t="n"/>
      <c r="E27" s="865" t="n"/>
      <c r="F27" s="865" t="inlineStr">
        <is>
          <t>P&amp;C - RTA</t>
        </is>
      </c>
      <c r="G27" s="1763" t="inlineStr">
        <is>
          <t>Configuration / Integration</t>
        </is>
      </c>
      <c r="H27" s="865" t="inlineStr">
        <is>
          <t>S</t>
        </is>
      </c>
      <c r="I27" s="1763" t="inlineStr">
        <is>
          <t>Onshore</t>
        </is>
      </c>
    </row>
    <row r="28"/>
    <row r="29" ht="14.25" customHeight="1" s="866">
      <c r="D29" s="865" t="inlineStr">
        <is>
          <t>Finance</t>
        </is>
      </c>
      <c r="E29" s="865" t="inlineStr">
        <is>
          <t>Finance</t>
        </is>
      </c>
      <c r="F29" s="865" t="inlineStr">
        <is>
          <t xml:space="preserve">AU Finance </t>
        </is>
      </c>
      <c r="G29" s="1763" t="inlineStr">
        <is>
          <t>Configuration / Integration</t>
        </is>
      </c>
      <c r="H29" s="865" t="inlineStr">
        <is>
          <t>L</t>
        </is>
      </c>
      <c r="I29" s="1763" t="inlineStr">
        <is>
          <t>Onshore</t>
        </is>
      </c>
    </row>
    <row r="30" ht="14.25" customHeight="1" s="866">
      <c r="D30" s="865" t="n"/>
      <c r="E30" s="865" t="n"/>
      <c r="F30" s="865" t="inlineStr">
        <is>
          <t xml:space="preserve">NZ Finance </t>
        </is>
      </c>
      <c r="G30" s="1763" t="inlineStr">
        <is>
          <t>Configuration / Integration</t>
        </is>
      </c>
      <c r="H30" s="865" t="inlineStr">
        <is>
          <t>L</t>
        </is>
      </c>
      <c r="I30" s="1763" t="inlineStr">
        <is>
          <t>Onshore</t>
        </is>
      </c>
    </row>
    <row r="31"/>
    <row r="32" ht="14.25" customHeight="1" s="866">
      <c r="D32" s="865" t="inlineStr">
        <is>
          <t>Infrastructure</t>
        </is>
      </c>
      <c r="E32" s="865" t="inlineStr">
        <is>
          <t>Distribution</t>
        </is>
      </c>
      <c r="F32" s="865" t="inlineStr">
        <is>
          <t>Distribution, Sales &amp; Services</t>
        </is>
      </c>
      <c r="G32" s="1763" t="inlineStr">
        <is>
          <t>Configuration / Integration</t>
        </is>
      </c>
      <c r="H32" s="865" t="inlineStr">
        <is>
          <t>M</t>
        </is>
      </c>
      <c r="I32" s="1763" t="inlineStr">
        <is>
          <t>Onshore</t>
        </is>
      </c>
    </row>
    <row r="33" ht="14.25" customHeight="1" s="866">
      <c r="D33" s="865" t="n"/>
      <c r="E33" s="865" t="inlineStr">
        <is>
          <t>Manufacturing</t>
        </is>
      </c>
      <c r="F33" s="865" t="inlineStr">
        <is>
          <t>Manufacturing &amp; Group Projects</t>
        </is>
      </c>
      <c r="G33" s="1763" t="inlineStr">
        <is>
          <t>Configuration / Integration</t>
        </is>
      </c>
      <c r="H33" s="865" t="inlineStr">
        <is>
          <t>M</t>
        </is>
      </c>
      <c r="I33" s="1763" t="inlineStr">
        <is>
          <t>Onshore</t>
        </is>
      </c>
    </row>
    <row r="34" ht="14.25" customHeight="1" s="866">
      <c r="D34" s="865" t="n"/>
      <c r="E34" s="865" t="n"/>
      <c r="F34" s="865" t="inlineStr">
        <is>
          <t>Technology Support</t>
        </is>
      </c>
      <c r="G34" s="1763" t="inlineStr">
        <is>
          <t>Operations</t>
        </is>
      </c>
      <c r="H34" s="865" t="inlineStr">
        <is>
          <t>S</t>
        </is>
      </c>
      <c r="I34" s="1763" t="inlineStr">
        <is>
          <t>Onshore</t>
        </is>
      </c>
    </row>
    <row r="35" ht="14.25" customHeight="1" s="866">
      <c r="D35" s="865" t="n"/>
      <c r="E35" s="865" t="inlineStr">
        <is>
          <t>Data &amp; Insights</t>
        </is>
      </c>
      <c r="F35" s="865" t="inlineStr">
        <is>
          <t>Data &amp; Insights</t>
        </is>
      </c>
      <c r="G35" s="1763" t="inlineStr">
        <is>
          <t>Configuration / Integration</t>
        </is>
      </c>
      <c r="H35" s="865" t="inlineStr">
        <is>
          <t>S</t>
        </is>
      </c>
      <c r="I35" s="1763" t="inlineStr">
        <is>
          <t>Onshore</t>
        </is>
      </c>
    </row>
    <row r="36"/>
    <row r="37" ht="14.25" customHeight="1" s="866">
      <c r="D37" s="865" t="inlineStr">
        <is>
          <t>Energy Solutions &amp; B2B</t>
        </is>
      </c>
      <c r="E37" s="865" t="inlineStr">
        <is>
          <t>Energy Solutions</t>
        </is>
      </c>
      <c r="F37" s="865" t="inlineStr">
        <is>
          <t>Energy</t>
        </is>
      </c>
      <c r="G37" s="865" t="inlineStr">
        <is>
          <t>Engineering</t>
        </is>
      </c>
      <c r="H37" s="865" t="inlineStr">
        <is>
          <t>L</t>
        </is>
      </c>
      <c r="I37" s="1763" t="inlineStr">
        <is>
          <t>Onshore</t>
        </is>
      </c>
    </row>
    <row r="38" ht="14.25" customHeight="1" s="866">
      <c r="D38" s="865" t="n"/>
      <c r="E38" s="865" t="n"/>
      <c r="F38" s="865" t="inlineStr">
        <is>
          <t>EVCI</t>
        </is>
      </c>
      <c r="G38" s="865" t="inlineStr">
        <is>
          <t>Engineering</t>
        </is>
      </c>
      <c r="H38" s="865" t="inlineStr">
        <is>
          <t>M</t>
        </is>
      </c>
      <c r="I38" s="1763" t="inlineStr">
        <is>
          <t>Onshore</t>
        </is>
      </c>
    </row>
    <row r="39" ht="14.25" customHeight="1" s="866">
      <c r="D39" s="865" t="n"/>
      <c r="E39" s="865" t="inlineStr">
        <is>
          <t>B2B</t>
        </is>
      </c>
      <c r="F39" s="865" t="inlineStr">
        <is>
          <t>B2B</t>
        </is>
      </c>
      <c r="G39" s="865" t="inlineStr">
        <is>
          <t>Engineering</t>
        </is>
      </c>
      <c r="H39" s="865" t="inlineStr">
        <is>
          <t>L</t>
        </is>
      </c>
      <c r="I39" s="1763" t="inlineStr">
        <is>
          <t>Onshore</t>
        </is>
      </c>
    </row>
    <row r="40"/>
    <row r="41" ht="14.25" customHeight="1" s="866">
      <c r="D41" s="865" t="inlineStr">
        <is>
          <t>Commercial Fuels</t>
        </is>
      </c>
      <c r="E41" s="865" t="inlineStr">
        <is>
          <t xml:space="preserve">Trading &amp; Shipping </t>
        </is>
      </c>
      <c r="F41" s="865" t="inlineStr">
        <is>
          <t>Trading &amp; Shipping</t>
        </is>
      </c>
      <c r="G41" s="1763" t="inlineStr">
        <is>
          <t>Configuration / Integration</t>
        </is>
      </c>
      <c r="H41" s="865" t="inlineStr">
        <is>
          <t>M</t>
        </is>
      </c>
      <c r="I41" s="1763" t="inlineStr">
        <is>
          <t>Onshore</t>
        </is>
      </c>
    </row>
    <row r="42" ht="14.25" customHeight="1" s="866">
      <c r="D42" s="865" t="n"/>
      <c r="E42" s="865" t="n"/>
      <c r="F42" s="865" t="inlineStr">
        <is>
          <t>Trading &amp; Shipping Data</t>
        </is>
      </c>
      <c r="G42" s="1763" t="inlineStr">
        <is>
          <t>Enterprise Data and Insights</t>
        </is>
      </c>
      <c r="H42" s="865" t="inlineStr">
        <is>
          <t>M</t>
        </is>
      </c>
      <c r="I42" s="1763" t="inlineStr">
        <is>
          <t>Onshore</t>
        </is>
      </c>
    </row>
    <row r="43" ht="14.25" customHeight="1" s="866">
      <c r="D43" s="865" t="n"/>
      <c r="E43" s="865" t="inlineStr">
        <is>
          <t>Supply</t>
        </is>
      </c>
      <c r="F43" s="865" t="inlineStr">
        <is>
          <t>Supply</t>
        </is>
      </c>
      <c r="G43" s="1763" t="inlineStr">
        <is>
          <t>Configuration / Integration</t>
        </is>
      </c>
      <c r="H43" s="865" t="inlineStr">
        <is>
          <t>M</t>
        </is>
      </c>
      <c r="I43" s="1763" t="inlineStr">
        <is>
          <t>Onshore</t>
        </is>
      </c>
    </row>
    <row r="44" ht="14.25" customHeight="1" s="866">
      <c r="D44" s="865" t="n"/>
      <c r="E44" s="865" t="inlineStr">
        <is>
          <t>CTRM</t>
        </is>
      </c>
      <c r="F44" s="865" t="inlineStr">
        <is>
          <t>CTRM</t>
        </is>
      </c>
      <c r="G44" s="1763" t="inlineStr">
        <is>
          <t>Configuration / Integration</t>
        </is>
      </c>
      <c r="H44" s="865" t="inlineStr">
        <is>
          <t>M</t>
        </is>
      </c>
      <c r="I44" s="1763" t="inlineStr">
        <is>
          <t>Onshore</t>
        </is>
      </c>
    </row>
    <row r="45"/>
    <row r="46" ht="14.25" customHeight="1" s="866">
      <c r="D46" s="865" t="inlineStr">
        <is>
          <t>Z Retail</t>
        </is>
      </c>
      <c r="E46" s="865" t="inlineStr">
        <is>
          <t>Z Supply</t>
        </is>
      </c>
      <c r="F46" s="865" t="inlineStr">
        <is>
          <t>Z Supply</t>
        </is>
      </c>
      <c r="G46" s="1763" t="inlineStr">
        <is>
          <t>Configuration / Integration</t>
        </is>
      </c>
      <c r="H46" s="1763" t="inlineStr">
        <is>
          <t>M</t>
        </is>
      </c>
      <c r="I46" s="1763" t="inlineStr">
        <is>
          <t>Onshore</t>
        </is>
      </c>
    </row>
    <row r="47" ht="14.25" customHeight="1" s="866">
      <c r="D47" s="865" t="n"/>
      <c r="E47" s="865" t="inlineStr">
        <is>
          <t>Z Customer</t>
        </is>
      </c>
      <c r="F47" s="865" t="inlineStr">
        <is>
          <t>Site Systems</t>
        </is>
      </c>
      <c r="G47" s="1763" t="inlineStr">
        <is>
          <t>Configuration / Integration</t>
        </is>
      </c>
      <c r="H47" s="1763" t="inlineStr">
        <is>
          <t>M</t>
        </is>
      </c>
      <c r="I47" s="1763" t="inlineStr">
        <is>
          <t>Onshore</t>
        </is>
      </c>
    </row>
    <row r="48" ht="14.25" customHeight="1" s="866">
      <c r="D48" s="865" t="n"/>
      <c r="E48" s="865" t="n"/>
      <c r="F48" s="865" t="inlineStr">
        <is>
          <t>Z Retail Backend</t>
        </is>
      </c>
      <c r="G48" s="1763" t="inlineStr">
        <is>
          <t>Engineering</t>
        </is>
      </c>
      <c r="H48" s="1763" t="inlineStr">
        <is>
          <t>M</t>
        </is>
      </c>
      <c r="I48" s="1763" t="inlineStr">
        <is>
          <t>Onshore</t>
        </is>
      </c>
    </row>
    <row r="49"/>
    <row r="50" ht="14.25" customHeight="1" s="866">
      <c r="C50" s="865" t="n"/>
      <c r="D50" s="865" t="inlineStr">
        <is>
          <t>TDD Cyber</t>
        </is>
      </c>
      <c r="E50" s="865" t="inlineStr">
        <is>
          <t>TDD Cyber</t>
        </is>
      </c>
      <c r="F50" s="865" t="inlineStr">
        <is>
          <t>TDD Cyber</t>
        </is>
      </c>
      <c r="G50" s="1763" t="inlineStr">
        <is>
          <t>Operations</t>
        </is>
      </c>
      <c r="H50" s="1763" t="inlineStr">
        <is>
          <t>M</t>
        </is>
      </c>
      <c r="I50" s="1763" t="inlineStr">
        <is>
          <t>Onshore</t>
        </is>
      </c>
    </row>
    <row r="51"/>
    <row r="52" ht="14.25" customHeight="1" s="866">
      <c r="C52" s="865" t="inlineStr">
        <is>
          <t>COE</t>
        </is>
      </c>
      <c r="D52" s="865" t="inlineStr">
        <is>
          <t>Business Partnering</t>
        </is>
      </c>
      <c r="E52" s="865" t="n"/>
      <c r="F52" s="865" t="n"/>
      <c r="G52" s="865" t="n"/>
      <c r="H52" s="865" t="n"/>
      <c r="I52" s="865" t="n"/>
    </row>
    <row r="53" ht="14.25" customHeight="1" s="866">
      <c r="C53" s="865" t="n"/>
      <c r="D53" s="865" t="inlineStr">
        <is>
          <t>Strategy, Architecture, Enterprise Data &amp; AI</t>
        </is>
      </c>
      <c r="E53" s="865" t="n"/>
      <c r="F53" s="865" t="n"/>
      <c r="G53" s="865" t="n"/>
      <c r="H53" s="865" t="n"/>
      <c r="I53" s="865" t="n"/>
    </row>
    <row r="54" ht="14.25" customHeight="1" s="866">
      <c r="C54" s="865" t="n"/>
      <c r="D54" s="865" t="inlineStr">
        <is>
          <t>Cyber, Risk &amp; Service Operations</t>
        </is>
      </c>
      <c r="E54" s="865" t="n"/>
      <c r="F54" s="865" t="n"/>
      <c r="G54" s="865" t="n"/>
      <c r="H54" s="865" t="n"/>
      <c r="I54" s="865"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20" t="n"/>
      <c r="F1" s="1820" t="n"/>
      <c r="G1" s="1820"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6"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20" t="n"/>
      <c r="F2" s="1820" t="n"/>
      <c r="G2" s="1820"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7"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20" t="n"/>
      <c r="F3" s="1820" t="n"/>
      <c r="G3" s="1820"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7"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20" t="n"/>
      <c r="F4" s="1820" t="n"/>
      <c r="G4" s="1820"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7"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7"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7"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7"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8">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3"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2026-07-26T13:19:07Z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