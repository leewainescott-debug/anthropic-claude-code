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BP&amp;T" sheetId="34" state="visible" r:id="rId34"/>
    <sheet name="2.13 SA&amp;D" sheetId="35" state="visible" r:id="rId35"/>
    <sheet name="2.14 EGI" sheetId="36" state="visible" r:id="rId36"/>
    <sheet name="- SUMMARIES -" sheetId="37" state="visible" r:id="rId37"/>
    <sheet name="3.1 Group Summary" sheetId="38" state="visible" r:id="rId38"/>
    <sheet name="3.2 Total Cost"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F2F2F2"/>
        <bgColor rgb="FFF2F2F2"/>
      </patternFill>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6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8" borderId="105" applyAlignment="1" pivotButton="0" quotePrefix="0" xfId="0">
      <alignment horizontal="left" vertical="center"/>
    </xf>
    <xf numFmtId="189"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8" borderId="105" applyAlignment="1" pivotButton="0" quotePrefix="0" xfId="0">
      <alignment horizontal="right" vertical="center"/>
    </xf>
    <xf numFmtId="0" fontId="0" fillId="0" borderId="0" applyAlignment="1" pivotButton="0" quotePrefix="0" xfId="0">
      <alignment horizontal="right" vertical="center"/>
    </xf>
    <xf numFmtId="0" fontId="74" fillId="39" borderId="106" applyAlignment="1" pivotButton="0" quotePrefix="0" xfId="0">
      <alignment horizontal="left" vertical="center"/>
    </xf>
    <xf numFmtId="189" fontId="74" fillId="39" borderId="106" applyAlignment="1" pivotButton="0" quotePrefix="0" xfId="0">
      <alignment horizontal="right" vertical="center"/>
    </xf>
    <xf numFmtId="190" fontId="74" fillId="39" borderId="106" applyAlignment="1" pivotButton="0" quotePrefix="0" xfId="0">
      <alignment horizontal="right" vertical="center"/>
    </xf>
    <xf numFmtId="191"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0" fontId="74" fillId="40" borderId="105" applyAlignment="1" pivotButton="0" quotePrefix="0" xfId="0">
      <alignment horizontal="left" vertical="center"/>
    </xf>
    <xf numFmtId="190" fontId="74" fillId="40"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74" fillId="0" borderId="0" applyAlignment="1" pivotButton="0" quotePrefix="0" xfId="0">
      <alignment horizontal="left" vertical="center"/>
    </xf>
    <xf numFmtId="191" fontId="73" fillId="38" borderId="105" applyAlignment="1" pivotButton="0" quotePrefix="0" xfId="0">
      <alignment horizontal="center" vertical="center" wrapText="1"/>
    </xf>
    <xf numFmtId="190" fontId="73" fillId="38" borderId="105" applyAlignment="1" pivotButton="0" quotePrefix="0" xfId="0">
      <alignment horizontal="center" vertical="center" wrapText="1"/>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9" borderId="106" applyAlignment="1" pivotButton="0" quotePrefix="0" xfId="0">
      <alignment horizontal="right" vertical="center"/>
    </xf>
    <xf numFmtId="190"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8" borderId="105" applyAlignment="1" pivotButton="0" quotePrefix="0" xfId="0">
      <alignment horizontal="right" vertical="center"/>
    </xf>
    <xf numFmtId="189" fontId="74" fillId="39" borderId="106" applyAlignment="1" pivotButton="0" quotePrefix="0" xfId="0">
      <alignment horizontal="right" vertical="center"/>
    </xf>
    <xf numFmtId="190" fontId="74" fillId="40"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39"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8" borderId="66" applyAlignment="1" pivotButton="0" quotePrefix="0" xfId="0">
      <alignment horizontal="left" vertical="center"/>
    </xf>
    <xf numFmtId="182" fontId="74" fillId="38" borderId="60" applyAlignment="1" pivotButton="0" quotePrefix="0" xfId="0">
      <alignment horizontal="left" vertical="center"/>
    </xf>
    <xf numFmtId="0" fontId="74" fillId="38"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8" borderId="66" applyAlignment="1" pivotButton="0" quotePrefix="0" xfId="0">
      <alignment horizontal="center" vertical="center" wrapText="1"/>
    </xf>
    <xf numFmtId="182" fontId="74" fillId="38"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7" t="inlineStr">
        <is>
          <t>Roles in the ledger</t>
        </is>
      </c>
      <c r="C5" s="1789">
        <f>'3.1 Group Summary'!$G$38</f>
        <v>525</v>
      </c>
    </row>
    <row r="6">
      <c r="B6" s="1787" t="inlineStr">
        <is>
          <t>Filled</t>
        </is>
      </c>
      <c r="C6" s="1789">
        <f>'3.1 Group Summary'!$H$38</f>
        <v>390</v>
      </c>
    </row>
    <row r="7">
      <c r="B7" s="1787" t="inlineStr">
        <is>
          <t>Vacant</t>
        </is>
      </c>
      <c r="C7" s="1789">
        <f>'3.1 Group Summary'!$I$38</f>
        <v>135</v>
      </c>
    </row>
    <row r="8">
      <c r="B8" s="1787" t="inlineStr">
        <is>
          <t>Cost today ($m)</t>
        </is>
      </c>
      <c r="C8" s="1790">
        <f>'3.1 Group Summary'!$D$38</f>
        <v>115.1132622681</v>
      </c>
    </row>
    <row r="9">
      <c r="B9" s="1787" t="inlineStr">
        <is>
          <t>Of which people in seat today ($m)</t>
        </is>
      </c>
      <c r="C9" s="1790">
        <f>SUMIFS('REVIEW - Complete Role Mapping'!$AA$2:$AA$528,'REVIEW - Complete Role Mapping'!$AK$2:$AK$528,"Filled")/1000000</f>
        <v>86.5787701821</v>
      </c>
    </row>
    <row r="10">
      <c r="B10" s="1787" t="inlineStr">
        <is>
          <t>Of which vacancies not yet filled ($m)</t>
        </is>
      </c>
      <c r="C10" s="1790">
        <f>SUMIFS('REVIEW - Complete Role Mapping'!$AA$2:$AA$528,'REVIEW - Complete Role Mapping'!$AK$2:$AK$528,"Vacant")/1000000</f>
        <v>28.534492086</v>
      </c>
    </row>
    <row r="11"/>
    <row r="12" ht="19" customHeight="1" s="866">
      <c r="B12" s="1527" t="inlineStr">
        <is>
          <t>Against the archetype</t>
        </is>
      </c>
      <c r="C12" s="1528" t="n"/>
    </row>
    <row r="13">
      <c r="B13" s="1787" t="inlineStr">
        <is>
          <t>Squads priced by an archetype - archetype cost ($m)</t>
        </is>
      </c>
      <c r="C13" s="1790">
        <f>'3.1 Group Summary'!$C$20</f>
        <v>64.2</v>
      </c>
    </row>
    <row r="14">
      <c r="B14" s="1787" t="inlineStr">
        <is>
          <t>Squads priced by an archetype - actual ($m)</t>
        </is>
      </c>
      <c r="C14" s="1790">
        <f>'3.1 Group Summary'!$D$20</f>
        <v>63.8112576151</v>
      </c>
    </row>
    <row r="15">
      <c r="B15" s="1787" t="inlineStr">
        <is>
          <t>Squads priced by an archetype - over/(under) ($m)</t>
        </is>
      </c>
      <c r="C15" s="1790">
        <f>'3.1 Group Summary'!$E$20</f>
        <v>-0.388742384899999</v>
      </c>
    </row>
    <row r="16">
      <c r="B16" s="1787" t="inlineStr">
        <is>
          <t>Directly funded programmes - over/(under) funded ($m)</t>
        </is>
      </c>
      <c r="C16" s="1790">
        <f>'3.1 Group Summary'!$E$29</f>
        <v>1.437617098</v>
      </c>
    </row>
    <row r="17">
      <c r="B17" s="1787" t="inlineStr">
        <is>
          <t>COEs and EGI - over/(under) their 1.x planned spend ($m)</t>
        </is>
      </c>
      <c r="C17" s="1790">
        <f>'3.1 Group Summary'!$E$35</f>
        <v>0</v>
      </c>
    </row>
    <row r="18">
      <c r="B18" s="1787" t="inlineStr">
        <is>
          <t>Overhead roles - not covered by the allowance ($m)</t>
        </is>
      </c>
      <c r="C18" s="1790">
        <f>'3.1 Group Summary'!$E$36</f>
        <v>5.329230155</v>
      </c>
    </row>
    <row r="19">
      <c r="B19" s="1787" t="inlineStr">
        <is>
          <t>Total over/(under) archetype ($m)</t>
        </is>
      </c>
      <c r="C19" s="1790">
        <f>'3.1 Group Summary'!$E$38</f>
        <v>6.3781048681</v>
      </c>
    </row>
    <row r="20"/>
    <row r="21" ht="19" customHeight="1" s="866">
      <c r="B21" s="1527" t="inlineStr">
        <is>
          <t>The vacancy decision</t>
        </is>
      </c>
      <c r="C21" s="1528" t="n"/>
    </row>
    <row r="22">
      <c r="B22" s="1787" t="inlineStr">
        <is>
          <t>Vacant roles</t>
        </is>
      </c>
      <c r="C22" s="1789">
        <f>'3.1 Group Summary'!$I$38</f>
        <v>135</v>
      </c>
    </row>
    <row r="23">
      <c r="B23" s="1787" t="inlineStr">
        <is>
          <t>Vacancies set to hire</t>
        </is>
      </c>
      <c r="C23" s="1789">
        <f>N('2.1 Ampol Retail'!$I$30)+N('2.2 Customer'!$I$29)+N('2.3 Enterprise Data'!$I$23)+N('2.4 TDD Group Functions'!$I$25)+N('2.5 P&amp;C'!$I$23)+N('2.6 Finance'!$I$21)+N('2.7 Infrastructure'!$I$25)+N('2.8 Energy Solutions &amp; B2B'!$I$24)+N('2.9 Commercial Fuels'!$I$24)+N('2.10 Z Retail'!$I$25)+N('2.11 COE Cyber'!$I$24)+N('2.12 BP&amp;T'!$I$22)+N('2.13 SA&amp;D'!$I$24)+N('2.14 EGI'!$I$20)</f>
        <v>135</v>
      </c>
    </row>
    <row r="24">
      <c r="B24" s="1787" t="inlineStr">
        <is>
          <t>Roles set to offshore</t>
        </is>
      </c>
      <c r="C24" s="1789">
        <f>N('2.1 Ampol Retail'!$J$30)+N('2.2 Customer'!$J$29)+N('2.3 Enterprise Data'!$J$23)+N('2.4 TDD Group Functions'!$J$25)+N('2.5 P&amp;C'!$J$23)+N('2.6 Finance'!$J$21)+N('2.7 Infrastructure'!$J$25)+N('2.8 Energy Solutions &amp; B2B'!$J$24)+N('2.9 Commercial Fuels'!$J$24)+N('2.10 Z Retail'!$J$25)+N('2.11 COE Cyber'!$J$24)+N('2.12 BP&amp;T'!$J$22)+N('2.13 SA&amp;D'!$J$24)+N('2.14 EGI'!$J$20)</f>
        <v>0</v>
      </c>
    </row>
    <row r="25">
      <c r="B25" s="1787" t="inlineStr">
        <is>
          <t>Roles put on hold</t>
        </is>
      </c>
      <c r="C25" s="1789">
        <f>N('2.1 Ampol Retail'!$K$30)+N('2.2 Customer'!$K$29)+N('2.3 Enterprise Data'!$K$23)+N('2.4 TDD Group Functions'!$K$25)+N('2.5 P&amp;C'!$K$23)+N('2.6 Finance'!$K$21)+N('2.7 Infrastructure'!$K$25)+N('2.8 Energy Solutions &amp; B2B'!$K$24)+N('2.9 Commercial Fuels'!$K$24)+N('2.10 Z Retail'!$K$25)+N('2.11 COE Cyber'!$K$24)+N('2.12 BP&amp;T'!$K$22)+N('2.13 SA&amp;D'!$K$24)+N('2.14 EGI'!$K$20)</f>
        <v>0</v>
      </c>
    </row>
    <row r="26">
      <c r="B26" s="1787" t="inlineStr">
        <is>
          <t>Roles after the decisions set today</t>
        </is>
      </c>
      <c r="C26" s="1789">
        <f>'3.1 Group Summary'!$J$38</f>
        <v>525</v>
      </c>
    </row>
    <row r="27">
      <c r="B27" s="1787" t="inlineStr">
        <is>
          <t>Cost after the decisions set today ($m)</t>
        </is>
      </c>
      <c r="C27" s="1790">
        <f>'3.1 Group Summary'!$F$38</f>
        <v>115.1132622681</v>
      </c>
    </row>
    <row r="28">
      <c r="B28" s="1787" t="inlineStr">
        <is>
          <t>Impact of those decisions ($m)</t>
        </is>
      </c>
      <c r="C28" s="1790">
        <f>'3.1 Group Summary'!$F$38-'3.1 Group Summary'!$D$38</f>
        <v>0</v>
      </c>
    </row>
    <row r="29"/>
    <row r="30" ht="19" customHeight="1" s="866">
      <c r="B30" s="1527" t="inlineStr">
        <is>
          <t>Portfolio drill-down</t>
        </is>
      </c>
      <c r="C30" s="1528" t="n"/>
    </row>
    <row r="31">
      <c r="B31" s="1791" t="inlineStr">
        <is>
          <t>Pick a portfolio</t>
        </is>
      </c>
      <c r="C31" s="1547" t="inlineStr">
        <is>
          <t>Ampol Retail</t>
        </is>
      </c>
    </row>
    <row r="32">
      <c r="B32" s="1787" t="inlineStr">
        <is>
          <t>Roles</t>
        </is>
      </c>
      <c r="C32" s="1789">
        <f>SUMIFS('3.3 Squad Detail'!$H$6:$H$109,'3.3 Squad Detail'!$B$6:$B$109,$C$31)</f>
        <v>70</v>
      </c>
    </row>
    <row r="33">
      <c r="B33" s="1787" t="inlineStr">
        <is>
          <t>Filled</t>
        </is>
      </c>
      <c r="C33" s="1789">
        <f>SUMIFS('3.3 Squad Detail'!$I$6:$I$109,'3.3 Squad Detail'!$B$6:$B$109,$C$31)</f>
        <v>48</v>
      </c>
    </row>
    <row r="34">
      <c r="B34" s="1787" t="inlineStr">
        <is>
          <t>Vacant</t>
        </is>
      </c>
      <c r="C34" s="1789">
        <f>SUMIFS('3.3 Squad Detail'!$J$6:$J$109,'3.3 Squad Detail'!$B$6:$B$109,$C$31)</f>
        <v>22</v>
      </c>
    </row>
    <row r="35">
      <c r="B35" s="1787" t="inlineStr">
        <is>
          <t>Roles after decisions</t>
        </is>
      </c>
      <c r="C35" s="1789">
        <f>SUMIFS('3.3 Squad Detail'!$K$6:$K$109,'3.3 Squad Detail'!$B$6:$B$109,$C$31)</f>
        <v>70</v>
      </c>
    </row>
    <row r="36">
      <c r="B36" s="1787" t="inlineStr">
        <is>
          <t>Actual cost ($m)</t>
        </is>
      </c>
      <c r="C36" s="1790">
        <f>SUMIFS('3.3 Squad Detail'!$M$6:$M$109,'3.3 Squad Detail'!$B$6:$B$109,$C$31)</f>
        <v>14.005227457</v>
      </c>
    </row>
    <row r="37">
      <c r="B37" s="1787" t="inlineStr">
        <is>
          <t>Of which overhead roles ($m)</t>
        </is>
      </c>
      <c r="C37" s="1790">
        <f>SUMIFS('3.3 Squad Detail'!$M$6:$M$109,'3.3 Squad Detail'!$B$6:$B$109,$C$31,'3.3 Squad Detail'!$C$6:$C$109,"Overhead")</f>
        <v>1.255615963</v>
      </c>
    </row>
    <row r="38">
      <c r="B38" s="1787" t="inlineStr">
        <is>
          <t>Squads priced by an archetype - over/(under) archetype ($m)</t>
        </is>
      </c>
      <c r="C38" s="1790">
        <f>SUMIFS('3.3 Squad Detail'!$N$6:$N$109,'3.3 Squad Detail'!$B$6:$B$109,$C$31,'3.3 Squad Detail'!$C$6:$C$109,"Archetype")</f>
        <v>-0.766475</v>
      </c>
    </row>
    <row r="39">
      <c r="B39" s="1787" t="inlineStr">
        <is>
          <t>Directly funded programmes - over/(under) funded ($m)</t>
        </is>
      </c>
      <c r="C39" s="1790">
        <f>SUMIFS('3.3 Squad Detail'!$N$6:$N$109,'3.3 Squad Detail'!$B$6:$B$109,$C$31,'3.3 Squad Detail'!$C$6:$C$109,"Directly funded")</f>
        <v>0.710941</v>
      </c>
    </row>
    <row r="40">
      <c r="B40" s="1787" t="inlineStr">
        <is>
          <t>Cost after vacancy decisions ($m)</t>
        </is>
      </c>
      <c r="C40" s="1790">
        <f>SUMIFS('3.3 Squad Detail'!$O$6:$O$109,'3.3 Squad Detail'!$B$6:$B$109,$C$31)</f>
        <v>14.005227457</v>
      </c>
    </row>
  </sheetData>
  <dataValidations count="1">
    <dataValidation sqref="C31"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39"/>
  <sheetViews>
    <sheetView showFormulas="0" showGridLines="0" showRowColHeaders="1" showZeros="1" rightToLeft="0" tabSelected="0" showOutlineSymbols="1" defaultGridColor="1" view="normal" topLeftCell="A6" colorId="64" zoomScale="120" zoomScaleNormal="120" zoomScalePageLayoutView="100" workbookViewId="0">
      <pane xSplit="2" ySplit="5" topLeftCell="C6" activePane="bottomRight" state="frozen"/>
      <selection pane="topRight"/>
      <selection pane="bottomLeft"/>
      <selection pane="bottomRigh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16" t="inlineStr">
        <is>
          <t>Actual cost ($m)</t>
        </is>
      </c>
      <c r="G5" s="1816"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17" t="n">
        <v>1.5</v>
      </c>
      <c r="D6" s="1817" t="n">
        <v>0.5</v>
      </c>
      <c r="E6" s="1010">
        <f>C6+D6</f>
        <v>2</v>
      </c>
      <c r="F6" s="1010">
        <f>SUMIFS('REVIEW - Complete Role Mapping'!$AA$2:$AA$528,'REVIEW - Complete Role Mapping'!$AJ$2:$AJ$528,"COE SA&amp;D")/1000000</f>
        <v>6.529494052</v>
      </c>
      <c r="G6" s="1011">
        <f>$F6-$E6</f>
        <v>4.529494052</v>
      </c>
      <c r="H6" s="865" t="n"/>
      <c r="I6" s="1012" t="inlineStr">
        <is>
          <t>Head of Tech</t>
        </is>
      </c>
      <c r="J6" s="1817" t="n">
        <v>0.275</v>
      </c>
      <c r="K6" s="1818" t="n">
        <v>0.5</v>
      </c>
      <c r="L6" s="1014">
        <f>J6*K6</f>
        <v>0.1375</v>
      </c>
    </row>
    <row r="7" ht="14.25" customHeight="1" s="866">
      <c r="B7" s="1015" t="inlineStr">
        <is>
          <t>COE - Cyber, Risk &amp; Service Ops (see 1.13 Cyber Roles)</t>
        </is>
      </c>
      <c r="C7" s="1817" t="n">
        <v>0</v>
      </c>
      <c r="D7" s="1817" t="n">
        <v>0</v>
      </c>
      <c r="E7" s="1016">
        <f>C7+D7</f>
        <v>0</v>
      </c>
      <c r="F7" s="1010" t="n">
        <v>0</v>
      </c>
      <c r="G7" s="1011">
        <f>$F7-$E7</f>
        <v>0</v>
      </c>
      <c r="H7" s="865" t="n"/>
      <c r="I7" s="1012" t="inlineStr">
        <is>
          <t>Business Partner</t>
        </is>
      </c>
      <c r="J7" s="1817" t="n">
        <v>0.44</v>
      </c>
      <c r="K7" s="1818" t="n">
        <v>0.5</v>
      </c>
      <c r="L7" s="1014">
        <f>J7*K7</f>
        <v>0.22</v>
      </c>
    </row>
    <row r="8" ht="14.25" customHeight="1" s="866">
      <c r="B8" s="1008" t="inlineStr">
        <is>
          <t>COE - Transformation</t>
        </is>
      </c>
      <c r="C8" s="1817" t="n">
        <v>1.5</v>
      </c>
      <c r="D8" s="1817" t="n">
        <v>0.5</v>
      </c>
      <c r="E8" s="1010">
        <f>C8+D8</f>
        <v>2</v>
      </c>
      <c r="F8" s="1010">
        <f>SUMIFS('REVIEW - Complete Role Mapping'!$AA$2:$AA$528,'REVIEW - Complete Role Mapping'!$AJ$2:$AJ$528,"COE BP&amp;T")/1000000</f>
        <v>6.400561822</v>
      </c>
      <c r="G8" s="1011">
        <f>$F8-$E8</f>
        <v>4.400561822</v>
      </c>
      <c r="H8" s="865" t="n"/>
      <c r="I8" s="1012" t="inlineStr">
        <is>
          <t>Domain Architect</t>
        </is>
      </c>
      <c r="J8" s="1817" t="n">
        <v>0.28</v>
      </c>
      <c r="K8" s="1818" t="n">
        <v>0.5</v>
      </c>
      <c r="L8" s="1014">
        <f>J8*K8</f>
        <v>0.14</v>
      </c>
    </row>
    <row r="9" ht="14.25" customHeight="1" s="866">
      <c r="B9" s="1015" t="inlineStr">
        <is>
          <t>COE - Business Partnering</t>
        </is>
      </c>
      <c r="C9" s="1817" t="n">
        <v>1.5</v>
      </c>
      <c r="D9" s="1817" t="n">
        <v>0.5</v>
      </c>
      <c r="E9" s="1016">
        <f>C9+D9</f>
        <v>2</v>
      </c>
      <c r="F9" s="1010" t="n">
        <v>0</v>
      </c>
      <c r="G9" s="1011">
        <f>$F9-$E9</f>
        <v>-2</v>
      </c>
      <c r="H9" s="865" t="inlineStr">
        <is>
          <t>charged on the first COE BP&amp;T line above</t>
        </is>
      </c>
      <c r="I9" s="1012" t="inlineStr">
        <is>
          <t>Leadership Overhead</t>
        </is>
      </c>
      <c r="J9" s="1817" t="n">
        <v>1</v>
      </c>
      <c r="K9" s="1818" t="n">
        <v>0.3</v>
      </c>
      <c r="L9" s="1014">
        <f>J9*K9</f>
        <v>0.3</v>
      </c>
    </row>
    <row r="10" ht="14.25" customHeight="1" s="866">
      <c r="B10" s="1008" t="inlineStr">
        <is>
          <t>COE - Data</t>
        </is>
      </c>
      <c r="C10" s="1817" t="n">
        <v>1.5</v>
      </c>
      <c r="D10" s="1817"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17" t="n">
        <v>5.5</v>
      </c>
      <c r="D11" s="1817" t="n">
        <v>0</v>
      </c>
      <c r="E11" s="1016">
        <f>C11+D11</f>
        <v>5.5</v>
      </c>
      <c r="F11" s="1010">
        <f>SUMIFS('REVIEW - Complete Role Mapping'!$AA$2:$AA$528,'REVIEW - Complete Role Mapping'!$AJ$2:$AJ$528,"Ampol Retail")/1000000</f>
        <v>14.005227457</v>
      </c>
      <c r="G11" s="1819">
        <f>$F11-$E11</f>
        <v>8.505227457</v>
      </c>
      <c r="H11" s="865" t="n"/>
      <c r="I11" s="865" t="n"/>
      <c r="J11" s="865" t="n"/>
      <c r="K11" s="865" t="n"/>
      <c r="L11" s="865" t="n"/>
    </row>
    <row r="12" ht="14.25" customHeight="1" s="866">
      <c r="B12" s="1008" t="inlineStr">
        <is>
          <t>Z Retail</t>
        </is>
      </c>
      <c r="C12" s="1817" t="n">
        <v>0</v>
      </c>
      <c r="D12" s="1817" t="n">
        <v>6.5</v>
      </c>
      <c r="E12" s="1010">
        <f>C12+D12</f>
        <v>6.5</v>
      </c>
      <c r="F12" s="1010">
        <f>SUMIFS('REVIEW - Complete Role Mapping'!$AA$2:$AA$528,'REVIEW - Complete Role Mapping'!$AJ$2:$AJ$528,"Z Retail")/1000000</f>
        <v>7.337294352</v>
      </c>
      <c r="G12" s="1819">
        <f>$F12-$E12</f>
        <v>0.837294352</v>
      </c>
      <c r="H12" s="865" t="n"/>
      <c r="I12" s="1002" t="inlineStr">
        <is>
          <t>Platform Overhead (roles, $m)</t>
        </is>
      </c>
      <c r="J12" s="1003" t="n"/>
      <c r="K12" s="1003" t="n"/>
      <c r="L12" s="1004" t="n"/>
    </row>
    <row r="13" ht="76" customHeight="1" s="866">
      <c r="B13" s="1400" t="inlineStr">
        <is>
          <t>Ampol Customer</t>
        </is>
      </c>
      <c r="C13" s="1817" t="n">
        <v>2.5</v>
      </c>
      <c r="D13" s="1817" t="n">
        <v>0</v>
      </c>
      <c r="E13" s="1820">
        <f>C13+D13</f>
        <v>2.5</v>
      </c>
      <c r="F13" s="1821">
        <f>SUMIFS('REVIEW - Complete Role Mapping'!$AA$2:$AA$528,'REVIEW - Complete Role Mapping'!$AJ$2:$AJ$528,"Customer")/1000000</f>
        <v>17.12686714</v>
      </c>
      <c r="G13" s="1821">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17" t="n">
        <v>0</v>
      </c>
      <c r="D14" s="1817" t="n">
        <v>4</v>
      </c>
      <c r="E14" s="1010">
        <f>C14+D14</f>
        <v>4</v>
      </c>
      <c r="F14" s="1010" t="n">
        <v>0</v>
      </c>
      <c r="G14" s="1010" t="n"/>
      <c r="H14" s="865" t="inlineStr">
        <is>
          <t>charged on the first Customer line above</t>
        </is>
      </c>
      <c r="I14" s="1012" t="inlineStr">
        <is>
          <t>Delivery Manager</t>
        </is>
      </c>
      <c r="J14" s="1817" t="n">
        <v>0.28</v>
      </c>
      <c r="K14" s="1818" t="n">
        <v>0.3</v>
      </c>
      <c r="L14" s="1014">
        <f>J14*K14</f>
        <v>0.084</v>
      </c>
    </row>
    <row r="15" ht="14.25" customHeight="1" s="866">
      <c r="B15" s="1015" t="inlineStr">
        <is>
          <t>Commercial Fuels</t>
        </is>
      </c>
      <c r="C15" s="1817" t="n">
        <v>2.5</v>
      </c>
      <c r="D15" s="1817" t="n">
        <v>0</v>
      </c>
      <c r="E15" s="1016">
        <f>C15+D15</f>
        <v>2.5</v>
      </c>
      <c r="F15" s="1010">
        <f>SUMIFS('REVIEW - Complete Role Mapping'!$AA$2:$AA$528,'REVIEW - Complete Role Mapping'!$AJ$2:$AJ$528,"Commercial Fuels")/1000000</f>
        <v>10.1976697287</v>
      </c>
      <c r="G15" s="1819">
        <f>$F15-$E15</f>
        <v>7.6976697287</v>
      </c>
      <c r="H15" s="865" t="n"/>
      <c r="I15" s="1012" t="inlineStr">
        <is>
          <t>Tech Manager</t>
        </is>
      </c>
      <c r="J15" s="1817" t="n">
        <v>0.27</v>
      </c>
      <c r="K15" s="1818" t="n">
        <v>0.3</v>
      </c>
      <c r="L15" s="1014">
        <f>J15*K15</f>
        <v>0.081</v>
      </c>
    </row>
    <row r="16" ht="14.25" customHeight="1" s="866">
      <c r="B16" s="1008" t="inlineStr">
        <is>
          <t>Energy Solutions &amp; B2B</t>
        </is>
      </c>
      <c r="C16" s="1817" t="n">
        <v>2.5</v>
      </c>
      <c r="D16" s="1817" t="n">
        <v>0</v>
      </c>
      <c r="E16" s="1010">
        <f>C16+D16</f>
        <v>2.5</v>
      </c>
      <c r="F16" s="1010">
        <f>SUMIFS('REVIEW - Complete Role Mapping'!$AA$2:$AA$528,'REVIEW - Complete Role Mapping'!$AJ$2:$AJ$528,"Energy Solutions &amp; B2B")/1000000</f>
        <v>6.447816278</v>
      </c>
      <c r="G16" s="1819">
        <f>$F16-$E16</f>
        <v>3.947816278</v>
      </c>
      <c r="H16" s="865" t="n"/>
      <c r="I16" s="1017" t="inlineStr">
        <is>
          <t>Platform overhead subtotal (per platform)</t>
        </is>
      </c>
      <c r="J16" s="865" t="n"/>
      <c r="K16" s="865" t="n"/>
      <c r="L16" s="1018">
        <f>SUM(L14:L15)</f>
        <v>0.165</v>
      </c>
    </row>
    <row r="17" ht="14.25" customHeight="1" s="866">
      <c r="B17" s="1015" t="inlineStr">
        <is>
          <t>Infrastructure</t>
        </is>
      </c>
      <c r="C17" s="1817" t="n">
        <v>2.5</v>
      </c>
      <c r="D17" s="1817" t="n">
        <v>0</v>
      </c>
      <c r="E17" s="1016">
        <f>C17+D17</f>
        <v>2.5</v>
      </c>
      <c r="F17" s="1010">
        <f>SUMIFS('REVIEW - Complete Role Mapping'!$AA$2:$AA$528,'REVIEW - Complete Role Mapping'!$AJ$2:$AJ$528,"Infrastructure")/1000000</f>
        <v>7.74836354</v>
      </c>
      <c r="G17" s="1819">
        <f>$F17-$E17</f>
        <v>5.24836354</v>
      </c>
    </row>
    <row r="18" ht="14.25" customHeight="1" s="866">
      <c r="B18" s="1008" t="inlineStr">
        <is>
          <t>P&amp;C</t>
        </is>
      </c>
      <c r="C18" s="1817" t="n">
        <v>1</v>
      </c>
      <c r="D18" s="1817" t="n">
        <v>1</v>
      </c>
      <c r="E18" s="1010">
        <f>C18+D18</f>
        <v>2</v>
      </c>
      <c r="F18" s="1010">
        <f>SUMIFS('REVIEW - Complete Role Mapping'!$AA$2:$AA$528,'REVIEW - Complete Role Mapping'!$AJ$2:$AJ$528,"P&amp;C")/1000000</f>
        <v>4.18444088</v>
      </c>
      <c r="G18" s="1819">
        <f>$F18-$E18</f>
        <v>2.18444088</v>
      </c>
    </row>
    <row r="19" ht="14.25" customHeight="1" s="866">
      <c r="B19" s="1015" t="inlineStr">
        <is>
          <t>Finance</t>
        </is>
      </c>
      <c r="C19" s="1817" t="n">
        <v>1</v>
      </c>
      <c r="D19" s="1817" t="n">
        <v>1</v>
      </c>
      <c r="E19" s="1016">
        <f>C19+D19</f>
        <v>2</v>
      </c>
      <c r="F19" s="1010">
        <f>SUMIFS('REVIEW - Complete Role Mapping'!$AA$2:$AA$528,'REVIEW - Complete Role Mapping'!$AJ$2:$AJ$528,"Finance")/1000000</f>
        <v>3.844616116</v>
      </c>
      <c r="G19" s="1819">
        <f>$F19-$E19</f>
        <v>1.844616116</v>
      </c>
    </row>
    <row r="20" ht="14.25" customHeight="1" s="866">
      <c r="B20" s="1008" t="inlineStr">
        <is>
          <t>Legal</t>
        </is>
      </c>
      <c r="C20" s="1817" t="n">
        <v>0</v>
      </c>
      <c r="D20" s="1817" t="n">
        <v>0</v>
      </c>
      <c r="E20" s="1010">
        <f>C20+D20</f>
        <v>0</v>
      </c>
      <c r="F20" s="1010" t="n">
        <v>0</v>
      </c>
      <c r="G20" s="1010">
        <f>$F20-$E20</f>
        <v>0</v>
      </c>
    </row>
    <row r="21" ht="14.25" customHeight="1" s="866">
      <c r="B21" s="1015" t="inlineStr">
        <is>
          <t>TDD</t>
        </is>
      </c>
      <c r="C21" s="1817" t="n">
        <v>4.5</v>
      </c>
      <c r="D21" s="1817"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17" t="n">
        <v>2.5</v>
      </c>
      <c r="D22" s="1817" t="n">
        <v>1</v>
      </c>
      <c r="E22" s="1010">
        <f>C22+D22</f>
        <v>3.5</v>
      </c>
      <c r="F22" s="1010">
        <f>SUMIFS('REVIEW - Complete Role Mapping'!$AA$2:$AA$528,'REVIEW - Complete Role Mapping'!$AJ$2:$AJ$528,"Enterprise Data")/1000000</f>
        <v>6.418403776</v>
      </c>
      <c r="G22" s="1010">
        <f>$F22-$E22</f>
        <v>2.918403776</v>
      </c>
    </row>
    <row r="23" ht="14.25" customHeight="1" s="866">
      <c r="B23" s="1822" t="inlineStr">
        <is>
          <t>TDD Cyber</t>
        </is>
      </c>
      <c r="C23" s="1817" t="n">
        <v>2.5</v>
      </c>
      <c r="D23" s="1817" t="n">
        <v>1</v>
      </c>
      <c r="E23" s="1016">
        <f>C23+D23</f>
        <v>3.5</v>
      </c>
      <c r="F23" s="1010">
        <f>SUMIFS('REVIEW - Complete Role Mapping'!$AA$2:$AA$528,'REVIEW - Complete Role Mapping'!$AJ$2:$AJ$528,"COE Cyber")/1000000</f>
        <v>9.897858294</v>
      </c>
      <c r="G23" s="1819">
        <f>$F23-$E23</f>
        <v>6.397858294</v>
      </c>
    </row>
    <row r="24" ht="14.25" customHeight="1" s="866">
      <c r="B24" s="1008" t="n"/>
      <c r="C24" s="1817" t="n"/>
      <c r="D24" s="1817" t="n"/>
      <c r="E24" s="1010" t="n"/>
      <c r="F24" s="1010" t="n"/>
      <c r="G24" s="1010" t="n"/>
    </row>
    <row r="25" ht="14.25" customHeight="1" s="866">
      <c r="B25" s="1015" t="inlineStr">
        <is>
          <t>EGI</t>
        </is>
      </c>
      <c r="C25" s="1817" t="n">
        <v>0</v>
      </c>
      <c r="D25" s="1817"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3" t="inlineStr">
        <is>
          <t>Budget</t>
        </is>
      </c>
      <c r="C27" s="1824">
        <f>'0.1 Budget Table (Fin)'!G5+'0.1 Budget Table (Fin)'!G7</f>
        <v>36.2</v>
      </c>
      <c r="D27" s="1824">
        <f>'0.1 Budget Table (Fin)'!G6</f>
        <v>17.6</v>
      </c>
      <c r="E27" s="1824">
        <f>'0.1 Budget Table (Fin)'!G14</f>
        <v>53.8</v>
      </c>
      <c r="F27" s="1823"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O29"/>
  <sheetViews>
    <sheetView showFormulas="0" showGridLines="0" showRowColHeaders="1" showZeros="1" rightToLeft="0" tabSelected="0" showOutlineSymbols="1" defaultGridColor="1" view="normal" topLeftCell="B1" colorId="64" zoomScale="120" zoomScaleNormal="120" zoomScalePageLayoutView="100" workbookViewId="0">
      <pane xSplit="2" ySplit="4" topLeftCell="C5" activePane="bottomRight" state="frozen"/>
      <selection pane="topRight"/>
      <selection pane="bottomLeft"/>
      <selection pane="bottomRigh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5" t="inlineStr">
        <is>
          <t>Offshore rate</t>
        </is>
      </c>
    </row>
    <row r="5" ht="14.25" customHeight="1" s="866">
      <c r="A5" s="1012" t="str">
        <f>$C5&amp;"|"&amp;$D5</f>
        <v>Engineering|S</v>
      </c>
      <c r="B5" s="865" t="n"/>
      <c r="C5" s="1826" t="inlineStr">
        <is>
          <t>Engineering</t>
        </is>
      </c>
      <c r="D5" s="1826" t="inlineStr">
        <is>
          <t>S</t>
        </is>
      </c>
      <c r="E5" s="1826" t="inlineStr">
        <is>
          <t>Lean build squad</t>
        </is>
      </c>
      <c r="F5" s="1827" t="n">
        <v>4.5</v>
      </c>
      <c r="G5" s="1828" t="n">
        <v>0.8</v>
      </c>
      <c r="H5" s="1828">
        <f>G5*$K$5</f>
        <v>0.32</v>
      </c>
      <c r="I5" s="1826"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29" t="inlineStr">
        <is>
          <t>Configuration / Integration</t>
        </is>
      </c>
      <c r="D8" s="1829" t="inlineStr">
        <is>
          <t>XS</t>
        </is>
      </c>
      <c r="E8" s="1829" t="inlineStr">
        <is>
          <t>MS Squad</t>
        </is>
      </c>
      <c r="F8" s="1830"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pane xSplit="2" ySplit="1" topLeftCell="C2" activePane="bottomRight" state="frozen"/>
      <selection pane="topRight"/>
      <selection pane="bottomLeft"/>
      <selection pane="bottomRigh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2"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4"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1"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2"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5"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3" t="n">
        <v>116027</v>
      </c>
      <c r="B491" s="1834" t="inlineStr">
        <is>
          <t>Nidhi Aggarwal</t>
        </is>
      </c>
      <c r="C491" s="1834" t="inlineStr">
        <is>
          <t>Snr Engineer - Boomi</t>
        </is>
      </c>
      <c r="D491" s="1835" t="inlineStr">
        <is>
          <t>Mike Seales</t>
        </is>
      </c>
      <c r="E491" s="1835" t="inlineStr">
        <is>
          <t>Technology Manager Integration &amp; Process Managemetn</t>
        </is>
      </c>
      <c r="F491" s="1836" t="inlineStr">
        <is>
          <t>TDD Group Functions</t>
        </is>
      </c>
      <c r="G491" s="1832" t="inlineStr">
        <is>
          <t>TDD &amp; Engineering</t>
        </is>
      </c>
      <c r="H491" s="1835" t="inlineStr">
        <is>
          <t>Integration &amp; Process Management</t>
        </is>
      </c>
      <c r="I491" s="1835" t="inlineStr">
        <is>
          <t>TDD</t>
        </is>
      </c>
      <c r="J491" s="1832" t="inlineStr">
        <is>
          <t>TDD</t>
        </is>
      </c>
      <c r="K491" s="1832" t="inlineStr">
        <is>
          <t>Integration &amp; Process automation</t>
        </is>
      </c>
      <c r="L491" s="1832" t="n"/>
      <c r="M491" s="1837" t="inlineStr">
        <is>
          <t>NZ</t>
        </is>
      </c>
      <c r="N491" s="1831" t="n"/>
      <c r="O491" s="1831" t="n">
        <v>1</v>
      </c>
      <c r="P491" s="1831" t="n"/>
      <c r="Q491" s="1831" t="inlineStr">
        <is>
          <t>Permanent - Full Time</t>
        </is>
      </c>
      <c r="R491" s="1838" t="n"/>
      <c r="S491" s="1838" t="n"/>
      <c r="T491" s="1839" t="n">
        <v>150000</v>
      </c>
      <c r="U491" s="1840" t="n"/>
      <c r="V491" s="1841" t="n"/>
      <c r="W491" s="1842" t="n"/>
      <c r="X491" s="1842" t="n"/>
      <c r="Y491" s="1843" t="n"/>
      <c r="Z491" s="1842" t="n"/>
      <c r="AA491" s="1844">
        <f>IF(TRIM($B491)="","",IF(N($AU491)&gt;0,$AU491,IF(N($S491)&gt;0,$S491*Lists!$AG$15*(1+N($Z491)),N($U491)*(1+N($V491)+N($W491)+N($X491)+N($Z491))+N($Y491))))</f>
        <v>0</v>
      </c>
      <c r="AB491" s="1845"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6"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6" t="str">
        <f>IF(TRIM($B491)="","",IFERROR(INDEX(Lists!$AA:$AA,MATCH($AP491,Lists!$Z:$Z,0)),$AP491))</f>
        <v>Integration &amp; Process Automation</v>
      </c>
      <c r="AT491" s="1846"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47"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49">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28">
        <f>N('0.1 Budget Table (Fin)'!N9)</f>
        <v>1.3</v>
      </c>
      <c r="J15" s="1850"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28">
        <f>N('0.1 Budget Table (Fin)'!P9)</f>
        <v>11.8</v>
      </c>
      <c r="J16" s="1850"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28">
        <f>N('0.1 Budget Table (Fin)'!O9)</f>
        <v>6.8</v>
      </c>
      <c r="J17" s="1828">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28" t="n"/>
      <c r="J18" s="1828">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28" t="n"/>
      <c r="J19" s="1828">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28" t="n"/>
      <c r="J20" s="1828">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28"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28">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28">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28">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28">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28">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28">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28"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28">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08" t="inlineStr">
        <is>
          <t>Platform: Pricing &amp; WFM - combined into Above Store, no squad of its own</t>
        </is>
      </c>
      <c r="C39" s="1809" t="n"/>
      <c r="D39" s="1809" t="n"/>
      <c r="E39" s="1809" t="n"/>
      <c r="F39" s="1809" t="n"/>
      <c r="G39" s="1809" t="n"/>
      <c r="H39" s="1809" t="n"/>
      <c r="I39" s="1809" t="n"/>
      <c r="J39" s="1809" t="n"/>
      <c r="K39" s="1810" t="n"/>
      <c r="L39" s="1810" t="n"/>
      <c r="M39" s="865" t="n"/>
      <c r="N39" s="865" t="n"/>
      <c r="O39" s="865" t="n"/>
    </row>
    <row r="40" s="866">
      <c r="B40" s="1811" t="n"/>
      <c r="C40" s="1811" t="n"/>
      <c r="D40" s="1811" t="n"/>
      <c r="E40" s="1811" t="n"/>
      <c r="F40" s="1811" t="n"/>
      <c r="G40" s="1811" t="n"/>
      <c r="H40" s="1811" t="n"/>
      <c r="I40" s="1811" t="n"/>
      <c r="J40" s="1811" t="n"/>
      <c r="K40" s="1810" t="n"/>
      <c r="L40" s="1810" t="n"/>
      <c r="M40" s="865" t="n"/>
      <c r="N40" s="865" t="n"/>
      <c r="O40" s="865" t="n"/>
    </row>
    <row r="41" s="866">
      <c r="B41" s="1810" t="n"/>
      <c r="C41" s="1810" t="n"/>
      <c r="D41" s="1810" t="n"/>
      <c r="E41" s="1810" t="n"/>
      <c r="F41" s="1810" t="n"/>
      <c r="G41" s="1812" t="n"/>
      <c r="H41" s="1813" t="n"/>
      <c r="I41" s="1813" t="n"/>
      <c r="J41" s="1813" t="n"/>
      <c r="K41" s="1810" t="n"/>
      <c r="L41" s="1810" t="n"/>
      <c r="M41" s="865" t="n"/>
      <c r="N41" s="865" t="n"/>
      <c r="O41" s="865" t="n"/>
    </row>
    <row r="42" s="866">
      <c r="B42" s="1810" t="n"/>
      <c r="C42" s="1810" t="n"/>
      <c r="D42" s="1810" t="n"/>
      <c r="E42" s="1810" t="n"/>
      <c r="F42" s="1810" t="n"/>
      <c r="G42" s="1812" t="n"/>
      <c r="H42" s="1813" t="n"/>
      <c r="I42" s="1813" t="n"/>
      <c r="J42" s="1813" t="n"/>
      <c r="K42" s="1810" t="n"/>
      <c r="L42" s="1810" t="n"/>
      <c r="M42" s="865" t="n"/>
      <c r="N42" s="865" t="n"/>
      <c r="O42" s="865" t="n"/>
    </row>
    <row r="43" s="866">
      <c r="B43" s="1810" t="n"/>
      <c r="C43" s="1810" t="n"/>
      <c r="D43" s="1810" t="n"/>
      <c r="E43" s="1810" t="n"/>
      <c r="F43" s="1810" t="n"/>
      <c r="G43" s="1810" t="n"/>
      <c r="H43" s="1810" t="n"/>
      <c r="I43" s="1813" t="n"/>
      <c r="J43" s="1810" t="n"/>
      <c r="K43" s="1810" t="n"/>
      <c r="L43" s="1810" t="n"/>
      <c r="M43" s="865" t="n"/>
      <c r="N43" s="865" t="n"/>
      <c r="O43" s="865" t="n"/>
    </row>
    <row r="44" s="866">
      <c r="B44" s="1810" t="n"/>
      <c r="C44" s="1810" t="n"/>
      <c r="D44" s="1810" t="n"/>
      <c r="E44" s="1810" t="n"/>
      <c r="F44" s="1810" t="n"/>
      <c r="G44" s="1810" t="n"/>
      <c r="H44" s="1813" t="n"/>
      <c r="I44" s="1813" t="n"/>
      <c r="J44" s="1813" t="n"/>
      <c r="K44" s="1810" t="n"/>
      <c r="L44" s="1810" t="n"/>
      <c r="M44" s="865" t="n"/>
      <c r="N44" s="865" t="n"/>
      <c r="O44" s="865" t="n"/>
    </row>
    <row r="45" s="866">
      <c r="B45" s="1810" t="n"/>
      <c r="C45" s="1810" t="n"/>
      <c r="D45" s="1810" t="n"/>
      <c r="E45" s="1810" t="n"/>
      <c r="F45" s="1810" t="n"/>
      <c r="G45" s="1810" t="n"/>
      <c r="H45" s="1810" t="n"/>
      <c r="I45" s="1810" t="n"/>
      <c r="J45" s="1810" t="n"/>
      <c r="K45" s="1810" t="n"/>
      <c r="L45" s="1810"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0"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28"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28">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28">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28">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28">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0"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28"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pane xSplit="2" ySplit="5" topLeftCell="C6" activePane="bottomRight" state="frozen"/>
      <selection pane="topRight"/>
      <selection pane="bottomLeft"/>
      <selection pane="bottomRigh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1">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28">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28">
        <f>N('0.1 Budget Table (Fin)'!N13)</f>
        <v>0</v>
      </c>
      <c r="J15" s="1850"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28">
        <f>N('0.1 Budget Table (Fin)'!P13)</f>
        <v>5</v>
      </c>
      <c r="J16" s="1850"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28" t="n"/>
      <c r="J17" s="1828">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28">
        <f>N('0.1 Budget Table (Fin)'!O13)</f>
        <v>5</v>
      </c>
      <c r="J18" s="1850"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28" t="n"/>
      <c r="J19" s="1852" t="n"/>
      <c r="K19" s="1014" t="n"/>
      <c r="L19" s="1401" t="n"/>
      <c r="M19" s="865" t="n"/>
      <c r="N19" s="865" t="n"/>
      <c r="O19" s="865" t="n"/>
    </row>
    <row r="20" ht="14.25" customHeight="1" s="866">
      <c r="B20" s="865" t="n"/>
      <c r="C20" s="865" t="n"/>
      <c r="D20" s="865" t="n"/>
      <c r="E20" s="865" t="n"/>
      <c r="F20" s="1312" t="n"/>
      <c r="G20" s="865" t="n"/>
      <c r="H20" s="1012" t="inlineStr">
        <is>
          <t>Z OpEx Initiatives</t>
        </is>
      </c>
      <c r="I20" s="1828" t="n"/>
      <c r="J20" s="1852" t="n"/>
      <c r="K20" s="1014" t="n"/>
      <c r="L20" s="1401" t="n"/>
      <c r="M20" s="865" t="n"/>
      <c r="N20" s="865" t="n"/>
      <c r="O20" s="865" t="n"/>
    </row>
    <row r="21" ht="14.25" customHeight="1" s="866">
      <c r="B21" s="865" t="n"/>
      <c r="C21" s="865" t="n"/>
      <c r="D21" s="865" t="n"/>
      <c r="E21" s="865" t="n"/>
      <c r="F21" s="1312" t="n"/>
      <c r="G21" s="865" t="n"/>
      <c r="H21" s="1012" t="inlineStr">
        <is>
          <t>Z CapEx</t>
        </is>
      </c>
      <c r="I21" s="1828" t="n"/>
      <c r="J21" s="1852" t="n"/>
      <c r="K21" s="1014" t="n"/>
      <c r="L21" s="1401" t="n"/>
      <c r="M21" s="865" t="n"/>
      <c r="N21" s="865" t="n"/>
      <c r="O21" s="865" t="n"/>
    </row>
    <row r="22" ht="14.25" customHeight="1" s="866">
      <c r="B22" s="865" t="n"/>
      <c r="C22" s="865" t="n"/>
      <c r="D22" s="865" t="n"/>
      <c r="E22" s="865" t="n"/>
      <c r="F22" s="1312" t="n"/>
      <c r="G22" s="865" t="n"/>
      <c r="H22" s="1012" t="inlineStr">
        <is>
          <t>Z Sig items</t>
        </is>
      </c>
      <c r="I22" s="1828" t="n"/>
      <c r="J22" s="1852" t="n"/>
      <c r="K22" s="1014" t="n"/>
      <c r="L22" s="1401" t="n"/>
      <c r="M22" s="865" t="n"/>
      <c r="N22" s="865" t="n"/>
      <c r="O22" s="865" t="n"/>
    </row>
    <row r="23" ht="14.25" customHeight="1" s="866">
      <c r="B23" s="865" t="n"/>
      <c r="C23" s="865" t="n"/>
      <c r="D23" s="865" t="n"/>
      <c r="E23" s="865" t="n"/>
      <c r="F23" s="1312" t="n"/>
      <c r="G23" s="865" t="n"/>
      <c r="H23" s="1012" t="inlineStr">
        <is>
          <t>Depreciation</t>
        </is>
      </c>
      <c r="I23" s="1828">
        <f>N('0.1 Budget Table (Fin)'!M13)</f>
        <v>0</v>
      </c>
      <c r="J23" s="1850"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28">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28">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28">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28">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28">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28">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0"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28">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3">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3">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3">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4"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3"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O38"/>
  <sheetViews>
    <sheetView showFormulas="0" showGridLines="0" showRowColHeaders="1" showZeros="1" rightToLeft="0" tabSelected="0" showOutlineSymbols="1" defaultGridColor="1" view="normal" topLeftCell="A1" colorId="64" zoomScale="90" zoomScaleNormal="90" zoomScalePageLayoutView="100" workbookViewId="0">
      <pane xSplit="2" ySplit="5" topLeftCell="C6" activePane="bottomRight" state="frozen"/>
      <selection pane="topRight"/>
      <selection pane="bottomLeft"/>
      <selection pane="bottomRigh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3" t="n"/>
      <c r="J14" s="1828">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3" t="n"/>
      <c r="J15" s="1850"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3" t="n"/>
      <c r="J16" s="1852">
        <f>H36</f>
        <v>0</v>
      </c>
      <c r="K16" s="1383" t="n"/>
    </row>
    <row r="17" ht="14.25" customHeight="1" s="866">
      <c r="B17" s="1336" t="inlineStr">
        <is>
          <t>Still to fund outside TDD</t>
        </is>
      </c>
      <c r="C17" s="1337">
        <f>$J17</f>
        <v>2.42</v>
      </c>
      <c r="D17" s="1312" t="n"/>
      <c r="E17" s="865" t="n"/>
      <c r="F17" s="1312" t="n"/>
      <c r="G17" s="865" t="n"/>
      <c r="H17" s="1361" t="inlineStr">
        <is>
          <t>Left to fund</t>
        </is>
      </c>
      <c r="I17" s="1853"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3" t="n"/>
      <c r="J18" s="1855" t="n"/>
      <c r="K18" s="1383" t="n"/>
      <c r="L18" s="865" t="n"/>
      <c r="M18" s="865" t="n"/>
    </row>
    <row r="19" ht="14.25" customHeight="1" s="866">
      <c r="H19" s="1380" t="n"/>
      <c r="I19" s="1853" t="n"/>
      <c r="J19" s="1855"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28">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28">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28">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28" t="n"/>
      <c r="I30" s="1014" t="n"/>
      <c r="J30" s="1014" t="n"/>
      <c r="K30" s="865" t="n"/>
      <c r="L30" s="1358" t="n"/>
      <c r="M30" s="865" t="n"/>
    </row>
    <row r="31" ht="14.25" customHeight="1" s="866">
      <c r="B31" s="1012" t="inlineStr">
        <is>
          <t>Platform Overhead</t>
        </is>
      </c>
      <c r="C31" s="865" t="n"/>
      <c r="D31" s="865" t="n"/>
      <c r="E31" s="865" t="n"/>
      <c r="F31" s="1312" t="n"/>
      <c r="G31" s="865" t="n"/>
      <c r="H31" s="865" t="n"/>
      <c r="I31" s="1828">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08" t="inlineStr">
        <is>
          <t>Platform: EGI Data - removed, no roles</t>
        </is>
      </c>
      <c r="C34" s="1809" t="n"/>
      <c r="D34" s="1809" t="n"/>
      <c r="E34" s="1809" t="n"/>
      <c r="F34" s="1809" t="n"/>
      <c r="G34" s="1809" t="n"/>
      <c r="H34" s="1809" t="n"/>
      <c r="I34" s="1809" t="n"/>
      <c r="J34" s="1809" t="n"/>
      <c r="K34" s="1810" t="n"/>
      <c r="L34" s="1810" t="n"/>
      <c r="M34" s="865" t="n"/>
    </row>
    <row r="35" s="866">
      <c r="B35" s="1811" t="n"/>
      <c r="C35" s="1811" t="n"/>
      <c r="D35" s="1811" t="n"/>
      <c r="E35" s="1811" t="n"/>
      <c r="F35" s="1811" t="n"/>
      <c r="G35" s="1811" t="n"/>
      <c r="H35" s="1811" t="n"/>
      <c r="I35" s="1811" t="n"/>
      <c r="J35" s="1811" t="n"/>
      <c r="K35" s="1810" t="n"/>
      <c r="L35" s="1810" t="n"/>
      <c r="M35" s="865" t="n"/>
    </row>
    <row r="36" s="866">
      <c r="B36" s="1810" t="n"/>
      <c r="C36" s="1810" t="n"/>
      <c r="D36" s="1810" t="n"/>
      <c r="E36" s="1810" t="n"/>
      <c r="F36" s="1814" t="n"/>
      <c r="G36" s="1812" t="n"/>
      <c r="H36" s="1813" t="n"/>
      <c r="I36" s="1813" t="n"/>
      <c r="J36" s="1813" t="n"/>
      <c r="K36" s="1809" t="n"/>
      <c r="L36" s="1809" t="n"/>
    </row>
    <row r="37" s="866">
      <c r="B37" s="1810" t="n"/>
      <c r="C37" s="1810" t="n"/>
      <c r="D37" s="1810" t="n"/>
      <c r="E37" s="1810" t="n"/>
      <c r="F37" s="1810" t="n"/>
      <c r="G37" s="1810" t="n"/>
      <c r="H37" s="1810" t="n"/>
      <c r="I37" s="1813" t="n"/>
      <c r="J37" s="1810" t="n"/>
      <c r="K37" s="1809" t="n"/>
      <c r="L37" s="1809" t="n"/>
    </row>
    <row r="38" s="866">
      <c r="B38" s="1810" t="n"/>
      <c r="C38" s="1810" t="n"/>
      <c r="D38" s="1810" t="n"/>
      <c r="E38" s="1810" t="n"/>
      <c r="F38" s="1810" t="n"/>
      <c r="G38" s="1810" t="n"/>
      <c r="H38" s="1813" t="n"/>
      <c r="I38" s="1813" t="n"/>
      <c r="J38" s="1813" t="n"/>
      <c r="K38" s="1809" t="n"/>
      <c r="L38" s="1809" t="n"/>
    </row>
  </sheetData>
  <mergeCells count="4">
    <mergeCell ref="H12:K12"/>
    <mergeCell ref="B25:J25"/>
    <mergeCell ref="H4:I4"/>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7"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28" t="n"/>
      <c r="J13" s="1828">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28" t="n"/>
      <c r="J14" s="1828">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28"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28" t="n"/>
      <c r="J16" s="1852" t="n"/>
      <c r="K16" s="865" t="n"/>
      <c r="L16" s="865" t="n"/>
      <c r="M16" s="865" t="n"/>
      <c r="N16" s="865" t="n"/>
    </row>
    <row r="17" ht="14.25" customHeight="1" s="866">
      <c r="B17" s="1342" t="inlineStr">
        <is>
          <t>Total to fund</t>
        </is>
      </c>
      <c r="C17" s="1343">
        <f>$C15+$C16</f>
        <v>1.2575</v>
      </c>
      <c r="D17" s="865" t="n"/>
      <c r="E17" s="865" t="n"/>
      <c r="F17" s="1312" t="n"/>
      <c r="G17" s="865" t="n"/>
      <c r="H17" s="1012" t="n"/>
      <c r="I17" s="1828" t="n"/>
      <c r="J17" s="1852"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56" t="inlineStr">
        <is>
          <t>Nbr Archetype Roles</t>
        </is>
      </c>
      <c r="N20" s="1857" t="inlineStr">
        <is>
          <t>Published Roles</t>
        </is>
      </c>
      <c r="O20" s="1858" t="inlineStr">
        <is>
          <t>Review Outcome</t>
        </is>
      </c>
      <c r="P20" s="1858" t="inlineStr">
        <is>
          <t>Vacant Now</t>
        </is>
      </c>
      <c r="Q20" s="1858" t="inlineStr">
        <is>
          <t>FY27</t>
        </is>
      </c>
      <c r="R20" s="1858"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28">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59" t="n">
        <v>6</v>
      </c>
      <c r="N21" s="1859" t="n">
        <v>6</v>
      </c>
      <c r="O21" s="1859" t="inlineStr">
        <is>
          <t>No Change</t>
        </is>
      </c>
      <c r="P21" s="1859" t="n">
        <v>2</v>
      </c>
      <c r="Q21" s="1859"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28">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59" t="n">
        <v>10</v>
      </c>
      <c r="N22" s="1859" t="n">
        <v>13</v>
      </c>
      <c r="O22" s="1428" t="inlineStr">
        <is>
          <t>Reduce CSA by 2</t>
        </is>
      </c>
      <c r="P22" s="1859" t="n">
        <v>2</v>
      </c>
      <c r="Q22" s="1859" t="n">
        <v>11</v>
      </c>
      <c r="R22" s="1859"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28">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0" t="inlineStr">
        <is>
          <t>Remove Lead Engineer Software and Test Automation</t>
        </is>
      </c>
      <c r="P23" s="1859"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28">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59" t="n">
        <v>9</v>
      </c>
      <c r="N24" s="1859" t="n">
        <v>10</v>
      </c>
      <c r="O24" s="1860" t="inlineStr">
        <is>
          <t>Oversubscribed RPA costs</t>
        </is>
      </c>
      <c r="P24" s="1859" t="n">
        <v>2</v>
      </c>
      <c r="Q24" s="1859" t="n">
        <v>10</v>
      </c>
    </row>
    <row r="25" ht="14.25" customHeight="1" s="866">
      <c r="B25" s="1012" t="inlineStr">
        <is>
          <t>Platform Overhead</t>
        </is>
      </c>
      <c r="C25" s="865" t="n"/>
      <c r="D25" s="865" t="n"/>
      <c r="E25" s="865" t="n"/>
      <c r="F25" s="1312" t="n"/>
      <c r="G25" s="865" t="n"/>
      <c r="H25" s="865" t="n"/>
      <c r="I25" s="1828">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47" t="n"/>
      <c r="D28" s="1847" t="n"/>
      <c r="E28" s="1847" t="n"/>
      <c r="F28" s="1847" t="n"/>
      <c r="G28" s="1847" t="n"/>
      <c r="H28" s="1847" t="n"/>
      <c r="I28" s="1847" t="n"/>
      <c r="J28" s="1847"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0"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pane xSplit="2" ySplit="5" topLeftCell="C6" activePane="bottomRight" state="frozen"/>
      <selection pane="topRight"/>
      <selection pane="bottomLeft"/>
      <selection pane="bottomRigh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7"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3">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3">
        <f>N('0.1 Budget Table (Fin)'!N12)</f>
        <v>2</v>
      </c>
      <c r="J14" s="1855">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3">
        <f>N('0.1 Budget Table (Fin)'!P12)</f>
        <v>0.3</v>
      </c>
      <c r="J15" s="1855">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3">
        <f>N('0.1 Budget Table (Fin)'!O12)</f>
        <v>1.4</v>
      </c>
      <c r="J16" s="1855">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3" t="n"/>
      <c r="J17" s="1853">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3">
        <f>N('0.1 Budget Table (Fin)'!M12)</f>
        <v>0</v>
      </c>
      <c r="J18" s="1854"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59"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56" t="inlineStr">
        <is>
          <t>Nbr Archetype Roles</t>
        </is>
      </c>
      <c r="N24" s="1857" t="inlineStr">
        <is>
          <t>Published Roles</t>
        </is>
      </c>
      <c r="O24" s="1858" t="inlineStr">
        <is>
          <t>Review Outcome</t>
        </is>
      </c>
      <c r="P24" s="1858" t="inlineStr">
        <is>
          <t>Vacant Now</t>
        </is>
      </c>
      <c r="Q24" s="1858"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3">
        <f>IFERROR(IF($E25="Onshore",INDEX('0.3 Squad Archetypes'!$G$5:$G$23,MATCH($C25&amp;"|"&amp;$D25,'0.3 Squad Archetypes'!$A$5:$A$23,0)),INDEX('0.3 Squad Archetypes'!$H$5:$H$23,MATCH($C25&amp;"|"&amp;$D25,'0.3 Squad Archetypes'!$A$5:$A$23,0))),"check size")</f>
        <v>2.1</v>
      </c>
      <c r="I25" s="1383">
        <f>IFERROR($H25*$G25,"")</f>
        <v>0.63</v>
      </c>
      <c r="J25" s="1383">
        <f>IFERROR($H25*(1-$G25),"")</f>
        <v>1.47</v>
      </c>
      <c r="M25" s="1859" t="n">
        <v>9</v>
      </c>
      <c r="N25" s="1859" t="n">
        <v>9</v>
      </c>
      <c r="O25" s="1860" t="n"/>
      <c r="P25" s="1859" t="n">
        <v>4</v>
      </c>
      <c r="Q25" s="1859"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3">
        <f>IFERROR(IF($E26="Onshore",INDEX('0.3 Squad Archetypes'!$G$5:$G$23,MATCH($C26&amp;"|"&amp;$D26,'0.3 Squad Archetypes'!$A$5:$A$23,0)),INDEX('0.3 Squad Archetypes'!$H$5:$H$23,MATCH($C26&amp;"|"&amp;$D26,'0.3 Squad Archetypes'!$A$5:$A$23,0))),"check size")</f>
        <v>1.4</v>
      </c>
      <c r="I26" s="1383">
        <f>IFERROR($H26*$G26,"")</f>
        <v>0.42</v>
      </c>
      <c r="J26" s="1383">
        <f>IFERROR($H26*(1-$G26),"")</f>
        <v>0.98</v>
      </c>
      <c r="M26" s="1859" t="n">
        <v>6</v>
      </c>
      <c r="N26" s="1859" t="n">
        <v>5</v>
      </c>
      <c r="O26" s="1860" t="n"/>
      <c r="P26" s="1859" t="n">
        <v>5</v>
      </c>
      <c r="Q26" s="1859" t="n">
        <v>5</v>
      </c>
    </row>
    <row r="27" ht="14.25" customHeight="1" s="866">
      <c r="B27" s="1380" t="inlineStr">
        <is>
          <t>Platform Overhead</t>
        </is>
      </c>
      <c r="C27" s="865" t="n"/>
      <c r="D27" s="865" t="n"/>
      <c r="E27" s="865" t="n"/>
      <c r="F27" s="1312" t="n"/>
      <c r="G27" s="865" t="n"/>
      <c r="H27" s="1382" t="n"/>
      <c r="I27" s="1853">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47" t="n"/>
      <c r="D30" s="1847" t="n"/>
      <c r="E30" s="1847" t="n"/>
      <c r="F30" s="1847" t="n"/>
      <c r="G30" s="1847" t="n"/>
      <c r="H30" s="1847" t="n"/>
      <c r="I30" s="1847" t="n"/>
      <c r="J30" s="1847"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2" t="n"/>
      <c r="I32" s="1014">
        <f>IFERROR($H32*$G32,"")</f>
        <v>0</v>
      </c>
      <c r="J32" s="1014">
        <f>IFERROR($H32*(1-$G32),"")</f>
        <v>0</v>
      </c>
      <c r="K32" s="1358" t="n"/>
      <c r="L32" s="865" t="n"/>
      <c r="M32" s="865" t="n"/>
      <c r="N32" s="1364" t="str">
        <f>"People in this program today cost "&amp;TEXT(SUMIFS('REVIEW - Complete Role Mapping'!$AA$2:$AA$530,'REVIEW - Complete Role Mapping'!$AP$2:$AP$530,$B32)/1000000,"0.00")&amp;"m. Set the agreed cost in the yellow cell."</f>
        <v>People in this program today cost 0.24m. Set the agreed cost in the yellow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7"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3">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3">
        <f>N('0.1 Budget Table (Fin)'!N11)</f>
        <v>0.9</v>
      </c>
      <c r="J15" s="1855">
        <f>I15*0.5</f>
        <v>0.45</v>
      </c>
      <c r="K15" s="1383">
        <f>IFERROR(I15-J15,0)</f>
        <v>0.45</v>
      </c>
      <c r="L15" s="865" t="n"/>
      <c r="M15" s="1859"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3">
        <f>N('0.1 Budget Table (Fin)'!P11)</f>
        <v>0</v>
      </c>
      <c r="J16" s="1854"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3">
        <f>N('0.1 Budget Table (Fin)'!O11)</f>
        <v>0</v>
      </c>
      <c r="J17" s="1854"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3" t="n"/>
      <c r="J18" s="1853">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3">
        <f>N('0.1 Budget Table (Fin)'!M11)</f>
        <v>0</v>
      </c>
      <c r="J19" s="1854"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1" t="inlineStr">
        <is>
          <t>Nbr Archetype Roles</t>
        </is>
      </c>
      <c r="L25" s="1862" t="inlineStr">
        <is>
          <t>Published Roles</t>
        </is>
      </c>
      <c r="M25" s="1858" t="inlineStr">
        <is>
          <t>Review Outcome</t>
        </is>
      </c>
      <c r="N25" s="1858" t="inlineStr">
        <is>
          <t>Vacant Now</t>
        </is>
      </c>
      <c r="O25" s="1858"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3">
        <f>IFERROR(IF($E26="Onshore",INDEX('0.3 Squad Archetypes'!$G$5:$G$23,MATCH($C26&amp;"|"&amp;$D26,'0.3 Squad Archetypes'!$A$5:$A$23,0)),INDEX('0.3 Squad Archetypes'!$H$5:$H$23,MATCH($C26&amp;"|"&amp;$D26,'0.3 Squad Archetypes'!$A$5:$A$23,0))),"check size")</f>
        <v>1.4</v>
      </c>
      <c r="I26" s="1383">
        <f>IFERROR($H26*$G26,"")</f>
        <v>0.28</v>
      </c>
      <c r="J26" s="1383">
        <f>IFERROR($H26*(1-$G26),"")</f>
        <v>1.12</v>
      </c>
      <c r="K26" s="1863" t="n">
        <v>6</v>
      </c>
      <c r="L26" s="1859" t="n">
        <v>9</v>
      </c>
      <c r="M26" s="1428" t="inlineStr">
        <is>
          <t>remove 2 roles</t>
        </is>
      </c>
      <c r="N26" s="1859" t="n">
        <v>5</v>
      </c>
      <c r="O26" s="1859"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3">
        <f>IFERROR(IF($E27="Onshore",INDEX('0.3 Squad Archetypes'!$G$5:$G$23,MATCH($C27&amp;"|"&amp;$D27,'0.3 Squad Archetypes'!$A$5:$A$23,0)),INDEX('0.3 Squad Archetypes'!$H$5:$H$23,MATCH($C27&amp;"|"&amp;$D27,'0.3 Squad Archetypes'!$A$5:$A$23,0))),"check size")</f>
        <v>1.4</v>
      </c>
      <c r="I27" s="1383">
        <f>IFERROR($H27*$G27,"")</f>
        <v>1.4</v>
      </c>
      <c r="J27" s="1383">
        <f>IFERROR($H27*(1-$G27),"")</f>
        <v>0</v>
      </c>
      <c r="K27" s="1863" t="n">
        <v>6</v>
      </c>
      <c r="L27" s="1859" t="n">
        <v>5</v>
      </c>
      <c r="M27" s="1428" t="n"/>
      <c r="N27" s="1859" t="n">
        <v>1</v>
      </c>
      <c r="O27" s="1859" t="n">
        <v>5</v>
      </c>
    </row>
    <row r="28" ht="14.25" customHeight="1" s="866">
      <c r="B28" s="1380" t="inlineStr">
        <is>
          <t>Platform Overhead</t>
        </is>
      </c>
      <c r="C28" s="1382" t="n"/>
      <c r="D28" s="1382" t="n"/>
      <c r="E28" s="1382" t="n"/>
      <c r="F28" s="1312" t="n"/>
      <c r="G28" s="1382" t="n"/>
      <c r="H28" s="1382" t="n"/>
      <c r="I28" s="1853">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47" t="n"/>
      <c r="D31" s="1847" t="n"/>
      <c r="E31" s="1847" t="n"/>
      <c r="F31" s="1847" t="n"/>
      <c r="G31" s="1847" t="n"/>
      <c r="H31" s="1847" t="n"/>
      <c r="I31" s="1847" t="n"/>
      <c r="J31" s="1847"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0"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O4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3">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3">
        <f>N('0.1 Budget Table (Fin)'!N10)</f>
        <v>0.4</v>
      </c>
      <c r="J15" s="1854"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3">
        <f>N('0.1 Budget Table (Fin)'!P10)</f>
        <v>5</v>
      </c>
      <c r="J16" s="1855">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3">
        <f>N('0.1 Budget Table (Fin)'!O10)</f>
        <v>0</v>
      </c>
      <c r="J17" s="1854"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3">
        <f>N('0.1 Budget Table (Fin)'!M10)</f>
        <v>0</v>
      </c>
      <c r="J18" s="1854"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3">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3">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3">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3">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3">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3">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3">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O40"/>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3">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4" t="n">
        <v>2.5</v>
      </c>
      <c r="J14" s="1854"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4" t="n">
        <v>2.5</v>
      </c>
      <c r="J15" s="1854"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5" t="n"/>
      <c r="J16" s="1855"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5" t="n"/>
      <c r="J17" s="1855"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5" t="n"/>
      <c r="J18" s="1854" t="n">
        <v>1.5</v>
      </c>
      <c r="K18" s="1383" t="n"/>
      <c r="L18" s="1401" t="n"/>
      <c r="M18" s="865" t="n"/>
    </row>
    <row r="19" ht="14.25" customHeight="1" s="866">
      <c r="B19" s="865" t="n"/>
      <c r="C19" s="865" t="n"/>
      <c r="D19" s="865" t="n"/>
      <c r="E19" s="865" t="n"/>
      <c r="F19" s="1312" t="n"/>
      <c r="G19" s="865" t="n"/>
      <c r="H19" s="1380" t="inlineStr">
        <is>
          <t>Significant Items</t>
        </is>
      </c>
      <c r="I19" s="1853">
        <f>N('0.1 Budget Table (Fin)'!O7)</f>
        <v>0</v>
      </c>
      <c r="J19" s="1854" t="n">
        <v>0</v>
      </c>
      <c r="K19" s="1383">
        <f>IFERROR(I19-J19,0)</f>
        <v>0</v>
      </c>
      <c r="L19" s="1401" t="n"/>
      <c r="M19" s="865" t="n"/>
    </row>
    <row r="20" ht="14.25" customHeight="1" s="866">
      <c r="B20" s="865" t="n"/>
      <c r="C20" s="865" t="n"/>
      <c r="D20" s="865" t="n"/>
      <c r="E20" s="865" t="n"/>
      <c r="F20" s="1312" t="n"/>
      <c r="G20" s="865" t="n"/>
      <c r="H20" s="1380" t="inlineStr">
        <is>
          <t>Depreciation</t>
        </is>
      </c>
      <c r="I20" s="1853">
        <f>N('0.1 Budget Table (Fin)'!M7)</f>
        <v>0</v>
      </c>
      <c r="J20" s="1854"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3">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3">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3">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3">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3">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7"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48">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28">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28">
        <f>N('0.1 Budget Table (Fin)'!N8)</f>
        <v>6.1</v>
      </c>
      <c r="J14" s="1850"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28">
        <f>N('0.1 Budget Table (Fin)'!P8)</f>
        <v>6.8</v>
      </c>
      <c r="J15" s="1850"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28">
        <f>N('0.1 Budget Table (Fin)'!P5)</f>
        <v>4.9</v>
      </c>
      <c r="J16" s="1852"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28">
        <f>N('0.1 Budget Table (Fin)'!O8)</f>
        <v>14.2</v>
      </c>
      <c r="J17" s="1828">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28">
        <f>N('0.1 Budget Table (Fin)'!M8)</f>
        <v>0</v>
      </c>
      <c r="J18" s="1850"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28">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28">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28">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28">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28">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0"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28">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7"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48">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3">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3">
        <f>N('0.1 Budget Table (Fin)'!N6)</f>
        <v>1.4</v>
      </c>
      <c r="J15" s="1854"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3">
        <f>N('0.1 Budget Table (Fin)'!P6)</f>
        <v>11.7</v>
      </c>
      <c r="J16" s="1854"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3">
        <f>N('0.1 Budget Table (Fin)'!$O$6)</f>
        <v>0</v>
      </c>
      <c r="J17" s="1854"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3">
        <f>N('0.1 Budget Table (Fin)'!M6)</f>
        <v>11.3</v>
      </c>
      <c r="J18" s="1854"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3">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3">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3">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3">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3">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28">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28"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pane xSplit="2" ySplit="5" topLeftCell="C6" activePane="bottomRight" state="frozen"/>
      <selection pane="topRight"/>
      <selection pane="bottomLeft"/>
      <selection pane="bottomRigh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47" t="n"/>
      <c r="D4" s="1847" t="n"/>
      <c r="E4" s="1847" t="n"/>
      <c r="F4" s="1847" t="n"/>
      <c r="G4" s="1847" t="n"/>
      <c r="H4" s="1847" t="n"/>
      <c r="I4" s="1847" t="n"/>
      <c r="J4" s="1847"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0" t="inlineStr">
        <is>
          <t>Offshore discount in the AU / NZ split ($m)</t>
        </is>
      </c>
      <c r="C18" s="1358" t="n"/>
      <c r="D18" s="1358" t="n"/>
      <c r="E18" s="1358" t="n"/>
      <c r="F18" s="1772">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4" t="n"/>
      <c r="G19" s="1527" t="n"/>
      <c r="H19" s="1864"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47" t="n"/>
      <c r="D4" s="1847" t="n"/>
      <c r="E4" s="1847" t="n"/>
      <c r="F4" s="1847" t="n"/>
      <c r="G4" s="1847" t="n"/>
      <c r="H4" s="1847" t="n"/>
      <c r="I4" s="1847" t="n"/>
      <c r="J4" s="1847" t="n"/>
      <c r="K4" s="1847"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0" t="inlineStr">
        <is>
          <t>Offshore discount in the AU / NZ split ($m)</t>
        </is>
      </c>
      <c r="C19" s="1487" t="n"/>
      <c r="D19" s="1487" t="n"/>
      <c r="E19" s="1487" t="n"/>
      <c r="F19" s="1358" t="n"/>
      <c r="G19" s="1772">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4" t="n"/>
      <c r="G20" s="1527" t="n"/>
      <c r="H20" s="1864"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pane xSplit="2" ySplit="5" topLeftCell="C6" activePane="bottomRight" state="frozen"/>
      <selection pane="topRight"/>
      <selection pane="bottomLeft"/>
      <selection pane="bottomRigh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5" t="n"/>
      <c r="D4" s="1865" t="n"/>
      <c r="E4" s="1865" t="n"/>
      <c r="F4" s="1865" t="n"/>
      <c r="G4" s="1865" t="n"/>
      <c r="H4" s="1865" t="n"/>
      <c r="I4" s="1865" t="n"/>
      <c r="J4" s="1865" t="n"/>
    </row>
    <row r="5" ht="48" customHeight="1" s="866">
      <c r="B5" s="1318" t="inlineStr">
        <is>
          <t>Grouping</t>
        </is>
      </c>
      <c r="C5" s="1825" t="inlineStr">
        <is>
          <t>Roles</t>
        </is>
      </c>
      <c r="D5" s="1825" t="inlineStr">
        <is>
          <t>Filled</t>
        </is>
      </c>
      <c r="E5" s="1825" t="inlineStr">
        <is>
          <t>Vacant</t>
        </is>
      </c>
      <c r="F5" s="1825" t="inlineStr">
        <is>
          <t>Planned spend ($m)</t>
        </is>
      </c>
      <c r="G5" s="1825" t="inlineStr">
        <is>
          <t>Budget to draw down ($m)</t>
        </is>
      </c>
      <c r="H5" s="1825"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2"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3"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5" t="n"/>
      <c r="D17" s="1865" t="n"/>
      <c r="E17" s="1865" t="n"/>
      <c r="F17" s="1865" t="n"/>
      <c r="G17" s="1865" t="n"/>
      <c r="H17" s="1866" t="n"/>
      <c r="I17" s="1866" t="n"/>
      <c r="J17" s="1866"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n"/>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9"/>
  <sheetViews>
    <sheetView showFormulas="0" showGridLines="0" showRowColHeaders="1" showZeros="1" rightToLeft="0" tabSelected="0" showOutlineSymbols="1" defaultGridColor="1" view="normal" topLeftCell="A1" colorId="64" zoomScale="80" zoomScaleNormal="8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Above Store</t>
        </is>
      </c>
      <c r="C7" s="1530" t="str">
        <f>IFERROR(INDEX('1.1 Ampol Retail'!$C$23:$C$68,MATCH($B7,'1.1 Ampol Retail'!$B$23:$B$68,0)),"Not on the 1.x tab")</f>
        <v>Configuration / Integration</v>
      </c>
      <c r="D7" s="1530" t="str">
        <f>IFERROR(IF(INDEX('1.1 Ampol Retail'!$D$23:$D$68,MATCH($B7,'1.1 Ampol Retail'!$B$23:$B$68,0))="","-",INDEX('1.1 Ampol Retail'!$D$23:$D$68,MATCH($B7,'1.1 Ampol Retail'!$B$23:$B$68,0))),"-")</f>
        <v>M</v>
      </c>
      <c r="E7" s="1782">
        <f>IFERROR(INDEX('0.3 Squad Archetypes'!$F$5:$F$23,MATCH($C7&amp;"|"&amp;$D7,'0.3 Squad Archetypes'!$A$5:$A$23,0)),"-")</f>
        <v>9</v>
      </c>
      <c r="F7" s="1773">
        <f>COUNTA($B$38:$B$48)</f>
        <v>11</v>
      </c>
      <c r="G7" s="1773">
        <f>COUNTIFS($D$38:$D$48,"Filled")</f>
        <v>7</v>
      </c>
      <c r="H7" s="1773">
        <f>COUNTIFS($D$38:$D$48,"Vacant")</f>
        <v>4</v>
      </c>
      <c r="I7" s="1773">
        <f>COUNTIFS($D$38:$D$48,"Vacant",$E$38:$E$48,"Hire")</f>
        <v>4</v>
      </c>
      <c r="J7" s="1773">
        <f>COUNTIFS($E$38:$E$48,"Offshore")</f>
        <v>0</v>
      </c>
      <c r="K7" s="1773">
        <f>COUNTIFS($E$38:$E$48,"Hold")</f>
        <v>0</v>
      </c>
      <c r="L7" s="1773">
        <f>$F7-$K7</f>
        <v>11</v>
      </c>
      <c r="M7" s="1772">
        <f>IFERROR(IF(INDEX('1.1 Ampol Retail'!$E$23:$E$68,MATCH($B7,'1.1 Ampol Retail'!$B$23:$B$68,0))="Offshore",INDEX('0.3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2.097921857</v>
      </c>
      <c r="O7" s="1772">
        <f>IFERROR(ROUND($N7-$M7,6),"-")</f>
        <v>-0.002078</v>
      </c>
      <c r="P7" s="1772">
        <f>SUM($G$38:$G$48)/1000000</f>
        <v>2.097921857</v>
      </c>
      <c r="Q7" s="1772">
        <f>IFERROR(ROUND($P7-$M7,6),"-")</f>
        <v>-0.002078</v>
      </c>
    </row>
    <row r="8">
      <c r="B8" s="1530" t="inlineStr">
        <is>
          <t>Data AU</t>
        </is>
      </c>
      <c r="C8" s="1530" t="str">
        <f>IFERROR(INDEX('1.1 Ampol Retail'!$C$23:$C$68,MATCH($B8,'1.1 Ampol Retail'!$B$23:$B$68,0)),"Not on the 1.x tab")</f>
        <v>Enterprise Data and Insights</v>
      </c>
      <c r="D8" s="1530" t="str">
        <f>IFERROR(IF(INDEX('1.1 Ampol Retail'!$D$23:$D$68,MATCH($B8,'1.1 Ampol Retail'!$B$23:$B$68,0))="","-",INDEX('1.1 Ampol Retail'!$D$23:$D$68,MATCH($B8,'1.1 Ampol Retail'!$B$23:$B$68,0))),"-")</f>
        <v>M</v>
      </c>
      <c r="E8" s="1782">
        <f>IFERROR(INDEX('0.3 Squad Archetypes'!$F$5:$F$23,MATCH($C8&amp;"|"&amp;$D8,'0.3 Squad Archetypes'!$A$5:$A$23,0)),"-")</f>
        <v>7.5</v>
      </c>
      <c r="F8" s="1773">
        <f>COUNTA($B$61:$B$66)</f>
        <v>6</v>
      </c>
      <c r="G8" s="1773">
        <f>COUNTIFS($D$61:$D$66,"Filled")</f>
        <v>0</v>
      </c>
      <c r="H8" s="1773">
        <f>COUNTIFS($D$61:$D$66,"Vacant")</f>
        <v>6</v>
      </c>
      <c r="I8" s="1773">
        <f>COUNTIFS($D$61:$D$66,"Vacant",$E$61:$E$66,"Hire")</f>
        <v>6</v>
      </c>
      <c r="J8" s="1773">
        <f>COUNTIFS($E$61:$E$66,"Offshore")</f>
        <v>0</v>
      </c>
      <c r="K8" s="1773">
        <f>COUNTIFS($E$61:$E$66,"Hold")</f>
        <v>0</v>
      </c>
      <c r="L8" s="1773">
        <f>$F8-$K8</f>
        <v>6</v>
      </c>
      <c r="M8" s="1772">
        <f>IFERROR(IF(INDEX('1.1 Ampol Retail'!$E$23:$E$68,MATCH($B8,'1.1 Ampol Retail'!$B$23:$B$68,0))="Offshore",INDEX('0.3 Squad Archetypes'!$H$5:$H$23,MATCH($C8&amp;"|"&amp;$D8,'0.3 Squad Archetypes'!$A$5:$A$23,0)),INDEX('0.3 Squad Archetypes'!$G$5:$G$23,MATCH($C8&amp;"|"&amp;$D8,'0.3 Squad Archetypes'!$A$5:$A$23,0))),"-")</f>
        <v>0.68</v>
      </c>
      <c r="N8" s="1772">
        <f>SUMIFS('REVIEW - Complete Role Mapping'!$AA$2:$AA$528,'REVIEW - Complete Role Mapping'!$AJ$2:$AJ$528,$C$3,'REVIEW - Complete Role Mapping'!$AT$2:$AT$528,$B8)/1000000</f>
        <v>1.21232375</v>
      </c>
      <c r="O8" s="1772">
        <f>IFERROR(ROUND($N8-$M8,6),"-")</f>
        <v>0.532324</v>
      </c>
      <c r="P8" s="1772">
        <f>SUM($G$61:$G$66)/1000000</f>
        <v>1.21232375</v>
      </c>
      <c r="Q8" s="1772">
        <f>IFERROR(ROUND($P8-$M8,6),"-")</f>
        <v>0.532324</v>
      </c>
    </row>
    <row r="9">
      <c r="B9" s="1530" t="inlineStr">
        <is>
          <t>Deployment</t>
        </is>
      </c>
      <c r="C9" s="1530" t="str">
        <f>IFERROR(INDEX('1.1 Ampol Retail'!$C$23:$C$68,MATCH($B9,'1.1 Ampol Retail'!$B$23:$B$68,0)),"Not on the 1.x tab")</f>
        <v>Operations</v>
      </c>
      <c r="D9" s="1530" t="str">
        <f>IFERROR(IF(INDEX('1.1 Ampol Retail'!$D$23:$D$68,MATCH($B9,'1.1 Ampol Retail'!$B$23:$B$68,0))="","-",INDEX('1.1 Ampol Retail'!$D$23:$D$68,MATCH($B9,'1.1 Ampol Retail'!$B$23:$B$68,0))),"-")</f>
        <v>S</v>
      </c>
      <c r="E9" s="1782">
        <f>IFERROR(INDEX('0.3 Squad Archetypes'!$F$5:$F$23,MATCH($C9&amp;"|"&amp;$D9,'0.3 Squad Archetypes'!$A$5:$A$23,0)),"-")</f>
        <v>4</v>
      </c>
      <c r="F9" s="1773">
        <f>COUNTA($B$68:$B$72)</f>
        <v>5</v>
      </c>
      <c r="G9" s="1773">
        <f>COUNTIFS($D$68:$D$72,"Filled")</f>
        <v>5</v>
      </c>
      <c r="H9" s="1773">
        <f>COUNTIFS($D$68:$D$72,"Vacant")</f>
        <v>0</v>
      </c>
      <c r="I9" s="1773">
        <f>COUNTIFS($D$68:$D$72,"Vacant",$E$68:$E$72,"Hire")</f>
        <v>0</v>
      </c>
      <c r="J9" s="1773">
        <f>COUNTIFS($E$68:$E$72,"Offshore")</f>
        <v>0</v>
      </c>
      <c r="K9" s="1773">
        <f>COUNTIFS($E$68:$E$72,"Hold")</f>
        <v>0</v>
      </c>
      <c r="L9" s="1773">
        <f>$F9-$K9</f>
        <v>5</v>
      </c>
      <c r="M9" s="1772">
        <f>IFERROR(IF(INDEX('1.1 Ampol Retail'!$E$23:$E$68,MATCH($B9,'1.1 Ampol Retail'!$B$23:$B$68,0))="Offshore",INDEX('0.3 Squad Archetypes'!$H$5:$H$23,MATCH($C9&amp;"|"&amp;$D9,'0.3 Squad Archetypes'!$A$5:$A$23,0)),INDEX('0.3 Squad Archetypes'!$G$5:$G$23,MATCH($C9&amp;"|"&amp;$D9,'0.3 Squad Archetypes'!$A$5:$A$23,0))),"-")</f>
        <v>0.8</v>
      </c>
      <c r="N9" s="1772">
        <f>SUMIFS('REVIEW - Complete Role Mapping'!$AA$2:$AA$528,'REVIEW - Complete Role Mapping'!$AJ$2:$AJ$528,$C$3,'REVIEW - Complete Role Mapping'!$AT$2:$AT$528,$B9)/1000000</f>
        <v>0.893835732</v>
      </c>
      <c r="O9" s="1772">
        <f>IFERROR(ROUND($N9-$M9,6),"-")</f>
        <v>0.093836</v>
      </c>
      <c r="P9" s="1772">
        <f>SUM($G$68:$G$72)/1000000</f>
        <v>0.893835732</v>
      </c>
      <c r="Q9" s="1772">
        <f>IFERROR(ROUND($P9-$M9,6),"-")</f>
        <v>0.093836</v>
      </c>
    </row>
    <row r="10">
      <c r="B10" s="1530" t="inlineStr">
        <is>
          <t>Network &amp; QSR</t>
        </is>
      </c>
      <c r="C10" s="1530" t="str">
        <f>IFERROR(INDEX('1.1 Ampol Retail'!$C$23:$C$68,MATCH($B10,'1.1 Ampol Retail'!$B$23:$B$68,0)),"Not on the 1.x tab")</f>
        <v>Configuration / Integration</v>
      </c>
      <c r="D10" s="1530" t="str">
        <f>IFERROR(IF(INDEX('1.1 Ampol Retail'!$D$23:$D$68,MATCH($B10,'1.1 Ampol Retail'!$B$23:$B$68,0))="","-",INDEX('1.1 Ampol Retail'!$D$23:$D$68,MATCH($B10,'1.1 Ampol Retail'!$B$23:$B$68,0))),"-")</f>
        <v>S</v>
      </c>
      <c r="E10" s="1782">
        <f>IFERROR(INDEX('0.3 Squad Archetypes'!$F$5:$F$23,MATCH($C10&amp;"|"&amp;$D10,'0.3 Squad Archetypes'!$A$5:$A$23,0)),"-")</f>
        <v>6</v>
      </c>
      <c r="F10" s="1773">
        <f>COUNTA($B$83:$B$88)</f>
        <v>6</v>
      </c>
      <c r="G10" s="1773">
        <f>COUNTIFS($D$83:$D$88,"Filled")</f>
        <v>4</v>
      </c>
      <c r="H10" s="1773">
        <f>COUNTIFS($D$83:$D$88,"Vacant")</f>
        <v>2</v>
      </c>
      <c r="I10" s="1773">
        <f>COUNTIFS($D$83:$D$88,"Vacant",$E$83:$E$88,"Hire")</f>
        <v>2</v>
      </c>
      <c r="J10" s="1773">
        <f>COUNTIFS($E$83:$E$88,"Offshore")</f>
        <v>0</v>
      </c>
      <c r="K10" s="1773">
        <f>COUNTIFS($E$83:$E$88,"Hold")</f>
        <v>0</v>
      </c>
      <c r="L10" s="1773">
        <f>$F10-$K10</f>
        <v>6</v>
      </c>
      <c r="M10" s="1772">
        <f>IFERROR(IF(INDEX('1.1 Ampol Retail'!$E$23:$E$68,MATCH($B10,'1.1 Ampol Retail'!$B$23:$B$68,0))="Offshore",INDEX('0.3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1.1140311</v>
      </c>
      <c r="O10" s="1772">
        <f>IFERROR(ROUND($N10-$M10,6),"-")</f>
        <v>-0.285969</v>
      </c>
      <c r="P10" s="1772">
        <f>SUM($G$83:$G$88)/1000000</f>
        <v>1.1140311</v>
      </c>
      <c r="Q10" s="1772">
        <f>IFERROR(ROUND($P10-$M10,6),"-")</f>
        <v>-0.285969</v>
      </c>
    </row>
    <row r="11">
      <c r="B11" s="1530" t="inlineStr">
        <is>
          <t>POS</t>
        </is>
      </c>
      <c r="C11" s="1530" t="str">
        <f>IFERROR(INDEX('1.1 Ampol Retail'!$C$23:$C$68,MATCH($B11,'1.1 Ampol Retail'!$B$23:$B$68,0)),"Not on the 1.x tab")</f>
        <v>Configuration / Integration</v>
      </c>
      <c r="D11" s="1530" t="str">
        <f>IFERROR(IF(INDEX('1.1 Ampol Retail'!$D$23:$D$68,MATCH($B11,'1.1 Ampol Retail'!$B$23:$B$68,0))="","-",INDEX('1.1 Ampol Retail'!$D$23:$D$68,MATCH($B11,'1.1 Ampol Retail'!$B$23:$B$68,0))),"-")</f>
        <v>M</v>
      </c>
      <c r="E11" s="1782">
        <f>IFERROR(INDEX('0.3 Squad Archetypes'!$F$5:$F$23,MATCH($C11&amp;"|"&amp;$D11,'0.3 Squad Archetypes'!$A$5:$A$23,0)),"-")</f>
        <v>9</v>
      </c>
      <c r="F11" s="1773">
        <f>COUNTA($B$90:$B$97)</f>
        <v>8</v>
      </c>
      <c r="G11" s="1773">
        <f>COUNTIFS($D$90:$D$97,"Filled")</f>
        <v>0</v>
      </c>
      <c r="H11" s="1773">
        <f>COUNTIFS($D$90:$D$97,"Vacant")</f>
        <v>8</v>
      </c>
      <c r="I11" s="1773">
        <f>COUNTIFS($D$90:$D$97,"Vacant",$E$90:$E$97,"Hire")</f>
        <v>8</v>
      </c>
      <c r="J11" s="1773">
        <f>COUNTIFS($E$90:$E$97,"Offshore")</f>
        <v>0</v>
      </c>
      <c r="K11" s="1773">
        <f>COUNTIFS($E$90:$E$97,"Hold")</f>
        <v>0</v>
      </c>
      <c r="L11" s="1773">
        <f>$F11-$K11</f>
        <v>8</v>
      </c>
      <c r="M11" s="1772">
        <f>IFERROR(IF(INDEX('1.1 Ampol Retail'!$E$23:$E$68,MATCH($B11,'1.1 Ampol Retail'!$B$23:$B$68,0))="Offshore",INDEX('0.3 Squad Archetypes'!$H$5:$H$23,MATCH($C11&amp;"|"&amp;$D11,'0.3 Squad Archetypes'!$A$5:$A$23,0)),INDEX('0.3 Squad Archetypes'!$G$5:$G$23,MATCH($C11&amp;"|"&amp;$D11,'0.3 Squad Archetypes'!$A$5:$A$23,0))),"-")</f>
        <v>2.1</v>
      </c>
      <c r="N11" s="1772">
        <f>SUMIFS('REVIEW - Complete Role Mapping'!$AA$2:$AA$528,'REVIEW - Complete Role Mapping'!$AJ$2:$AJ$528,$C$3,'REVIEW - Complete Role Mapping'!$AT$2:$AT$528,$B11)/1000000</f>
        <v>1.576223685</v>
      </c>
      <c r="O11" s="1772">
        <f>IFERROR(ROUND($N11-$M11,6),"-")</f>
        <v>-0.523776</v>
      </c>
      <c r="P11" s="1772">
        <f>SUM($G$90:$G$97)/1000000</f>
        <v>1.576223685</v>
      </c>
      <c r="Q11" s="1772">
        <f>IFERROR(ROUND($P11-$M11,6),"-")</f>
        <v>-0.523776</v>
      </c>
    </row>
    <row r="12">
      <c r="B12" s="1530" t="inlineStr">
        <is>
          <t>Payments</t>
        </is>
      </c>
      <c r="C12" s="1530" t="str">
        <f>IFERROR(INDEX('1.1 Ampol Retail'!$C$23:$C$68,MATCH($B12,'1.1 Ampol Retail'!$B$23:$B$68,0)),"Not on the 1.x tab")</f>
        <v>Configuration / Integration</v>
      </c>
      <c r="D12" s="1530" t="str">
        <f>IFERROR(IF(INDEX('1.1 Ampol Retail'!$D$23:$D$68,MATCH($B12,'1.1 Ampol Retail'!$B$23:$B$68,0))="","-",INDEX('1.1 Ampol Retail'!$D$23:$D$68,MATCH($B12,'1.1 Ampol Retail'!$B$23:$B$68,0))),"-")</f>
        <v>S</v>
      </c>
      <c r="E12" s="1782">
        <f>IFERROR(INDEX('0.3 Squad Archetypes'!$F$5:$F$23,MATCH($C12&amp;"|"&amp;$D12,'0.3 Squad Archetypes'!$A$5:$A$23,0)),"-")</f>
        <v>6</v>
      </c>
      <c r="F12" s="1773">
        <f>COUNTA($B$99:$B$102)</f>
        <v>4</v>
      </c>
      <c r="G12" s="1773">
        <f>COUNTIFS($D$99:$D$102,"Filled")</f>
        <v>3</v>
      </c>
      <c r="H12" s="1773">
        <f>COUNTIFS($D$99:$D$102,"Vacant")</f>
        <v>1</v>
      </c>
      <c r="I12" s="1773">
        <f>COUNTIFS($D$99:$D$102,"Vacant",$E$99:$E$102,"Hire")</f>
        <v>1</v>
      </c>
      <c r="J12" s="1773">
        <f>COUNTIFS($E$99:$E$102,"Offshore")</f>
        <v>0</v>
      </c>
      <c r="K12" s="1773">
        <f>COUNTIFS($E$99:$E$102,"Hold")</f>
        <v>0</v>
      </c>
      <c r="L12" s="1773">
        <f>$F12-$K12</f>
        <v>4</v>
      </c>
      <c r="M12" s="1772">
        <f>IFERROR(IF(INDEX('1.1 Ampol Retail'!$E$23:$E$68,MATCH($B12,'1.1 Ampol Retail'!$B$23:$B$68,0))="Offshore",INDEX('0.3 Squad Archetypes'!$H$5:$H$23,MATCH($C12&amp;"|"&amp;$D12,'0.3 Squad Archetypes'!$A$5:$A$23,0)),INDEX('0.3 Squad Archetypes'!$G$5:$G$23,MATCH($C12&amp;"|"&amp;$D12,'0.3 Squad Archetypes'!$A$5:$A$23,0))),"-")</f>
        <v>1.4</v>
      </c>
      <c r="N12" s="1772">
        <f>SUMIFS('REVIEW - Complete Role Mapping'!$AA$2:$AA$528,'REVIEW - Complete Role Mapping'!$AJ$2:$AJ$528,$C$3,'REVIEW - Complete Role Mapping'!$AT$2:$AT$528,$B12)/1000000</f>
        <v>0.789428585</v>
      </c>
      <c r="O12" s="1772">
        <f>IFERROR(ROUND($N12-$M12,6),"-")</f>
        <v>-0.610571</v>
      </c>
      <c r="P12" s="1772">
        <f>SUM($G$99:$G$102)/1000000</f>
        <v>0.789428585</v>
      </c>
      <c r="Q12" s="1772">
        <f>IFERROR(ROUND($P12-$M12,6),"-")</f>
        <v>-0.610571</v>
      </c>
    </row>
    <row r="13">
      <c r="B13" s="1530" t="inlineStr">
        <is>
          <t>Store Operations</t>
        </is>
      </c>
      <c r="C13" s="1530" t="str">
        <f>IFERROR(INDEX('1.1 Ampol Retail'!$C$23:$C$68,MATCH($B13,'1.1 Ampol Retail'!$B$23:$B$68,0)),"Not on the 1.x tab")</f>
        <v>Operations</v>
      </c>
      <c r="D13" s="1530" t="str">
        <f>IFERROR(IF(INDEX('1.1 Ampol Retail'!$D$23:$D$68,MATCH($B13,'1.1 Ampol Retail'!$B$23:$B$68,0))="","-",INDEX('1.1 Ampol Retail'!$D$23:$D$68,MATCH($B13,'1.1 Ampol Retail'!$B$23:$B$68,0))),"-")</f>
        <v>M</v>
      </c>
      <c r="E13" s="1782">
        <f>IFERROR(INDEX('0.3 Squad Archetypes'!$F$5:$F$23,MATCH($C13&amp;"|"&amp;$D13,'0.3 Squad Archetypes'!$A$5:$A$23,0)),"-")</f>
        <v>6</v>
      </c>
      <c r="F13" s="1773">
        <f>COUNTA($B$104:$B$111)</f>
        <v>8</v>
      </c>
      <c r="G13" s="1773">
        <f>COUNTIFS($D$104:$D$111,"Filled")</f>
        <v>7</v>
      </c>
      <c r="H13" s="1773">
        <f>COUNTIFS($D$104:$D$111,"Vacant")</f>
        <v>1</v>
      </c>
      <c r="I13" s="1773">
        <f>COUNTIFS($D$104:$D$111,"Vacant",$E$104:$E$111,"Hire")</f>
        <v>1</v>
      </c>
      <c r="J13" s="1773">
        <f>COUNTIFS($E$104:$E$111,"Offshore")</f>
        <v>0</v>
      </c>
      <c r="K13" s="1773">
        <f>COUNTIFS($E$104:$E$111,"Hold")</f>
        <v>0</v>
      </c>
      <c r="L13" s="1773">
        <f>$F13-$K13</f>
        <v>8</v>
      </c>
      <c r="M13" s="1772">
        <f>IFERROR(IF(INDEX('1.1 Ampol Retail'!$E$23:$E$68,MATCH($B13,'1.1 Ampol Retail'!$B$23:$B$68,0))="Offshore",INDEX('0.3 Squad Archetypes'!$H$5:$H$23,MATCH($C13&amp;"|"&amp;$D13,'0.3 Squad Archetypes'!$A$5:$A$23,0)),INDEX('0.3 Squad Archetypes'!$G$5:$G$23,MATCH($C13&amp;"|"&amp;$D13,'0.3 Squad Archetypes'!$A$5:$A$23,0))),"-")</f>
        <v>1.4</v>
      </c>
      <c r="N13" s="1772">
        <f>SUMIFS('REVIEW - Complete Role Mapping'!$AA$2:$AA$528,'REVIEW - Complete Role Mapping'!$AJ$2:$AJ$528,$C$3,'REVIEW - Complete Role Mapping'!$AT$2:$AT$528,$B13)/1000000</f>
        <v>1.429759453</v>
      </c>
      <c r="O13" s="1772">
        <f>IFERROR(ROUND($N13-$M13,6),"-")</f>
        <v>0.029759</v>
      </c>
      <c r="P13" s="1772">
        <f>SUM($G$104:$G$111)/1000000</f>
        <v>1.429759453</v>
      </c>
      <c r="Q13" s="1772">
        <f>IFERROR(ROUND($P13-$M13,6),"-")</f>
        <v>0.029759</v>
      </c>
    </row>
    <row r="14">
      <c r="B14" s="1534" t="inlineStr">
        <is>
          <t>Squads priced by an archetype</t>
        </is>
      </c>
      <c r="C14" s="1534" t="n"/>
      <c r="D14" s="1534" t="n"/>
      <c r="E14" s="1783">
        <f>SUM(E7:E13)</f>
        <v>47.5</v>
      </c>
      <c r="F14" s="1775">
        <f>SUM(F7:F13)</f>
        <v>48</v>
      </c>
      <c r="G14" s="1775">
        <f>SUM(G7:G13)</f>
        <v>26</v>
      </c>
      <c r="H14" s="1775">
        <f>SUM(H7:H13)</f>
        <v>22</v>
      </c>
      <c r="I14" s="1775">
        <f>SUM(I7:I13)</f>
        <v>22</v>
      </c>
      <c r="J14" s="1775">
        <f>SUM(J7:J13)</f>
        <v>0</v>
      </c>
      <c r="K14" s="1775">
        <f>SUM(K7:K13)</f>
        <v>0</v>
      </c>
      <c r="L14" s="1775">
        <f>SUM(L7:L13)</f>
        <v>48</v>
      </c>
      <c r="M14" s="1774">
        <f>SUM(M7:M13)</f>
        <v>9.88</v>
      </c>
      <c r="N14" s="1774">
        <f>SUM(N7:N13)</f>
        <v>9.113524162</v>
      </c>
      <c r="O14" s="1774">
        <f>SUM(O7:O13)</f>
        <v>-0.766475</v>
      </c>
      <c r="P14" s="1774">
        <f>SUM(P7:P13)</f>
        <v>9.113524162</v>
      </c>
      <c r="Q14" s="1774">
        <f>SUM(Q7:Q13)</f>
        <v>-0.766475</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AmPOS</t>
        </is>
      </c>
      <c r="C18" s="1530" t="str">
        <f>IFERROR(INDEX('1.1 Ampol Retail'!$C$23:$C$68,MATCH($B18,'1.1 Ampol Retail'!$B$23:$B$68,0)),"Not on the 1.x tab")</f>
        <v>Strategic Programs</v>
      </c>
      <c r="D18" s="1530" t="str">
        <f>IFERROR(IF(INDEX('1.1 Ampol Retail'!$D$23:$D$68,MATCH($B18,'1.1 Ampol Retail'!$B$23:$B$68,0))="","-",INDEX('1.1 Ampol Retail'!$D$23:$D$68,MATCH($B18,'1.1 Ampol Retail'!$B$23:$B$68,0))),"-")</f>
        <v>-</v>
      </c>
      <c r="E18" s="1782" t="str">
        <f>"-"</f>
        <v>-</v>
      </c>
      <c r="F18" s="1773">
        <f>COUNTA($B$50:$B$59)</f>
        <v>10</v>
      </c>
      <c r="G18" s="1773">
        <f>COUNTIFS($D$50:$D$59,"Filled")</f>
        <v>10</v>
      </c>
      <c r="H18" s="1773">
        <f>COUNTIFS($D$50:$D$59,"Vacant")</f>
        <v>0</v>
      </c>
      <c r="I18" s="1773">
        <f>COUNTIFS($D$50:$D$59,"Vacant",$E$50:$E$59,"Hire")</f>
        <v>0</v>
      </c>
      <c r="J18" s="1773">
        <f>COUNTIFS($E$50:$E$59,"Offshore")</f>
        <v>0</v>
      </c>
      <c r="K18" s="1773">
        <f>COUNTIFS($E$50:$E$59,"Hold")</f>
        <v>0</v>
      </c>
      <c r="L18" s="1773">
        <f>$F18-$K18</f>
        <v>10</v>
      </c>
      <c r="M18" s="1772">
        <f>IFERROR(INDEX('1.1 Ampol Retail'!$H$23:$H$68,MATCH($B18,'1.1 Ampol Retail'!$B$23:$B$68,0)),"-")</f>
        <v>1.404089</v>
      </c>
      <c r="N18" s="1772">
        <f>SUMIFS('REVIEW - Complete Role Mapping'!$AA$2:$AA$528,'REVIEW - Complete Role Mapping'!$AJ$2:$AJ$528,$C$3,'REVIEW - Complete Role Mapping'!$AT$2:$AT$528,$B18)/1000000</f>
        <v>2.115029718</v>
      </c>
      <c r="O18" s="1772">
        <f>IFERROR(ROUND($N18-$M18,6),"-")</f>
        <v>0.710941</v>
      </c>
      <c r="P18" s="1772">
        <f>SUM($G$50:$G$59)/1000000</f>
        <v>2.115029718</v>
      </c>
      <c r="Q18" s="1772">
        <f>IFERROR(ROUND($P18-$M18,6),"-")</f>
        <v>0.710941</v>
      </c>
    </row>
    <row r="19">
      <c r="B19" s="1530" t="inlineStr">
        <is>
          <t>EGI Retail</t>
        </is>
      </c>
      <c r="C19" s="1530" t="str">
        <f>IFERROR(INDEX('1.1 Ampol Retail'!$C$23:$C$68,MATCH($B19,'1.1 Ampol Retail'!$B$23:$B$68,0)),"Not on the 1.x tab")</f>
        <v>Strategic Programs</v>
      </c>
      <c r="D19" s="1530" t="str">
        <f>IFERROR(IF(INDEX('1.1 Ampol Retail'!$D$23:$D$68,MATCH($B19,'1.1 Ampol Retail'!$B$23:$B$68,0))="","-",INDEX('1.1 Ampol Retail'!$D$23:$D$68,MATCH($B19,'1.1 Ampol Retail'!$B$23:$B$68,0))),"-")</f>
        <v>-</v>
      </c>
      <c r="E19" s="1782" t="str">
        <f>"-"</f>
        <v>-</v>
      </c>
      <c r="F19" s="1773">
        <f>COUNTA($B$74:$B$79)</f>
        <v>6</v>
      </c>
      <c r="G19" s="1773">
        <f>COUNTIFS($D$74:$D$79,"Filled")</f>
        <v>6</v>
      </c>
      <c r="H19" s="1773">
        <f>COUNTIFS($D$74:$D$79,"Vacant")</f>
        <v>0</v>
      </c>
      <c r="I19" s="1773">
        <f>COUNTIFS($D$74:$D$79,"Vacant",$E$74:$E$79,"Hire")</f>
        <v>0</v>
      </c>
      <c r="J19" s="1773">
        <f>COUNTIFS($E$74:$E$79,"Offshore")</f>
        <v>0</v>
      </c>
      <c r="K19" s="1773">
        <f>COUNTIFS($E$74:$E$79,"Hold")</f>
        <v>0</v>
      </c>
      <c r="L19" s="1773">
        <f>$F19-$K19</f>
        <v>6</v>
      </c>
      <c r="M19" s="1772">
        <f>$N19</f>
        <v>1.221357614</v>
      </c>
      <c r="N19" s="1772">
        <f>SUMIFS('REVIEW - Complete Role Mapping'!$AA$2:$AA$528,'REVIEW - Complete Role Mapping'!$AJ$2:$AJ$528,$C$3,'REVIEW - Complete Role Mapping'!$AT$2:$AT$528,$B19)/1000000</f>
        <v>1.221357614</v>
      </c>
      <c r="O19" s="1772">
        <f>IFERROR(ROUND($N19-$M19,6),"-")</f>
        <v>0</v>
      </c>
      <c r="P19" s="1772">
        <f>SUM($G$74:$G$79)/1000000</f>
        <v>1.221357614</v>
      </c>
      <c r="Q19" s="1772">
        <f>IFERROR(ROUND($P19-$M19,6),"-")</f>
        <v>0</v>
      </c>
    </row>
    <row r="20">
      <c r="B20" s="1530" t="inlineStr">
        <is>
          <t>EGI TDD</t>
        </is>
      </c>
      <c r="C20" s="1530" t="str">
        <f>IFERROR(INDEX('1.1 Ampol Retail'!$C$23:$C$68,MATCH($B20,'1.1 Ampol Retail'!$B$23:$B$68,0)),"Not on the 1.x tab")</f>
        <v>Not on the 1.x tab</v>
      </c>
      <c r="D20" s="1530" t="str">
        <f>IFERROR(IF(INDEX('1.1 Ampol Retail'!$D$23:$D$68,MATCH($B20,'1.1 Ampol Retail'!$B$23:$B$68,0))="","-",INDEX('1.1 Ampol Retail'!$D$23:$D$68,MATCH($B20,'1.1 Ampol Retail'!$B$23:$B$68,0))),"-")</f>
        <v>-</v>
      </c>
      <c r="E20" s="1782" t="str">
        <f>"-"</f>
        <v>-</v>
      </c>
      <c r="F20" s="1773">
        <f>COUNTA($B$81:$B$81)</f>
        <v>1</v>
      </c>
      <c r="G20" s="1773">
        <f>COUNTIFS($D$81:$D$81,"Filled")</f>
        <v>1</v>
      </c>
      <c r="H20" s="1773">
        <f>COUNTIFS($D$81:$D$81,"Vacant")</f>
        <v>0</v>
      </c>
      <c r="I20" s="1773">
        <f>COUNTIFS($D$81:$D$81,"Vacant",$E$81:$E$81,"Hire")</f>
        <v>0</v>
      </c>
      <c r="J20" s="1773">
        <f>COUNTIFS($E$81:$E$81,"Offshore")</f>
        <v>0</v>
      </c>
      <c r="K20" s="1773">
        <f>COUNTIFS($E$81:$E$81,"Hold")</f>
        <v>0</v>
      </c>
      <c r="L20" s="1773">
        <f>$F20-$K20</f>
        <v>1</v>
      </c>
      <c r="M20" s="1772">
        <f>$N20</f>
        <v>0.2997</v>
      </c>
      <c r="N20" s="1772">
        <f>SUMIFS('REVIEW - Complete Role Mapping'!$AA$2:$AA$528,'REVIEW - Complete Role Mapping'!$AJ$2:$AJ$528,$C$3,'REVIEW - Complete Role Mapping'!$AT$2:$AT$528,$B20)/1000000</f>
        <v>0.2997</v>
      </c>
      <c r="O20" s="1772">
        <f>IFERROR(ROUND($N20-$M20,6),"-")</f>
        <v>0</v>
      </c>
      <c r="P20" s="1772">
        <f>SUM($G$81:$G$81)/1000000</f>
        <v>0.2997</v>
      </c>
      <c r="Q20" s="1772">
        <f>IFERROR(ROUND($P20-$M20,6),"-")</f>
        <v>0</v>
      </c>
    </row>
    <row r="21">
      <c r="B21" s="1534" t="inlineStr">
        <is>
          <t>Directly funded total</t>
        </is>
      </c>
      <c r="C21" s="1534" t="n"/>
      <c r="D21" s="1534" t="n"/>
      <c r="E21" s="1783">
        <f>SUM(E18:E20)</f>
        <v>0</v>
      </c>
      <c r="F21" s="1775">
        <f>SUM(F18:F20)</f>
        <v>17</v>
      </c>
      <c r="G21" s="1775">
        <f>SUM(G18:G20)</f>
        <v>17</v>
      </c>
      <c r="H21" s="1775">
        <f>SUM(H18:H20)</f>
        <v>0</v>
      </c>
      <c r="I21" s="1775">
        <f>SUM(I18:I20)</f>
        <v>0</v>
      </c>
      <c r="J21" s="1775">
        <f>SUM(J18:J20)</f>
        <v>0</v>
      </c>
      <c r="K21" s="1775">
        <f>SUM(K18:K20)</f>
        <v>0</v>
      </c>
      <c r="L21" s="1775">
        <f>SUM(L18:L20)</f>
        <v>17</v>
      </c>
      <c r="M21" s="1774">
        <f>SUM(M18:M20)</f>
        <v>2.925146614</v>
      </c>
      <c r="N21" s="1774">
        <f>SUM(N18:N20)</f>
        <v>3.636087332</v>
      </c>
      <c r="O21" s="1774">
        <f>SUM(O18:O20)</f>
        <v>0.710941</v>
      </c>
      <c r="P21" s="1774">
        <f>SUM(P18:P20)</f>
        <v>3.636087332</v>
      </c>
      <c r="Q21" s="1774">
        <f>SUM(Q18:Q20)</f>
        <v>0.710941</v>
      </c>
    </row>
    <row r="22"/>
    <row r="23" ht="19" customHeight="1" s="866">
      <c r="B23" s="1527" t="inlineStr">
        <is>
          <t>Overhead roles - against the allowance on 3.2</t>
        </is>
      </c>
      <c r="C23" s="1528" t="n"/>
      <c r="D23" s="1528" t="n"/>
      <c r="E23" s="1528" t="n"/>
      <c r="F23" s="1528" t="n"/>
      <c r="G23" s="1528" t="n"/>
      <c r="H23" s="1528" t="n"/>
      <c r="I23" s="1528" t="n"/>
      <c r="J23" s="1528" t="n"/>
      <c r="K23" s="1528" t="n"/>
      <c r="L23" s="1528" t="n"/>
      <c r="M23" s="1528" t="n"/>
      <c r="N23" s="1528" t="n"/>
      <c r="O23" s="1528" t="n"/>
      <c r="P23" s="1528" t="n"/>
      <c r="Q23" s="1528" t="n"/>
    </row>
    <row r="24" ht="48" customHeight="1" s="866">
      <c r="B24" s="1529" t="inlineStr">
        <is>
          <t>Squad</t>
        </is>
      </c>
      <c r="C24" s="1529" t="inlineStr">
        <is>
          <t>Archetype Type</t>
        </is>
      </c>
      <c r="D24" s="1529" t="inlineStr">
        <is>
          <t>Size</t>
        </is>
      </c>
      <c r="E24" s="1529" t="inlineStr">
        <is>
          <t>Archetype roles</t>
        </is>
      </c>
      <c r="F24" s="1529" t="inlineStr">
        <is>
          <t>Roles</t>
        </is>
      </c>
      <c r="G24" s="1529" t="inlineStr">
        <is>
          <t>Filled</t>
        </is>
      </c>
      <c r="H24" s="1529" t="inlineStr">
        <is>
          <t>Vacant</t>
        </is>
      </c>
      <c r="I24" s="1529" t="inlineStr">
        <is>
          <t>To hire</t>
        </is>
      </c>
      <c r="J24" s="1529" t="inlineStr">
        <is>
          <t>To offshore</t>
        </is>
      </c>
      <c r="K24" s="1529" t="inlineStr">
        <is>
          <t>On hold</t>
        </is>
      </c>
      <c r="L24" s="1529" t="inlineStr">
        <is>
          <t>Roles after decisions</t>
        </is>
      </c>
      <c r="M24" s="1529" t="inlineStr">
        <is>
          <t>Allowance - stated on 3.2</t>
        </is>
      </c>
      <c r="N24" s="1529" t="inlineStr">
        <is>
          <t>Actual cost ($m)</t>
        </is>
      </c>
      <c r="O24" s="1529" t="inlineStr">
        <is>
          <t>Variance</t>
        </is>
      </c>
      <c r="P24" s="1529" t="inlineStr">
        <is>
          <t>Cost after vacancy decisions ($m)</t>
        </is>
      </c>
      <c r="Q24" s="1529" t="inlineStr">
        <is>
          <t>New variance</t>
        </is>
      </c>
    </row>
    <row r="25">
      <c r="B25" s="1530" t="inlineStr">
        <is>
          <t>Head of Technology</t>
        </is>
      </c>
      <c r="C25" s="1530" t="str">
        <f>"-"</f>
        <v>-</v>
      </c>
      <c r="D25" s="1530" t="str">
        <f>"-"</f>
        <v>-</v>
      </c>
      <c r="E25" s="1538" t="str">
        <f>"-"</f>
        <v>-</v>
      </c>
      <c r="F25" s="1773">
        <f>COUNTA($B$113:$B$113)</f>
        <v>1</v>
      </c>
      <c r="G25" s="1773">
        <f>COUNTIFS($D$113:$D$113,"Filled")</f>
        <v>1</v>
      </c>
      <c r="H25" s="1773">
        <f>COUNTIFS($D$113:$D$113,"Vacant")</f>
        <v>0</v>
      </c>
      <c r="I25" s="1773">
        <f>COUNTIFS($D$113:$D$113,"Vacant",$E$113:$E$113,"Hire")</f>
        <v>0</v>
      </c>
      <c r="J25" s="1773">
        <f>COUNTIFS($E$113:$E$113,"Offshore")</f>
        <v>0</v>
      </c>
      <c r="K25" s="1773">
        <f>COUNTIFS($E$113:$E$113,"Hold")</f>
        <v>0</v>
      </c>
      <c r="L25" s="1773">
        <f>$F25-$K25</f>
        <v>1</v>
      </c>
      <c r="M25" s="1538" t="str">
        <f>"-"</f>
        <v>-</v>
      </c>
      <c r="N25" s="1772">
        <f>SUMIFS('REVIEW - Complete Role Mapping'!$AA$2:$AA$528,'REVIEW - Complete Role Mapping'!$AJ$2:$AJ$528,$C$3,'REVIEW - Complete Role Mapping'!$AT$2:$AT$528,$B25)/1000000</f>
        <v>0.18603225</v>
      </c>
      <c r="O25" s="1538" t="str">
        <f>"-"</f>
        <v>-</v>
      </c>
      <c r="P25" s="1772">
        <f>SUM($G$113:$G$113)/1000000</f>
        <v>0.18603225</v>
      </c>
      <c r="Q25" s="1538" t="str">
        <f>"-"</f>
        <v>-</v>
      </c>
    </row>
    <row r="26">
      <c r="B26" s="1530" t="inlineStr">
        <is>
          <t>Delivery Manager</t>
        </is>
      </c>
      <c r="C26" s="1530" t="str">
        <f>"-"</f>
        <v>-</v>
      </c>
      <c r="D26" s="1530" t="str">
        <f>"-"</f>
        <v>-</v>
      </c>
      <c r="E26" s="1538" t="str">
        <f>"-"</f>
        <v>-</v>
      </c>
      <c r="F26" s="1773">
        <f>COUNTA($B$115:$B$115)</f>
        <v>1</v>
      </c>
      <c r="G26" s="1773">
        <f>COUNTIFS($D$115:$D$115,"Filled")</f>
        <v>1</v>
      </c>
      <c r="H26" s="1773">
        <f>COUNTIFS($D$115:$D$115,"Vacant")</f>
        <v>0</v>
      </c>
      <c r="I26" s="1773">
        <f>COUNTIFS($D$115:$D$115,"Vacant",$E$115:$E$115,"Hire")</f>
        <v>0</v>
      </c>
      <c r="J26" s="1773">
        <f>COUNTIFS($E$115:$E$115,"Offshore")</f>
        <v>0</v>
      </c>
      <c r="K26" s="1773">
        <f>COUNTIFS($E$115:$E$115,"Hold")</f>
        <v>0</v>
      </c>
      <c r="L26" s="1773">
        <f>$F26-$K26</f>
        <v>1</v>
      </c>
      <c r="M26" s="1538" t="str">
        <f>"-"</f>
        <v>-</v>
      </c>
      <c r="N26" s="1772">
        <f>SUMIFS('REVIEW - Complete Role Mapping'!$AA$2:$AA$528,'REVIEW - Complete Role Mapping'!$AJ$2:$AJ$528,$C$3,'REVIEW - Complete Role Mapping'!$AT$2:$AT$528,$B26)/1000000</f>
        <v>0.30293735</v>
      </c>
      <c r="O26" s="1538" t="str">
        <f>"-"</f>
        <v>-</v>
      </c>
      <c r="P26" s="1772">
        <f>SUM($G$115:$G$115)/1000000</f>
        <v>0.30293735</v>
      </c>
      <c r="Q26" s="1538" t="str">
        <f>"-"</f>
        <v>-</v>
      </c>
    </row>
    <row r="27">
      <c r="B27" s="1530" t="inlineStr">
        <is>
          <t>Technology Manager</t>
        </is>
      </c>
      <c r="C27" s="1530" t="str">
        <f>"-"</f>
        <v>-</v>
      </c>
      <c r="D27" s="1530" t="str">
        <f>"-"</f>
        <v>-</v>
      </c>
      <c r="E27" s="1538" t="str">
        <f>"-"</f>
        <v>-</v>
      </c>
      <c r="F27" s="1773">
        <f>COUNTA($B$117:$B$119)</f>
        <v>3</v>
      </c>
      <c r="G27" s="1773">
        <f>COUNTIFS($D$117:$D$119,"Filled")</f>
        <v>3</v>
      </c>
      <c r="H27" s="1773">
        <f>COUNTIFS($D$117:$D$119,"Vacant")</f>
        <v>0</v>
      </c>
      <c r="I27" s="1773">
        <f>COUNTIFS($D$117:$D$119,"Vacant",$E$117:$E$119,"Hire")</f>
        <v>0</v>
      </c>
      <c r="J27" s="1773">
        <f>COUNTIFS($E$117:$E$119,"Offshore")</f>
        <v>0</v>
      </c>
      <c r="K27" s="1773">
        <f>COUNTIFS($E$117:$E$119,"Hold")</f>
        <v>0</v>
      </c>
      <c r="L27" s="1773">
        <f>$F27-$K27</f>
        <v>3</v>
      </c>
      <c r="M27" s="1538" t="str">
        <f>"-"</f>
        <v>-</v>
      </c>
      <c r="N27" s="1772">
        <f>SUMIFS('REVIEW - Complete Role Mapping'!$AA$2:$AA$528,'REVIEW - Complete Role Mapping'!$AJ$2:$AJ$528,$C$3,'REVIEW - Complete Role Mapping'!$AT$2:$AT$528,$B27)/1000000</f>
        <v>0.766646363</v>
      </c>
      <c r="O27" s="1538" t="str">
        <f>"-"</f>
        <v>-</v>
      </c>
      <c r="P27" s="1772">
        <f>SUM($G$117:$G$119)/1000000</f>
        <v>0.766646363</v>
      </c>
      <c r="Q27" s="1538" t="str">
        <f>"-"</f>
        <v>-</v>
      </c>
    </row>
    <row r="28">
      <c r="B28" s="1534" t="inlineStr">
        <is>
          <t>Overhead roles total</t>
        </is>
      </c>
      <c r="C28" s="1534" t="n"/>
      <c r="D28" s="1534" t="n"/>
      <c r="E28" s="1783">
        <f>SUM(E25:E27)</f>
        <v>0</v>
      </c>
      <c r="F28" s="1775">
        <f>SUM(F25:F27)</f>
        <v>5</v>
      </c>
      <c r="G28" s="1775">
        <f>SUM(G25:G27)</f>
        <v>5</v>
      </c>
      <c r="H28" s="1775">
        <f>SUM(H25:H27)</f>
        <v>0</v>
      </c>
      <c r="I28" s="1775">
        <f>SUM(I25:I27)</f>
        <v>0</v>
      </c>
      <c r="J28" s="1775">
        <f>SUM(J25:J27)</f>
        <v>0</v>
      </c>
      <c r="K28" s="1775">
        <f>SUM(K25:K27)</f>
        <v>0</v>
      </c>
      <c r="L28" s="1775">
        <f>SUM(L25:L27)</f>
        <v>5</v>
      </c>
      <c r="M28" s="1774">
        <f>SUM(M25:M27)</f>
        <v>0</v>
      </c>
      <c r="N28" s="1774">
        <f>SUM(N25:N27)</f>
        <v>1.255615963</v>
      </c>
      <c r="O28" s="1774">
        <f>SUM(O25:O27)</f>
        <v>0</v>
      </c>
      <c r="P28" s="1774">
        <f>SUM(P25:P27)</f>
        <v>1.255615963</v>
      </c>
      <c r="Q28" s="1774">
        <f>SUM(Q25:Q27)</f>
        <v>0</v>
      </c>
    </row>
    <row r="29"/>
    <row r="30">
      <c r="B30" s="1539" t="inlineStr">
        <is>
          <t>Total portfolio</t>
        </is>
      </c>
      <c r="C30" s="1539" t="n"/>
      <c r="D30" s="1539" t="n"/>
      <c r="E30" s="1784">
        <f>N(E14)+N(E21)+N(E28)</f>
        <v>47.5</v>
      </c>
      <c r="F30" s="1777">
        <f>N(F14)+N(F21)+N(F28)</f>
        <v>70</v>
      </c>
      <c r="G30" s="1777">
        <f>N(G14)+N(G21)+N(G28)</f>
        <v>48</v>
      </c>
      <c r="H30" s="1777">
        <f>N(H14)+N(H21)+N(H28)</f>
        <v>22</v>
      </c>
      <c r="I30" s="1777">
        <f>N(I14)+N(I21)+N(I28)</f>
        <v>22</v>
      </c>
      <c r="J30" s="1777">
        <f>N(J14)+N(J21)+N(J28)</f>
        <v>0</v>
      </c>
      <c r="K30" s="1777">
        <f>N(K14)+N(K21)+N(K28)</f>
        <v>0</v>
      </c>
      <c r="L30" s="1777">
        <f>N(L14)+N(L21)+N(L28)</f>
        <v>70</v>
      </c>
      <c r="M30" s="1776">
        <f>N(M14)+N(M21)+N(M28)</f>
        <v>12.805146614</v>
      </c>
      <c r="N30" s="1776">
        <f>N(N14)+N(N21)+N(N28)</f>
        <v>14.005227457</v>
      </c>
      <c r="O30" s="1776">
        <f>N(O14)+N(O21)+N(O28)</f>
        <v>-0.055534</v>
      </c>
      <c r="P30" s="1776">
        <f>N(P14)+N(P21)+N(P28)</f>
        <v>14.005227457</v>
      </c>
      <c r="Q30" s="1776">
        <f>N(Q14)+N(Q21)+N(Q28)</f>
        <v>-0.055534</v>
      </c>
    </row>
    <row r="31"/>
    <row r="32">
      <c r="B32" s="1526" t="inlineStr">
        <is>
          <t>Control - roles against the ledger, must be 0</t>
        </is>
      </c>
      <c r="F32" s="1778">
        <f>$F$30-COUNTIFS('REVIEW - Complete Role Mapping'!$AJ$2:$AJ$528,$C$3)</f>
        <v>0</v>
      </c>
    </row>
    <row r="33">
      <c r="B33" s="1526" t="inlineStr">
        <is>
          <t>Control - cost against the ledger ($m), must be 0</t>
        </is>
      </c>
      <c r="N33" s="1779">
        <f>ROUND($N$30-SUMIFS('REVIEW - Complete Role Mapping'!$AA$2:$AA$528,'REVIEW - Complete Role Mapping'!$AJ$2:$AJ$528,$C$3)/1000000,6)</f>
        <v>0</v>
      </c>
    </row>
    <row r="34"/>
    <row r="35" ht="19" customHeight="1" s="866">
      <c r="B35" s="1527" t="inlineStr">
        <is>
          <t>Ampol Retail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45" t="inlineStr">
        <is>
          <t>Above Store</t>
        </is>
      </c>
      <c r="C37" s="1545" t="str">
        <f>COUNTA($B$38:$B$48)&amp;IF(COUNTA($B$38:$B$48)=1," role"," roles")</f>
        <v>11 roles</v>
      </c>
      <c r="D37" s="1545" t="n"/>
      <c r="E37" s="1545" t="n"/>
      <c r="F37" s="1785">
        <f>SUM(F38:F48)</f>
        <v>2097921.857</v>
      </c>
      <c r="G37" s="1785">
        <f>SUM(G38:G48)</f>
        <v>2097921.857</v>
      </c>
    </row>
    <row r="38">
      <c r="B38" s="1530" t="str">
        <f>INDEX('REVIEW - Complete Role Mapping'!$B:$B,36)</f>
        <v>Joseph Maroun</v>
      </c>
      <c r="C38" s="1530" t="str">
        <f>INDEX('REVIEW - Complete Role Mapping'!$C:$C,36)</f>
        <v>Systems Analyst</v>
      </c>
      <c r="D38" s="1530" t="str">
        <f>INDEX('REVIEW - Complete Role Mapping'!$AK:$AK,36)</f>
        <v>Filled</v>
      </c>
      <c r="E38" s="1547" t="inlineStr">
        <is>
          <t>Filled</t>
        </is>
      </c>
      <c r="F38" s="1773">
        <f>INDEX('REVIEW - Complete Role Mapping'!$AA:$AA,36)</f>
        <v>176565.05</v>
      </c>
      <c r="G38" s="1773">
        <f>$F38*IFERROR(INDEX(Lists!$AD:$AD,MATCH($E38,Lists!$AC:$AC,0)),1)</f>
        <v>176565.05</v>
      </c>
    </row>
    <row r="39">
      <c r="B39" s="1530" t="str">
        <f>INDEX('REVIEW - Complete Role Mapping'!$B:$B,43)</f>
        <v>Majdi Abedi</v>
      </c>
      <c r="C39" s="1530" t="str">
        <f>INDEX('REVIEW - Complete Role Mapping'!$C:$C,43)</f>
        <v>Systems Analyst</v>
      </c>
      <c r="D39" s="1530" t="str">
        <f>INDEX('REVIEW - Complete Role Mapping'!$AK:$AK,43)</f>
        <v>Filled</v>
      </c>
      <c r="E39" s="1547" t="inlineStr">
        <is>
          <t>Filled</t>
        </is>
      </c>
      <c r="F39" s="1773">
        <f>INDEX('REVIEW - Complete Role Mapping'!$AA:$AA,43)</f>
        <v>134367.972</v>
      </c>
      <c r="G39" s="1773">
        <f>$F39*IFERROR(INDEX(Lists!$AD:$AD,MATCH($E39,Lists!$AC:$AC,0)),1)</f>
        <v>134367.972</v>
      </c>
    </row>
    <row r="40">
      <c r="B40" s="1530" t="str">
        <f>INDEX('REVIEW - Complete Role Mapping'!$B:$B,53)</f>
        <v>Pahul Oberoi</v>
      </c>
      <c r="C40" s="1530" t="str">
        <f>INDEX('REVIEW - Complete Role Mapping'!$C:$C,53)</f>
        <v>Systems Analyst</v>
      </c>
      <c r="D40" s="1530" t="str">
        <f>INDEX('REVIEW - Complete Role Mapping'!$AK:$AK,53)</f>
        <v>Filled</v>
      </c>
      <c r="E40" s="1547" t="inlineStr">
        <is>
          <t>Filled</t>
        </is>
      </c>
      <c r="F40" s="1773">
        <f>INDEX('REVIEW - Complete Role Mapping'!$AA:$AA,53)</f>
        <v>162060.6</v>
      </c>
      <c r="G40" s="1773">
        <f>$F40*IFERROR(INDEX(Lists!$AD:$AD,MATCH($E40,Lists!$AC:$AC,0)),1)</f>
        <v>162060.6</v>
      </c>
    </row>
    <row r="41">
      <c r="B41" s="1530" t="str">
        <f>INDEX('REVIEW - Complete Role Mapping'!$B:$B,58)</f>
        <v>Sao Keawprasit</v>
      </c>
      <c r="C41" s="1530" t="str">
        <f>INDEX('REVIEW - Complete Role Mapping'!$C:$C,58)</f>
        <v>Systems Analyst</v>
      </c>
      <c r="D41" s="1530" t="str">
        <f>INDEX('REVIEW - Complete Role Mapping'!$AK:$AK,58)</f>
        <v>Filled</v>
      </c>
      <c r="E41" s="1547" t="inlineStr">
        <is>
          <t>Filled</t>
        </is>
      </c>
      <c r="F41" s="1773">
        <f>INDEX('REVIEW - Complete Role Mapping'!$AA:$AA,58)</f>
        <v>203213.7</v>
      </c>
      <c r="G41" s="1773">
        <f>$F41*IFERROR(INDEX(Lists!$AD:$AD,MATCH($E41,Lists!$AC:$AC,0)),1)</f>
        <v>203213.7</v>
      </c>
    </row>
    <row r="42">
      <c r="B42" s="1530" t="str">
        <f>INDEX('REVIEW - Complete Role Mapping'!$B:$B,67)</f>
        <v>Vacant</v>
      </c>
      <c r="C42" s="1530" t="str">
        <f>INDEX('REVIEW - Complete Role Mapping'!$C:$C,67)</f>
        <v>Business Analyst</v>
      </c>
      <c r="D42" s="1530" t="str">
        <f>INDEX('REVIEW - Complete Role Mapping'!$AK:$AK,67)</f>
        <v>Vacant</v>
      </c>
      <c r="E42" s="1547" t="inlineStr">
        <is>
          <t>Hire</t>
        </is>
      </c>
      <c r="F42" s="1773">
        <f>INDEX('REVIEW - Complete Role Mapping'!$AA:$AA,67)</f>
        <v>202853.25</v>
      </c>
      <c r="G42" s="1773">
        <f>$F42*IFERROR(INDEX(Lists!$AD:$AD,MATCH($E42,Lists!$AC:$AC,0)),1)</f>
        <v>202853.25</v>
      </c>
    </row>
    <row r="43">
      <c r="B43" s="1530" t="str">
        <f>INDEX('REVIEW - Complete Role Mapping'!$B:$B,79)</f>
        <v>Vacant</v>
      </c>
      <c r="C43" s="1530" t="str">
        <f>INDEX('REVIEW - Complete Role Mapping'!$C:$C,79)</f>
        <v>Engineer - Integration</v>
      </c>
      <c r="D43" s="1530" t="str">
        <f>INDEX('REVIEW - Complete Role Mapping'!$AK:$AK,79)</f>
        <v>Vacant</v>
      </c>
      <c r="E43" s="1547" t="inlineStr">
        <is>
          <t>Hire</t>
        </is>
      </c>
      <c r="F43" s="1773">
        <f>INDEX('REVIEW - Complete Role Mapping'!$AA:$AA,79)</f>
        <v>170489.75</v>
      </c>
      <c r="G43" s="1773">
        <f>$F43*IFERROR(INDEX(Lists!$AD:$AD,MATCH($E43,Lists!$AC:$AC,0)),1)</f>
        <v>170489.75</v>
      </c>
    </row>
    <row r="44">
      <c r="B44" s="1530" t="str">
        <f>INDEX('REVIEW - Complete Role Mapping'!$B:$B,85)</f>
        <v>Vacant</v>
      </c>
      <c r="C44" s="1530" t="str">
        <f>INDEX('REVIEW - Complete Role Mapping'!$C:$C,85)</f>
        <v>Quality Assurance</v>
      </c>
      <c r="D44" s="1530" t="str">
        <f>INDEX('REVIEW - Complete Role Mapping'!$AK:$AK,85)</f>
        <v>Vacant</v>
      </c>
      <c r="E44" s="1547" t="inlineStr">
        <is>
          <t>Hire</t>
        </is>
      </c>
      <c r="F44" s="1773">
        <f>INDEX('REVIEW - Complete Role Mapping'!$AA:$AA,85)</f>
        <v>170501.585</v>
      </c>
      <c r="G44" s="1773">
        <f>$F44*IFERROR(INDEX(Lists!$AD:$AD,MATCH($E44,Lists!$AC:$AC,0)),1)</f>
        <v>170501.585</v>
      </c>
    </row>
    <row r="45">
      <c r="B45" s="1530" t="str">
        <f>INDEX('REVIEW - Complete Role Mapping'!$B:$B,92)</f>
        <v>Vacant</v>
      </c>
      <c r="C45" s="1530" t="str">
        <f>INDEX('REVIEW - Complete Role Mapping'!$C:$C,92)</f>
        <v>Systems Analyst</v>
      </c>
      <c r="D45" s="1530" t="str">
        <f>INDEX('REVIEW - Complete Role Mapping'!$AK:$AK,92)</f>
        <v>Vacant</v>
      </c>
      <c r="E45" s="1547" t="inlineStr">
        <is>
          <t>Hire</t>
        </is>
      </c>
      <c r="F45" s="1773">
        <f>INDEX('REVIEW - Complete Role Mapping'!$AA:$AA,92)</f>
        <v>201585</v>
      </c>
      <c r="G45" s="1773">
        <f>$F45*IFERROR(INDEX(Lists!$AD:$AD,MATCH($E45,Lists!$AC:$AC,0)),1)</f>
        <v>201585</v>
      </c>
    </row>
    <row r="46">
      <c r="B46" s="1530" t="str">
        <f>INDEX('REVIEW - Complete Role Mapping'!$B:$B,102)</f>
        <v>Vijay Patel</v>
      </c>
      <c r="C46" s="1530" t="str">
        <f>INDEX('REVIEW - Complete Role Mapping'!$C:$C,102)</f>
        <v>Systems Analyst</v>
      </c>
      <c r="D46" s="1530" t="str">
        <f>INDEX('REVIEW - Complete Role Mapping'!$AK:$AK,102)</f>
        <v>Filled</v>
      </c>
      <c r="E46" s="1547" t="inlineStr">
        <is>
          <t>Filled</t>
        </is>
      </c>
      <c r="F46" s="1773">
        <f>INDEX('REVIEW - Complete Role Mapping'!$AA:$AA,102)</f>
        <v>193575</v>
      </c>
      <c r="G46" s="1773">
        <f>$F46*IFERROR(INDEX(Lists!$AD:$AD,MATCH($E46,Lists!$AC:$AC,0)),1)</f>
        <v>193575</v>
      </c>
    </row>
    <row r="47">
      <c r="B47" s="1530" t="str">
        <f>INDEX('REVIEW - Complete Role Mapping'!$B:$B,106)</f>
        <v>Zhan Zhang</v>
      </c>
      <c r="C47" s="1530" t="str">
        <f>INDEX('REVIEW - Complete Role Mapping'!$C:$C,106)</f>
        <v>Solution Architect</v>
      </c>
      <c r="D47" s="1530" t="str">
        <f>INDEX('REVIEW - Complete Role Mapping'!$AK:$AK,106)</f>
        <v>Filled</v>
      </c>
      <c r="E47" s="1547" t="inlineStr">
        <is>
          <t>Filled</t>
        </is>
      </c>
      <c r="F47" s="1773">
        <f>INDEX('REVIEW - Complete Role Mapping'!$AA:$AA,106)</f>
        <v>243637.5</v>
      </c>
      <c r="G47" s="1773">
        <f>$F47*IFERROR(INDEX(Lists!$AD:$AD,MATCH($E47,Lists!$AC:$AC,0)),1)</f>
        <v>243637.5</v>
      </c>
    </row>
    <row r="48">
      <c r="B48" s="1530" t="str">
        <f>INDEX('REVIEW - Complete Role Mapping'!$B:$B,107)</f>
        <v>Zuan Zheng</v>
      </c>
      <c r="C48" s="1530" t="str">
        <f>INDEX('REVIEW - Complete Role Mapping'!$C:$C,107)</f>
        <v>Systems Analyst</v>
      </c>
      <c r="D48" s="1530" t="str">
        <f>INDEX('REVIEW - Complete Role Mapping'!$AK:$AK,107)</f>
        <v>Filled</v>
      </c>
      <c r="E48" s="1547" t="inlineStr">
        <is>
          <t>Filled</t>
        </is>
      </c>
      <c r="F48" s="1773">
        <f>INDEX('REVIEW - Complete Role Mapping'!$AA:$AA,107)</f>
        <v>239072.45</v>
      </c>
      <c r="G48" s="1773">
        <f>$F48*IFERROR(INDEX(Lists!$AD:$AD,MATCH($E48,Lists!$AC:$AC,0)),1)</f>
        <v>239072.45</v>
      </c>
    </row>
    <row r="49">
      <c r="B49" s="1545" t="inlineStr">
        <is>
          <t>AmPOS</t>
        </is>
      </c>
      <c r="C49" s="1545" t="str">
        <f>COUNTA($B$50:$B$59)&amp;IF(COUNTA($B$50:$B$59)=1," role"," roles")</f>
        <v>10 roles</v>
      </c>
      <c r="D49" s="1545" t="n"/>
      <c r="E49" s="1545" t="n"/>
      <c r="F49" s="1785">
        <f>SUM(F50:F59)</f>
        <v>2115029.718</v>
      </c>
      <c r="G49" s="1785">
        <f>SUM(G50:G59)</f>
        <v>2115029.718</v>
      </c>
    </row>
    <row r="50">
      <c r="B50" s="1530" t="str">
        <f>INDEX('REVIEW - Complete Role Mapping'!$B:$B,13)</f>
        <v>Balaji Murugan</v>
      </c>
      <c r="C50" s="1530" t="str">
        <f>INDEX('REVIEW - Complete Role Mapping'!$C:$C,13)</f>
        <v>Delivery Lead</v>
      </c>
      <c r="D50" s="1530" t="str">
        <f>INDEX('REVIEW - Complete Role Mapping'!$AK:$AK,13)</f>
        <v>Filled</v>
      </c>
      <c r="E50" s="1547" t="inlineStr">
        <is>
          <t>Filled</t>
        </is>
      </c>
      <c r="F50" s="1773">
        <f>INDEX('REVIEW - Complete Role Mapping'!$AA:$AA,13)</f>
        <v>237654.03</v>
      </c>
      <c r="G50" s="1773">
        <f>$F50*IFERROR(INDEX(Lists!$AD:$AD,MATCH($E50,Lists!$AC:$AC,0)),1)</f>
        <v>237654.03</v>
      </c>
    </row>
    <row r="51">
      <c r="B51" s="1530" t="str">
        <f>INDEX('REVIEW - Complete Role Mapping'!$B:$B,30)</f>
        <v>Irfan Zavahir</v>
      </c>
      <c r="C51" s="1530" t="str">
        <f>INDEX('REVIEW - Complete Role Mapping'!$C:$C,30)</f>
        <v>Delivery Lead</v>
      </c>
      <c r="D51" s="1530" t="str">
        <f>INDEX('REVIEW - Complete Role Mapping'!$AK:$AK,30)</f>
        <v>Filled</v>
      </c>
      <c r="E51" s="1547" t="inlineStr">
        <is>
          <t>Filled</t>
        </is>
      </c>
      <c r="F51" s="1773">
        <f>INDEX('REVIEW - Complete Role Mapping'!$AA:$AA,30)</f>
        <v>161334</v>
      </c>
      <c r="G51" s="1773">
        <f>$F51*IFERROR(INDEX(Lists!$AD:$AD,MATCH($E51,Lists!$AC:$AC,0)),1)</f>
        <v>161334</v>
      </c>
    </row>
    <row r="52">
      <c r="B52" s="1530" t="str">
        <f>INDEX('REVIEW - Complete Role Mapping'!$B:$B,37)</f>
        <v>Karthick Sathiyamoorthy</v>
      </c>
      <c r="C52" s="1530" t="str">
        <f>INDEX('REVIEW - Complete Role Mapping'!$C:$C,37)</f>
        <v>Quality Assurance</v>
      </c>
      <c r="D52" s="1530" t="str">
        <f>INDEX('REVIEW - Complete Role Mapping'!$AK:$AK,37)</f>
        <v>Filled</v>
      </c>
      <c r="E52" s="1547" t="inlineStr">
        <is>
          <t>Filled</t>
        </is>
      </c>
      <c r="F52" s="1773">
        <f>INDEX('REVIEW - Complete Role Mapping'!$AA:$AA,37)</f>
        <v>194028.9</v>
      </c>
      <c r="G52" s="1773">
        <f>$F52*IFERROR(INDEX(Lists!$AD:$AD,MATCH($E52,Lists!$AC:$AC,0)),1)</f>
        <v>194028.9</v>
      </c>
    </row>
    <row r="53">
      <c r="B53" s="1530" t="str">
        <f>INDEX('REVIEW - Complete Role Mapping'!$B:$B,39)</f>
        <v>Kate Johnstone</v>
      </c>
      <c r="C53" s="1530" t="str">
        <f>INDEX('REVIEW - Complete Role Mapping'!$C:$C,39)</f>
        <v>Program Manager POS</v>
      </c>
      <c r="D53" s="1530" t="str">
        <f>INDEX('REVIEW - Complete Role Mapping'!$AK:$AK,39)</f>
        <v>Filled</v>
      </c>
      <c r="E53" s="1547" t="inlineStr">
        <is>
          <t>Filled</t>
        </is>
      </c>
      <c r="F53" s="1773">
        <f>INDEX('REVIEW - Complete Role Mapping'!$AA:$AA,39)</f>
        <v>202026.336</v>
      </c>
      <c r="G53" s="1773">
        <f>$F53*IFERROR(INDEX(Lists!$AD:$AD,MATCH($E53,Lists!$AC:$AC,0)),1)</f>
        <v>202026.336</v>
      </c>
    </row>
    <row r="54">
      <c r="B54" s="1530" t="str">
        <f>INDEX('REVIEW - Complete Role Mapping'!$B:$B,51)</f>
        <v>Mick Standen</v>
      </c>
      <c r="C54" s="1530" t="str">
        <f>INDEX('REVIEW - Complete Role Mapping'!$C:$C,51)</f>
        <v>Systems Analyst</v>
      </c>
      <c r="D54" s="1530" t="str">
        <f>INDEX('REVIEW - Complete Role Mapping'!$AK:$AK,51)</f>
        <v>Filled</v>
      </c>
      <c r="E54" s="1547" t="inlineStr">
        <is>
          <t>Filled</t>
        </is>
      </c>
      <c r="F54" s="1773">
        <f>INDEX('REVIEW - Complete Role Mapping'!$AA:$AA,51)</f>
        <v>262647.9</v>
      </c>
      <c r="G54" s="1773">
        <f>$F54*IFERROR(INDEX(Lists!$AD:$AD,MATCH($E54,Lists!$AC:$AC,0)),1)</f>
        <v>262647.9</v>
      </c>
    </row>
    <row r="55">
      <c r="B55" s="1530" t="str">
        <f>INDEX('REVIEW - Complete Role Mapping'!$B:$B,55)</f>
        <v>Peter Nicolopoulos</v>
      </c>
      <c r="C55" s="1530" t="str">
        <f>INDEX('REVIEW - Complete Role Mapping'!$C:$C,55)</f>
        <v>Systems Analyst</v>
      </c>
      <c r="D55" s="1530" t="str">
        <f>INDEX('REVIEW - Complete Role Mapping'!$AK:$AK,55)</f>
        <v>Filled</v>
      </c>
      <c r="E55" s="1547" t="inlineStr">
        <is>
          <t>Filled</t>
        </is>
      </c>
      <c r="F55" s="1773">
        <f>INDEX('REVIEW - Complete Role Mapping'!$AA:$AA,55)</f>
        <v>147460.584</v>
      </c>
      <c r="G55" s="1773">
        <f>$F55*IFERROR(INDEX(Lists!$AD:$AD,MATCH($E55,Lists!$AC:$AC,0)),1)</f>
        <v>147460.584</v>
      </c>
    </row>
    <row r="56">
      <c r="B56" s="1530" t="str">
        <f>INDEX('REVIEW - Complete Role Mapping'!$B:$B,62)</f>
        <v>Tabitha Raharadjo</v>
      </c>
      <c r="C56" s="1530" t="str">
        <f>INDEX('REVIEW - Complete Role Mapping'!$C:$C,62)</f>
        <v>Project Coordinator</v>
      </c>
      <c r="D56" s="1530" t="str">
        <f>INDEX('REVIEW - Complete Role Mapping'!$AK:$AK,62)</f>
        <v>Filled</v>
      </c>
      <c r="E56" s="1547" t="inlineStr">
        <is>
          <t>Filled</t>
        </is>
      </c>
      <c r="F56" s="1773">
        <f>INDEX('REVIEW - Complete Role Mapping'!$AA:$AA,62)</f>
        <v>198937.068</v>
      </c>
      <c r="G56" s="1773">
        <f>$F56*IFERROR(INDEX(Lists!$AD:$AD,MATCH($E56,Lists!$AC:$AC,0)),1)</f>
        <v>198937.068</v>
      </c>
    </row>
    <row r="57">
      <c r="B57" s="1530" t="str">
        <f>INDEX('REVIEW - Complete Role Mapping'!$B:$B,380)</f>
        <v>Kevin Nelson</v>
      </c>
      <c r="C57" s="1530" t="str">
        <f>INDEX('REVIEW - Complete Role Mapping'!$C:$C,380)</f>
        <v>Delivery Lead</v>
      </c>
      <c r="D57" s="1530" t="str">
        <f>INDEX('REVIEW - Complete Role Mapping'!$AK:$AK,380)</f>
        <v>Filled</v>
      </c>
      <c r="E57" s="1547" t="inlineStr">
        <is>
          <t>Filled</t>
        </is>
      </c>
      <c r="F57" s="1773">
        <f>INDEX('REVIEW - Complete Role Mapping'!$AA:$AA,380)</f>
        <v>253142.7</v>
      </c>
      <c r="G57" s="1773">
        <f>$F57*IFERROR(INDEX(Lists!$AD:$AD,MATCH($E57,Lists!$AC:$AC,0)),1)</f>
        <v>253142.7</v>
      </c>
    </row>
    <row r="58">
      <c r="B58" s="1530" t="str">
        <f>INDEX('REVIEW - Complete Role Mapping'!$B:$B,442)</f>
        <v>Victor Beuk</v>
      </c>
      <c r="C58" s="1530" t="str">
        <f>INDEX('REVIEW - Complete Role Mapping'!$C:$C,442)</f>
        <v>Delivery Lead</v>
      </c>
      <c r="D58" s="1530" t="str">
        <f>INDEX('REVIEW - Complete Role Mapping'!$AK:$AK,442)</f>
        <v>Filled</v>
      </c>
      <c r="E58" s="1547" t="inlineStr">
        <is>
          <t>Filled</t>
        </is>
      </c>
      <c r="F58" s="1773">
        <f>INDEX('REVIEW - Complete Role Mapping'!$AA:$AA,442)</f>
        <v>247455.6</v>
      </c>
      <c r="G58" s="1773">
        <f>$F58*IFERROR(INDEX(Lists!$AD:$AD,MATCH($E58,Lists!$AC:$AC,0)),1)</f>
        <v>247455.6</v>
      </c>
    </row>
    <row r="59">
      <c r="B59" s="1530" t="str">
        <f>INDEX('REVIEW - Complete Role Mapping'!$B:$B,467)</f>
        <v>Hardik Trivedi</v>
      </c>
      <c r="C59" s="1530" t="str">
        <f>INDEX('REVIEW - Complete Role Mapping'!$C:$C,467)</f>
        <v>Snr Business Analyst</v>
      </c>
      <c r="D59" s="1530" t="str">
        <f>INDEX('REVIEW - Complete Role Mapping'!$AK:$AK,467)</f>
        <v>Filled</v>
      </c>
      <c r="E59" s="1547" t="inlineStr">
        <is>
          <t>Filled</t>
        </is>
      </c>
      <c r="F59" s="1773">
        <f>INDEX('REVIEW - Complete Role Mapping'!$AA:$AA,467)</f>
        <v>210342.6</v>
      </c>
      <c r="G59" s="1773">
        <f>$F59*IFERROR(INDEX(Lists!$AD:$AD,MATCH($E59,Lists!$AC:$AC,0)),1)</f>
        <v>210342.6</v>
      </c>
    </row>
    <row r="60">
      <c r="B60" s="1545" t="inlineStr">
        <is>
          <t>Data AU</t>
        </is>
      </c>
      <c r="C60" s="1545" t="str">
        <f>COUNTA($B$61:$B$66)&amp;IF(COUNTA($B$61:$B$66)=1," role"," roles")</f>
        <v>6 roles</v>
      </c>
      <c r="D60" s="1545" t="n"/>
      <c r="E60" s="1545" t="n"/>
      <c r="F60" s="1785">
        <f>SUM(F61:F66)</f>
        <v>1212323.75</v>
      </c>
      <c r="G60" s="1785">
        <f>SUM(G61:G66)</f>
        <v>1212323.75</v>
      </c>
    </row>
    <row r="61">
      <c r="B61" s="1530" t="str">
        <f>INDEX('REVIEW - Complete Role Mapping'!$B:$B,70)</f>
        <v>Vacant</v>
      </c>
      <c r="C61" s="1530" t="str">
        <f>INDEX('REVIEW - Complete Role Mapping'!$C:$C,70)</f>
        <v>Data Analyst</v>
      </c>
      <c r="D61" s="1530" t="str">
        <f>INDEX('REVIEW - Complete Role Mapping'!$AK:$AK,70)</f>
        <v>Vacant</v>
      </c>
      <c r="E61" s="1547" t="inlineStr">
        <is>
          <t>Hire</t>
        </is>
      </c>
      <c r="F61" s="1773">
        <f>INDEX('REVIEW - Complete Role Mapping'!$AA:$AA,70)</f>
        <v>201585</v>
      </c>
      <c r="G61" s="1773">
        <f>$F61*IFERROR(INDEX(Lists!$AD:$AD,MATCH($E61,Lists!$AC:$AC,0)),1)</f>
        <v>201585</v>
      </c>
    </row>
    <row r="62">
      <c r="B62" s="1530" t="str">
        <f>INDEX('REVIEW - Complete Role Mapping'!$B:$B,71)</f>
        <v>Vacant</v>
      </c>
      <c r="C62" s="1530" t="str">
        <f>INDEX('REVIEW - Complete Role Mapping'!$C:$C,71)</f>
        <v>Data Analyst</v>
      </c>
      <c r="D62" s="1530" t="str">
        <f>INDEX('REVIEW - Complete Role Mapping'!$AK:$AK,71)</f>
        <v>Vacant</v>
      </c>
      <c r="E62" s="1547" t="inlineStr">
        <is>
          <t>Hire</t>
        </is>
      </c>
      <c r="F62" s="1773">
        <f>INDEX('REVIEW - Complete Role Mapping'!$AA:$AA,71)</f>
        <v>231689.25</v>
      </c>
      <c r="G62" s="1773">
        <f>$F62*IFERROR(INDEX(Lists!$AD:$AD,MATCH($E62,Lists!$AC:$AC,0)),1)</f>
        <v>231689.25</v>
      </c>
    </row>
    <row r="63">
      <c r="B63" s="1530" t="str">
        <f>INDEX('REVIEW - Complete Role Mapping'!$B:$B,72)</f>
        <v>Vacant</v>
      </c>
      <c r="C63" s="1530" t="str">
        <f>INDEX('REVIEW - Complete Role Mapping'!$C:$C,72)</f>
        <v>Delivery Lead</v>
      </c>
      <c r="D63" s="1530" t="str">
        <f>INDEX('REVIEW - Complete Role Mapping'!$AK:$AK,72)</f>
        <v>Vacant</v>
      </c>
      <c r="E63" s="1547" t="inlineStr">
        <is>
          <t>Hire</t>
        </is>
      </c>
      <c r="F63" s="1773">
        <f>INDEX('REVIEW - Complete Role Mapping'!$AA:$AA,72)</f>
        <v>202853.25</v>
      </c>
      <c r="G63" s="1773">
        <f>$F63*IFERROR(INDEX(Lists!$AD:$AD,MATCH($E63,Lists!$AC:$AC,0)),1)</f>
        <v>202853.25</v>
      </c>
    </row>
    <row r="64">
      <c r="B64" s="1530" t="str">
        <f>INDEX('REVIEW - Complete Role Mapping'!$B:$B,75)</f>
        <v>Vacant</v>
      </c>
      <c r="C64" s="1530" t="str">
        <f>INDEX('REVIEW - Complete Role Mapping'!$C:$C,75)</f>
        <v>Engineer - Data</v>
      </c>
      <c r="D64" s="1530" t="str">
        <f>INDEX('REVIEW - Complete Role Mapping'!$AK:$AK,75)</f>
        <v>Vacant</v>
      </c>
      <c r="E64" s="1547" t="inlineStr">
        <is>
          <t>Hire</t>
        </is>
      </c>
      <c r="F64" s="1773">
        <f>INDEX('REVIEW - Complete Role Mapping'!$AA:$AA,75)</f>
        <v>202853.25</v>
      </c>
      <c r="G64" s="1773">
        <f>$F64*IFERROR(INDEX(Lists!$AD:$AD,MATCH($E64,Lists!$AC:$AC,0)),1)</f>
        <v>202853.25</v>
      </c>
    </row>
    <row r="65">
      <c r="B65" s="1530" t="str">
        <f>INDEX('REVIEW - Complete Role Mapping'!$B:$B,76)</f>
        <v>Vacant</v>
      </c>
      <c r="C65" s="1530" t="str">
        <f>INDEX('REVIEW - Complete Role Mapping'!$C:$C,76)</f>
        <v>Engineer - Data</v>
      </c>
      <c r="D65" s="1530" t="str">
        <f>INDEX('REVIEW - Complete Role Mapping'!$AK:$AK,76)</f>
        <v>Vacant</v>
      </c>
      <c r="E65" s="1547" t="inlineStr">
        <is>
          <t>Hire</t>
        </is>
      </c>
      <c r="F65" s="1773">
        <f>INDEX('REVIEW - Complete Role Mapping'!$AA:$AA,76)</f>
        <v>202853.25</v>
      </c>
      <c r="G65" s="1773">
        <f>$F65*IFERROR(INDEX(Lists!$AD:$AD,MATCH($E65,Lists!$AC:$AC,0)),1)</f>
        <v>202853.25</v>
      </c>
    </row>
    <row r="66">
      <c r="B66" s="1530" t="str">
        <f>INDEX('REVIEW - Complete Role Mapping'!$B:$B,77)</f>
        <v>Vacant</v>
      </c>
      <c r="C66" s="1530" t="str">
        <f>INDEX('REVIEW - Complete Role Mapping'!$C:$C,77)</f>
        <v>Engineer - Data</v>
      </c>
      <c r="D66" s="1530" t="str">
        <f>INDEX('REVIEW - Complete Role Mapping'!$AK:$AK,77)</f>
        <v>Vacant</v>
      </c>
      <c r="E66" s="1547" t="inlineStr">
        <is>
          <t>Hire</t>
        </is>
      </c>
      <c r="F66" s="1773">
        <f>INDEX('REVIEW - Complete Role Mapping'!$AA:$AA,77)</f>
        <v>170489.75</v>
      </c>
      <c r="G66" s="1773">
        <f>$F66*IFERROR(INDEX(Lists!$AD:$AD,MATCH($E66,Lists!$AC:$AC,0)),1)</f>
        <v>170489.75</v>
      </c>
    </row>
    <row r="67">
      <c r="B67" s="1545" t="inlineStr">
        <is>
          <t>Deployment</t>
        </is>
      </c>
      <c r="C67" s="1545" t="str">
        <f>COUNTA($B$68:$B$72)&amp;IF(COUNTA($B$68:$B$72)=1," role"," roles")</f>
        <v>5 roles</v>
      </c>
      <c r="D67" s="1545" t="n"/>
      <c r="E67" s="1545" t="n"/>
      <c r="F67" s="1785">
        <f>SUM(F68:F72)</f>
        <v>893835.732</v>
      </c>
      <c r="G67" s="1785">
        <f>SUM(G68:G72)</f>
        <v>893835.732</v>
      </c>
    </row>
    <row r="68">
      <c r="B68" s="1530" t="str">
        <f>INDEX('REVIEW - Complete Role Mapping'!$B:$B,8)</f>
        <v>Aniket Banerji</v>
      </c>
      <c r="C68" s="1530" t="str">
        <f>INDEX('REVIEW - Complete Role Mapping'!$C:$C,8)</f>
        <v>Deployment Lead</v>
      </c>
      <c r="D68" s="1530" t="str">
        <f>INDEX('REVIEW - Complete Role Mapping'!$AK:$AK,8)</f>
        <v>Filled</v>
      </c>
      <c r="E68" s="1547" t="inlineStr">
        <is>
          <t>Filled</t>
        </is>
      </c>
      <c r="F68" s="1773">
        <f>INDEX('REVIEW - Complete Role Mapping'!$AA:$AA,8)</f>
        <v>200250</v>
      </c>
      <c r="G68" s="1773">
        <f>$F68*IFERROR(INDEX(Lists!$AD:$AD,MATCH($E68,Lists!$AC:$AC,0)),1)</f>
        <v>200250</v>
      </c>
    </row>
    <row r="69">
      <c r="B69" s="1530" t="str">
        <f>INDEX('REVIEW - Complete Role Mapping'!$B:$B,11)</f>
        <v>Anthony Dumbrell</v>
      </c>
      <c r="C69" s="1530" t="str">
        <f>INDEX('REVIEW - Complete Role Mapping'!$C:$C,11)</f>
        <v>Technology &amp; Lab Specialist Stores</v>
      </c>
      <c r="D69" s="1530" t="str">
        <f>INDEX('REVIEW - Complete Role Mapping'!$AK:$AK,11)</f>
        <v>Filled</v>
      </c>
      <c r="E69" s="1547" t="inlineStr">
        <is>
          <t>Filled</t>
        </is>
      </c>
      <c r="F69" s="1773">
        <f>INDEX('REVIEW - Complete Role Mapping'!$AA:$AA,11)</f>
        <v>206070.6</v>
      </c>
      <c r="G69" s="1773">
        <f>$F69*IFERROR(INDEX(Lists!$AD:$AD,MATCH($E69,Lists!$AC:$AC,0)),1)</f>
        <v>206070.6</v>
      </c>
    </row>
    <row r="70">
      <c r="B70" s="1530" t="str">
        <f>INDEX('REVIEW - Complete Role Mapping'!$B:$B,22)</f>
        <v>Deepak Kubendran</v>
      </c>
      <c r="C70" s="1530" t="str">
        <f>INDEX('REVIEW - Complete Role Mapping'!$C:$C,22)</f>
        <v>Project Manager - Deployments</v>
      </c>
      <c r="D70" s="1530" t="str">
        <f>INDEX('REVIEW - Complete Role Mapping'!$AK:$AK,22)</f>
        <v>Filled</v>
      </c>
      <c r="E70" s="1547" t="inlineStr">
        <is>
          <t>Filled</t>
        </is>
      </c>
      <c r="F70" s="1773">
        <f>INDEX('REVIEW - Complete Role Mapping'!$AA:$AA,22)</f>
        <v>205483.2</v>
      </c>
      <c r="G70" s="1773">
        <f>$F70*IFERROR(INDEX(Lists!$AD:$AD,MATCH($E70,Lists!$AC:$AC,0)),1)</f>
        <v>205483.2</v>
      </c>
    </row>
    <row r="71">
      <c r="B71" s="1530" t="str">
        <f>INDEX('REVIEW - Complete Role Mapping'!$B:$B,48)</f>
        <v>Matthew Patane</v>
      </c>
      <c r="C71" s="1530" t="str">
        <f>INDEX('REVIEW - Complete Role Mapping'!$C:$C,48)</f>
        <v>Release &amp; Deployment Manager</v>
      </c>
      <c r="D71" s="1530" t="str">
        <f>INDEX('REVIEW - Complete Role Mapping'!$AK:$AK,48)</f>
        <v>Filled</v>
      </c>
      <c r="E71" s="1547" t="inlineStr">
        <is>
          <t>Filled</t>
        </is>
      </c>
      <c r="F71" s="1773">
        <f>INDEX('REVIEW - Complete Role Mapping'!$AA:$AA,48)</f>
        <v>136461.432</v>
      </c>
      <c r="G71" s="1773">
        <f>$F71*IFERROR(INDEX(Lists!$AD:$AD,MATCH($E71,Lists!$AC:$AC,0)),1)</f>
        <v>136461.432</v>
      </c>
    </row>
    <row r="72">
      <c r="B72" s="1530" t="str">
        <f>INDEX('REVIEW - Complete Role Mapping'!$B:$B,103)</f>
        <v>Violeta Trajkovski</v>
      </c>
      <c r="C72" s="1530" t="str">
        <f>INDEX('REVIEW - Complete Role Mapping'!$C:$C,103)</f>
        <v>Deployment Coordinator</v>
      </c>
      <c r="D72" s="1530" t="str">
        <f>INDEX('REVIEW - Complete Role Mapping'!$AK:$AK,103)</f>
        <v>Filled</v>
      </c>
      <c r="E72" s="1547" t="inlineStr">
        <is>
          <t>Filled</t>
        </is>
      </c>
      <c r="F72" s="1773">
        <f>INDEX('REVIEW - Complete Role Mapping'!$AA:$AA,103)</f>
        <v>145570.5</v>
      </c>
      <c r="G72" s="1773">
        <f>$F72*IFERROR(INDEX(Lists!$AD:$AD,MATCH($E72,Lists!$AC:$AC,0)),1)</f>
        <v>145570.5</v>
      </c>
    </row>
    <row r="73">
      <c r="B73" s="1545" t="inlineStr">
        <is>
          <t>EGI Retail</t>
        </is>
      </c>
      <c r="C73" s="1545" t="str">
        <f>COUNTA($B$74:$B$79)&amp;IF(COUNTA($B$74:$B$79)=1," role"," roles")</f>
        <v>6 roles</v>
      </c>
      <c r="D73" s="1545" t="n"/>
      <c r="E73" s="1545" t="n"/>
      <c r="F73" s="1785">
        <f>SUM(F74:F79)</f>
        <v>1221357.614</v>
      </c>
      <c r="G73" s="1785">
        <f>SUM(G74:G79)</f>
        <v>1221357.614</v>
      </c>
    </row>
    <row r="74">
      <c r="B74" s="1530" t="str">
        <f>INDEX('REVIEW - Complete Role Mapping'!$B:$B,4)</f>
        <v>Alex Prakhiy</v>
      </c>
      <c r="C74" s="1530" t="str">
        <f>INDEX('REVIEW - Complete Role Mapping'!$C:$C,4)</f>
        <v>Business Analyst</v>
      </c>
      <c r="D74" s="1530" t="str">
        <f>INDEX('REVIEW - Complete Role Mapping'!$AK:$AK,4)</f>
        <v>Filled</v>
      </c>
      <c r="E74" s="1547" t="inlineStr">
        <is>
          <t>Filled</t>
        </is>
      </c>
      <c r="F74" s="1773">
        <f>INDEX('REVIEW - Complete Role Mapping'!$AA:$AA,4)</f>
        <v>222000</v>
      </c>
      <c r="G74" s="1773">
        <f>$F74*IFERROR(INDEX(Lists!$AD:$AD,MATCH($E74,Lists!$AC:$AC,0)),1)</f>
        <v>222000</v>
      </c>
    </row>
    <row r="75">
      <c r="B75" s="1530" t="str">
        <f>INDEX('REVIEW - Complete Role Mapping'!$B:$B,10)</f>
        <v>Anne Pretorius</v>
      </c>
      <c r="C75" s="1530" t="str">
        <f>INDEX('REVIEW - Complete Role Mapping'!$C:$C,10)</f>
        <v>Lead Business Analyst</v>
      </c>
      <c r="D75" s="1530" t="str">
        <f>INDEX('REVIEW - Complete Role Mapping'!$AK:$AK,10)</f>
        <v>Filled</v>
      </c>
      <c r="E75" s="1547" t="inlineStr">
        <is>
          <t>Filled</t>
        </is>
      </c>
      <c r="F75" s="1773">
        <f>INDEX('REVIEW - Complete Role Mapping'!$AA:$AA,10)</f>
        <v>195610.164</v>
      </c>
      <c r="G75" s="1773">
        <f>$F75*IFERROR(INDEX(Lists!$AD:$AD,MATCH($E75,Lists!$AC:$AC,0)),1)</f>
        <v>195610.164</v>
      </c>
    </row>
    <row r="76">
      <c r="B76" s="1530" t="str">
        <f>INDEX('REVIEW - Complete Role Mapping'!$B:$B,47)</f>
        <v>Marty O'Shea</v>
      </c>
      <c r="C76" s="1530" t="str">
        <f>INDEX('REVIEW - Complete Role Mapping'!$C:$C,47)</f>
        <v>Systems Analyst</v>
      </c>
      <c r="D76" s="1530" t="str">
        <f>INDEX('REVIEW - Complete Role Mapping'!$AK:$AK,47)</f>
        <v>Filled</v>
      </c>
      <c r="E76" s="1547" t="inlineStr">
        <is>
          <t>Filled</t>
        </is>
      </c>
      <c r="F76" s="1773">
        <f>INDEX('REVIEW - Complete Role Mapping'!$AA:$AA,47)</f>
        <v>247161.9</v>
      </c>
      <c r="G76" s="1773">
        <f>$F76*IFERROR(INDEX(Lists!$AD:$AD,MATCH($E76,Lists!$AC:$AC,0)),1)</f>
        <v>247161.9</v>
      </c>
    </row>
    <row r="77">
      <c r="B77" s="1530" t="str">
        <f>INDEX('REVIEW - Complete Role Mapping'!$B:$B,52)</f>
        <v>Navneet Singh</v>
      </c>
      <c r="C77" s="1530" t="str">
        <f>INDEX('REVIEW - Complete Role Mapping'!$C:$C,52)</f>
        <v>Solution Architect</v>
      </c>
      <c r="D77" s="1530" t="str">
        <f>INDEX('REVIEW - Complete Role Mapping'!$AK:$AK,52)</f>
        <v>Filled</v>
      </c>
      <c r="E77" s="1547" t="inlineStr">
        <is>
          <t>Filled</t>
        </is>
      </c>
      <c r="F77" s="1773">
        <f>INDEX('REVIEW - Complete Role Mapping'!$AA:$AA,52)</f>
        <v>133500</v>
      </c>
      <c r="G77" s="1773">
        <f>$F77*IFERROR(INDEX(Lists!$AD:$AD,MATCH($E77,Lists!$AC:$AC,0)),1)</f>
        <v>133500</v>
      </c>
    </row>
    <row r="78">
      <c r="B78" s="1530" t="str">
        <f>INDEX('REVIEW - Complete Role Mapping'!$B:$B,60)</f>
        <v>Sendhil Vinayagam (75% EGI)</v>
      </c>
      <c r="C78" s="1530" t="str">
        <f>INDEX('REVIEW - Complete Role Mapping'!$C:$C,60)</f>
        <v>Solution Architect</v>
      </c>
      <c r="D78" s="1530" t="str">
        <f>INDEX('REVIEW - Complete Role Mapping'!$AK:$AK,60)</f>
        <v>Filled</v>
      </c>
      <c r="E78" s="1547" t="inlineStr">
        <is>
          <t>Filled</t>
        </is>
      </c>
      <c r="F78" s="1773">
        <f>INDEX('REVIEW - Complete Role Mapping'!$AA:$AA,60)</f>
        <v>267547.35</v>
      </c>
      <c r="G78" s="1773">
        <f>$F78*IFERROR(INDEX(Lists!$AD:$AD,MATCH($E78,Lists!$AC:$AC,0)),1)</f>
        <v>267547.35</v>
      </c>
    </row>
    <row r="79">
      <c r="B79" s="1530" t="str">
        <f>INDEX('REVIEW - Complete Role Mapping'!$B:$B,61)</f>
        <v>Sjoerd Van Sluijs</v>
      </c>
      <c r="C79" s="1530" t="str">
        <f>INDEX('REVIEW - Complete Role Mapping'!$C:$C,61)</f>
        <v>Senior PM PEP1, PEP18</v>
      </c>
      <c r="D79" s="1530" t="str">
        <f>INDEX('REVIEW - Complete Role Mapping'!$AK:$AK,61)</f>
        <v>Filled</v>
      </c>
      <c r="E79" s="1547" t="inlineStr">
        <is>
          <t>Filled</t>
        </is>
      </c>
      <c r="F79" s="1773">
        <f>INDEX('REVIEW - Complete Role Mapping'!$AA:$AA,61)</f>
        <v>155538.2</v>
      </c>
      <c r="G79" s="1773">
        <f>$F79*IFERROR(INDEX(Lists!$AD:$AD,MATCH($E79,Lists!$AC:$AC,0)),1)</f>
        <v>155538.2</v>
      </c>
    </row>
    <row r="80">
      <c r="B80" s="1545" t="inlineStr">
        <is>
          <t>EGI TDD</t>
        </is>
      </c>
      <c r="C80" s="1545" t="str">
        <f>COUNTA($B$81:$B$81)&amp;IF(COUNTA($B$81:$B$81)=1," role"," roles")</f>
        <v>1 role</v>
      </c>
      <c r="D80" s="1545" t="n"/>
      <c r="E80" s="1545" t="n"/>
      <c r="F80" s="1785">
        <f>SUM(F81:F81)</f>
        <v>299700</v>
      </c>
      <c r="G80" s="1785">
        <f>SUM(G81:G81)</f>
        <v>299700</v>
      </c>
    </row>
    <row r="81">
      <c r="B81" s="1530" t="str">
        <f>INDEX('REVIEW - Complete Role Mapping'!$B:$B,104)</f>
        <v>Viren Khatri</v>
      </c>
      <c r="C81" s="1530" t="str">
        <f>INDEX('REVIEW - Complete Role Mapping'!$C:$C,104)</f>
        <v>Data Migration Lead</v>
      </c>
      <c r="D81" s="1530" t="str">
        <f>INDEX('REVIEW - Complete Role Mapping'!$AK:$AK,104)</f>
        <v>Filled</v>
      </c>
      <c r="E81" s="1547" t="inlineStr">
        <is>
          <t>Filled</t>
        </is>
      </c>
      <c r="F81" s="1773">
        <f>INDEX('REVIEW - Complete Role Mapping'!$AA:$AA,104)</f>
        <v>299700</v>
      </c>
      <c r="G81" s="1773">
        <f>$F81*IFERROR(INDEX(Lists!$AD:$AD,MATCH($E81,Lists!$AC:$AC,0)),1)</f>
        <v>299700</v>
      </c>
    </row>
    <row r="82">
      <c r="B82" s="1545" t="inlineStr">
        <is>
          <t>Network &amp; QSR</t>
        </is>
      </c>
      <c r="C82" s="1545" t="str">
        <f>COUNTA($B$83:$B$88)&amp;IF(COUNTA($B$83:$B$88)=1," role"," roles")</f>
        <v>6 roles</v>
      </c>
      <c r="D82" s="1545" t="n"/>
      <c r="E82" s="1545" t="n"/>
      <c r="F82" s="1785">
        <f>SUM(F83:F88)</f>
        <v>1114031.1</v>
      </c>
      <c r="G82" s="1785">
        <f>SUM(G83:G88)</f>
        <v>1114031.1</v>
      </c>
    </row>
    <row r="83">
      <c r="B83" s="1530" t="str">
        <f>INDEX('REVIEW - Complete Role Mapping'!$B:$B,3)</f>
        <v>Adrian Lueng</v>
      </c>
      <c r="C83" s="1530" t="str">
        <f>INDEX('REVIEW - Complete Role Mapping'!$C:$C,3)</f>
        <v>Quality Assurance</v>
      </c>
      <c r="D83" s="1530" t="str">
        <f>INDEX('REVIEW - Complete Role Mapping'!$AK:$AK,3)</f>
        <v>Filled</v>
      </c>
      <c r="E83" s="1547" t="inlineStr">
        <is>
          <t>Filled</t>
        </is>
      </c>
      <c r="F83" s="1773">
        <f>INDEX('REVIEW - Complete Role Mapping'!$AA:$AA,3)</f>
        <v>157839.45</v>
      </c>
      <c r="G83" s="1773">
        <f>$F83*IFERROR(INDEX(Lists!$AD:$AD,MATCH($E83,Lists!$AC:$AC,0)),1)</f>
        <v>157839.45</v>
      </c>
    </row>
    <row r="84">
      <c r="B84" s="1530" t="str">
        <f>INDEX('REVIEW - Complete Role Mapping'!$B:$B,32)</f>
        <v>Javier Aguirre Castellanos</v>
      </c>
      <c r="C84" s="1530" t="str">
        <f>INDEX('REVIEW - Complete Role Mapping'!$C:$C,32)</f>
        <v>Solution Architect</v>
      </c>
      <c r="D84" s="1530" t="str">
        <f>INDEX('REVIEW - Complete Role Mapping'!$AK:$AK,32)</f>
        <v>Filled</v>
      </c>
      <c r="E84" s="1547" t="inlineStr">
        <is>
          <t>Filled</t>
        </is>
      </c>
      <c r="F84" s="1773">
        <f>INDEX('REVIEW - Complete Role Mapping'!$AA:$AA,32)</f>
        <v>133044</v>
      </c>
      <c r="G84" s="1773">
        <f>$F84*IFERROR(INDEX(Lists!$AD:$AD,MATCH($E84,Lists!$AC:$AC,0)),1)</f>
        <v>133044</v>
      </c>
    </row>
    <row r="85">
      <c r="B85" s="1530" t="str">
        <f>INDEX('REVIEW - Complete Role Mapping'!$B:$B,57)</f>
        <v>Santiago Hernandez Arevalo</v>
      </c>
      <c r="C85" s="1530" t="str">
        <f>INDEX('REVIEW - Complete Role Mapping'!$C:$C,57)</f>
        <v>Systems Analyst</v>
      </c>
      <c r="D85" s="1530" t="str">
        <f>INDEX('REVIEW - Complete Role Mapping'!$AK:$AK,57)</f>
        <v>Filled</v>
      </c>
      <c r="E85" s="1547" t="inlineStr">
        <is>
          <t>Filled</t>
        </is>
      </c>
      <c r="F85" s="1773">
        <f>INDEX('REVIEW - Complete Role Mapping'!$AA:$AA,57)</f>
        <v>206150.7</v>
      </c>
      <c r="G85" s="1773">
        <f>$F85*IFERROR(INDEX(Lists!$AD:$AD,MATCH($E85,Lists!$AC:$AC,0)),1)</f>
        <v>206150.7</v>
      </c>
    </row>
    <row r="86">
      <c r="B86" s="1530" t="str">
        <f>INDEX('REVIEW - Complete Role Mapping'!$B:$B,68)</f>
        <v>Vacant</v>
      </c>
      <c r="C86" s="1530" t="str">
        <f>INDEX('REVIEW - Complete Role Mapping'!$C:$C,68)</f>
        <v>Business Analyst</v>
      </c>
      <c r="D86" s="1530" t="str">
        <f>INDEX('REVIEW - Complete Role Mapping'!$AK:$AK,68)</f>
        <v>Vacant</v>
      </c>
      <c r="E86" s="1547" t="inlineStr">
        <is>
          <t>Hire</t>
        </is>
      </c>
      <c r="F86" s="1773">
        <f>INDEX('REVIEW - Complete Role Mapping'!$AA:$AA,68)</f>
        <v>202853.25</v>
      </c>
      <c r="G86" s="1773">
        <f>$F86*IFERROR(INDEX(Lists!$AD:$AD,MATCH($E86,Lists!$AC:$AC,0)),1)</f>
        <v>202853.25</v>
      </c>
    </row>
    <row r="87">
      <c r="B87" s="1530" t="str">
        <f>INDEX('REVIEW - Complete Role Mapping'!$B:$B,93)</f>
        <v>Vacant</v>
      </c>
      <c r="C87" s="1530" t="str">
        <f>INDEX('REVIEW - Complete Role Mapping'!$C:$C,93)</f>
        <v>Systems Analyst</v>
      </c>
      <c r="D87" s="1530" t="str">
        <f>INDEX('REVIEW - Complete Role Mapping'!$AK:$AK,93)</f>
        <v>Vacant</v>
      </c>
      <c r="E87" s="1547" t="inlineStr">
        <is>
          <t>Hire</t>
        </is>
      </c>
      <c r="F87" s="1773">
        <f>INDEX('REVIEW - Complete Role Mapping'!$AA:$AA,93)</f>
        <v>231689.25</v>
      </c>
      <c r="G87" s="1773">
        <f>$F87*IFERROR(INDEX(Lists!$AD:$AD,MATCH($E87,Lists!$AC:$AC,0)),1)</f>
        <v>231689.25</v>
      </c>
    </row>
    <row r="88">
      <c r="B88" s="1530" t="str">
        <f>INDEX('REVIEW - Complete Role Mapping'!$B:$B,99)</f>
        <v>Vanessa Trujillo Munoz</v>
      </c>
      <c r="C88" s="1530" t="str">
        <f>INDEX('REVIEW - Complete Role Mapping'!$C:$C,99)</f>
        <v>Delivery Lead</v>
      </c>
      <c r="D88" s="1530" t="str">
        <f>INDEX('REVIEW - Complete Role Mapping'!$AK:$AK,99)</f>
        <v>Filled</v>
      </c>
      <c r="E88" s="1547" t="inlineStr">
        <is>
          <t>Filled</t>
        </is>
      </c>
      <c r="F88" s="1773">
        <f>INDEX('REVIEW - Complete Role Mapping'!$AA:$AA,99)</f>
        <v>182454.45</v>
      </c>
      <c r="G88" s="1773">
        <f>$F88*IFERROR(INDEX(Lists!$AD:$AD,MATCH($E88,Lists!$AC:$AC,0)),1)</f>
        <v>182454.45</v>
      </c>
    </row>
    <row r="89">
      <c r="B89" s="1545" t="inlineStr">
        <is>
          <t>POS</t>
        </is>
      </c>
      <c r="C89" s="1545" t="str">
        <f>COUNTA($B$90:$B$97)&amp;IF(COUNTA($B$90:$B$97)=1," role"," roles")</f>
        <v>8 roles</v>
      </c>
      <c r="D89" s="1545" t="n"/>
      <c r="E89" s="1545" t="n"/>
      <c r="F89" s="1785">
        <f>SUM(F90:F97)</f>
        <v>1576223.685</v>
      </c>
      <c r="G89" s="1785">
        <f>SUM(G90:G97)</f>
        <v>1576223.685</v>
      </c>
    </row>
    <row r="90">
      <c r="B90" s="1530" t="str">
        <f>INDEX('REVIEW - Complete Role Mapping'!$B:$B,69)</f>
        <v>Vacant</v>
      </c>
      <c r="C90" s="1530" t="str">
        <f>INDEX('REVIEW - Complete Role Mapping'!$C:$C,69)</f>
        <v>Business Analyst</v>
      </c>
      <c r="D90" s="1530" t="str">
        <f>INDEX('REVIEW - Complete Role Mapping'!$AK:$AK,69)</f>
        <v>Vacant</v>
      </c>
      <c r="E90" s="1547" t="inlineStr">
        <is>
          <t>Hire</t>
        </is>
      </c>
      <c r="F90" s="1773">
        <f>INDEX('REVIEW - Complete Role Mapping'!$AA:$AA,69)</f>
        <v>170501.585</v>
      </c>
      <c r="G90" s="1773">
        <f>$F90*IFERROR(INDEX(Lists!$AD:$AD,MATCH($E90,Lists!$AC:$AC,0)),1)</f>
        <v>170501.585</v>
      </c>
    </row>
    <row r="91">
      <c r="B91" s="1530" t="str">
        <f>INDEX('REVIEW - Complete Role Mapping'!$B:$B,81)</f>
        <v>Vacant</v>
      </c>
      <c r="C91" s="1530" t="str">
        <f>INDEX('REVIEW - Complete Role Mapping'!$C:$C,81)</f>
        <v>Engineer Integration</v>
      </c>
      <c r="D91" s="1530" t="str">
        <f>INDEX('REVIEW - Complete Role Mapping'!$AK:$AK,81)</f>
        <v>Vacant</v>
      </c>
      <c r="E91" s="1547" t="inlineStr">
        <is>
          <t>Hire</t>
        </is>
      </c>
      <c r="F91" s="1773">
        <f>INDEX('REVIEW - Complete Role Mapping'!$AA:$AA,81)</f>
        <v>231689.25</v>
      </c>
      <c r="G91" s="1773">
        <f>$F91*IFERROR(INDEX(Lists!$AD:$AD,MATCH($E91,Lists!$AC:$AC,0)),1)</f>
        <v>231689.25</v>
      </c>
    </row>
    <row r="92">
      <c r="B92" s="1530" t="str">
        <f>INDEX('REVIEW - Complete Role Mapping'!$B:$B,83)</f>
        <v>Vacant</v>
      </c>
      <c r="C92" s="1530" t="str">
        <f>INDEX('REVIEW - Complete Role Mapping'!$C:$C,83)</f>
        <v>Lead Quality Assurance</v>
      </c>
      <c r="D92" s="1530" t="str">
        <f>INDEX('REVIEW - Complete Role Mapping'!$AK:$AK,83)</f>
        <v>Vacant</v>
      </c>
      <c r="E92" s="1547" t="inlineStr">
        <is>
          <t>Hire</t>
        </is>
      </c>
      <c r="F92" s="1773">
        <f>INDEX('REVIEW - Complete Role Mapping'!$AA:$AA,83)</f>
        <v>224493.6</v>
      </c>
      <c r="G92" s="1773">
        <f>$F92*IFERROR(INDEX(Lists!$AD:$AD,MATCH($E92,Lists!$AC:$AC,0)),1)</f>
        <v>224493.6</v>
      </c>
    </row>
    <row r="93">
      <c r="B93" s="1530" t="str">
        <f>INDEX('REVIEW - Complete Role Mapping'!$B:$B,86)</f>
        <v>Vacant</v>
      </c>
      <c r="C93" s="1530" t="str">
        <f>INDEX('REVIEW - Complete Role Mapping'!$C:$C,86)</f>
        <v>Quality Assurance</v>
      </c>
      <c r="D93" s="1530" t="str">
        <f>INDEX('REVIEW - Complete Role Mapping'!$AK:$AK,86)</f>
        <v>Vacant</v>
      </c>
      <c r="E93" s="1547" t="inlineStr">
        <is>
          <t>Hire</t>
        </is>
      </c>
      <c r="F93" s="1773">
        <f>INDEX('REVIEW - Complete Role Mapping'!$AA:$AA,86)</f>
        <v>170489.75</v>
      </c>
      <c r="G93" s="1773">
        <f>$F93*IFERROR(INDEX(Lists!$AD:$AD,MATCH($E93,Lists!$AC:$AC,0)),1)</f>
        <v>170489.75</v>
      </c>
    </row>
    <row r="94">
      <c r="B94" s="1530" t="str">
        <f>INDEX('REVIEW - Complete Role Mapping'!$B:$B,87)</f>
        <v>Vacant</v>
      </c>
      <c r="C94" s="1530" t="str">
        <f>INDEX('REVIEW - Complete Role Mapping'!$C:$C,87)</f>
        <v>Quality Assurance</v>
      </c>
      <c r="D94" s="1530" t="str">
        <f>INDEX('REVIEW - Complete Role Mapping'!$AK:$AK,87)</f>
        <v>Vacant</v>
      </c>
      <c r="E94" s="1547" t="inlineStr">
        <is>
          <t>Hire</t>
        </is>
      </c>
      <c r="F94" s="1773">
        <f>INDEX('REVIEW - Complete Role Mapping'!$AA:$AA,87)</f>
        <v>170489.75</v>
      </c>
      <c r="G94" s="1773">
        <f>$F94*IFERROR(INDEX(Lists!$AD:$AD,MATCH($E94,Lists!$AC:$AC,0)),1)</f>
        <v>170489.75</v>
      </c>
    </row>
    <row r="95">
      <c r="B95" s="1530" t="str">
        <f>INDEX('REVIEW - Complete Role Mapping'!$B:$B,88)</f>
        <v>Vacant</v>
      </c>
      <c r="C95" s="1530" t="str">
        <f>INDEX('REVIEW - Complete Role Mapping'!$C:$C,88)</f>
        <v>Quality Assurance</v>
      </c>
      <c r="D95" s="1530" t="str">
        <f>INDEX('REVIEW - Complete Role Mapping'!$AK:$AK,88)</f>
        <v>Vacant</v>
      </c>
      <c r="E95" s="1547" t="inlineStr">
        <is>
          <t>Hire</t>
        </is>
      </c>
      <c r="F95" s="1773">
        <f>INDEX('REVIEW - Complete Role Mapping'!$AA:$AA,88)</f>
        <v>202853.25</v>
      </c>
      <c r="G95" s="1773">
        <f>$F95*IFERROR(INDEX(Lists!$AD:$AD,MATCH($E95,Lists!$AC:$AC,0)),1)</f>
        <v>202853.25</v>
      </c>
    </row>
    <row r="96">
      <c r="B96" s="1530" t="str">
        <f>INDEX('REVIEW - Complete Role Mapping'!$B:$B,90)</f>
        <v>Vacant</v>
      </c>
      <c r="C96" s="1530" t="str">
        <f>INDEX('REVIEW - Complete Role Mapping'!$C:$C,90)</f>
        <v>Release &amp; Environments Manager</v>
      </c>
      <c r="D96" s="1530" t="str">
        <f>INDEX('REVIEW - Complete Role Mapping'!$AK:$AK,90)</f>
        <v>Vacant</v>
      </c>
      <c r="E96" s="1547" t="inlineStr">
        <is>
          <t>Hire</t>
        </is>
      </c>
      <c r="F96" s="1773">
        <f>INDEX('REVIEW - Complete Role Mapping'!$AA:$AA,90)</f>
        <v>202853.25</v>
      </c>
      <c r="G96" s="1773">
        <f>$F96*IFERROR(INDEX(Lists!$AD:$AD,MATCH($E96,Lists!$AC:$AC,0)),1)</f>
        <v>202853.25</v>
      </c>
    </row>
    <row r="97">
      <c r="B97" s="1530" t="str">
        <f>INDEX('REVIEW - Complete Role Mapping'!$B:$B,95)</f>
        <v>Vacant</v>
      </c>
      <c r="C97" s="1530" t="str">
        <f>INDEX('REVIEW - Complete Role Mapping'!$C:$C,95)</f>
        <v>Systems Analyst</v>
      </c>
      <c r="D97" s="1530" t="str">
        <f>INDEX('REVIEW - Complete Role Mapping'!$AK:$AK,95)</f>
        <v>Vacant</v>
      </c>
      <c r="E97" s="1547" t="inlineStr">
        <is>
          <t>Hire</t>
        </is>
      </c>
      <c r="F97" s="1773">
        <f>INDEX('REVIEW - Complete Role Mapping'!$AA:$AA,95)</f>
        <v>202853.25</v>
      </c>
      <c r="G97" s="1773">
        <f>$F97*IFERROR(INDEX(Lists!$AD:$AD,MATCH($E97,Lists!$AC:$AC,0)),1)</f>
        <v>202853.25</v>
      </c>
    </row>
    <row r="98">
      <c r="B98" s="1545" t="inlineStr">
        <is>
          <t>Payments</t>
        </is>
      </c>
      <c r="C98" s="1545" t="str">
        <f>COUNTA($B$99:$B$102)&amp;IF(COUNTA($B$99:$B$102)=1," role"," roles")</f>
        <v>4 roles</v>
      </c>
      <c r="D98" s="1545" t="n"/>
      <c r="E98" s="1545" t="n"/>
      <c r="F98" s="1785">
        <f>SUM(F99:F102)</f>
        <v>789428.585</v>
      </c>
      <c r="G98" s="1785">
        <f>SUM(G99:G102)</f>
        <v>789428.585</v>
      </c>
    </row>
    <row r="99">
      <c r="B99" s="1530" t="str">
        <f>INDEX('REVIEW - Complete Role Mapping'!$B:$B,14)</f>
        <v>Beenu Murali</v>
      </c>
      <c r="C99" s="1530" t="str">
        <f>INDEX('REVIEW - Complete Role Mapping'!$C:$C,14)</f>
        <v>Quality Assurance</v>
      </c>
      <c r="D99" s="1530" t="str">
        <f>INDEX('REVIEW - Complete Role Mapping'!$AK:$AK,14)</f>
        <v>Filled</v>
      </c>
      <c r="E99" s="1547" t="inlineStr">
        <is>
          <t>Filled</t>
        </is>
      </c>
      <c r="F99" s="1773">
        <f>INDEX('REVIEW - Complete Role Mapping'!$AA:$AA,14)</f>
        <v>146083.35</v>
      </c>
      <c r="G99" s="1773">
        <f>$F99*IFERROR(INDEX(Lists!$AD:$AD,MATCH($E99,Lists!$AC:$AC,0)),1)</f>
        <v>146083.35</v>
      </c>
    </row>
    <row r="100">
      <c r="B100" s="1530" t="str">
        <f>INDEX('REVIEW - Complete Role Mapping'!$B:$B,59)</f>
        <v>Sayan Kar</v>
      </c>
      <c r="C100" s="1530" t="str">
        <f>INDEX('REVIEW - Complete Role Mapping'!$C:$C,59)</f>
        <v>Systems Analyst</v>
      </c>
      <c r="D100" s="1530" t="str">
        <f>INDEX('REVIEW - Complete Role Mapping'!$AK:$AK,59)</f>
        <v>Filled</v>
      </c>
      <c r="E100" s="1547" t="inlineStr">
        <is>
          <t>Filled</t>
        </is>
      </c>
      <c r="F100" s="1773">
        <f>INDEX('REVIEW - Complete Role Mapping'!$AA:$AA,59)</f>
        <v>259243.65</v>
      </c>
      <c r="G100" s="1773">
        <f>$F100*IFERROR(INDEX(Lists!$AD:$AD,MATCH($E100,Lists!$AC:$AC,0)),1)</f>
        <v>259243.65</v>
      </c>
    </row>
    <row r="101">
      <c r="B101" s="1530" t="str">
        <f>INDEX('REVIEW - Complete Role Mapping'!$B:$B,94)</f>
        <v>Vacant</v>
      </c>
      <c r="C101" s="1530" t="str">
        <f>INDEX('REVIEW - Complete Role Mapping'!$C:$C,94)</f>
        <v>Systems Analyst</v>
      </c>
      <c r="D101" s="1530" t="str">
        <f>INDEX('REVIEW - Complete Role Mapping'!$AK:$AK,94)</f>
        <v>Vacant</v>
      </c>
      <c r="E101" s="1547" t="inlineStr">
        <is>
          <t>Hire</t>
        </is>
      </c>
      <c r="F101" s="1773">
        <f>INDEX('REVIEW - Complete Role Mapping'!$AA:$AA,94)</f>
        <v>170501.585</v>
      </c>
      <c r="G101" s="1773">
        <f>$F101*IFERROR(INDEX(Lists!$AD:$AD,MATCH($E101,Lists!$AC:$AC,0)),1)</f>
        <v>170501.585</v>
      </c>
    </row>
    <row r="102">
      <c r="B102" s="1530" t="str">
        <f>INDEX('REVIEW - Complete Role Mapping'!$B:$B,101)</f>
        <v>Venkat Kedharanathan</v>
      </c>
      <c r="C102" s="1530" t="str">
        <f>INDEX('REVIEW - Complete Role Mapping'!$C:$C,101)</f>
        <v>Senior Business Analyst</v>
      </c>
      <c r="D102" s="1530" t="str">
        <f>INDEX('REVIEW - Complete Role Mapping'!$AK:$AK,101)</f>
        <v>Filled</v>
      </c>
      <c r="E102" s="1547" t="inlineStr">
        <is>
          <t>Filled</t>
        </is>
      </c>
      <c r="F102" s="1773">
        <f>INDEX('REVIEW - Complete Role Mapping'!$AA:$AA,101)</f>
        <v>213600</v>
      </c>
      <c r="G102" s="1773">
        <f>$F102*IFERROR(INDEX(Lists!$AD:$AD,MATCH($E102,Lists!$AC:$AC,0)),1)</f>
        <v>213600</v>
      </c>
    </row>
    <row r="103">
      <c r="B103" s="1545" t="inlineStr">
        <is>
          <t>Store Operations</t>
        </is>
      </c>
      <c r="C103" s="1545" t="str">
        <f>COUNTA($B$104:$B$111)&amp;IF(COUNTA($B$104:$B$111)=1," role"," roles")</f>
        <v>8 roles</v>
      </c>
      <c r="D103" s="1545" t="n"/>
      <c r="E103" s="1545" t="n"/>
      <c r="F103" s="1785">
        <f>SUM(F104:F111)</f>
        <v>1429759.453</v>
      </c>
      <c r="G103" s="1785">
        <f>SUM(G104:G111)</f>
        <v>1429759.453</v>
      </c>
    </row>
    <row r="104">
      <c r="B104" s="1530" t="str">
        <f>INDEX('REVIEW - Complete Role Mapping'!$B:$B,7)</f>
        <v>Andrew Whitford</v>
      </c>
      <c r="C104" s="1530" t="str">
        <f>INDEX('REVIEW - Complete Role Mapping'!$C:$C,7)</f>
        <v>Field Systems Operations Lead - WA</v>
      </c>
      <c r="D104" s="1530" t="str">
        <f>INDEX('REVIEW - Complete Role Mapping'!$AK:$AK,7)</f>
        <v>Filled</v>
      </c>
      <c r="E104" s="1547" t="inlineStr">
        <is>
          <t>Filled</t>
        </is>
      </c>
      <c r="F104" s="1773">
        <f>INDEX('REVIEW - Complete Role Mapping'!$AA:$AA,7)</f>
        <v>164033.1</v>
      </c>
      <c r="G104" s="1773">
        <f>$F104*IFERROR(INDEX(Lists!$AD:$AD,MATCH($E104,Lists!$AC:$AC,0)),1)</f>
        <v>164033.1</v>
      </c>
    </row>
    <row r="105">
      <c r="B105" s="1530" t="str">
        <f>INDEX('REVIEW - Complete Role Mapping'!$B:$B,24)</f>
        <v>Ephraim Adan</v>
      </c>
      <c r="C105" s="1530" t="str">
        <f>INDEX('REVIEW - Complete Role Mapping'!$C:$C,24)</f>
        <v>Manager - AU Retail Operations</v>
      </c>
      <c r="D105" s="1530" t="str">
        <f>INDEX('REVIEW - Complete Role Mapping'!$AK:$AK,24)</f>
        <v>Filled</v>
      </c>
      <c r="E105" s="1547" t="inlineStr">
        <is>
          <t>Filled</t>
        </is>
      </c>
      <c r="F105" s="1773">
        <f>INDEX('REVIEW - Complete Role Mapping'!$AA:$AA,24)</f>
        <v>77707.84</v>
      </c>
      <c r="G105" s="1773">
        <f>$F105*IFERROR(INDEX(Lists!$AD:$AD,MATCH($E105,Lists!$AC:$AC,0)),1)</f>
        <v>77707.84</v>
      </c>
    </row>
    <row r="106">
      <c r="B106" s="1530" t="str">
        <f>INDEX('REVIEW - Complete Role Mapping'!$B:$B,27)</f>
        <v>Geoff Goddard</v>
      </c>
      <c r="C106" s="1530" t="str">
        <f>INDEX('REVIEW - Complete Role Mapping'!$C:$C,27)</f>
        <v>Field Systems Operations Lead - VIC</v>
      </c>
      <c r="D106" s="1530" t="str">
        <f>INDEX('REVIEW - Complete Role Mapping'!$AK:$AK,27)</f>
        <v>Filled</v>
      </c>
      <c r="E106" s="1547" t="inlineStr">
        <is>
          <t>Filled</t>
        </is>
      </c>
      <c r="F106" s="1773">
        <f>INDEX('REVIEW - Complete Role Mapping'!$AA:$AA,27)</f>
        <v>167360.05</v>
      </c>
      <c r="G106" s="1773">
        <f>$F106*IFERROR(INDEX(Lists!$AD:$AD,MATCH($E106,Lists!$AC:$AC,0)),1)</f>
        <v>167360.05</v>
      </c>
    </row>
    <row r="107">
      <c r="B107" s="1530" t="str">
        <f>INDEX('REVIEW - Complete Role Mapping'!$B:$B,28)</f>
        <v>Gerald Aguas</v>
      </c>
      <c r="C107" s="1530" t="str">
        <f>INDEX('REVIEW - Complete Role Mapping'!$C:$C,28)</f>
        <v>Field Systems Operations Lead - NSW</v>
      </c>
      <c r="D107" s="1530" t="str">
        <f>INDEX('REVIEW - Complete Role Mapping'!$AK:$AK,28)</f>
        <v>Filled</v>
      </c>
      <c r="E107" s="1547" t="inlineStr">
        <is>
          <t>Filled</t>
        </is>
      </c>
      <c r="F107" s="1773">
        <f>INDEX('REVIEW - Complete Role Mapping'!$AA:$AA,28)</f>
        <v>190155.852</v>
      </c>
      <c r="G107" s="1773">
        <f>$F107*IFERROR(INDEX(Lists!$AD:$AD,MATCH($E107,Lists!$AC:$AC,0)),1)</f>
        <v>190155.852</v>
      </c>
    </row>
    <row r="108">
      <c r="B108" s="1530" t="str">
        <f>INDEX('REVIEW - Complete Role Mapping'!$B:$B,38)</f>
        <v>Karthikeyan Kuppan</v>
      </c>
      <c r="C108" s="1530" t="str">
        <f>INDEX('REVIEW - Complete Role Mapping'!$C:$C,38)</f>
        <v>Lead - AU Retail Operations</v>
      </c>
      <c r="D108" s="1530" t="str">
        <f>INDEX('REVIEW - Complete Role Mapping'!$AK:$AK,38)</f>
        <v>Filled</v>
      </c>
      <c r="E108" s="1547" t="inlineStr">
        <is>
          <t>Filled</t>
        </is>
      </c>
      <c r="F108" s="1773">
        <f>INDEX('REVIEW - Complete Role Mapping'!$AA:$AA,38)</f>
        <v>242933.676</v>
      </c>
      <c r="G108" s="1773">
        <f>$F108*IFERROR(INDEX(Lists!$AD:$AD,MATCH($E108,Lists!$AC:$AC,0)),1)</f>
        <v>242933.676</v>
      </c>
    </row>
    <row r="109">
      <c r="B109" s="1530" t="str">
        <f>INDEX('REVIEW - Complete Role Mapping'!$B:$B,54)</f>
        <v>Patrick Ericson Nario</v>
      </c>
      <c r="C109" s="1530" t="str">
        <f>INDEX('REVIEW - Complete Role Mapping'!$C:$C,54)</f>
        <v>Support Analyst - Field Operations</v>
      </c>
      <c r="D109" s="1530" t="str">
        <f>INDEX('REVIEW - Complete Role Mapping'!$AK:$AK,54)</f>
        <v>Filled</v>
      </c>
      <c r="E109" s="1547" t="inlineStr">
        <is>
          <t>Filled</t>
        </is>
      </c>
      <c r="F109" s="1773">
        <f>INDEX('REVIEW - Complete Role Mapping'!$AA:$AA,54)</f>
        <v>214214.1</v>
      </c>
      <c r="G109" s="1773">
        <f>$F109*IFERROR(INDEX(Lists!$AD:$AD,MATCH($E109,Lists!$AC:$AC,0)),1)</f>
        <v>214214.1</v>
      </c>
    </row>
    <row r="110">
      <c r="B110" s="1530" t="str">
        <f>INDEX('REVIEW - Complete Role Mapping'!$B:$B,66)</f>
        <v>Tuan Edwards</v>
      </c>
      <c r="C110" s="1530" t="str">
        <f>INDEX('REVIEW - Complete Role Mapping'!$C:$C,66)</f>
        <v>Field Systems Operations Lead - QLD</v>
      </c>
      <c r="D110" s="1530" t="str">
        <f>INDEX('REVIEW - Complete Role Mapping'!$AK:$AK,66)</f>
        <v>Filled</v>
      </c>
      <c r="E110" s="1547" t="inlineStr">
        <is>
          <t>Filled</t>
        </is>
      </c>
      <c r="F110" s="1773">
        <f>INDEX('REVIEW - Complete Role Mapping'!$AA:$AA,66)</f>
        <v>202853.25</v>
      </c>
      <c r="G110" s="1773">
        <f>$F110*IFERROR(INDEX(Lists!$AD:$AD,MATCH($E110,Lists!$AC:$AC,0)),1)</f>
        <v>202853.25</v>
      </c>
    </row>
    <row r="111">
      <c r="B111" s="1530" t="str">
        <f>INDEX('REVIEW - Complete Role Mapping'!$B:$B,91)</f>
        <v>Vacant</v>
      </c>
      <c r="C111" s="1530" t="str">
        <f>INDEX('REVIEW - Complete Role Mapping'!$C:$C,91)</f>
        <v>Support Analyst -Retail</v>
      </c>
      <c r="D111" s="1530" t="str">
        <f>INDEX('REVIEW - Complete Role Mapping'!$AK:$AK,91)</f>
        <v>Vacant</v>
      </c>
      <c r="E111" s="1547" t="inlineStr">
        <is>
          <t>Hire</t>
        </is>
      </c>
      <c r="F111" s="1773">
        <f>INDEX('REVIEW - Complete Role Mapping'!$AA:$AA,91)</f>
        <v>170501.585</v>
      </c>
      <c r="G111" s="1773">
        <f>$F111*IFERROR(INDEX(Lists!$AD:$AD,MATCH($E111,Lists!$AC:$AC,0)),1)</f>
        <v>170501.585</v>
      </c>
    </row>
    <row r="112">
      <c r="B112" s="1545" t="inlineStr">
        <is>
          <t>Head of Technology</t>
        </is>
      </c>
      <c r="C112" s="1545" t="str">
        <f>COUNTA($B$113:$B$113)&amp;IF(COUNTA($B$113:$B$113)=1," role"," roles")</f>
        <v>1 role</v>
      </c>
      <c r="D112" s="1545" t="n"/>
      <c r="E112" s="1545" t="n"/>
      <c r="F112" s="1785">
        <f>SUM(F113:F113)</f>
        <v>186032.25</v>
      </c>
      <c r="G112" s="1785">
        <f>SUM(G113:G113)</f>
        <v>186032.25</v>
      </c>
    </row>
    <row r="113">
      <c r="B113" s="1530" t="str">
        <f>INDEX('REVIEW - Complete Role Mapping'!$B:$B,42)</f>
        <v>Madan Murthy</v>
      </c>
      <c r="C113" s="1530" t="str">
        <f>INDEX('REVIEW - Complete Role Mapping'!$C:$C,42)</f>
        <v>Head of Technology, AU Retail</v>
      </c>
      <c r="D113" s="1530" t="str">
        <f>INDEX('REVIEW - Complete Role Mapping'!$AK:$AK,42)</f>
        <v>Filled</v>
      </c>
      <c r="E113" s="1547" t="inlineStr">
        <is>
          <t>Filled</t>
        </is>
      </c>
      <c r="F113" s="1773">
        <f>INDEX('REVIEW - Complete Role Mapping'!$AA:$AA,42)</f>
        <v>186032.25</v>
      </c>
      <c r="G113" s="1773">
        <f>$F113*IFERROR(INDEX(Lists!$AD:$AD,MATCH($E113,Lists!$AC:$AC,0)),1)</f>
        <v>186032.25</v>
      </c>
    </row>
    <row r="114">
      <c r="B114" s="1545" t="inlineStr">
        <is>
          <t>Delivery Manager</t>
        </is>
      </c>
      <c r="C114" s="1545" t="str">
        <f>COUNTA($B$115:$B$115)&amp;IF(COUNTA($B$115:$B$115)=1," role"," roles")</f>
        <v>1 role</v>
      </c>
      <c r="D114" s="1545" t="n"/>
      <c r="E114" s="1545" t="n"/>
      <c r="F114" s="1785">
        <f>SUM(F115:F115)</f>
        <v>302937.35</v>
      </c>
      <c r="G114" s="1785">
        <f>SUM(G115:G115)</f>
        <v>302937.35</v>
      </c>
    </row>
    <row r="115">
      <c r="B115" s="1530" t="str">
        <f>INDEX('REVIEW - Complete Role Mapping'!$B:$B,97)</f>
        <v>Vanessa Allen</v>
      </c>
      <c r="C115" s="1530" t="str">
        <f>INDEX('REVIEW - Complete Role Mapping'!$C:$C,97)</f>
        <v>Delivery Manager</v>
      </c>
      <c r="D115" s="1530" t="str">
        <f>INDEX('REVIEW - Complete Role Mapping'!$AK:$AK,97)</f>
        <v>Filled</v>
      </c>
      <c r="E115" s="1547" t="inlineStr">
        <is>
          <t>Filled</t>
        </is>
      </c>
      <c r="F115" s="1773">
        <f>INDEX('REVIEW - Complete Role Mapping'!$AA:$AA,97)</f>
        <v>302937.35</v>
      </c>
      <c r="G115" s="1773">
        <f>$F115*IFERROR(INDEX(Lists!$AD:$AD,MATCH($E115,Lists!$AC:$AC,0)),1)</f>
        <v>302937.35</v>
      </c>
    </row>
    <row r="116">
      <c r="B116" s="1545" t="inlineStr">
        <is>
          <t>Technology Manager</t>
        </is>
      </c>
      <c r="C116" s="1545" t="str">
        <f>COUNTA($B$117:$B$119)&amp;IF(COUNTA($B$117:$B$119)=1," role"," roles")</f>
        <v>3 roles</v>
      </c>
      <c r="D116" s="1545" t="n"/>
      <c r="E116" s="1545" t="n"/>
      <c r="F116" s="1785">
        <f>SUM(F117:F119)</f>
        <v>766646.363</v>
      </c>
      <c r="G116" s="1785">
        <f>SUM(G117:G119)</f>
        <v>766646.363</v>
      </c>
    </row>
    <row r="117">
      <c r="B117" s="1530" t="str">
        <f>INDEX('REVIEW - Complete Role Mapping'!$B:$B,64)</f>
        <v>Tracy Lee Reaper</v>
      </c>
      <c r="C117" s="1530" t="str">
        <f>INDEX('REVIEW - Complete Role Mapping'!$C:$C,64)</f>
        <v>Technology Manager, Merchandising &amp; WFM</v>
      </c>
      <c r="D117" s="1530" t="str">
        <f>INDEX('REVIEW - Complete Role Mapping'!$AK:$AK,64)</f>
        <v>Filled</v>
      </c>
      <c r="E117" s="1547" t="inlineStr">
        <is>
          <t>Filled</t>
        </is>
      </c>
      <c r="F117" s="1773">
        <f>INDEX('REVIEW - Complete Role Mapping'!$AA:$AA,64)</f>
        <v>224341.488</v>
      </c>
      <c r="G117" s="1773">
        <f>$F117*IFERROR(INDEX(Lists!$AD:$AD,MATCH($E117,Lists!$AC:$AC,0)),1)</f>
        <v>224341.488</v>
      </c>
    </row>
    <row r="118">
      <c r="B118" s="1530" t="str">
        <f>INDEX('REVIEW - Complete Role Mapping'!$B:$B,96)</f>
        <v>Vaishnavi Viswanathan</v>
      </c>
      <c r="C118" s="1530" t="str">
        <f>INDEX('REVIEW - Complete Role Mapping'!$C:$C,96)</f>
        <v>Technology Manager, Store Platform</v>
      </c>
      <c r="D118" s="1530" t="str">
        <f>INDEX('REVIEW - Complete Role Mapping'!$AK:$AK,96)</f>
        <v>Filled</v>
      </c>
      <c r="E118" s="1547" t="inlineStr">
        <is>
          <t>Filled</t>
        </is>
      </c>
      <c r="F118" s="1773">
        <f>INDEX('REVIEW - Complete Role Mapping'!$AA:$AA,96)</f>
        <v>257754.875</v>
      </c>
      <c r="G118" s="1773">
        <f>$F118*IFERROR(INDEX(Lists!$AD:$AD,MATCH($E118,Lists!$AC:$AC,0)),1)</f>
        <v>257754.875</v>
      </c>
    </row>
    <row r="119">
      <c r="B119" s="1530" t="str">
        <f>INDEX('REVIEW - Complete Role Mapping'!$B:$B,100)</f>
        <v>Vedran Jukic</v>
      </c>
      <c r="C119" s="1530" t="str">
        <f>INDEX('REVIEW - Complete Role Mapping'!$C:$C,100)</f>
        <v>Technology Manager, Retail</v>
      </c>
      <c r="D119" s="1530" t="str">
        <f>INDEX('REVIEW - Complete Role Mapping'!$AK:$AK,100)</f>
        <v>Filled</v>
      </c>
      <c r="E119" s="1547" t="inlineStr">
        <is>
          <t>Filled</t>
        </is>
      </c>
      <c r="F119" s="1773">
        <f>INDEX('REVIEW - Complete Role Mapping'!$AA:$AA,100)</f>
        <v>284550</v>
      </c>
      <c r="G119" s="1773">
        <f>$F119*IFERROR(INDEX(Lists!$AD:$AD,MATCH($E119,Lists!$AC:$AC,0)),1)</f>
        <v>284550</v>
      </c>
    </row>
  </sheetData>
  <dataValidations count="1">
    <dataValidation sqref="E38 E39 E40 E41 E42 E43 E44 E45 E46 E47 E48 E50 E51 E52 E53 E54 E55 E56 E57 E58 E59 E61 E62 E63 E64 E65 E66 E68 E69 E70 E71 E72 E74 E75 E76 E77 E78 E79 E81 E83 E84 E85 E86 E87 E88 E90 E91 E92 E93 E94 E95 E96 E97 E99 E100 E101 E102 E104 E105 E106 E107 E108 E109 E110 E111 E113 E115 E117 E118 E11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0"/>
  <sheetViews>
    <sheetView showFormulas="0" showGridLines="0" showRowColHeaders="1" showZeros="1" rightToLeft="0" tabSelected="1" showOutlineSymbols="1" defaultGridColor="1" view="normal" topLeftCell="A19" colorId="64" zoomScale="70" zoomScaleNormal="70" zoomScalePageLayoutView="100" workbookViewId="0">
      <pane xSplit="2" ySplit="6" topLeftCell="C7" activePane="bottomRight" state="frozen"/>
      <selection pane="topRight" activeCell="A1" sqref="A1"/>
      <selection pane="bottomLeft" activeCell="A1" sqref="A1"/>
      <selection pane="bottomRigh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Customer - working copy</t>
        </is>
      </c>
    </row>
    <row r="3">
      <c r="B3" s="1525" t="inlineStr">
        <is>
          <t>Portfolio</t>
        </is>
      </c>
      <c r="C3" s="1526" t="inlineStr">
        <is>
          <t>Customer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Ampol App</t>
        </is>
      </c>
      <c r="C7" s="1530" t="str">
        <f>IFERROR(INDEX('1.2 Customer'!$C$29:$C$56,MATCH($B7,'1.2 Customer'!$B$29:$B$56,0)),"Not on the 1.x tab")</f>
        <v>Product</v>
      </c>
      <c r="D7" s="1530" t="str">
        <f>IFERROR(IF(INDEX('1.2 Customer'!$D$29:$D$56,MATCH($B7,'1.2 Customer'!$B$29:$B$56,0))="","-",INDEX('1.2 Customer'!$D$29:$D$56,MATCH($B7,'1.2 Customer'!$B$29:$B$56,0))),"-")</f>
        <v>L</v>
      </c>
      <c r="E7" s="1782">
        <f>IFERROR(INDEX('0.3 Squad Archetypes'!$F$5:$F$23,MATCH($C7&amp;"|"&amp;$D7,'0.3 Squad Archetypes'!$A$5:$A$23,0)),"-")</f>
        <v>12</v>
      </c>
      <c r="F7" s="1773">
        <f>COUNTA($B$37:$B$50)</f>
        <v>14</v>
      </c>
      <c r="G7" s="1773">
        <f>COUNTIFS($D$37:$D$50,"Filled")</f>
        <v>14</v>
      </c>
      <c r="H7" s="1773">
        <f>COUNTIFS($D$37:$D$50,"Vacant")</f>
        <v>0</v>
      </c>
      <c r="I7" s="1773">
        <f>COUNTIFS($D$37:$D$50,"Vacant",$E$37:$E$50,"Hire")</f>
        <v>0</v>
      </c>
      <c r="J7" s="1773">
        <f>COUNTIFS($E$37:$E$50,"Offshore")</f>
        <v>0</v>
      </c>
      <c r="K7" s="1773">
        <f>COUNTIFS($E$37:$E$50,"Hold")</f>
        <v>0</v>
      </c>
      <c r="L7" s="1773">
        <f>$F7-$K7</f>
        <v>14</v>
      </c>
      <c r="M7" s="1772">
        <f>IFERROR(IF(INDEX('1.2 Customer'!$E$29:$E$56,MATCH($B7,'1.2 Customer'!$B$29:$B$56,0))="Offshore",INDEX('0.3 Squad Archetypes'!$H$5:$H$23,MATCH($C7&amp;"|"&amp;$D7,'0.3 Squad Archetypes'!$A$5:$A$23,0)),INDEX('0.3 Squad Archetypes'!$G$5:$G$23,MATCH($C7&amp;"|"&amp;$D7,'0.3 Squad Archetypes'!$A$5:$A$23,0))),"-")</f>
        <v>2.8</v>
      </c>
      <c r="N7" s="1772">
        <f>SUMIFS('REVIEW - Complete Role Mapping'!$AA$2:$AA$528,'REVIEW - Complete Role Mapping'!$AJ$2:$AJ$528,$C$3,'REVIEW - Complete Role Mapping'!$AT$2:$AT$528,$B7)/1000000</f>
        <v>3.36059233</v>
      </c>
      <c r="O7" s="1772">
        <f>IFERROR(ROUND($N7-$M7,6),"-")</f>
        <v>0.560592</v>
      </c>
      <c r="P7" s="1772">
        <f>SUM($G$37:$G$50)/1000000</f>
        <v>3.36059233</v>
      </c>
      <c r="Q7" s="1772">
        <f>IFERROR(ROUND($P7-$M7,6),"-")</f>
        <v>0.560592</v>
      </c>
    </row>
    <row r="8">
      <c r="B8" s="1530" t="inlineStr">
        <is>
          <t>Ampol Loyalty &amp; Martech</t>
        </is>
      </c>
      <c r="C8" s="1530" t="str">
        <f>IFERROR(INDEX('1.2 Customer'!$C$29:$C$56,MATCH($B8,'1.2 Customer'!$B$29:$B$56,0)),"Not on the 1.x tab")</f>
        <v>Product</v>
      </c>
      <c r="D8" s="1530" t="str">
        <f>IFERROR(IF(INDEX('1.2 Customer'!$D$29:$D$56,MATCH($B8,'1.2 Customer'!$B$29:$B$56,0))="","-",INDEX('1.2 Customer'!$D$29:$D$56,MATCH($B8,'1.2 Customer'!$B$29:$B$56,0))),"-")</f>
        <v>M</v>
      </c>
      <c r="E8" s="1782">
        <f>IFERROR(INDEX('0.3 Squad Archetypes'!$F$5:$F$23,MATCH($C8&amp;"|"&amp;$D8,'0.3 Squad Archetypes'!$A$5:$A$23,0)),"-")</f>
        <v>8.5</v>
      </c>
      <c r="F8" s="1773">
        <f>COUNTA($B$52:$B$60)</f>
        <v>9</v>
      </c>
      <c r="G8" s="1773">
        <f>COUNTIFS($D$52:$D$60,"Filled")</f>
        <v>3</v>
      </c>
      <c r="H8" s="1773">
        <f>COUNTIFS($D$52:$D$60,"Vacant")</f>
        <v>6</v>
      </c>
      <c r="I8" s="1773">
        <f>COUNTIFS($D$52:$D$60,"Vacant",$E$52:$E$60,"Hire")</f>
        <v>6</v>
      </c>
      <c r="J8" s="1773">
        <f>COUNTIFS($E$52:$E$60,"Offshore")</f>
        <v>0</v>
      </c>
      <c r="K8" s="1773">
        <f>COUNTIFS($E$52:$E$60,"Hold")</f>
        <v>0</v>
      </c>
      <c r="L8" s="1773">
        <f>$F8-$K8</f>
        <v>9</v>
      </c>
      <c r="M8" s="1772">
        <f>IFERROR(IF(INDEX('1.2 Customer'!$E$29:$E$56,MATCH($B8,'1.2 Customer'!$B$29:$B$56,0))="Offshore",INDEX('0.3 Squad Archetypes'!$H$5:$H$23,MATCH($C8&amp;"|"&amp;$D8,'0.3 Squad Archetypes'!$A$5:$A$23,0)),INDEX('0.3 Squad Archetypes'!$G$5:$G$23,MATCH($C8&amp;"|"&amp;$D8,'0.3 Squad Archetypes'!$A$5:$A$23,0))),"-")</f>
        <v>1.9</v>
      </c>
      <c r="N8" s="1772">
        <f>SUMIFS('REVIEW - Complete Role Mapping'!$AA$2:$AA$528,'REVIEW - Complete Role Mapping'!$AJ$2:$AJ$528,$C$3,'REVIEW - Complete Role Mapping'!$AT$2:$AT$528,$B8)/1000000</f>
        <v>1.331225988</v>
      </c>
      <c r="O8" s="1772">
        <f>IFERROR(ROUND($N8-$M8,6),"-")</f>
        <v>-0.568774</v>
      </c>
      <c r="P8" s="1772">
        <f>SUM($G$52:$G$60)/1000000</f>
        <v>1.331225988</v>
      </c>
      <c r="Q8" s="1772">
        <f>IFERROR(ROUND($P8-$M8,6),"-")</f>
        <v>-0.568774</v>
      </c>
    </row>
    <row r="9">
      <c r="B9" s="1530" t="inlineStr">
        <is>
          <t>Ampol Web</t>
        </is>
      </c>
      <c r="C9" s="1530" t="str">
        <f>IFERROR(INDEX('1.2 Customer'!$C$29:$C$56,MATCH($B9,'1.2 Customer'!$B$29:$B$56,0)),"Not on the 1.x tab")</f>
        <v>Product</v>
      </c>
      <c r="D9" s="1530" t="str">
        <f>IFERROR(IF(INDEX('1.2 Customer'!$D$29:$D$56,MATCH($B9,'1.2 Customer'!$B$29:$B$56,0))="","-",INDEX('1.2 Customer'!$D$29:$D$56,MATCH($B9,'1.2 Customer'!$B$29:$B$56,0))),"-")</f>
        <v>M</v>
      </c>
      <c r="E9" s="1782">
        <f>IFERROR(INDEX('0.3 Squad Archetypes'!$F$5:$F$23,MATCH($C9&amp;"|"&amp;$D9,'0.3 Squad Archetypes'!$A$5:$A$23,0)),"-")</f>
        <v>8.5</v>
      </c>
      <c r="F9" s="1773">
        <f>COUNTA($B$62:$B$70)</f>
        <v>9</v>
      </c>
      <c r="G9" s="1773">
        <f>COUNTIFS($D$62:$D$70,"Filled")</f>
        <v>9</v>
      </c>
      <c r="H9" s="1773">
        <f>COUNTIFS($D$62:$D$70,"Vacant")</f>
        <v>0</v>
      </c>
      <c r="I9" s="1773">
        <f>COUNTIFS($D$62:$D$70,"Vacant",$E$62:$E$70,"Hire")</f>
        <v>0</v>
      </c>
      <c r="J9" s="1773">
        <f>COUNTIFS($E$62:$E$70,"Offshore")</f>
        <v>0</v>
      </c>
      <c r="K9" s="1773">
        <f>COUNTIFS($E$62:$E$70,"Hold")</f>
        <v>0</v>
      </c>
      <c r="L9" s="1773">
        <f>$F9-$K9</f>
        <v>9</v>
      </c>
      <c r="M9" s="1772">
        <f>IFERROR(IF(INDEX('1.2 Customer'!$E$29:$E$56,MATCH($B9,'1.2 Customer'!$B$29:$B$56,0))="Offshore",INDEX('0.3 Squad Archetypes'!$H$5:$H$23,MATCH($C9&amp;"|"&amp;$D9,'0.3 Squad Archetypes'!$A$5:$A$23,0)),INDEX('0.3 Squad Archetypes'!$G$5:$G$23,MATCH($C9&amp;"|"&amp;$D9,'0.3 Squad Archetypes'!$A$5:$A$23,0))),"-")</f>
        <v>1.9</v>
      </c>
      <c r="N9" s="1772">
        <f>SUMIFS('REVIEW - Complete Role Mapping'!$AA$2:$AA$528,'REVIEW - Complete Role Mapping'!$AJ$2:$AJ$528,$C$3,'REVIEW - Complete Role Mapping'!$AT$2:$AT$528,$B9)/1000000</f>
        <v>1.7617192</v>
      </c>
      <c r="O9" s="1772">
        <f>IFERROR(ROUND($N9-$M9,6),"-")</f>
        <v>-0.138281</v>
      </c>
      <c r="P9" s="1772">
        <f>SUM($G$62:$G$70)/1000000</f>
        <v>1.7617192</v>
      </c>
      <c r="Q9" s="1772">
        <f>IFERROR(ROUND($P9-$M9,6),"-")</f>
        <v>-0.138281</v>
      </c>
    </row>
    <row r="10">
      <c r="B10" s="1530" t="inlineStr">
        <is>
          <t>Customer AI</t>
        </is>
      </c>
      <c r="C10" s="1530" t="str">
        <f>IFERROR(INDEX('1.2 Customer'!$C$29:$C$56,MATCH($B10,'1.2 Customer'!$B$29:$B$56,0)),"Not on the 1.x tab")</f>
        <v>Engineering</v>
      </c>
      <c r="D10" s="1530" t="str">
        <f>IFERROR(IF(INDEX('1.2 Customer'!$D$29:$D$56,MATCH($B10,'1.2 Customer'!$B$29:$B$56,0))="","-",INDEX('1.2 Customer'!$D$29:$D$56,MATCH($B10,'1.2 Customer'!$B$29:$B$56,0))),"-")</f>
        <v>S</v>
      </c>
      <c r="E10" s="1782">
        <f>IFERROR(INDEX('0.3 Squad Archetypes'!$F$5:$F$23,MATCH($C10&amp;"|"&amp;$D10,'0.3 Squad Archetypes'!$A$5:$A$23,0)),"-")</f>
        <v>4.5</v>
      </c>
      <c r="F10" s="1773">
        <f>COUNTA($B$72:$B$73)</f>
        <v>2</v>
      </c>
      <c r="G10" s="1773">
        <f>COUNTIFS($D$72:$D$73,"Filled")</f>
        <v>0</v>
      </c>
      <c r="H10" s="1773">
        <f>COUNTIFS($D$72:$D$73,"Vacant")</f>
        <v>2</v>
      </c>
      <c r="I10" s="1773">
        <f>COUNTIFS($D$72:$D$73,"Vacant",$E$72:$E$73,"Hire")</f>
        <v>2</v>
      </c>
      <c r="J10" s="1773">
        <f>COUNTIFS($E$72:$E$73,"Offshore")</f>
        <v>0</v>
      </c>
      <c r="K10" s="1773">
        <f>COUNTIFS($E$72:$E$73,"Hold")</f>
        <v>0</v>
      </c>
      <c r="L10" s="1773">
        <f>$F10-$K10</f>
        <v>2</v>
      </c>
      <c r="M10" s="1772">
        <f>IFERROR(IF(INDEX('1.2 Customer'!$E$29:$E$56,MATCH($B10,'1.2 Customer'!$B$29:$B$56,0))="Offshore",INDEX('0.3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0.17103768</v>
      </c>
      <c r="O10" s="1772">
        <f>IFERROR(ROUND($N10-$M10,6),"-")</f>
        <v>-0.628962</v>
      </c>
      <c r="P10" s="1772">
        <f>SUM($G$72:$G$73)/1000000</f>
        <v>0.17103768</v>
      </c>
      <c r="Q10" s="1772">
        <f>IFERROR(ROUND($P10-$M10,6),"-")</f>
        <v>-0.628962</v>
      </c>
    </row>
    <row r="11">
      <c r="B11" s="1530" t="inlineStr">
        <is>
          <t>Digital Operations</t>
        </is>
      </c>
      <c r="C11" s="1530" t="str">
        <f>IFERROR(INDEX('1.2 Customer'!$C$29:$C$56,MATCH($B11,'1.2 Customer'!$B$29:$B$56,0)),"Not on the 1.x tab")</f>
        <v>Operations</v>
      </c>
      <c r="D11" s="1530" t="str">
        <f>IFERROR(IF(INDEX('1.2 Customer'!$D$29:$D$56,MATCH($B11,'1.2 Customer'!$B$29:$B$56,0))="","-",INDEX('1.2 Customer'!$D$29:$D$56,MATCH($B11,'1.2 Customer'!$B$29:$B$56,0))),"-")</f>
        <v>M</v>
      </c>
      <c r="E11" s="1782">
        <f>IFERROR(INDEX('0.3 Squad Archetypes'!$F$5:$F$23,MATCH($C11&amp;"|"&amp;$D11,'0.3 Squad Archetypes'!$A$5:$A$23,0)),"-")</f>
        <v>6</v>
      </c>
      <c r="F11" s="1773">
        <f>COUNTA($B$75:$B$81)</f>
        <v>7</v>
      </c>
      <c r="G11" s="1773">
        <f>COUNTIFS($D$75:$D$81,"Filled")</f>
        <v>4</v>
      </c>
      <c r="H11" s="1773">
        <f>COUNTIFS($D$75:$D$81,"Vacant")</f>
        <v>3</v>
      </c>
      <c r="I11" s="1773">
        <f>COUNTIFS($D$75:$D$81,"Vacant",$E$75:$E$81,"Hire")</f>
        <v>3</v>
      </c>
      <c r="J11" s="1773">
        <f>COUNTIFS($E$75:$E$81,"Offshore")</f>
        <v>0</v>
      </c>
      <c r="K11" s="1773">
        <f>COUNTIFS($E$75:$E$81,"Hold")</f>
        <v>0</v>
      </c>
      <c r="L11" s="1773">
        <f>$F11-$K11</f>
        <v>7</v>
      </c>
      <c r="M11" s="1772">
        <f>IFERROR(IF(INDEX('1.2 Customer'!$E$29:$E$56,MATCH($B11,'1.2 Customer'!$B$29:$B$56,0))="Offshore",INDEX('0.3 Squad Archetypes'!$H$5:$H$23,MATCH($C11&amp;"|"&amp;$D11,'0.3 Squad Archetypes'!$A$5:$A$23,0)),INDEX('0.3 Squad Archetypes'!$G$5:$G$23,MATCH($C11&amp;"|"&amp;$D11,'0.3 Squad Archetypes'!$A$5:$A$23,0))),"-")</f>
        <v>0.56</v>
      </c>
      <c r="N11" s="1772">
        <f>SUMIFS('REVIEW - Complete Role Mapping'!$AA$2:$AA$528,'REVIEW - Complete Role Mapping'!$AJ$2:$AJ$528,$C$3,'REVIEW - Complete Role Mapping'!$AT$2:$AT$528,$B11)/1000000</f>
        <v>1.303645928</v>
      </c>
      <c r="O11" s="1772">
        <f>IFERROR(ROUND($N11-$M11,6),"-")</f>
        <v>0.743646</v>
      </c>
      <c r="P11" s="1772">
        <f>SUM($G$75:$G$81)/1000000</f>
        <v>1.303645928</v>
      </c>
      <c r="Q11" s="1772">
        <f>IFERROR(ROUND($P11-$M11,6),"-")</f>
        <v>0.743646</v>
      </c>
    </row>
    <row r="12">
      <c r="B12" s="1530" t="inlineStr">
        <is>
          <t>Z App and Web</t>
        </is>
      </c>
      <c r="C12" s="1530" t="str">
        <f>IFERROR(INDEX('1.2 Customer'!$C$29:$C$56,MATCH($B12,'1.2 Customer'!$B$29:$B$56,0)),"Not on the 1.x tab")</f>
        <v>Product</v>
      </c>
      <c r="D12" s="1530" t="str">
        <f>IFERROR(IF(INDEX('1.2 Customer'!$D$29:$D$56,MATCH($B12,'1.2 Customer'!$B$29:$B$56,0))="","-",INDEX('1.2 Customer'!$D$29:$D$56,MATCH($B12,'1.2 Customer'!$B$29:$B$56,0))),"-")</f>
        <v>S</v>
      </c>
      <c r="E12" s="1782">
        <f>IFERROR(INDEX('0.3 Squad Archetypes'!$F$5:$F$23,MATCH($C12&amp;"|"&amp;$D12,'0.3 Squad Archetypes'!$A$5:$A$23,0)),"-")</f>
        <v>5.5</v>
      </c>
      <c r="F12" s="1773">
        <f>COUNTA($B$100:$B$104)</f>
        <v>5</v>
      </c>
      <c r="G12" s="1773">
        <f>COUNTIFS($D$100:$D$104,"Filled")</f>
        <v>5</v>
      </c>
      <c r="H12" s="1773">
        <f>COUNTIFS($D$100:$D$104,"Vacant")</f>
        <v>0</v>
      </c>
      <c r="I12" s="1773">
        <f>COUNTIFS($D$100:$D$104,"Vacant",$E$100:$E$104,"Hire")</f>
        <v>0</v>
      </c>
      <c r="J12" s="1773">
        <f>COUNTIFS($E$100:$E$104,"Offshore")</f>
        <v>0</v>
      </c>
      <c r="K12" s="1773">
        <f>COUNTIFS($E$100:$E$104,"Hold")</f>
        <v>0</v>
      </c>
      <c r="L12" s="1773">
        <f>$F12-$K12</f>
        <v>5</v>
      </c>
      <c r="M12" s="1772">
        <f>IFERROR(IF(INDEX('1.2 Customer'!$E$29:$E$56,MATCH($B12,'1.2 Customer'!$B$29:$B$56,0))="Offshore",INDEX('0.3 Squad Archetypes'!$H$5:$H$23,MATCH($C12&amp;"|"&amp;$D12,'0.3 Squad Archetypes'!$A$5:$A$23,0)),INDEX('0.3 Squad Archetypes'!$G$5:$G$23,MATCH($C12&amp;"|"&amp;$D12,'0.3 Squad Archetypes'!$A$5:$A$23,0))),"-")</f>
        <v>1.3</v>
      </c>
      <c r="N12" s="1772">
        <f>SUMIFS('REVIEW - Complete Role Mapping'!$AA$2:$AA$528,'REVIEW - Complete Role Mapping'!$AJ$2:$AJ$528,$C$3,'REVIEW - Complete Role Mapping'!$AT$2:$AT$528,$B12)/1000000</f>
        <v>1.223286048</v>
      </c>
      <c r="O12" s="1772">
        <f>IFERROR(ROUND($N12-$M12,6),"-")</f>
        <v>-0.076714</v>
      </c>
      <c r="P12" s="1772">
        <f>SUM($G$100:$G$104)/1000000</f>
        <v>1.223286048</v>
      </c>
      <c r="Q12" s="1772">
        <f>IFERROR(ROUND($P12-$M12,6),"-")</f>
        <v>-0.076714</v>
      </c>
    </row>
    <row r="13">
      <c r="B13" s="1530" t="inlineStr">
        <is>
          <t>Z Loyalty &amp; Martech</t>
        </is>
      </c>
      <c r="C13" s="1530" t="str">
        <f>IFERROR(INDEX('1.2 Customer'!$C$29:$C$56,MATCH($B13,'1.2 Customer'!$B$29:$B$56,0)),"Not on the 1.x tab")</f>
        <v>Product</v>
      </c>
      <c r="D13" s="1530" t="str">
        <f>IFERROR(IF(INDEX('1.2 Customer'!$D$29:$D$56,MATCH($B13,'1.2 Customer'!$B$29:$B$56,0))="","-",INDEX('1.2 Customer'!$D$29:$D$56,MATCH($B13,'1.2 Customer'!$B$29:$B$56,0))),"-")</f>
        <v>L</v>
      </c>
      <c r="E13" s="1782">
        <f>IFERROR(INDEX('0.3 Squad Archetypes'!$F$5:$F$23,MATCH($C13&amp;"|"&amp;$D13,'0.3 Squad Archetypes'!$A$5:$A$23,0)),"-")</f>
        <v>12</v>
      </c>
      <c r="F13" s="1773">
        <f>COUNTA($B$106:$B$119)</f>
        <v>14</v>
      </c>
      <c r="G13" s="1773">
        <f>COUNTIFS($D$106:$D$119,"Filled")</f>
        <v>14</v>
      </c>
      <c r="H13" s="1773">
        <f>COUNTIFS($D$106:$D$119,"Vacant")</f>
        <v>0</v>
      </c>
      <c r="I13" s="1773">
        <f>COUNTIFS($D$106:$D$119,"Vacant",$E$106:$E$119,"Hire")</f>
        <v>0</v>
      </c>
      <c r="J13" s="1773">
        <f>COUNTIFS($E$106:$E$119,"Offshore")</f>
        <v>0</v>
      </c>
      <c r="K13" s="1773">
        <f>COUNTIFS($E$106:$E$119,"Hold")</f>
        <v>0</v>
      </c>
      <c r="L13" s="1773">
        <f>$F13-$K13</f>
        <v>14</v>
      </c>
      <c r="M13" s="1772">
        <f>IFERROR(IF(INDEX('1.2 Customer'!$E$29:$E$56,MATCH($B13,'1.2 Customer'!$B$29:$B$56,0))="Offshore",INDEX('0.3 Squad Archetypes'!$H$5:$H$23,MATCH($C13&amp;"|"&amp;$D13,'0.3 Squad Archetypes'!$A$5:$A$23,0)),INDEX('0.3 Squad Archetypes'!$G$5:$G$23,MATCH($C13&amp;"|"&amp;$D13,'0.3 Squad Archetypes'!$A$5:$A$23,0))),"-")</f>
        <v>2.8</v>
      </c>
      <c r="N13" s="1772">
        <f>SUMIFS('REVIEW - Complete Role Mapping'!$AA$2:$AA$528,'REVIEW - Complete Role Mapping'!$AJ$2:$AJ$528,$C$3,'REVIEW - Complete Role Mapping'!$AT$2:$AT$528,$B13)/1000000</f>
        <v>2.946001772</v>
      </c>
      <c r="O13" s="1772">
        <f>IFERROR(ROUND($N13-$M13,6),"-")</f>
        <v>0.146002</v>
      </c>
      <c r="P13" s="1772">
        <f>SUM($G$106:$G$119)/1000000</f>
        <v>2.946001772</v>
      </c>
      <c r="Q13" s="1772">
        <f>IFERROR(ROUND($P13-$M13,6),"-")</f>
        <v>0.146002</v>
      </c>
    </row>
    <row r="14">
      <c r="B14" s="1534" t="inlineStr">
        <is>
          <t>Squads priced by an archetype</t>
        </is>
      </c>
      <c r="C14" s="1534" t="n"/>
      <c r="D14" s="1534" t="n"/>
      <c r="E14" s="1783">
        <f>SUM(E7:E13)</f>
        <v>57</v>
      </c>
      <c r="F14" s="1775">
        <f>SUM(F7:F13)</f>
        <v>60</v>
      </c>
      <c r="G14" s="1775">
        <f>SUM(G7:G13)</f>
        <v>49</v>
      </c>
      <c r="H14" s="1775">
        <f>SUM(H7:H13)</f>
        <v>11</v>
      </c>
      <c r="I14" s="1775">
        <f>SUM(I7:I13)</f>
        <v>11</v>
      </c>
      <c r="J14" s="1775">
        <f>SUM(J7:J13)</f>
        <v>0</v>
      </c>
      <c r="K14" s="1775">
        <f>SUM(K7:K13)</f>
        <v>0</v>
      </c>
      <c r="L14" s="1775">
        <f>SUM(L7:L13)</f>
        <v>60</v>
      </c>
      <c r="M14" s="1774">
        <f>SUM(M7:M13)</f>
        <v>12.06</v>
      </c>
      <c r="N14" s="1774">
        <f>SUM(N7:N13)</f>
        <v>12.097508946</v>
      </c>
      <c r="O14" s="1774">
        <f>SUM(O7:O13)</f>
        <v>0.037509</v>
      </c>
      <c r="P14" s="1774">
        <f>SUM(P7:P13)</f>
        <v>12.097508946</v>
      </c>
      <c r="Q14" s="1774">
        <f>SUM(Q7:Q13)</f>
        <v>0.037509</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EGI Customer</t>
        </is>
      </c>
      <c r="C18" s="1530" t="str">
        <f>IFERROR(INDEX('1.2 Customer'!$C$29:$C$56,MATCH($B18,'1.2 Customer'!$B$29:$B$56,0)),"Not on the 1.x tab")</f>
        <v>Strategic Programs</v>
      </c>
      <c r="D18" s="1530" t="str">
        <f>IFERROR(IF(INDEX('1.2 Customer'!$D$29:$D$56,MATCH($B18,'1.2 Customer'!$B$29:$B$56,0))="","-",INDEX('1.2 Customer'!$D$29:$D$56,MATCH($B18,'1.2 Customer'!$B$29:$B$56,0))),"-")</f>
        <v>-</v>
      </c>
      <c r="E18" s="1782" t="str">
        <f>"-"</f>
        <v>-</v>
      </c>
      <c r="F18" s="1773">
        <f>COUNTA($B$83:$B$92)</f>
        <v>10</v>
      </c>
      <c r="G18" s="1773">
        <f>COUNTIFS($D$83:$D$92,"Filled")</f>
        <v>10</v>
      </c>
      <c r="H18" s="1773">
        <f>COUNTIFS($D$83:$D$92,"Vacant")</f>
        <v>0</v>
      </c>
      <c r="I18" s="1773">
        <f>COUNTIFS($D$83:$D$92,"Vacant",$E$83:$E$92,"Hire")</f>
        <v>0</v>
      </c>
      <c r="J18" s="1773">
        <f>COUNTIFS($E$83:$E$92,"Offshore")</f>
        <v>0</v>
      </c>
      <c r="K18" s="1773">
        <f>COUNTIFS($E$83:$E$92,"Hold")</f>
        <v>0</v>
      </c>
      <c r="L18" s="1773">
        <f>$F18-$K18</f>
        <v>10</v>
      </c>
      <c r="M18" s="1772">
        <f>$N18</f>
        <v>2.208135308</v>
      </c>
      <c r="N18" s="1772">
        <f>SUMIFS('REVIEW - Complete Role Mapping'!$AA$2:$AA$528,'REVIEW - Complete Role Mapping'!$AJ$2:$AJ$528,$C$3,'REVIEW - Complete Role Mapping'!$AT$2:$AT$528,$B18)/1000000</f>
        <v>2.208135308</v>
      </c>
      <c r="O18" s="1772">
        <f>IFERROR(ROUND($N18-$M18,6),"-")</f>
        <v>0</v>
      </c>
      <c r="P18" s="1772">
        <f>SUM($G$83:$G$92)/1000000</f>
        <v>2.208135308</v>
      </c>
      <c r="Q18" s="1772">
        <f>IFERROR(ROUND($P18-$M18,6),"-")</f>
        <v>0</v>
      </c>
    </row>
    <row r="19">
      <c r="B19" s="1530" t="inlineStr">
        <is>
          <t>Leadership</t>
        </is>
      </c>
      <c r="C19" s="1530" t="str">
        <f>IFERROR(INDEX('1.2 Customer'!$C$29:$C$56,MATCH($B19,'1.2 Customer'!$B$29:$B$56,0)),"Not on the 1.x tab")</f>
        <v>Not on the 1.x tab</v>
      </c>
      <c r="D19" s="1530" t="str">
        <f>IFERROR(IF(INDEX('1.2 Customer'!$D$29:$D$56,MATCH($B19,'1.2 Customer'!$B$29:$B$56,0))="","-",INDEX('1.2 Customer'!$D$29:$D$56,MATCH($B19,'1.2 Customer'!$B$29:$B$56,0))),"-")</f>
        <v>-</v>
      </c>
      <c r="E19" s="1782" t="str">
        <f>"-"</f>
        <v>-</v>
      </c>
      <c r="F19" s="1773">
        <f>COUNTA($B$94:$B$98)</f>
        <v>5</v>
      </c>
      <c r="G19" s="1773">
        <f>COUNTIFS($D$94:$D$98,"Filled")</f>
        <v>4</v>
      </c>
      <c r="H19" s="1773">
        <f>COUNTIFS($D$94:$D$98,"Vacant")</f>
        <v>1</v>
      </c>
      <c r="I19" s="1773">
        <f>COUNTIFS($D$94:$D$98,"Vacant",$E$94:$E$98,"Hire")</f>
        <v>1</v>
      </c>
      <c r="J19" s="1773">
        <f>COUNTIFS($E$94:$E$98,"Offshore")</f>
        <v>0</v>
      </c>
      <c r="K19" s="1773">
        <f>COUNTIFS($E$94:$E$98,"Hold")</f>
        <v>0</v>
      </c>
      <c r="L19" s="1773">
        <f>$F19-$K19</f>
        <v>5</v>
      </c>
      <c r="M19" s="1772" t="str">
        <f>IFERROR(INDEX('1.2 Customer'!$H$29:$H$56,MATCH($B19,'1.2 Customer'!$B$29:$B$56,0)),"-")</f>
        <v>-</v>
      </c>
      <c r="N19" s="1772">
        <f>SUMIFS('REVIEW - Complete Role Mapping'!$AA$2:$AA$528,'REVIEW - Complete Role Mapping'!$AJ$2:$AJ$528,$C$3,'REVIEW - Complete Role Mapping'!$AT$2:$AT$528,$B19)/1000000</f>
        <v>1.048250048</v>
      </c>
      <c r="O19" s="1772" t="str">
        <f>IFERROR(ROUND($N19-$M19,6),"-")</f>
        <v>-</v>
      </c>
      <c r="P19" s="1772">
        <f>SUM($G$94:$G$98)/1000000</f>
        <v>1.048250048</v>
      </c>
      <c r="Q19" s="1772" t="str">
        <f>IFERROR(ROUND($P19-$M19,6),"-")</f>
        <v>-</v>
      </c>
    </row>
    <row r="20">
      <c r="B20" s="1534" t="inlineStr">
        <is>
          <t>Directly funded total</t>
        </is>
      </c>
      <c r="C20" s="1534" t="n"/>
      <c r="D20" s="1534" t="n"/>
      <c r="E20" s="1783">
        <f>SUM(E18:E19)</f>
        <v>0</v>
      </c>
      <c r="F20" s="1775">
        <f>SUM(F18:F19)</f>
        <v>15</v>
      </c>
      <c r="G20" s="1775">
        <f>SUM(G18:G19)</f>
        <v>14</v>
      </c>
      <c r="H20" s="1775">
        <f>SUM(H18:H19)</f>
        <v>1</v>
      </c>
      <c r="I20" s="1775">
        <f>SUM(I18:I19)</f>
        <v>1</v>
      </c>
      <c r="J20" s="1775">
        <f>SUM(J18:J19)</f>
        <v>0</v>
      </c>
      <c r="K20" s="1775">
        <f>SUM(K18:K19)</f>
        <v>0</v>
      </c>
      <c r="L20" s="1775">
        <f>SUM(L18:L19)</f>
        <v>15</v>
      </c>
      <c r="M20" s="1774">
        <f>SUM(M18:M19)</f>
        <v>2.208135308</v>
      </c>
      <c r="N20" s="1774">
        <f>SUM(N18:N19)</f>
        <v>3.256385356</v>
      </c>
      <c r="O20" s="1774">
        <f>SUM(O18:O19)</f>
        <v>0</v>
      </c>
      <c r="P20" s="1774">
        <f>SUM(P18:P19)</f>
        <v>3.256385356</v>
      </c>
      <c r="Q20" s="1774">
        <f>SUM(Q18:Q19)</f>
        <v>0</v>
      </c>
    </row>
    <row r="21"/>
    <row r="22" ht="19" customHeight="1" s="866">
      <c r="B22" s="1527" t="inlineStr">
        <is>
          <t>Overhead roles - against the allowance on 3.2</t>
        </is>
      </c>
      <c r="C22" s="1528" t="n"/>
      <c r="D22" s="1528" t="n"/>
      <c r="E22" s="1528" t="n"/>
      <c r="F22" s="1528" t="n"/>
      <c r="G22" s="1528" t="n"/>
      <c r="H22" s="1528" t="n"/>
      <c r="I22" s="1528" t="n"/>
      <c r="J22" s="1528" t="n"/>
      <c r="K22" s="1528" t="n"/>
      <c r="L22" s="1528" t="n"/>
      <c r="M22" s="1528" t="n"/>
      <c r="N22" s="1528" t="n"/>
      <c r="O22" s="1528" t="n"/>
      <c r="P22" s="1528" t="n"/>
      <c r="Q22" s="1528" t="n"/>
    </row>
    <row r="23" ht="48" customHeight="1" s="866">
      <c r="B23" s="1529" t="inlineStr">
        <is>
          <t>Squad</t>
        </is>
      </c>
      <c r="C23" s="1529" t="inlineStr">
        <is>
          <t>Archetype Type</t>
        </is>
      </c>
      <c r="D23" s="1529" t="inlineStr">
        <is>
          <t>Size</t>
        </is>
      </c>
      <c r="E23" s="1529" t="inlineStr">
        <is>
          <t>Archetype roles</t>
        </is>
      </c>
      <c r="F23" s="1529" t="inlineStr">
        <is>
          <t>Roles</t>
        </is>
      </c>
      <c r="G23" s="1529" t="inlineStr">
        <is>
          <t>Filled</t>
        </is>
      </c>
      <c r="H23" s="1529" t="inlineStr">
        <is>
          <t>Vacant</t>
        </is>
      </c>
      <c r="I23" s="1529" t="inlineStr">
        <is>
          <t>To hire</t>
        </is>
      </c>
      <c r="J23" s="1529" t="inlineStr">
        <is>
          <t>To offshore</t>
        </is>
      </c>
      <c r="K23" s="1529" t="inlineStr">
        <is>
          <t>On hold</t>
        </is>
      </c>
      <c r="L23" s="1529" t="inlineStr">
        <is>
          <t>Roles after decisions</t>
        </is>
      </c>
      <c r="M23" s="1529" t="inlineStr">
        <is>
          <t>Allowance - stated on 3.2</t>
        </is>
      </c>
      <c r="N23" s="1529" t="inlineStr">
        <is>
          <t>Actual cost ($m)</t>
        </is>
      </c>
      <c r="O23" s="1529" t="inlineStr">
        <is>
          <t>Variance</t>
        </is>
      </c>
      <c r="P23" s="1529" t="inlineStr">
        <is>
          <t>Cost after vacancy decisions ($m)</t>
        </is>
      </c>
      <c r="Q23" s="1529" t="inlineStr">
        <is>
          <t>New variance</t>
        </is>
      </c>
    </row>
    <row r="24">
      <c r="B24" s="1530" t="inlineStr">
        <is>
          <t>Head of Technology</t>
        </is>
      </c>
      <c r="C24" s="1530" t="str">
        <f>"-"</f>
        <v>-</v>
      </c>
      <c r="D24" s="1530" t="str">
        <f>"-"</f>
        <v>-</v>
      </c>
      <c r="E24" s="1538" t="str">
        <f>"-"</f>
        <v>-</v>
      </c>
      <c r="F24" s="1773">
        <f>COUNTA($B$121:$B$122)</f>
        <v>2</v>
      </c>
      <c r="G24" s="1773">
        <f>COUNTIFS($D$121:$D$122,"Filled")</f>
        <v>2</v>
      </c>
      <c r="H24" s="1773">
        <f>COUNTIFS($D$121:$D$122,"Vacant")</f>
        <v>0</v>
      </c>
      <c r="I24" s="1773">
        <f>COUNTIFS($D$121:$D$122,"Vacant",$E$121:$E$122,"Hire")</f>
        <v>0</v>
      </c>
      <c r="J24" s="1773">
        <f>COUNTIFS($E$121:$E$122,"Offshore")</f>
        <v>0</v>
      </c>
      <c r="K24" s="1773">
        <f>COUNTIFS($E$121:$E$122,"Hold")</f>
        <v>0</v>
      </c>
      <c r="L24" s="1773">
        <f>$F24-$K24</f>
        <v>2</v>
      </c>
      <c r="M24" s="1538" t="str">
        <f>"-"</f>
        <v>-</v>
      </c>
      <c r="N24" s="1772">
        <f>SUMIFS('REVIEW - Complete Role Mapping'!$AA$2:$AA$528,'REVIEW - Complete Role Mapping'!$AJ$2:$AJ$528,$C$3,'REVIEW - Complete Role Mapping'!$AT$2:$AT$528,$B24)/1000000</f>
        <v>0.5360151</v>
      </c>
      <c r="O24" s="1538" t="str">
        <f>"-"</f>
        <v>-</v>
      </c>
      <c r="P24" s="1772">
        <f>SUM($G$121:$G$122)/1000000</f>
        <v>0.5360151</v>
      </c>
      <c r="Q24" s="1538" t="str">
        <f>"-"</f>
        <v>-</v>
      </c>
    </row>
    <row r="25">
      <c r="B25" s="1530" t="inlineStr">
        <is>
          <t>Delivery Manager</t>
        </is>
      </c>
      <c r="C25" s="1530" t="str">
        <f>"-"</f>
        <v>-</v>
      </c>
      <c r="D25" s="1530" t="str">
        <f>"-"</f>
        <v>-</v>
      </c>
      <c r="E25" s="1538" t="str">
        <f>"-"</f>
        <v>-</v>
      </c>
      <c r="F25" s="1773">
        <f>COUNTA($B$124:$B$125)</f>
        <v>2</v>
      </c>
      <c r="G25" s="1773">
        <f>COUNTIFS($D$124:$D$125,"Filled")</f>
        <v>2</v>
      </c>
      <c r="H25" s="1773">
        <f>COUNTIFS($D$124:$D$125,"Vacant")</f>
        <v>0</v>
      </c>
      <c r="I25" s="1773">
        <f>COUNTIFS($D$124:$D$125,"Vacant",$E$124:$E$125,"Hire")</f>
        <v>0</v>
      </c>
      <c r="J25" s="1773">
        <f>COUNTIFS($E$124:$E$125,"Offshore")</f>
        <v>0</v>
      </c>
      <c r="K25" s="1773">
        <f>COUNTIFS($E$124:$E$125,"Hold")</f>
        <v>0</v>
      </c>
      <c r="L25" s="1773">
        <f>$F25-$K25</f>
        <v>2</v>
      </c>
      <c r="M25" s="1538" t="str">
        <f>"-"</f>
        <v>-</v>
      </c>
      <c r="N25" s="1772">
        <f>SUMIFS('REVIEW - Complete Role Mapping'!$AA$2:$AA$528,'REVIEW - Complete Role Mapping'!$AJ$2:$AJ$528,$C$3,'REVIEW - Complete Role Mapping'!$AT$2:$AT$528,$B25)/1000000</f>
        <v>0.4208721</v>
      </c>
      <c r="O25" s="1538" t="str">
        <f>"-"</f>
        <v>-</v>
      </c>
      <c r="P25" s="1772">
        <f>SUM($G$124:$G$125)/1000000</f>
        <v>0.4208721</v>
      </c>
      <c r="Q25" s="1538" t="str">
        <f>"-"</f>
        <v>-</v>
      </c>
    </row>
    <row r="26">
      <c r="B26" s="1530" t="inlineStr">
        <is>
          <t>Technology Manager</t>
        </is>
      </c>
      <c r="C26" s="1530" t="str">
        <f>"-"</f>
        <v>-</v>
      </c>
      <c r="D26" s="1530" t="str">
        <f>"-"</f>
        <v>-</v>
      </c>
      <c r="E26" s="1538" t="str">
        <f>"-"</f>
        <v>-</v>
      </c>
      <c r="F26" s="1773">
        <f>COUNTA($B$127:$B$130)</f>
        <v>4</v>
      </c>
      <c r="G26" s="1773">
        <f>COUNTIFS($D$127:$D$130,"Filled")</f>
        <v>3</v>
      </c>
      <c r="H26" s="1773">
        <f>COUNTIFS($D$127:$D$130,"Vacant")</f>
        <v>1</v>
      </c>
      <c r="I26" s="1773">
        <f>COUNTIFS($D$127:$D$130,"Vacant",$E$127:$E$130,"Hire")</f>
        <v>1</v>
      </c>
      <c r="J26" s="1773">
        <f>COUNTIFS($E$127:$E$130,"Offshore")</f>
        <v>0</v>
      </c>
      <c r="K26" s="1773">
        <f>COUNTIFS($E$127:$E$130,"Hold")</f>
        <v>0</v>
      </c>
      <c r="L26" s="1773">
        <f>$F26-$K26</f>
        <v>4</v>
      </c>
      <c r="M26" s="1538" t="str">
        <f>"-"</f>
        <v>-</v>
      </c>
      <c r="N26" s="1772">
        <f>SUMIFS('REVIEW - Complete Role Mapping'!$AA$2:$AA$528,'REVIEW - Complete Role Mapping'!$AJ$2:$AJ$528,$C$3,'REVIEW - Complete Role Mapping'!$AT$2:$AT$528,$B26)/1000000</f>
        <v>0.816085638</v>
      </c>
      <c r="O26" s="1538" t="str">
        <f>"-"</f>
        <v>-</v>
      </c>
      <c r="P26" s="1772">
        <f>SUM($G$127:$G$130)/1000000</f>
        <v>0.816085638</v>
      </c>
      <c r="Q26" s="1538" t="str">
        <f>"-"</f>
        <v>-</v>
      </c>
    </row>
    <row r="27">
      <c r="B27" s="1534" t="inlineStr">
        <is>
          <t>Overhead roles total</t>
        </is>
      </c>
      <c r="C27" s="1534" t="n"/>
      <c r="D27" s="1534" t="n"/>
      <c r="E27" s="1783">
        <f>SUM(E24:E26)</f>
        <v>0</v>
      </c>
      <c r="F27" s="1775">
        <f>SUM(F24:F26)</f>
        <v>8</v>
      </c>
      <c r="G27" s="1775">
        <f>SUM(G24:G26)</f>
        <v>7</v>
      </c>
      <c r="H27" s="1775">
        <f>SUM(H24:H26)</f>
        <v>1</v>
      </c>
      <c r="I27" s="1775">
        <f>SUM(I24:I26)</f>
        <v>1</v>
      </c>
      <c r="J27" s="1775">
        <f>SUM(J24:J26)</f>
        <v>0</v>
      </c>
      <c r="K27" s="1775">
        <f>SUM(K24:K26)</f>
        <v>0</v>
      </c>
      <c r="L27" s="1775">
        <f>SUM(L24:L26)</f>
        <v>8</v>
      </c>
      <c r="M27" s="1774">
        <f>SUM(M24:M26)</f>
        <v>0</v>
      </c>
      <c r="N27" s="1774">
        <f>SUM(N24:N26)</f>
        <v>1.772972838</v>
      </c>
      <c r="O27" s="1774">
        <f>SUM(O24:O26)</f>
        <v>0</v>
      </c>
      <c r="P27" s="1774">
        <f>SUM(P24:P26)</f>
        <v>1.772972838</v>
      </c>
      <c r="Q27" s="1774">
        <f>SUM(Q24:Q26)</f>
        <v>0</v>
      </c>
    </row>
    <row r="28"/>
    <row r="29">
      <c r="B29" s="1539" t="inlineStr">
        <is>
          <t>Total portfolio</t>
        </is>
      </c>
      <c r="C29" s="1539" t="n"/>
      <c r="D29" s="1539" t="n"/>
      <c r="E29" s="1784">
        <f>N(E14)+N(E20)+N(E27)</f>
        <v>57</v>
      </c>
      <c r="F29" s="1777">
        <f>N(F14)+N(F20)+N(F27)</f>
        <v>83</v>
      </c>
      <c r="G29" s="1777">
        <f>N(G14)+N(G20)+N(G27)</f>
        <v>70</v>
      </c>
      <c r="H29" s="1777">
        <f>N(H14)+N(H20)+N(H27)</f>
        <v>13</v>
      </c>
      <c r="I29" s="1777">
        <f>N(I14)+N(I20)+N(I27)</f>
        <v>13</v>
      </c>
      <c r="J29" s="1777">
        <f>N(J14)+N(J20)+N(J27)</f>
        <v>0</v>
      </c>
      <c r="K29" s="1777">
        <f>N(K14)+N(K20)+N(K27)</f>
        <v>0</v>
      </c>
      <c r="L29" s="1777">
        <f>N(L14)+N(L20)+N(L27)</f>
        <v>83</v>
      </c>
      <c r="M29" s="1776">
        <f>N(M14)+N(M20)+N(M27)</f>
        <v>14.268135308</v>
      </c>
      <c r="N29" s="1776">
        <f>N(N14)+N(N20)+N(N27)</f>
        <v>17.12686714</v>
      </c>
      <c r="O29" s="1776">
        <f>N(O14)+N(O20)+N(O27)</f>
        <v>0.037509</v>
      </c>
      <c r="P29" s="1776">
        <f>N(P14)+N(P20)+N(P27)</f>
        <v>17.12686714</v>
      </c>
      <c r="Q29" s="1776">
        <f>N(Q14)+N(Q20)+N(Q27)</f>
        <v>0.037509</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Customer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45" t="inlineStr">
        <is>
          <t>Ampol App</t>
        </is>
      </c>
      <c r="C36" s="1545" t="str">
        <f>COUNTA($B$37:$B$50)&amp;IF(COUNTA($B$37:$B$50)=1," role"," roles")</f>
        <v>14 roles</v>
      </c>
      <c r="D36" s="1545" t="n"/>
      <c r="E36" s="1545" t="n"/>
      <c r="F36" s="1785">
        <f>SUM(F37:F50)</f>
        <v>3360592.33</v>
      </c>
      <c r="G36" s="1785">
        <f>SUM(G37:G50)</f>
        <v>3360592.33</v>
      </c>
    </row>
    <row r="37">
      <c r="B37" s="1530" t="str">
        <f>INDEX('REVIEW - Complete Role Mapping'!$B:$B,112)</f>
        <v>Alisha Allport</v>
      </c>
      <c r="C37" s="1530" t="str">
        <f>INDEX('REVIEW - Complete Role Mapping'!$C:$C,112)</f>
        <v>Principal Experience Designer</v>
      </c>
      <c r="D37" s="1530" t="str">
        <f>INDEX('REVIEW - Complete Role Mapping'!$AK:$AK,112)</f>
        <v>Filled</v>
      </c>
      <c r="E37" s="1547" t="inlineStr">
        <is>
          <t>Filled</t>
        </is>
      </c>
      <c r="F37" s="1773">
        <f>INDEX('REVIEW - Complete Role Mapping'!$AA:$AA,112)</f>
        <v>146464.7</v>
      </c>
      <c r="G37" s="1773">
        <f>$F37*IFERROR(INDEX(Lists!$AD:$AD,MATCH($E37,Lists!$AC:$AC,0)),1)</f>
        <v>146464.7</v>
      </c>
    </row>
    <row r="38">
      <c r="B38" s="1530" t="str">
        <f>INDEX('REVIEW - Complete Role Mapping'!$B:$B,116)</f>
        <v>Annabel Phu</v>
      </c>
      <c r="C38" s="1530" t="str">
        <f>INDEX('REVIEW - Complete Role Mapping'!$C:$C,116)</f>
        <v>Engineer - Mobile</v>
      </c>
      <c r="D38" s="1530" t="str">
        <f>INDEX('REVIEW - Complete Role Mapping'!$AK:$AK,116)</f>
        <v>Filled</v>
      </c>
      <c r="E38" s="1547" t="inlineStr">
        <is>
          <t>Filled</t>
        </is>
      </c>
      <c r="F38" s="1773">
        <f>INDEX('REVIEW - Complete Role Mapping'!$AA:$AA,116)</f>
        <v>266400</v>
      </c>
      <c r="G38" s="1773">
        <f>$F38*IFERROR(INDEX(Lists!$AD:$AD,MATCH($E38,Lists!$AC:$AC,0)),1)</f>
        <v>266400</v>
      </c>
    </row>
    <row r="39">
      <c r="B39" s="1530" t="str">
        <f>INDEX('REVIEW - Complete Role Mapping'!$B:$B,119)</f>
        <v>Anup Antony</v>
      </c>
      <c r="C39" s="1530" t="str">
        <f>INDEX('REVIEW - Complete Role Mapping'!$C:$C,119)</f>
        <v>Engineer - BE</v>
      </c>
      <c r="D39" s="1530" t="str">
        <f>INDEX('REVIEW - Complete Role Mapping'!$AK:$AK,119)</f>
        <v>Filled</v>
      </c>
      <c r="E39" s="1547" t="inlineStr">
        <is>
          <t>Filled</t>
        </is>
      </c>
      <c r="F39" s="1773">
        <f>INDEX('REVIEW - Complete Role Mapping'!$AA:$AA,119)</f>
        <v>255300</v>
      </c>
      <c r="G39" s="1773">
        <f>$F39*IFERROR(INDEX(Lists!$AD:$AD,MATCH($E39,Lists!$AC:$AC,0)),1)</f>
        <v>255300</v>
      </c>
    </row>
    <row r="40">
      <c r="B40" s="1530" t="str">
        <f>INDEX('REVIEW - Complete Role Mapping'!$B:$B,122)</f>
        <v>Binumon Mathai</v>
      </c>
      <c r="C40" s="1530" t="str">
        <f>INDEX('REVIEW - Complete Role Mapping'!$C:$C,122)</f>
        <v>Senior Quality Assurance</v>
      </c>
      <c r="D40" s="1530" t="str">
        <f>INDEX('REVIEW - Complete Role Mapping'!$AK:$AK,122)</f>
        <v>Filled</v>
      </c>
      <c r="E40" s="1547" t="inlineStr">
        <is>
          <t>Filled</t>
        </is>
      </c>
      <c r="F40" s="1773">
        <f>INDEX('REVIEW - Complete Role Mapping'!$AA:$AA,122)</f>
        <v>223776</v>
      </c>
      <c r="G40" s="1773">
        <f>$F40*IFERROR(INDEX(Lists!$AD:$AD,MATCH($E40,Lists!$AC:$AC,0)),1)</f>
        <v>223776</v>
      </c>
    </row>
    <row r="41">
      <c r="B41" s="1530" t="str">
        <f>INDEX('REVIEW - Complete Role Mapping'!$B:$B,132)</f>
        <v>Edwin Justin</v>
      </c>
      <c r="C41" s="1530" t="str">
        <f>INDEX('REVIEW - Complete Role Mapping'!$C:$C,132)</f>
        <v>Senior Engineer - BE</v>
      </c>
      <c r="D41" s="1530" t="str">
        <f>INDEX('REVIEW - Complete Role Mapping'!$AK:$AK,132)</f>
        <v>Filled</v>
      </c>
      <c r="E41" s="1547" t="inlineStr">
        <is>
          <t>Filled</t>
        </is>
      </c>
      <c r="F41" s="1773">
        <f>INDEX('REVIEW - Complete Role Mapping'!$AA:$AA,132)</f>
        <v>194789.85</v>
      </c>
      <c r="G41" s="1773">
        <f>$F41*IFERROR(INDEX(Lists!$AD:$AD,MATCH($E41,Lists!$AC:$AC,0)),1)</f>
        <v>194789.85</v>
      </c>
    </row>
    <row r="42">
      <c r="B42" s="1530" t="str">
        <f>INDEX('REVIEW - Complete Role Mapping'!$B:$B,134)</f>
        <v>Ethan Laffan</v>
      </c>
      <c r="C42" s="1530" t="str">
        <f>INDEX('REVIEW - Complete Role Mapping'!$C:$C,134)</f>
        <v>Associate Experience Designer</v>
      </c>
      <c r="D42" s="1530" t="str">
        <f>INDEX('REVIEW - Complete Role Mapping'!$AK:$AK,134)</f>
        <v>Filled</v>
      </c>
      <c r="E42" s="1547" t="inlineStr">
        <is>
          <t>Filled</t>
        </is>
      </c>
      <c r="F42" s="1773">
        <f>INDEX('REVIEW - Complete Role Mapping'!$AA:$AA,134)</f>
        <v>201585</v>
      </c>
      <c r="G42" s="1773">
        <f>$F42*IFERROR(INDEX(Lists!$AD:$AD,MATCH($E42,Lists!$AC:$AC,0)),1)</f>
        <v>201585</v>
      </c>
    </row>
    <row r="43">
      <c r="B43" s="1530" t="str">
        <f>INDEX('REVIEW - Complete Role Mapping'!$B:$B,145)</f>
        <v>Khalid Mahmud</v>
      </c>
      <c r="C43" s="1530" t="str">
        <f>INDEX('REVIEW - Complete Role Mapping'!$C:$C,145)</f>
        <v>Lead Engineer - BE</v>
      </c>
      <c r="D43" s="1530" t="str">
        <f>INDEX('REVIEW - Complete Role Mapping'!$AK:$AK,145)</f>
        <v>Filled</v>
      </c>
      <c r="E43" s="1547" t="inlineStr">
        <is>
          <t>Filled</t>
        </is>
      </c>
      <c r="F43" s="1773">
        <f>INDEX('REVIEW - Complete Role Mapping'!$AA:$AA,145)</f>
        <v>266400</v>
      </c>
      <c r="G43" s="1773">
        <f>$F43*IFERROR(INDEX(Lists!$AD:$AD,MATCH($E43,Lists!$AC:$AC,0)),1)</f>
        <v>266400</v>
      </c>
    </row>
    <row r="44">
      <c r="B44" s="1530" t="str">
        <f>INDEX('REVIEW - Complete Role Mapping'!$B:$B,149)</f>
        <v>Maria Salman</v>
      </c>
      <c r="C44" s="1530" t="str">
        <f>INDEX('REVIEW - Complete Role Mapping'!$C:$C,149)</f>
        <v>Experience Designer</v>
      </c>
      <c r="D44" s="1530" t="str">
        <f>INDEX('REVIEW - Complete Role Mapping'!$AK:$AK,149)</f>
        <v>Filled</v>
      </c>
      <c r="E44" s="1547" t="inlineStr">
        <is>
          <t>Filled</t>
        </is>
      </c>
      <c r="F44" s="1773">
        <f>INDEX('REVIEW - Complete Role Mapping'!$AA:$AA,149)</f>
        <v>240834.48</v>
      </c>
      <c r="G44" s="1773">
        <f>$F44*IFERROR(INDEX(Lists!$AD:$AD,MATCH($E44,Lists!$AC:$AC,0)),1)</f>
        <v>240834.48</v>
      </c>
    </row>
    <row r="45">
      <c r="B45" s="1530" t="str">
        <f>INDEX('REVIEW - Complete Role Mapping'!$B:$B,154)</f>
        <v>Penny Pennisi</v>
      </c>
      <c r="C45" s="1530" t="str">
        <f>INDEX('REVIEW - Complete Role Mapping'!$C:$C,154)</f>
        <v>Delivery Lead</v>
      </c>
      <c r="D45" s="1530" t="str">
        <f>INDEX('REVIEW - Complete Role Mapping'!$AK:$AK,154)</f>
        <v>Filled</v>
      </c>
      <c r="E45" s="1547" t="inlineStr">
        <is>
          <t>Filled</t>
        </is>
      </c>
      <c r="F45" s="1773">
        <f>INDEX('REVIEW - Complete Role Mapping'!$AA:$AA,154)</f>
        <v>299700</v>
      </c>
      <c r="G45" s="1773">
        <f>$F45*IFERROR(INDEX(Lists!$AD:$AD,MATCH($E45,Lists!$AC:$AC,0)),1)</f>
        <v>299700</v>
      </c>
    </row>
    <row r="46">
      <c r="B46" s="1530" t="str">
        <f>INDEX('REVIEW - Complete Role Mapping'!$B:$B,155)</f>
        <v>Peter Lee</v>
      </c>
      <c r="C46" s="1530" t="str">
        <f>INDEX('REVIEW - Complete Role Mapping'!$C:$C,155)</f>
        <v>Snr Business Analyst</v>
      </c>
      <c r="D46" s="1530" t="str">
        <f>INDEX('REVIEW - Complete Role Mapping'!$AK:$AK,155)</f>
        <v>Filled</v>
      </c>
      <c r="E46" s="1547" t="inlineStr">
        <is>
          <t>Filled</t>
        </is>
      </c>
      <c r="F46" s="1773">
        <f>INDEX('REVIEW - Complete Role Mapping'!$AA:$AA,155)</f>
        <v>243984.6</v>
      </c>
      <c r="G46" s="1773">
        <f>$F46*IFERROR(INDEX(Lists!$AD:$AD,MATCH($E46,Lists!$AC:$AC,0)),1)</f>
        <v>243984.6</v>
      </c>
    </row>
    <row r="47">
      <c r="B47" s="1530" t="str">
        <f>INDEX('REVIEW - Complete Role Mapping'!$B:$B,156)</f>
        <v>Phillip Kewley</v>
      </c>
      <c r="C47" s="1530" t="str">
        <f>INDEX('REVIEW - Complete Role Mapping'!$C:$C,156)</f>
        <v>Quality Assurance</v>
      </c>
      <c r="D47" s="1530" t="str">
        <f>INDEX('REVIEW - Complete Role Mapping'!$AK:$AK,156)</f>
        <v>Filled</v>
      </c>
      <c r="E47" s="1547" t="inlineStr">
        <is>
          <t>Filled</t>
        </is>
      </c>
      <c r="F47" s="1773">
        <f>INDEX('REVIEW - Complete Role Mapping'!$AA:$AA,156)</f>
        <v>213600</v>
      </c>
      <c r="G47" s="1773">
        <f>$F47*IFERROR(INDEX(Lists!$AD:$AD,MATCH($E47,Lists!$AC:$AC,0)),1)</f>
        <v>213600</v>
      </c>
    </row>
    <row r="48">
      <c r="B48" s="1530" t="str">
        <f>INDEX('REVIEW - Complete Role Mapping'!$B:$B,157)</f>
        <v>Raj Ganesan</v>
      </c>
      <c r="C48" s="1530" t="str">
        <f>INDEX('REVIEW - Complete Role Mapping'!$C:$C,157)</f>
        <v>Engineer - Mobile (ios)</v>
      </c>
      <c r="D48" s="1530" t="str">
        <f>INDEX('REVIEW - Complete Role Mapping'!$AK:$AK,157)</f>
        <v>Filled</v>
      </c>
      <c r="E48" s="1547" t="inlineStr">
        <is>
          <t>Filled</t>
        </is>
      </c>
      <c r="F48" s="1773">
        <f>INDEX('REVIEW - Complete Role Mapping'!$AA:$AA,157)</f>
        <v>230880</v>
      </c>
      <c r="G48" s="1773">
        <f>$F48*IFERROR(INDEX(Lists!$AD:$AD,MATCH($E48,Lists!$AC:$AC,0)),1)</f>
        <v>230880</v>
      </c>
    </row>
    <row r="49">
      <c r="B49" s="1530" t="str">
        <f>INDEX('REVIEW - Complete Role Mapping'!$B:$B,166)</f>
        <v>Sheetal Karkera</v>
      </c>
      <c r="C49" s="1530" t="str">
        <f>INDEX('REVIEW - Complete Role Mapping'!$C:$C,166)</f>
        <v>Lead Engineer - Mobile</v>
      </c>
      <c r="D49" s="1530" t="str">
        <f>INDEX('REVIEW - Complete Role Mapping'!$AK:$AK,166)</f>
        <v>Filled</v>
      </c>
      <c r="E49" s="1547" t="inlineStr">
        <is>
          <t>Filled</t>
        </is>
      </c>
      <c r="F49" s="1773">
        <f>INDEX('REVIEW - Complete Role Mapping'!$AA:$AA,166)</f>
        <v>301067.45</v>
      </c>
      <c r="G49" s="1773">
        <f>$F49*IFERROR(INDEX(Lists!$AD:$AD,MATCH($E49,Lists!$AC:$AC,0)),1)</f>
        <v>301067.45</v>
      </c>
    </row>
    <row r="50">
      <c r="B50" s="1530" t="str">
        <f>INDEX('REVIEW - Complete Role Mapping'!$B:$B,173)</f>
        <v>Toby Clark</v>
      </c>
      <c r="C50" s="1530" t="str">
        <f>INDEX('REVIEW - Complete Role Mapping'!$C:$C,173)</f>
        <v>Engineer - Mobile (iOS)</v>
      </c>
      <c r="D50" s="1530" t="str">
        <f>INDEX('REVIEW - Complete Role Mapping'!$AK:$AK,173)</f>
        <v>Filled</v>
      </c>
      <c r="E50" s="1547" t="inlineStr">
        <is>
          <t>Filled</t>
        </is>
      </c>
      <c r="F50" s="1773">
        <f>INDEX('REVIEW - Complete Role Mapping'!$AA:$AA,173)</f>
        <v>275810.25</v>
      </c>
      <c r="G50" s="1773">
        <f>$F50*IFERROR(INDEX(Lists!$AD:$AD,MATCH($E50,Lists!$AC:$AC,0)),1)</f>
        <v>275810.25</v>
      </c>
    </row>
    <row r="51">
      <c r="B51" s="1545" t="inlineStr">
        <is>
          <t>Ampol Loyalty &amp; Martech</t>
        </is>
      </c>
      <c r="C51" s="1545" t="str">
        <f>COUNTA($B$52:$B$60)&amp;IF(COUNTA($B$52:$B$60)=1," role"," roles")</f>
        <v>9 roles</v>
      </c>
      <c r="D51" s="1545" t="n"/>
      <c r="E51" s="1545" t="n"/>
      <c r="F51" s="1785">
        <f>SUM(F52:F60)</f>
        <v>1331225.988</v>
      </c>
      <c r="G51" s="1785">
        <f>SUM(G52:G60)</f>
        <v>1331225.988</v>
      </c>
    </row>
    <row r="52">
      <c r="B52" s="1530" t="str">
        <f>INDEX('REVIEW - Complete Role Mapping'!$B:$B,114)</f>
        <v>Angela Gilbert</v>
      </c>
      <c r="C52" s="1530" t="str">
        <f>INDEX('REVIEW - Complete Role Mapping'!$C:$C,114)</f>
        <v>Martech Lead - Dynamics</v>
      </c>
      <c r="D52" s="1530" t="str">
        <f>INDEX('REVIEW - Complete Role Mapping'!$AK:$AK,114)</f>
        <v>Filled</v>
      </c>
      <c r="E52" s="1547" t="inlineStr">
        <is>
          <t>Filled</t>
        </is>
      </c>
      <c r="F52" s="1773">
        <f>INDEX('REVIEW - Complete Role Mapping'!$AA:$AA,114)</f>
        <v>200250</v>
      </c>
      <c r="G52" s="1773">
        <f>$F52*IFERROR(INDEX(Lists!$AD:$AD,MATCH($E52,Lists!$AC:$AC,0)),1)</f>
        <v>200250</v>
      </c>
    </row>
    <row r="53">
      <c r="B53" s="1530" t="str">
        <f>INDEX('REVIEW - Complete Role Mapping'!$B:$B,137)</f>
        <v>Jawad Hassan</v>
      </c>
      <c r="C53" s="1530" t="str">
        <f>INDEX('REVIEW - Complete Role Mapping'!$C:$C,137)</f>
        <v>Engineer Data (Snowflake)</v>
      </c>
      <c r="D53" s="1530" t="str">
        <f>INDEX('REVIEW - Complete Role Mapping'!$AK:$AK,137)</f>
        <v>Filled</v>
      </c>
      <c r="E53" s="1547" t="inlineStr">
        <is>
          <t>Filled</t>
        </is>
      </c>
      <c r="F53" s="1773">
        <f>INDEX('REVIEW - Complete Role Mapping'!$AA:$AA,137)</f>
        <v>202853.25</v>
      </c>
      <c r="G53" s="1773">
        <f>$F53*IFERROR(INDEX(Lists!$AD:$AD,MATCH($E53,Lists!$AC:$AC,0)),1)</f>
        <v>202853.25</v>
      </c>
    </row>
    <row r="54">
      <c r="B54" s="1530" t="str">
        <f>INDEX('REVIEW - Complete Role Mapping'!$B:$B,138)</f>
        <v>Jeremy Xu</v>
      </c>
      <c r="C54" s="1530" t="str">
        <f>INDEX('REVIEW - Complete Role Mapping'!$C:$C,138)</f>
        <v>Data Analyst</v>
      </c>
      <c r="D54" s="1530" t="str">
        <f>INDEX('REVIEW - Complete Role Mapping'!$AK:$AK,138)</f>
        <v>Filled</v>
      </c>
      <c r="E54" s="1547" t="inlineStr">
        <is>
          <t>Filled</t>
        </is>
      </c>
      <c r="F54" s="1773">
        <f>INDEX('REVIEW - Complete Role Mapping'!$AA:$AA,138)</f>
        <v>202853.25</v>
      </c>
      <c r="G54" s="1773">
        <f>$F54*IFERROR(INDEX(Lists!$AD:$AD,MATCH($E54,Lists!$AC:$AC,0)),1)</f>
        <v>202853.25</v>
      </c>
    </row>
    <row r="55">
      <c r="B55" s="1530" t="str">
        <f>INDEX('REVIEW - Complete Role Mapping'!$B:$B,178)</f>
        <v>Vacant</v>
      </c>
      <c r="C55" s="1530" t="str">
        <f>INDEX('REVIEW - Complete Role Mapping'!$C:$C,178)</f>
        <v>Engineer, Software</v>
      </c>
      <c r="D55" s="1530" t="str">
        <f>INDEX('REVIEW - Complete Role Mapping'!$AK:$AK,178)</f>
        <v>Vacant</v>
      </c>
      <c r="E55" s="1547" t="inlineStr">
        <is>
          <t>Hire</t>
        </is>
      </c>
      <c r="F55" s="1773">
        <f>INDEX('REVIEW - Complete Role Mapping'!$AA:$AA,178)</f>
        <v>155676</v>
      </c>
      <c r="G55" s="1773">
        <f>$F55*IFERROR(INDEX(Lists!$AD:$AD,MATCH($E55,Lists!$AC:$AC,0)),1)</f>
        <v>155676</v>
      </c>
    </row>
    <row r="56">
      <c r="B56" s="1530" t="str">
        <f>INDEX('REVIEW - Complete Role Mapping'!$B:$B,179)</f>
        <v>Vacant</v>
      </c>
      <c r="C56" s="1530" t="str">
        <f>INDEX('REVIEW - Complete Role Mapping'!$C:$C,179)</f>
        <v>Snr Engineer, Data</v>
      </c>
      <c r="D56" s="1530" t="str">
        <f>INDEX('REVIEW - Complete Role Mapping'!$AK:$AK,179)</f>
        <v>Vacant</v>
      </c>
      <c r="E56" s="1547" t="inlineStr">
        <is>
          <t>Hire</t>
        </is>
      </c>
      <c r="F56" s="1773">
        <f>INDEX('REVIEW - Complete Role Mapping'!$AA:$AA,179)</f>
        <v>174743.46</v>
      </c>
      <c r="G56" s="1773">
        <f>$F56*IFERROR(INDEX(Lists!$AD:$AD,MATCH($E56,Lists!$AC:$AC,0)),1)</f>
        <v>174743.46</v>
      </c>
    </row>
    <row r="57">
      <c r="B57" s="1530" t="str">
        <f>INDEX('REVIEW - Complete Role Mapping'!$B:$B,180)</f>
        <v>Vacant</v>
      </c>
      <c r="C57" s="1530" t="str">
        <f>INDEX('REVIEW - Complete Role Mapping'!$C:$C,180)</f>
        <v>Solution Architect</v>
      </c>
      <c r="D57" s="1530" t="str">
        <f>INDEX('REVIEW - Complete Role Mapping'!$AK:$AK,180)</f>
        <v>Vacant</v>
      </c>
      <c r="E57" s="1547" t="inlineStr">
        <is>
          <t>Hire</t>
        </is>
      </c>
      <c r="F57" s="1773">
        <f>INDEX('REVIEW - Complete Role Mapping'!$AA:$AA,180)</f>
        <v>75457.8</v>
      </c>
      <c r="G57" s="1773">
        <f>$F57*IFERROR(INDEX(Lists!$AD:$AD,MATCH($E57,Lists!$AC:$AC,0)),1)</f>
        <v>75457.8</v>
      </c>
    </row>
    <row r="58">
      <c r="B58" s="1530" t="str">
        <f>INDEX('REVIEW - Complete Role Mapping'!$B:$B,181)</f>
        <v>Vacant</v>
      </c>
      <c r="C58" s="1530" t="str">
        <f>INDEX('REVIEW - Complete Role Mapping'!$C:$C,181)</f>
        <v>Data Analyst</v>
      </c>
      <c r="D58" s="1530" t="str">
        <f>INDEX('REVIEW - Complete Role Mapping'!$AK:$AK,181)</f>
        <v>Vacant</v>
      </c>
      <c r="E58" s="1547" t="inlineStr">
        <is>
          <t>Hire</t>
        </is>
      </c>
      <c r="F58" s="1773">
        <f>INDEX('REVIEW - Complete Role Mapping'!$AA:$AA,181)</f>
        <v>75457.8</v>
      </c>
      <c r="G58" s="1773">
        <f>$F58*IFERROR(INDEX(Lists!$AD:$AD,MATCH($E58,Lists!$AC:$AC,0)),1)</f>
        <v>75457.8</v>
      </c>
    </row>
    <row r="59">
      <c r="B59" s="1530" t="str">
        <f>INDEX('REVIEW - Complete Role Mapping'!$B:$B,185)</f>
        <v>Vacant</v>
      </c>
      <c r="C59" s="1530" t="str">
        <f>INDEX('REVIEW - Complete Role Mapping'!$C:$C,185)</f>
        <v>QA / Tester / Mid</v>
      </c>
      <c r="D59" s="1530" t="str">
        <f>INDEX('REVIEW - Complete Role Mapping'!$AK:$AK,185)</f>
        <v>Vacant</v>
      </c>
      <c r="E59" s="1547" t="inlineStr">
        <is>
          <t>Hire</t>
        </is>
      </c>
      <c r="F59" s="1773">
        <f>INDEX('REVIEW - Complete Role Mapping'!$AA:$AA,185)</f>
        <v>95579.88</v>
      </c>
      <c r="G59" s="1773">
        <f>$F59*IFERROR(INDEX(Lists!$AD:$AD,MATCH($E59,Lists!$AC:$AC,0)),1)</f>
        <v>95579.88</v>
      </c>
    </row>
    <row r="60">
      <c r="B60" s="1530" t="str">
        <f>INDEX('REVIEW - Complete Role Mapping'!$B:$B,186)</f>
        <v>Vacant</v>
      </c>
      <c r="C60" s="1530" t="str">
        <f>INDEX('REVIEW - Complete Role Mapping'!$C:$C,186)</f>
        <v>Systems Analyst / Mid</v>
      </c>
      <c r="D60" s="1530" t="str">
        <f>INDEX('REVIEW - Complete Role Mapping'!$AK:$AK,186)</f>
        <v>Vacant</v>
      </c>
      <c r="E60" s="1547" t="inlineStr">
        <is>
          <t>Hire</t>
        </is>
      </c>
      <c r="F60" s="1773">
        <f>INDEX('REVIEW - Complete Role Mapping'!$AA:$AA,186)</f>
        <v>148354.548</v>
      </c>
      <c r="G60" s="1773">
        <f>$F60*IFERROR(INDEX(Lists!$AD:$AD,MATCH($E60,Lists!$AC:$AC,0)),1)</f>
        <v>148354.548</v>
      </c>
    </row>
    <row r="61">
      <c r="B61" s="1545" t="inlineStr">
        <is>
          <t>Ampol Web</t>
        </is>
      </c>
      <c r="C61" s="1545" t="str">
        <f>COUNTA($B$62:$B$70)&amp;IF(COUNTA($B$62:$B$70)=1," role"," roles")</f>
        <v>9 roles</v>
      </c>
      <c r="D61" s="1545" t="n"/>
      <c r="E61" s="1545" t="n"/>
      <c r="F61" s="1785">
        <f>SUM(F62:F70)</f>
        <v>1761719.2</v>
      </c>
      <c r="G61" s="1785">
        <f>SUM(G62:G70)</f>
        <v>1761719.2</v>
      </c>
    </row>
    <row r="62">
      <c r="B62" s="1530" t="str">
        <f>INDEX('REVIEW - Complete Role Mapping'!$B:$B,108)</f>
        <v>Aaron Lu</v>
      </c>
      <c r="C62" s="1530" t="str">
        <f>INDEX('REVIEW - Complete Role Mapping'!$C:$C,108)</f>
        <v>Engineer - BE</v>
      </c>
      <c r="D62" s="1530" t="str">
        <f>INDEX('REVIEW - Complete Role Mapping'!$AK:$AK,108)</f>
        <v>Filled</v>
      </c>
      <c r="E62" s="1547" t="inlineStr">
        <is>
          <t>Filled</t>
        </is>
      </c>
      <c r="F62" s="1773">
        <f>INDEX('REVIEW - Complete Role Mapping'!$AA:$AA,108)</f>
        <v>235333.8</v>
      </c>
      <c r="G62" s="1773">
        <f>$F62*IFERROR(INDEX(Lists!$AD:$AD,MATCH($E62,Lists!$AC:$AC,0)),1)</f>
        <v>235333.8</v>
      </c>
    </row>
    <row r="63">
      <c r="B63" s="1530" t="str">
        <f>INDEX('REVIEW - Complete Role Mapping'!$B:$B,120)</f>
        <v>Ashwini Gaikwad</v>
      </c>
      <c r="C63" s="1530" t="str">
        <f>INDEX('REVIEW - Complete Role Mapping'!$C:$C,120)</f>
        <v>Quality Assurance</v>
      </c>
      <c r="D63" s="1530" t="str">
        <f>INDEX('REVIEW - Complete Role Mapping'!$AK:$AK,120)</f>
        <v>Filled</v>
      </c>
      <c r="E63" s="1547" t="inlineStr">
        <is>
          <t>Filled</t>
        </is>
      </c>
      <c r="F63" s="1773">
        <f>INDEX('REVIEW - Complete Role Mapping'!$AA:$AA,120)</f>
        <v>168677.25</v>
      </c>
      <c r="G63" s="1773">
        <f>$F63*IFERROR(INDEX(Lists!$AD:$AD,MATCH($E63,Lists!$AC:$AC,0)),1)</f>
        <v>168677.25</v>
      </c>
    </row>
    <row r="64">
      <c r="B64" s="1530" t="str">
        <f>INDEX('REVIEW - Complete Role Mapping'!$B:$B,128)</f>
        <v>Darwin Morales</v>
      </c>
      <c r="C64" s="1530" t="str">
        <f>INDEX('REVIEW - Complete Role Mapping'!$C:$C,128)</f>
        <v>Snr Engineer - FE</v>
      </c>
      <c r="D64" s="1530" t="str">
        <f>INDEX('REVIEW - Complete Role Mapping'!$AK:$AK,128)</f>
        <v>Filled</v>
      </c>
      <c r="E64" s="1547" t="inlineStr">
        <is>
          <t>Filled</t>
        </is>
      </c>
      <c r="F64" s="1773">
        <f>INDEX('REVIEW - Complete Role Mapping'!$AA:$AA,128)</f>
        <v>243090.15</v>
      </c>
      <c r="G64" s="1773">
        <f>$F64*IFERROR(INDEX(Lists!$AD:$AD,MATCH($E64,Lists!$AC:$AC,0)),1)</f>
        <v>243090.15</v>
      </c>
    </row>
    <row r="65">
      <c r="B65" s="1530" t="str">
        <f>INDEX('REVIEW - Complete Role Mapping'!$B:$B,136)</f>
        <v>Jasper Na</v>
      </c>
      <c r="C65" s="1530" t="str">
        <f>INDEX('REVIEW - Complete Role Mapping'!$C:$C,136)</f>
        <v>Associate Engineer - BE</v>
      </c>
      <c r="D65" s="1530" t="str">
        <f>INDEX('REVIEW - Complete Role Mapping'!$AK:$AK,136)</f>
        <v>Filled</v>
      </c>
      <c r="E65" s="1547" t="inlineStr">
        <is>
          <t>Filled</t>
        </is>
      </c>
      <c r="F65" s="1773">
        <f>INDEX('REVIEW - Complete Role Mapping'!$AA:$AA,136)</f>
        <v>170489.75</v>
      </c>
      <c r="G65" s="1773">
        <f>$F65*IFERROR(INDEX(Lists!$AD:$AD,MATCH($E65,Lists!$AC:$AC,0)),1)</f>
        <v>170489.75</v>
      </c>
    </row>
    <row r="66">
      <c r="B66" s="1530" t="str">
        <f>INDEX('REVIEW - Complete Role Mapping'!$B:$B,140)</f>
        <v>Jin Zhong</v>
      </c>
      <c r="C66" s="1530" t="str">
        <f>INDEX('REVIEW - Complete Role Mapping'!$C:$C,140)</f>
        <v>Lead Engineer - BE</v>
      </c>
      <c r="D66" s="1530" t="str">
        <f>INDEX('REVIEW - Complete Role Mapping'!$AK:$AK,140)</f>
        <v>Filled</v>
      </c>
      <c r="E66" s="1547" t="inlineStr">
        <is>
          <t>Filled</t>
        </is>
      </c>
      <c r="F66" s="1773">
        <f>INDEX('REVIEW - Complete Role Mapping'!$AA:$AA,140)</f>
        <v>202853.25</v>
      </c>
      <c r="G66" s="1773">
        <f>$F66*IFERROR(INDEX(Lists!$AD:$AD,MATCH($E66,Lists!$AC:$AC,0)),1)</f>
        <v>202853.25</v>
      </c>
    </row>
    <row r="67">
      <c r="B67" s="1530" t="str">
        <f>INDEX('REVIEW - Complete Role Mapping'!$B:$B,141)</f>
        <v>Jordan Askwith</v>
      </c>
      <c r="C67" s="1530" t="str">
        <f>INDEX('REVIEW - Complete Role Mapping'!$C:$C,141)</f>
        <v>Solution Architect</v>
      </c>
      <c r="D67" s="1530" t="str">
        <f>INDEX('REVIEW - Complete Role Mapping'!$AK:$AK,141)</f>
        <v>Filled</v>
      </c>
      <c r="E67" s="1547" t="inlineStr">
        <is>
          <t>Filled</t>
        </is>
      </c>
      <c r="F67" s="1773">
        <f>INDEX('REVIEW - Complete Role Mapping'!$AA:$AA,141)</f>
        <v>202853.25</v>
      </c>
      <c r="G67" s="1773">
        <f>$F67*IFERROR(INDEX(Lists!$AD:$AD,MATCH($E67,Lists!$AC:$AC,0)),1)</f>
        <v>202853.25</v>
      </c>
    </row>
    <row r="68">
      <c r="B68" s="1530" t="str">
        <f>INDEX('REVIEW - Complete Role Mapping'!$B:$B,148)</f>
        <v>Lily Fong</v>
      </c>
      <c r="C68" s="1530" t="str">
        <f>INDEX('REVIEW - Complete Role Mapping'!$C:$C,148)</f>
        <v>Snr Business Analyst</v>
      </c>
      <c r="D68" s="1530" t="str">
        <f>INDEX('REVIEW - Complete Role Mapping'!$AK:$AK,148)</f>
        <v>Filled</v>
      </c>
      <c r="E68" s="1547" t="inlineStr">
        <is>
          <t>Filled</t>
        </is>
      </c>
      <c r="F68" s="1773">
        <f>INDEX('REVIEW - Complete Role Mapping'!$AA:$AA,148)</f>
        <v>170489.75</v>
      </c>
      <c r="G68" s="1773">
        <f>$F68*IFERROR(INDEX(Lists!$AD:$AD,MATCH($E68,Lists!$AC:$AC,0)),1)</f>
        <v>170489.75</v>
      </c>
    </row>
    <row r="69">
      <c r="B69" s="1530" t="str">
        <f>INDEX('REVIEW - Complete Role Mapping'!$B:$B,163)</f>
        <v>Saugata Acharya</v>
      </c>
      <c r="C69" s="1530" t="str">
        <f>INDEX('REVIEW - Complete Role Mapping'!$C:$C,163)</f>
        <v>Delivery Lead</v>
      </c>
      <c r="D69" s="1530" t="str">
        <f>INDEX('REVIEW - Complete Role Mapping'!$AK:$AK,163)</f>
        <v>Filled</v>
      </c>
      <c r="E69" s="1547" t="inlineStr">
        <is>
          <t>Filled</t>
        </is>
      </c>
      <c r="F69" s="1773">
        <f>INDEX('REVIEW - Complete Role Mapping'!$AA:$AA,163)</f>
        <v>217914</v>
      </c>
      <c r="G69" s="1773">
        <f>$F69*IFERROR(INDEX(Lists!$AD:$AD,MATCH($E69,Lists!$AC:$AC,0)),1)</f>
        <v>217914</v>
      </c>
    </row>
    <row r="70">
      <c r="B70" s="1530" t="str">
        <f>INDEX('REVIEW - Complete Role Mapping'!$B:$B,190)</f>
        <v>Zohan Sim</v>
      </c>
      <c r="C70" s="1530" t="str">
        <f>INDEX('REVIEW - Complete Role Mapping'!$C:$C,190)</f>
        <v>Engineer - BE</v>
      </c>
      <c r="D70" s="1530" t="str">
        <f>INDEX('REVIEW - Complete Role Mapping'!$AK:$AK,190)</f>
        <v>Filled</v>
      </c>
      <c r="E70" s="1547" t="inlineStr">
        <is>
          <t>Filled</t>
        </is>
      </c>
      <c r="F70" s="1773">
        <f>INDEX('REVIEW - Complete Role Mapping'!$AA:$AA,190)</f>
        <v>150018</v>
      </c>
      <c r="G70" s="1773">
        <f>$F70*IFERROR(INDEX(Lists!$AD:$AD,MATCH($E70,Lists!$AC:$AC,0)),1)</f>
        <v>150018</v>
      </c>
    </row>
    <row r="71">
      <c r="B71" s="1545" t="inlineStr">
        <is>
          <t>Customer AI</t>
        </is>
      </c>
      <c r="C71" s="1545" t="str">
        <f>COUNTA($B$72:$B$73)&amp;IF(COUNTA($B$72:$B$73)=1," role"," roles")</f>
        <v>2 roles</v>
      </c>
      <c r="D71" s="1545" t="n"/>
      <c r="E71" s="1545" t="n"/>
      <c r="F71" s="1785">
        <f>SUM(F72:F73)</f>
        <v>171037.68</v>
      </c>
      <c r="G71" s="1785">
        <f>SUM(G72:G73)</f>
        <v>171037.68</v>
      </c>
    </row>
    <row r="72">
      <c r="B72" s="1530" t="str">
        <f>INDEX('REVIEW - Complete Role Mapping'!$B:$B,174)</f>
        <v>Vacant</v>
      </c>
      <c r="C72" s="1530" t="str">
        <f>INDEX('REVIEW - Complete Role Mapping'!$C:$C,174)</f>
        <v>AI Engineer - Front End</v>
      </c>
      <c r="D72" s="1530" t="str">
        <f>INDEX('REVIEW - Complete Role Mapping'!$AK:$AK,174)</f>
        <v>Vacant</v>
      </c>
      <c r="E72" s="1547" t="inlineStr">
        <is>
          <t>Hire</t>
        </is>
      </c>
      <c r="F72" s="1773">
        <f>INDEX('REVIEW - Complete Role Mapping'!$AA:$AA,174)</f>
        <v>85518.84</v>
      </c>
      <c r="G72" s="1773">
        <f>$F72*IFERROR(INDEX(Lists!$AD:$AD,MATCH($E72,Lists!$AC:$AC,0)),1)</f>
        <v>85518.84</v>
      </c>
    </row>
    <row r="73">
      <c r="B73" s="1530" t="str">
        <f>INDEX('REVIEW - Complete Role Mapping'!$B:$B,175)</f>
        <v>Vacant</v>
      </c>
      <c r="C73" s="1530" t="str">
        <f>INDEX('REVIEW - Complete Role Mapping'!$C:$C,175)</f>
        <v>AI Engineer - Full Stack </v>
      </c>
      <c r="D73" s="1530" t="str">
        <f>INDEX('REVIEW - Complete Role Mapping'!$AK:$AK,175)</f>
        <v>Vacant</v>
      </c>
      <c r="E73" s="1547" t="inlineStr">
        <is>
          <t>Hire</t>
        </is>
      </c>
      <c r="F73" s="1773">
        <f>INDEX('REVIEW - Complete Role Mapping'!$AA:$AA,175)</f>
        <v>85518.84</v>
      </c>
      <c r="G73" s="1773">
        <f>$F73*IFERROR(INDEX(Lists!$AD:$AD,MATCH($E73,Lists!$AC:$AC,0)),1)</f>
        <v>85518.84</v>
      </c>
    </row>
    <row r="74">
      <c r="B74" s="1545" t="inlineStr">
        <is>
          <t>Digital Operations</t>
        </is>
      </c>
      <c r="C74" s="1545" t="str">
        <f>COUNTA($B$75:$B$81)&amp;IF(COUNTA($B$75:$B$81)=1," role"," roles")</f>
        <v>7 roles</v>
      </c>
      <c r="D74" s="1545" t="n"/>
      <c r="E74" s="1545" t="n"/>
      <c r="F74" s="1785">
        <f>SUM(F75:F81)</f>
        <v>1303645.928</v>
      </c>
      <c r="G74" s="1785">
        <f>SUM(G75:G81)</f>
        <v>1303645.928</v>
      </c>
    </row>
    <row r="75">
      <c r="B75" s="1530" t="str">
        <f>INDEX('REVIEW - Complete Role Mapping'!$B:$B,127)</f>
        <v>Daniel Arban</v>
      </c>
      <c r="C75" s="1530" t="str">
        <f>INDEX('REVIEW - Complete Role Mapping'!$C:$C,127)</f>
        <v>Service Delivery Lead</v>
      </c>
      <c r="D75" s="1530" t="str">
        <f>INDEX('REVIEW - Complete Role Mapping'!$AK:$AK,127)</f>
        <v>Filled</v>
      </c>
      <c r="E75" s="1547" t="inlineStr">
        <is>
          <t>Filled</t>
        </is>
      </c>
      <c r="F75" s="1773">
        <f>INDEX('REVIEW - Complete Role Mapping'!$AA:$AA,127)</f>
        <v>248640</v>
      </c>
      <c r="G75" s="1773">
        <f>$F75*IFERROR(INDEX(Lists!$AD:$AD,MATCH($E75,Lists!$AC:$AC,0)),1)</f>
        <v>248640</v>
      </c>
    </row>
    <row r="76">
      <c r="B76" s="1530" t="str">
        <f>INDEX('REVIEW - Complete Role Mapping'!$B:$B,133)</f>
        <v>Emile Violi</v>
      </c>
      <c r="C76" s="1530" t="str">
        <f>INDEX('REVIEW - Complete Role Mapping'!$C:$C,133)</f>
        <v>Engineer - BE</v>
      </c>
      <c r="D76" s="1530" t="str">
        <f>INDEX('REVIEW - Complete Role Mapping'!$AK:$AK,133)</f>
        <v>Filled</v>
      </c>
      <c r="E76" s="1547" t="inlineStr">
        <is>
          <t>Filled</t>
        </is>
      </c>
      <c r="F76" s="1773">
        <f>INDEX('REVIEW - Complete Role Mapping'!$AA:$AA,133)</f>
        <v>154465.188</v>
      </c>
      <c r="G76" s="1773">
        <f>$F76*IFERROR(INDEX(Lists!$AD:$AD,MATCH($E76,Lists!$AC:$AC,0)),1)</f>
        <v>154465.188</v>
      </c>
    </row>
    <row r="77">
      <c r="B77" s="1530" t="str">
        <f>INDEX('REVIEW - Complete Role Mapping'!$B:$B,150)</f>
        <v>Mark Wilson</v>
      </c>
      <c r="C77" s="1530" t="str">
        <f>INDEX('REVIEW - Complete Role Mapping'!$C:$C,150)</f>
        <v>Digital Support Manager (AU)</v>
      </c>
      <c r="D77" s="1530" t="str">
        <f>INDEX('REVIEW - Complete Role Mapping'!$AK:$AK,150)</f>
        <v>Filled</v>
      </c>
      <c r="E77" s="1547" t="inlineStr">
        <is>
          <t>Filled</t>
        </is>
      </c>
      <c r="F77" s="1773">
        <f>INDEX('REVIEW - Complete Role Mapping'!$AA:$AA,150)</f>
        <v>218926.65</v>
      </c>
      <c r="G77" s="1773">
        <f>$F77*IFERROR(INDEX(Lists!$AD:$AD,MATCH($E77,Lists!$AC:$AC,0)),1)</f>
        <v>218926.65</v>
      </c>
    </row>
    <row r="78">
      <c r="B78" s="1530" t="str">
        <f>INDEX('REVIEW - Complete Role Mapping'!$B:$B,169)</f>
        <v>Shreema Das</v>
      </c>
      <c r="C78" s="1530" t="str">
        <f>INDEX('REVIEW - Complete Role Mapping'!$C:$C,169)</f>
        <v>Solution Architect</v>
      </c>
      <c r="D78" s="1530" t="str">
        <f>INDEX('REVIEW - Complete Role Mapping'!$AK:$AK,169)</f>
        <v>Filled</v>
      </c>
      <c r="E78" s="1547" t="inlineStr">
        <is>
          <t>Filled</t>
        </is>
      </c>
      <c r="F78" s="1773">
        <f>INDEX('REVIEW - Complete Role Mapping'!$AA:$AA,169)</f>
        <v>275810.25</v>
      </c>
      <c r="G78" s="1773">
        <f>$F78*IFERROR(INDEX(Lists!$AD:$AD,MATCH($E78,Lists!$AC:$AC,0)),1)</f>
        <v>275810.25</v>
      </c>
    </row>
    <row r="79">
      <c r="B79" s="1530" t="str">
        <f>INDEX('REVIEW - Complete Role Mapping'!$B:$B,182)</f>
        <v>Vacant</v>
      </c>
      <c r="C79" s="1530" t="str">
        <f>INDEX('REVIEW - Complete Role Mapping'!$C:$C,182)</f>
        <v>.NET Back End Developer / Mid</v>
      </c>
      <c r="D79" s="1530" t="str">
        <f>INDEX('REVIEW - Complete Role Mapping'!$AK:$AK,182)</f>
        <v>Vacant</v>
      </c>
      <c r="E79" s="1547" t="inlineStr">
        <is>
          <t>Hire</t>
        </is>
      </c>
      <c r="F79" s="1773">
        <f>INDEX('REVIEW - Complete Role Mapping'!$AA:$AA,182)</f>
        <v>106519.664</v>
      </c>
      <c r="G79" s="1773">
        <f>$F79*IFERROR(INDEX(Lists!$AD:$AD,MATCH($E79,Lists!$AC:$AC,0)),1)</f>
        <v>106519.664</v>
      </c>
    </row>
    <row r="80">
      <c r="B80" s="1530" t="str">
        <f>INDEX('REVIEW - Complete Role Mapping'!$B:$B,183)</f>
        <v>Vacant</v>
      </c>
      <c r="C80" s="1530" t="str">
        <f>INDEX('REVIEW - Complete Role Mapping'!$C:$C,183)</f>
        <v>.NET Back End Developer / Mid</v>
      </c>
      <c r="D80" s="1530" t="str">
        <f>INDEX('REVIEW - Complete Role Mapping'!$AK:$AK,183)</f>
        <v>Vacant</v>
      </c>
      <c r="E80" s="1547" t="inlineStr">
        <is>
          <t>Hire</t>
        </is>
      </c>
      <c r="F80" s="1773">
        <f>INDEX('REVIEW - Complete Role Mapping'!$AA:$AA,183)</f>
        <v>105043.248</v>
      </c>
      <c r="G80" s="1773">
        <f>$F80*IFERROR(INDEX(Lists!$AD:$AD,MATCH($E80,Lists!$AC:$AC,0)),1)</f>
        <v>105043.248</v>
      </c>
    </row>
    <row r="81">
      <c r="B81" s="1530" t="str">
        <f>INDEX('REVIEW - Complete Role Mapping'!$B:$B,184)</f>
        <v>Vacant</v>
      </c>
      <c r="C81" s="1530" t="str">
        <f>INDEX('REVIEW - Complete Role Mapping'!$C:$C,184)</f>
        <v>QA / Tester / Mid</v>
      </c>
      <c r="D81" s="1530" t="str">
        <f>INDEX('REVIEW - Complete Role Mapping'!$AK:$AK,184)</f>
        <v>Vacant</v>
      </c>
      <c r="E81" s="1547" t="inlineStr">
        <is>
          <t>Hire</t>
        </is>
      </c>
      <c r="F81" s="1773">
        <f>INDEX('REVIEW - Complete Role Mapping'!$AA:$AA,184)</f>
        <v>194240.928</v>
      </c>
      <c r="G81" s="1773">
        <f>$F81*IFERROR(INDEX(Lists!$AD:$AD,MATCH($E81,Lists!$AC:$AC,0)),1)</f>
        <v>194240.928</v>
      </c>
    </row>
    <row r="82">
      <c r="B82" s="1545" t="inlineStr">
        <is>
          <t>EGI Customer</t>
        </is>
      </c>
      <c r="C82" s="1545" t="str">
        <f>COUNTA($B$83:$B$92)&amp;IF(COUNTA($B$83:$B$92)=1," role"," roles")</f>
        <v>10 roles</v>
      </c>
      <c r="D82" s="1545" t="n"/>
      <c r="E82" s="1545" t="n"/>
      <c r="F82" s="1785">
        <f>SUM(F83:F92)</f>
        <v>2208135.308</v>
      </c>
      <c r="G82" s="1785">
        <f>SUM(G83:G92)</f>
        <v>2208135.308</v>
      </c>
    </row>
    <row r="83">
      <c r="B83" s="1530" t="str">
        <f>INDEX('REVIEW - Complete Role Mapping'!$B:$B,111)</f>
        <v>Alan Peng</v>
      </c>
      <c r="C83" s="1530" t="str">
        <f>INDEX('REVIEW - Complete Role Mapping'!$C:$C,111)</f>
        <v>Delivery Lead</v>
      </c>
      <c r="D83" s="1530" t="str">
        <f>INDEX('REVIEW - Complete Role Mapping'!$AK:$AK,111)</f>
        <v>Filled</v>
      </c>
      <c r="E83" s="1547" t="inlineStr">
        <is>
          <t>Filled</t>
        </is>
      </c>
      <c r="F83" s="1773">
        <f>INDEX('REVIEW - Complete Role Mapping'!$AA:$AA,111)</f>
        <v>216043.05</v>
      </c>
      <c r="G83" s="1773">
        <f>$F83*IFERROR(INDEX(Lists!$AD:$AD,MATCH($E83,Lists!$AC:$AC,0)),1)</f>
        <v>216043.05</v>
      </c>
    </row>
    <row r="84">
      <c r="B84" s="1530" t="str">
        <f>INDEX('REVIEW - Complete Role Mapping'!$B:$B,115)</f>
        <v>Angie Ng</v>
      </c>
      <c r="C84" s="1530" t="str">
        <f>INDEX('REVIEW - Complete Role Mapping'!$C:$C,115)</f>
        <v>Snr Engineer - BE</v>
      </c>
      <c r="D84" s="1530" t="str">
        <f>INDEX('REVIEW - Complete Role Mapping'!$AK:$AK,115)</f>
        <v>Filled</v>
      </c>
      <c r="E84" s="1547" t="inlineStr">
        <is>
          <t>Filled</t>
        </is>
      </c>
      <c r="F84" s="1773">
        <f>INDEX('REVIEW - Complete Role Mapping'!$AA:$AA,115)</f>
        <v>254958.3</v>
      </c>
      <c r="G84" s="1773">
        <f>$F84*IFERROR(INDEX(Lists!$AD:$AD,MATCH($E84,Lists!$AC:$AC,0)),1)</f>
        <v>254958.3</v>
      </c>
    </row>
    <row r="85">
      <c r="B85" s="1530" t="str">
        <f>INDEX('REVIEW - Complete Role Mapping'!$B:$B,129)</f>
        <v>Dasha Fothergill</v>
      </c>
      <c r="C85" s="1530" t="str">
        <f>INDEX('REVIEW - Complete Role Mapping'!$C:$C,129)</f>
        <v>Data Analyst</v>
      </c>
      <c r="D85" s="1530" t="str">
        <f>INDEX('REVIEW - Complete Role Mapping'!$AK:$AK,129)</f>
        <v>Filled</v>
      </c>
      <c r="E85" s="1547" t="inlineStr">
        <is>
          <t>Filled</t>
        </is>
      </c>
      <c r="F85" s="1773">
        <f>INDEX('REVIEW - Complete Role Mapping'!$AA:$AA,129)</f>
        <v>188492.4</v>
      </c>
      <c r="G85" s="1773">
        <f>$F85*IFERROR(INDEX(Lists!$AD:$AD,MATCH($E85,Lists!$AC:$AC,0)),1)</f>
        <v>188492.4</v>
      </c>
    </row>
    <row r="86">
      <c r="B86" s="1530" t="str">
        <f>INDEX('REVIEW - Complete Role Mapping'!$B:$B,158)</f>
        <v>Ramez Haider</v>
      </c>
      <c r="C86" s="1530" t="str">
        <f>INDEX('REVIEW - Complete Role Mapping'!$C:$C,158)</f>
        <v>Solution Architect</v>
      </c>
      <c r="D86" s="1530" t="str">
        <f>INDEX('REVIEW - Complete Role Mapping'!$AK:$AK,158)</f>
        <v>Filled</v>
      </c>
      <c r="E86" s="1547" t="inlineStr">
        <is>
          <t>Filled</t>
        </is>
      </c>
      <c r="F86" s="1773">
        <f>INDEX('REVIEW - Complete Role Mapping'!$AA:$AA,158)</f>
        <v>247530</v>
      </c>
      <c r="G86" s="1773">
        <f>$F86*IFERROR(INDEX(Lists!$AD:$AD,MATCH($E86,Lists!$AC:$AC,0)),1)</f>
        <v>247530</v>
      </c>
    </row>
    <row r="87">
      <c r="B87" s="1530" t="str">
        <f>INDEX('REVIEW - Complete Role Mapping'!$B:$B,159)</f>
        <v>Rishabh Bhatia</v>
      </c>
      <c r="C87" s="1530" t="str">
        <f>INDEX('REVIEW - Complete Role Mapping'!$C:$C,159)</f>
        <v>Engineer - Mobile (Android)</v>
      </c>
      <c r="D87" s="1530" t="str">
        <f>INDEX('REVIEW - Complete Role Mapping'!$AK:$AK,159)</f>
        <v>Filled</v>
      </c>
      <c r="E87" s="1547" t="inlineStr">
        <is>
          <t>Filled</t>
        </is>
      </c>
      <c r="F87" s="1773">
        <f>INDEX('REVIEW - Complete Role Mapping'!$AA:$AA,159)</f>
        <v>136760</v>
      </c>
      <c r="G87" s="1773">
        <f>$F87*IFERROR(INDEX(Lists!$AD:$AD,MATCH($E87,Lists!$AC:$AC,0)),1)</f>
        <v>136760</v>
      </c>
    </row>
    <row r="88">
      <c r="B88" s="1530" t="str">
        <f>INDEX('REVIEW - Complete Role Mapping'!$B:$B,160)</f>
        <v>Rob Jadrjevic</v>
      </c>
      <c r="C88" s="1530" t="str">
        <f>INDEX('REVIEW - Complete Role Mapping'!$C:$C,160)</f>
        <v>Engineer - BE</v>
      </c>
      <c r="D88" s="1530" t="str">
        <f>INDEX('REVIEW - Complete Role Mapping'!$AK:$AK,160)</f>
        <v>Filled</v>
      </c>
      <c r="E88" s="1547" t="inlineStr">
        <is>
          <t>Filled</t>
        </is>
      </c>
      <c r="F88" s="1773">
        <f>INDEX('REVIEW - Complete Role Mapping'!$AA:$AA,160)</f>
        <v>202853.25</v>
      </c>
      <c r="G88" s="1773">
        <f>$F88*IFERROR(INDEX(Lists!$AD:$AD,MATCH($E88,Lists!$AC:$AC,0)),1)</f>
        <v>202853.25</v>
      </c>
    </row>
    <row r="89">
      <c r="B89" s="1530" t="str">
        <f>INDEX('REVIEW - Complete Role Mapping'!$B:$B,161)</f>
        <v>Safiq Iqbal</v>
      </c>
      <c r="C89" s="1530" t="str">
        <f>INDEX('REVIEW - Complete Role Mapping'!$C:$C,161)</f>
        <v>Principal Engineer</v>
      </c>
      <c r="D89" s="1530" t="str">
        <f>INDEX('REVIEW - Complete Role Mapping'!$AK:$AK,161)</f>
        <v>Filled</v>
      </c>
      <c r="E89" s="1547" t="inlineStr">
        <is>
          <t>Filled</t>
        </is>
      </c>
      <c r="F89" s="1773">
        <f>INDEX('REVIEW - Complete Role Mapping'!$AA:$AA,161)</f>
        <v>213600</v>
      </c>
      <c r="G89" s="1773">
        <f>$F89*IFERROR(INDEX(Lists!$AD:$AD,MATCH($E89,Lists!$AC:$AC,0)),1)</f>
        <v>213600</v>
      </c>
    </row>
    <row r="90">
      <c r="B90" s="1530" t="str">
        <f>INDEX('REVIEW - Complete Role Mapping'!$B:$B,170)</f>
        <v>Sri Balan Raj</v>
      </c>
      <c r="C90" s="1530" t="str">
        <f>INDEX('REVIEW - Complete Role Mapping'!$C:$C,170)</f>
        <v>Business Analyst</v>
      </c>
      <c r="D90" s="1530" t="str">
        <f>INDEX('REVIEW - Complete Role Mapping'!$AK:$AK,170)</f>
        <v>Filled</v>
      </c>
      <c r="E90" s="1547" t="inlineStr">
        <is>
          <t>Filled</t>
        </is>
      </c>
      <c r="F90" s="1773">
        <f>INDEX('REVIEW - Complete Role Mapping'!$AA:$AA,170)</f>
        <v>275810.25</v>
      </c>
      <c r="G90" s="1773">
        <f>$F90*IFERROR(INDEX(Lists!$AD:$AD,MATCH($E90,Lists!$AC:$AC,0)),1)</f>
        <v>275810.25</v>
      </c>
    </row>
    <row r="91">
      <c r="B91" s="1530" t="str">
        <f>INDEX('REVIEW - Complete Role Mapping'!$B:$B,171)</f>
        <v>Swapnil Pithwa</v>
      </c>
      <c r="C91" s="1530" t="str">
        <f>INDEX('REVIEW - Complete Role Mapping'!$C:$C,171)</f>
        <v>Engineer - BE</v>
      </c>
      <c r="D91" s="1530" t="str">
        <f>INDEX('REVIEW - Complete Role Mapping'!$AK:$AK,171)</f>
        <v>Filled</v>
      </c>
      <c r="E91" s="1547" t="inlineStr">
        <is>
          <t>Filled</t>
        </is>
      </c>
      <c r="F91" s="1773">
        <f>INDEX('REVIEW - Complete Role Mapping'!$AA:$AA,171)</f>
        <v>275810.25</v>
      </c>
      <c r="G91" s="1773">
        <f>$F91*IFERROR(INDEX(Lists!$AD:$AD,MATCH($E91,Lists!$AC:$AC,0)),1)</f>
        <v>275810.25</v>
      </c>
    </row>
    <row r="92">
      <c r="B92" s="1530" t="str">
        <f>INDEX('REVIEW - Complete Role Mapping'!$B:$B,187)</f>
        <v>Waheed Malek</v>
      </c>
      <c r="C92" s="1530" t="str">
        <f>INDEX('REVIEW - Complete Role Mapping'!$C:$C,187)</f>
        <v>Quality Assurance</v>
      </c>
      <c r="D92" s="1530" t="str">
        <f>INDEX('REVIEW - Complete Role Mapping'!$AK:$AK,187)</f>
        <v>Filled</v>
      </c>
      <c r="E92" s="1547" t="inlineStr">
        <is>
          <t>Filled</t>
        </is>
      </c>
      <c r="F92" s="1773">
        <f>INDEX('REVIEW - Complete Role Mapping'!$AA:$AA,187)</f>
        <v>196277.808</v>
      </c>
      <c r="G92" s="1773">
        <f>$F92*IFERROR(INDEX(Lists!$AD:$AD,MATCH($E92,Lists!$AC:$AC,0)),1)</f>
        <v>196277.808</v>
      </c>
    </row>
    <row r="93">
      <c r="B93" s="1545" t="inlineStr">
        <is>
          <t>Leadership</t>
        </is>
      </c>
      <c r="C93" s="1545" t="str">
        <f>COUNTA($B$94:$B$98)&amp;IF(COUNTA($B$94:$B$98)=1," role"," roles")</f>
        <v>5 roles</v>
      </c>
      <c r="D93" s="1545" t="n"/>
      <c r="E93" s="1545" t="n"/>
      <c r="F93" s="1785">
        <f>SUM(F94:F98)</f>
        <v>1048250.048</v>
      </c>
      <c r="G93" s="1785">
        <f>SUM(G94:G98)</f>
        <v>1048250.048</v>
      </c>
    </row>
    <row r="94">
      <c r="B94" s="1530" t="str">
        <f>INDEX('REVIEW - Complete Role Mapping'!$B:$B,109)</f>
        <v>Abhilash Reddy</v>
      </c>
      <c r="C94" s="1530" t="str">
        <f>INDEX('REVIEW - Complete Role Mapping'!$C:$C,109)</f>
        <v>Project Manager</v>
      </c>
      <c r="D94" s="1530" t="str">
        <f>INDEX('REVIEW - Complete Role Mapping'!$AK:$AK,109)</f>
        <v>Filled</v>
      </c>
      <c r="E94" s="1547" t="inlineStr">
        <is>
          <t>Filled</t>
        </is>
      </c>
      <c r="F94" s="1773">
        <f>INDEX('REVIEW - Complete Role Mapping'!$AA:$AA,109)</f>
        <v>266400</v>
      </c>
      <c r="G94" s="1773">
        <f>$F94*IFERROR(INDEX(Lists!$AD:$AD,MATCH($E94,Lists!$AC:$AC,0)),1)</f>
        <v>266400</v>
      </c>
    </row>
    <row r="95">
      <c r="B95" s="1530" t="str">
        <f>INDEX('REVIEW - Complete Role Mapping'!$B:$B,123)</f>
        <v>Byron Thornhill</v>
      </c>
      <c r="C95" s="1530" t="str">
        <f>INDEX('REVIEW - Complete Role Mapping'!$C:$C,123)</f>
        <v>Design Manager</v>
      </c>
      <c r="D95" s="1530" t="str">
        <f>INDEX('REVIEW - Complete Role Mapping'!$AK:$AK,123)</f>
        <v>Filled</v>
      </c>
      <c r="E95" s="1547" t="inlineStr">
        <is>
          <t>Filled</t>
        </is>
      </c>
      <c r="F95" s="1773">
        <f>INDEX('REVIEW - Complete Role Mapping'!$AA:$AA,123)</f>
        <v>157668.5</v>
      </c>
      <c r="G95" s="1773">
        <f>$F95*IFERROR(INDEX(Lists!$AD:$AD,MATCH($E95,Lists!$AC:$AC,0)),1)</f>
        <v>157668.5</v>
      </c>
    </row>
    <row r="96">
      <c r="B96" s="1530" t="str">
        <f>INDEX('REVIEW - Complete Role Mapping'!$B:$B,126)</f>
        <v>Christian Lazano</v>
      </c>
      <c r="C96" s="1530" t="str">
        <f>INDEX('REVIEW - Complete Role Mapping'!$C:$C,126)</f>
        <v>Business Analyst</v>
      </c>
      <c r="D96" s="1530" t="str">
        <f>INDEX('REVIEW - Complete Role Mapping'!$AK:$AK,126)</f>
        <v>Filled</v>
      </c>
      <c r="E96" s="1547" t="inlineStr">
        <is>
          <t>Filled</t>
        </is>
      </c>
      <c r="F96" s="1773">
        <f>INDEX('REVIEW - Complete Role Mapping'!$AA:$AA,126)</f>
        <v>266400</v>
      </c>
      <c r="G96" s="1773">
        <f>$F96*IFERROR(INDEX(Lists!$AD:$AD,MATCH($E96,Lists!$AC:$AC,0)),1)</f>
        <v>266400</v>
      </c>
    </row>
    <row r="97">
      <c r="B97" s="1530" t="str">
        <f>INDEX('REVIEW - Complete Role Mapping'!$B:$B,131)</f>
        <v>Ed Tacey</v>
      </c>
      <c r="C97" s="1530" t="str">
        <f>INDEX('REVIEW - Complete Role Mapping'!$C:$C,131)</f>
        <v>AI Enablement Lead</v>
      </c>
      <c r="D97" s="1530" t="str">
        <f>INDEX('REVIEW - Complete Role Mapping'!$AK:$AK,131)</f>
        <v>Filled</v>
      </c>
      <c r="E97" s="1547" t="inlineStr">
        <is>
          <t>Filled</t>
        </is>
      </c>
      <c r="F97" s="1773">
        <f>INDEX('REVIEW - Complete Role Mapping'!$AA:$AA,131)</f>
        <v>194184.348</v>
      </c>
      <c r="G97" s="1773">
        <f>$F97*IFERROR(INDEX(Lists!$AD:$AD,MATCH($E97,Lists!$AC:$AC,0)),1)</f>
        <v>194184.348</v>
      </c>
    </row>
    <row r="98">
      <c r="B98" s="1530" t="str">
        <f>INDEX('REVIEW - Complete Role Mapping'!$B:$B,177)</f>
        <v>Vacant</v>
      </c>
      <c r="C98" s="1530" t="str">
        <f>INDEX('REVIEW - Complete Role Mapping'!$C:$C,177)</f>
        <v>Program Manager</v>
      </c>
      <c r="D98" s="1530" t="str">
        <f>INDEX('REVIEW - Complete Role Mapping'!$AK:$AK,177)</f>
        <v>Vacant</v>
      </c>
      <c r="E98" s="1547" t="inlineStr">
        <is>
          <t>Hire</t>
        </is>
      </c>
      <c r="F98" s="1773">
        <f>INDEX('REVIEW - Complete Role Mapping'!$AA:$AA,177)</f>
        <v>163597.2</v>
      </c>
      <c r="G98" s="1773">
        <f>$F98*IFERROR(INDEX(Lists!$AD:$AD,MATCH($E98,Lists!$AC:$AC,0)),1)</f>
        <v>163597.2</v>
      </c>
    </row>
    <row r="99">
      <c r="B99" s="1545" t="inlineStr">
        <is>
          <t>Z App and Web</t>
        </is>
      </c>
      <c r="C99" s="1545" t="str">
        <f>COUNTA($B$100:$B$104)&amp;IF(COUNTA($B$100:$B$104)=1," role"," roles")</f>
        <v>5 roles</v>
      </c>
      <c r="D99" s="1545" t="n"/>
      <c r="E99" s="1545" t="n"/>
      <c r="F99" s="1785">
        <f>SUM(F100:F104)</f>
        <v>1223286.048</v>
      </c>
      <c r="G99" s="1785">
        <f>SUM(G100:G104)</f>
        <v>1223286.048</v>
      </c>
    </row>
    <row r="100">
      <c r="B100" s="1530" t="str">
        <f>INDEX('REVIEW - Complete Role Mapping'!$B:$B,118)</f>
        <v>Ants Jackson</v>
      </c>
      <c r="C100" s="1530" t="str">
        <f>INDEX('REVIEW - Complete Role Mapping'!$C:$C,118)</f>
        <v>Experience Designer</v>
      </c>
      <c r="D100" s="1530" t="str">
        <f>INDEX('REVIEW - Complete Role Mapping'!$AK:$AK,118)</f>
        <v>Filled</v>
      </c>
      <c r="E100" s="1547" t="inlineStr">
        <is>
          <t>Filled</t>
        </is>
      </c>
      <c r="F100" s="1773">
        <f>INDEX('REVIEW - Complete Role Mapping'!$AA:$AA,118)</f>
        <v>220275</v>
      </c>
      <c r="G100" s="1773">
        <f>$F100*IFERROR(INDEX(Lists!$AD:$AD,MATCH($E100,Lists!$AC:$AC,0)),1)</f>
        <v>220275</v>
      </c>
    </row>
    <row r="101">
      <c r="B101" s="1530" t="str">
        <f>INDEX('REVIEW - Complete Role Mapping'!$B:$B,135)</f>
        <v>James Nicolle</v>
      </c>
      <c r="C101" s="1530" t="str">
        <f>INDEX('REVIEW - Complete Role Mapping'!$C:$C,135)</f>
        <v>Delivery Lead</v>
      </c>
      <c r="D101" s="1530" t="str">
        <f>INDEX('REVIEW - Complete Role Mapping'!$AK:$AK,135)</f>
        <v>Filled</v>
      </c>
      <c r="E101" s="1547" t="inlineStr">
        <is>
          <t>Filled</t>
        </is>
      </c>
      <c r="F101" s="1773">
        <f>INDEX('REVIEW - Complete Role Mapping'!$AA:$AA,135)</f>
        <v>202853.25</v>
      </c>
      <c r="G101" s="1773">
        <f>$F101*IFERROR(INDEX(Lists!$AD:$AD,MATCH($E101,Lists!$AC:$AC,0)),1)</f>
        <v>202853.25</v>
      </c>
    </row>
    <row r="102">
      <c r="B102" s="1530" t="str">
        <f>INDEX('REVIEW - Complete Role Mapping'!$B:$B,162)</f>
        <v>Sam Turnball</v>
      </c>
      <c r="C102" s="1530" t="str">
        <f>INDEX('REVIEW - Complete Role Mapping'!$C:$C,162)</f>
        <v>Associate Experience Designer</v>
      </c>
      <c r="D102" s="1530" t="str">
        <f>INDEX('REVIEW - Complete Role Mapping'!$AK:$AK,162)</f>
        <v>Filled</v>
      </c>
      <c r="E102" s="1547" t="inlineStr">
        <is>
          <t>Filled</t>
        </is>
      </c>
      <c r="F102" s="1773">
        <f>INDEX('REVIEW - Complete Role Mapping'!$AA:$AA,162)</f>
        <v>301148.976</v>
      </c>
      <c r="G102" s="1773">
        <f>$F102*IFERROR(INDEX(Lists!$AD:$AD,MATCH($E102,Lists!$AC:$AC,0)),1)</f>
        <v>301148.976</v>
      </c>
    </row>
    <row r="103">
      <c r="B103" s="1530" t="str">
        <f>INDEX('REVIEW - Complete Role Mapping'!$B:$B,165)</f>
        <v>Shane Abrahams</v>
      </c>
      <c r="C103" s="1530" t="str">
        <f>INDEX('REVIEW - Complete Role Mapping'!$C:$C,165)</f>
        <v>Digital Support Manager - NZ</v>
      </c>
      <c r="D103" s="1530" t="str">
        <f>INDEX('REVIEW - Complete Role Mapping'!$AK:$AK,165)</f>
        <v>Filled</v>
      </c>
      <c r="E103" s="1547" t="inlineStr">
        <is>
          <t>Filled</t>
        </is>
      </c>
      <c r="F103" s="1773">
        <f>INDEX('REVIEW - Complete Role Mapping'!$AA:$AA,165)</f>
        <v>223198.572</v>
      </c>
      <c r="G103" s="1773">
        <f>$F103*IFERROR(INDEX(Lists!$AD:$AD,MATCH($E103,Lists!$AC:$AC,0)),1)</f>
        <v>223198.572</v>
      </c>
    </row>
    <row r="104">
      <c r="B104" s="1530" t="str">
        <f>INDEX('REVIEW - Complete Role Mapping'!$B:$B,172)</f>
        <v>Tim Corin</v>
      </c>
      <c r="C104" s="1530" t="str">
        <f>INDEX('REVIEW - Complete Role Mapping'!$C:$C,172)</f>
        <v>Experience Designer</v>
      </c>
      <c r="D104" s="1530" t="str">
        <f>INDEX('REVIEW - Complete Role Mapping'!$AK:$AK,172)</f>
        <v>Filled</v>
      </c>
      <c r="E104" s="1547" t="inlineStr">
        <is>
          <t>Filled</t>
        </is>
      </c>
      <c r="F104" s="1773">
        <f>INDEX('REVIEW - Complete Role Mapping'!$AA:$AA,172)</f>
        <v>275810.25</v>
      </c>
      <c r="G104" s="1773">
        <f>$F104*IFERROR(INDEX(Lists!$AD:$AD,MATCH($E104,Lists!$AC:$AC,0)),1)</f>
        <v>275810.25</v>
      </c>
    </row>
    <row r="105">
      <c r="B105" s="1545" t="inlineStr">
        <is>
          <t>Z Loyalty &amp; Martech</t>
        </is>
      </c>
      <c r="C105" s="1545" t="str">
        <f>COUNTA($B$106:$B$119)&amp;IF(COUNTA($B$106:$B$119)=1," role"," roles")</f>
        <v>14 roles</v>
      </c>
      <c r="D105" s="1545" t="n"/>
      <c r="E105" s="1545" t="n"/>
      <c r="F105" s="1785">
        <f>SUM(F106:F119)</f>
        <v>2946001.772</v>
      </c>
      <c r="G105" s="1785">
        <f>SUM(G106:G119)</f>
        <v>2946001.772</v>
      </c>
    </row>
    <row r="106">
      <c r="B106" s="1530" t="str">
        <f>INDEX('REVIEW - Complete Role Mapping'!$B:$B,117)</f>
        <v>Anthony Gen</v>
      </c>
      <c r="C106" s="1530" t="str">
        <f>INDEX('REVIEW - Complete Role Mapping'!$C:$C,117)</f>
        <v>Data Analyst</v>
      </c>
      <c r="D106" s="1530" t="str">
        <f>INDEX('REVIEW - Complete Role Mapping'!$AK:$AK,117)</f>
        <v>Filled</v>
      </c>
      <c r="E106" s="1547" t="inlineStr">
        <is>
          <t>Filled</t>
        </is>
      </c>
      <c r="F106" s="1773">
        <f>INDEX('REVIEW - Complete Role Mapping'!$AA:$AA,117)</f>
        <v>179198.4</v>
      </c>
      <c r="G106" s="1773">
        <f>$F106*IFERROR(INDEX(Lists!$AD:$AD,MATCH($E106,Lists!$AC:$AC,0)),1)</f>
        <v>179198.4</v>
      </c>
    </row>
    <row r="107">
      <c r="B107" s="1530" t="str">
        <f>INDEX('REVIEW - Complete Role Mapping'!$B:$B,121)</f>
        <v>Bharat Talreja</v>
      </c>
      <c r="C107" s="1530" t="str">
        <f>INDEX('REVIEW - Complete Role Mapping'!$C:$C,121)</f>
        <v>Marketing Technology Lead</v>
      </c>
      <c r="D107" s="1530" t="str">
        <f>INDEX('REVIEW - Complete Role Mapping'!$AK:$AK,121)</f>
        <v>Filled</v>
      </c>
      <c r="E107" s="1547" t="inlineStr">
        <is>
          <t>Filled</t>
        </is>
      </c>
      <c r="F107" s="1773">
        <f>INDEX('REVIEW - Complete Role Mapping'!$AA:$AA,121)</f>
        <v>266400</v>
      </c>
      <c r="G107" s="1773">
        <f>$F107*IFERROR(INDEX(Lists!$AD:$AD,MATCH($E107,Lists!$AC:$AC,0)),1)</f>
        <v>266400</v>
      </c>
    </row>
    <row r="108">
      <c r="B108" s="1530" t="str">
        <f>INDEX('REVIEW - Complete Role Mapping'!$B:$B,124)</f>
        <v>Carianne Monast</v>
      </c>
      <c r="C108" s="1530" t="str">
        <f>INDEX('REVIEW - Complete Role Mapping'!$C:$C,124)</f>
        <v>Martech Specialist</v>
      </c>
      <c r="D108" s="1530" t="str">
        <f>INDEX('REVIEW - Complete Role Mapping'!$AK:$AK,124)</f>
        <v>Filled</v>
      </c>
      <c r="E108" s="1547" t="inlineStr">
        <is>
          <t>Filled</t>
        </is>
      </c>
      <c r="F108" s="1773">
        <f>INDEX('REVIEW - Complete Role Mapping'!$AA:$AA,124)</f>
        <v>207352.2</v>
      </c>
      <c r="G108" s="1773">
        <f>$F108*IFERROR(INDEX(Lists!$AD:$AD,MATCH($E108,Lists!$AC:$AC,0)),1)</f>
        <v>207352.2</v>
      </c>
    </row>
    <row r="109">
      <c r="B109" s="1530" t="str">
        <f>INDEX('REVIEW - Complete Role Mapping'!$B:$B,125)</f>
        <v>Celia Voysey</v>
      </c>
      <c r="C109" s="1530" t="str">
        <f>INDEX('REVIEW - Complete Role Mapping'!$C:$C,125)</f>
        <v>Delivery Lead</v>
      </c>
      <c r="D109" s="1530" t="str">
        <f>INDEX('REVIEW - Complete Role Mapping'!$AK:$AK,125)</f>
        <v>Filled</v>
      </c>
      <c r="E109" s="1547" t="inlineStr">
        <is>
          <t>Filled</t>
        </is>
      </c>
      <c r="F109" s="1773">
        <f>INDEX('REVIEW - Complete Role Mapping'!$AA:$AA,125)</f>
        <v>240300</v>
      </c>
      <c r="G109" s="1773">
        <f>$F109*IFERROR(INDEX(Lists!$AD:$AD,MATCH($E109,Lists!$AC:$AC,0)),1)</f>
        <v>240300</v>
      </c>
    </row>
    <row r="110">
      <c r="B110" s="1530" t="str">
        <f>INDEX('REVIEW - Complete Role Mapping'!$B:$B,130)</f>
        <v>Denise Esguerra</v>
      </c>
      <c r="C110" s="1530" t="str">
        <f>INDEX('REVIEW - Complete Role Mapping'!$C:$C,130)</f>
        <v>Martech Specialist</v>
      </c>
      <c r="D110" s="1530" t="str">
        <f>INDEX('REVIEW - Complete Role Mapping'!$AK:$AK,130)</f>
        <v>Filled</v>
      </c>
      <c r="E110" s="1547" t="inlineStr">
        <is>
          <t>Filled</t>
        </is>
      </c>
      <c r="F110" s="1773">
        <f>INDEX('REVIEW - Complete Role Mapping'!$AA:$AA,130)</f>
        <v>177525</v>
      </c>
      <c r="G110" s="1773">
        <f>$F110*IFERROR(INDEX(Lists!$AD:$AD,MATCH($E110,Lists!$AC:$AC,0)),1)</f>
        <v>177525</v>
      </c>
    </row>
    <row r="111">
      <c r="B111" s="1530" t="str">
        <f>INDEX('REVIEW - Complete Role Mapping'!$B:$B,142)</f>
        <v>Jordan Kettles</v>
      </c>
      <c r="C111" s="1530" t="str">
        <f>INDEX('REVIEW - Complete Role Mapping'!$C:$C,142)</f>
        <v>Engineer, Sotware</v>
      </c>
      <c r="D111" s="1530" t="str">
        <f>INDEX('REVIEW - Complete Role Mapping'!$AK:$AK,142)</f>
        <v>Filled</v>
      </c>
      <c r="E111" s="1547" t="inlineStr">
        <is>
          <t>Filled</t>
        </is>
      </c>
      <c r="F111" s="1773">
        <f>INDEX('REVIEW - Complete Role Mapping'!$AA:$AA,142)</f>
        <v>165860.95</v>
      </c>
      <c r="G111" s="1773">
        <f>$F111*IFERROR(INDEX(Lists!$AD:$AD,MATCH($E111,Lists!$AC:$AC,0)),1)</f>
        <v>165860.95</v>
      </c>
    </row>
    <row r="112">
      <c r="B112" s="1530" t="str">
        <f>INDEX('REVIEW - Complete Role Mapping'!$B:$B,143)</f>
        <v>Kaye Javier</v>
      </c>
      <c r="C112" s="1530" t="str">
        <f>INDEX('REVIEW - Complete Role Mapping'!$C:$C,143)</f>
        <v>QA Analyst</v>
      </c>
      <c r="D112" s="1530" t="str">
        <f>INDEX('REVIEW - Complete Role Mapping'!$AK:$AK,143)</f>
        <v>Filled</v>
      </c>
      <c r="E112" s="1547" t="inlineStr">
        <is>
          <t>Filled</t>
        </is>
      </c>
      <c r="F112" s="1773">
        <f>INDEX('REVIEW - Complete Role Mapping'!$AA:$AA,143)</f>
        <v>214587.9</v>
      </c>
      <c r="G112" s="1773">
        <f>$F112*IFERROR(INDEX(Lists!$AD:$AD,MATCH($E112,Lists!$AC:$AC,0)),1)</f>
        <v>214587.9</v>
      </c>
    </row>
    <row r="113">
      <c r="B113" s="1530" t="str">
        <f>INDEX('REVIEW - Complete Role Mapping'!$B:$B,144)</f>
        <v>Kellie Gathergood</v>
      </c>
      <c r="C113" s="1530" t="str">
        <f>INDEX('REVIEW - Complete Role Mapping'!$C:$C,144)</f>
        <v>Lead Quality Assurance</v>
      </c>
      <c r="D113" s="1530" t="str">
        <f>INDEX('REVIEW - Complete Role Mapping'!$AK:$AK,144)</f>
        <v>Filled</v>
      </c>
      <c r="E113" s="1547" t="inlineStr">
        <is>
          <t>Filled</t>
        </is>
      </c>
      <c r="F113" s="1773">
        <f>INDEX('REVIEW - Complete Role Mapping'!$AA:$AA,144)</f>
        <v>257788.5</v>
      </c>
      <c r="G113" s="1773">
        <f>$F113*IFERROR(INDEX(Lists!$AD:$AD,MATCH($E113,Lists!$AC:$AC,0)),1)</f>
        <v>257788.5</v>
      </c>
    </row>
    <row r="114">
      <c r="B114" s="1530" t="str">
        <f>INDEX('REVIEW - Complete Role Mapping'!$B:$B,146)</f>
        <v>Kishore Ganesan</v>
      </c>
      <c r="C114" s="1530" t="str">
        <f>INDEX('REVIEW - Complete Role Mapping'!$C:$C,146)</f>
        <v>Intermediate Quality Assurance</v>
      </c>
      <c r="D114" s="1530" t="str">
        <f>INDEX('REVIEW - Complete Role Mapping'!$AK:$AK,146)</f>
        <v>Filled</v>
      </c>
      <c r="E114" s="1547" t="inlineStr">
        <is>
          <t>Filled</t>
        </is>
      </c>
      <c r="F114" s="1773">
        <f>INDEX('REVIEW - Complete Role Mapping'!$AA:$AA,146)</f>
        <v>202853.25</v>
      </c>
      <c r="G114" s="1773">
        <f>$F114*IFERROR(INDEX(Lists!$AD:$AD,MATCH($E114,Lists!$AC:$AC,0)),1)</f>
        <v>202853.25</v>
      </c>
    </row>
    <row r="115">
      <c r="B115" s="1530" t="str">
        <f>INDEX('REVIEW - Complete Role Mapping'!$B:$B,151)</f>
        <v>Megan Rodgers</v>
      </c>
      <c r="C115" s="1530" t="str">
        <f>INDEX('REVIEW - Complete Role Mapping'!$C:$C,151)</f>
        <v>Business Analyst</v>
      </c>
      <c r="D115" s="1530" t="str">
        <f>INDEX('REVIEW - Complete Role Mapping'!$AK:$AK,151)</f>
        <v>Filled</v>
      </c>
      <c r="E115" s="1547" t="inlineStr">
        <is>
          <t>Filled</t>
        </is>
      </c>
      <c r="F115" s="1773">
        <f>INDEX('REVIEW - Complete Role Mapping'!$AA:$AA,151)</f>
        <v>138702</v>
      </c>
      <c r="G115" s="1773">
        <f>$F115*IFERROR(INDEX(Lists!$AD:$AD,MATCH($E115,Lists!$AC:$AC,0)),1)</f>
        <v>138702</v>
      </c>
    </row>
    <row r="116">
      <c r="B116" s="1530" t="str">
        <f>INDEX('REVIEW - Complete Role Mapping'!$B:$B,153)</f>
        <v>Nimi Rose</v>
      </c>
      <c r="C116" s="1530" t="str">
        <f>INDEX('REVIEW - Complete Role Mapping'!$C:$C,153)</f>
        <v>Marketing Technology Lead</v>
      </c>
      <c r="D116" s="1530" t="str">
        <f>INDEX('REVIEW - Complete Role Mapping'!$AK:$AK,153)</f>
        <v>Filled</v>
      </c>
      <c r="E116" s="1547" t="inlineStr">
        <is>
          <t>Filled</t>
        </is>
      </c>
      <c r="F116" s="1773">
        <f>INDEX('REVIEW - Complete Role Mapping'!$AA:$AA,153)</f>
        <v>197993.85</v>
      </c>
      <c r="G116" s="1773">
        <f>$F116*IFERROR(INDEX(Lists!$AD:$AD,MATCH($E116,Lists!$AC:$AC,0)),1)</f>
        <v>197993.85</v>
      </c>
    </row>
    <row r="117">
      <c r="B117" s="1530" t="str">
        <f>INDEX('REVIEW - Complete Role Mapping'!$B:$B,164)</f>
        <v>Scott Cullen</v>
      </c>
      <c r="C117" s="1530" t="str">
        <f>INDEX('REVIEW - Complete Role Mapping'!$C:$C,164)</f>
        <v>Engineer, Dev Ops</v>
      </c>
      <c r="D117" s="1530" t="str">
        <f>INDEX('REVIEW - Complete Role Mapping'!$AK:$AK,164)</f>
        <v>Filled</v>
      </c>
      <c r="E117" s="1547" t="inlineStr">
        <is>
          <t>Filled</t>
        </is>
      </c>
      <c r="F117" s="1773">
        <f>INDEX('REVIEW - Complete Role Mapping'!$AA:$AA,164)</f>
        <v>220275</v>
      </c>
      <c r="G117" s="1773">
        <f>$F117*IFERROR(INDEX(Lists!$AD:$AD,MATCH($E117,Lists!$AC:$AC,0)),1)</f>
        <v>220275</v>
      </c>
    </row>
    <row r="118">
      <c r="B118" s="1530" t="str">
        <f>INDEX('REVIEW - Complete Role Mapping'!$B:$B,167)</f>
        <v>Shinal Chamberlain</v>
      </c>
      <c r="C118" s="1530" t="str">
        <f>INDEX('REVIEW - Complete Role Mapping'!$C:$C,167)</f>
        <v>Business Analyst</v>
      </c>
      <c r="D118" s="1530" t="str">
        <f>INDEX('REVIEW - Complete Role Mapping'!$AK:$AK,167)</f>
        <v>Filled</v>
      </c>
      <c r="E118" s="1547" t="inlineStr">
        <is>
          <t>Filled</t>
        </is>
      </c>
      <c r="F118" s="1773">
        <f>INDEX('REVIEW - Complete Role Mapping'!$AA:$AA,167)</f>
        <v>274311.472</v>
      </c>
      <c r="G118" s="1773">
        <f>$F118*IFERROR(INDEX(Lists!$AD:$AD,MATCH($E118,Lists!$AC:$AC,0)),1)</f>
        <v>274311.472</v>
      </c>
    </row>
    <row r="119">
      <c r="B119" s="1530" t="str">
        <f>INDEX('REVIEW - Complete Role Mapping'!$B:$B,188)</f>
        <v>Yash Thakkar</v>
      </c>
      <c r="C119" s="1530" t="str">
        <f>INDEX('REVIEW - Complete Role Mapping'!$C:$C,188)</f>
        <v>Martech Specialist</v>
      </c>
      <c r="D119" s="1530" t="str">
        <f>INDEX('REVIEW - Complete Role Mapping'!$AK:$AK,188)</f>
        <v>Filled</v>
      </c>
      <c r="E119" s="1547" t="inlineStr">
        <is>
          <t>Filled</t>
        </is>
      </c>
      <c r="F119" s="1773">
        <f>INDEX('REVIEW - Complete Role Mapping'!$AA:$AA,188)</f>
        <v>202853.25</v>
      </c>
      <c r="G119" s="1773">
        <f>$F119*IFERROR(INDEX(Lists!$AD:$AD,MATCH($E119,Lists!$AC:$AC,0)),1)</f>
        <v>202853.25</v>
      </c>
    </row>
    <row r="120">
      <c r="B120" s="1545" t="inlineStr">
        <is>
          <t>Head of Technology</t>
        </is>
      </c>
      <c r="C120" s="1545" t="str">
        <f>COUNTA($B$121:$B$122)&amp;IF(COUNTA($B$121:$B$122)=1," role"," roles")</f>
        <v>2 roles</v>
      </c>
      <c r="D120" s="1545" t="n"/>
      <c r="E120" s="1545" t="n"/>
      <c r="F120" s="1785">
        <f>SUM(F121:F122)</f>
        <v>536015.1</v>
      </c>
      <c r="G120" s="1785">
        <f>SUM(G121:G122)</f>
        <v>536015.1</v>
      </c>
    </row>
    <row r="121">
      <c r="B121" s="1530" t="str">
        <f>INDEX('REVIEW - Complete Role Mapping'!$B:$B,113)</f>
        <v>Andy Stewart</v>
      </c>
      <c r="C121" s="1530" t="str">
        <f>INDEX('REVIEW - Complete Role Mapping'!$C:$C,113)</f>
        <v>Head of Technology, Loyalty &amp; Martech</v>
      </c>
      <c r="D121" s="1530" t="str">
        <f>INDEX('REVIEW - Complete Role Mapping'!$AK:$AK,113)</f>
        <v>Filled</v>
      </c>
      <c r="E121" s="1547" t="inlineStr">
        <is>
          <t>Filled</t>
        </is>
      </c>
      <c r="F121" s="1773">
        <f>INDEX('REVIEW - Complete Role Mapping'!$AA:$AA,113)</f>
        <v>260204.85</v>
      </c>
      <c r="G121" s="1773">
        <f>$F121*IFERROR(INDEX(Lists!$AD:$AD,MATCH($E121,Lists!$AC:$AC,0)),1)</f>
        <v>260204.85</v>
      </c>
    </row>
    <row r="122">
      <c r="B122" s="1530" t="str">
        <f>INDEX('REVIEW - Complete Role Mapping'!$B:$B,168)</f>
        <v>Shona Paul</v>
      </c>
      <c r="C122" s="1530" t="str">
        <f>INDEX('REVIEW - Complete Role Mapping'!$C:$C,168)</f>
        <v>Head of Technology - Digital</v>
      </c>
      <c r="D122" s="1530" t="str">
        <f>INDEX('REVIEW - Complete Role Mapping'!$AK:$AK,168)</f>
        <v>Filled</v>
      </c>
      <c r="E122" s="1547" t="inlineStr">
        <is>
          <t>Filled</t>
        </is>
      </c>
      <c r="F122" s="1773">
        <f>INDEX('REVIEW - Complete Role Mapping'!$AA:$AA,168)</f>
        <v>275810.25</v>
      </c>
      <c r="G122" s="1773">
        <f>$F122*IFERROR(INDEX(Lists!$AD:$AD,MATCH($E122,Lists!$AC:$AC,0)),1)</f>
        <v>275810.25</v>
      </c>
    </row>
    <row r="123">
      <c r="B123" s="1545" t="inlineStr">
        <is>
          <t>Delivery Manager</t>
        </is>
      </c>
      <c r="C123" s="1545" t="str">
        <f>COUNTA($B$124:$B$125)&amp;IF(COUNTA($B$124:$B$125)=1," role"," roles")</f>
        <v>2 roles</v>
      </c>
      <c r="D123" s="1545" t="n"/>
      <c r="E123" s="1545" t="n"/>
      <c r="F123" s="1785">
        <f>SUM(F124:F125)</f>
        <v>420872.1</v>
      </c>
      <c r="G123" s="1785">
        <f>SUM(G124:G125)</f>
        <v>420872.1</v>
      </c>
    </row>
    <row r="124">
      <c r="B124" s="1530" t="str">
        <f>INDEX('REVIEW - Complete Role Mapping'!$B:$B,110)</f>
        <v>Adriel Jeyanandhan</v>
      </c>
      <c r="C124" s="1530" t="str">
        <f>INDEX('REVIEW - Complete Role Mapping'!$C:$C,110)</f>
        <v>Delivery Manager</v>
      </c>
      <c r="D124" s="1530" t="str">
        <f>INDEX('REVIEW - Complete Role Mapping'!$AK:$AK,110)</f>
        <v>Filled</v>
      </c>
      <c r="E124" s="1547" t="inlineStr">
        <is>
          <t>Filled</t>
        </is>
      </c>
      <c r="F124" s="1773">
        <f>INDEX('REVIEW - Complete Role Mapping'!$AA:$AA,110)</f>
        <v>218018.85</v>
      </c>
      <c r="G124" s="1773">
        <f>$F124*IFERROR(INDEX(Lists!$AD:$AD,MATCH($E124,Lists!$AC:$AC,0)),1)</f>
        <v>218018.85</v>
      </c>
    </row>
    <row r="125">
      <c r="B125" s="1530" t="str">
        <f>INDEX('REVIEW - Complete Role Mapping'!$B:$B,139)</f>
        <v>Jill Martin</v>
      </c>
      <c r="C125" s="1530" t="str">
        <f>INDEX('REVIEW - Complete Role Mapping'!$C:$C,139)</f>
        <v>Delivery Manager</v>
      </c>
      <c r="D125" s="1530" t="str">
        <f>INDEX('REVIEW - Complete Role Mapping'!$AK:$AK,139)</f>
        <v>Filled</v>
      </c>
      <c r="E125" s="1547" t="inlineStr">
        <is>
          <t>Filled</t>
        </is>
      </c>
      <c r="F125" s="1773">
        <f>INDEX('REVIEW - Complete Role Mapping'!$AA:$AA,139)</f>
        <v>202853.25</v>
      </c>
      <c r="G125" s="1773">
        <f>$F125*IFERROR(INDEX(Lists!$AD:$AD,MATCH($E125,Lists!$AC:$AC,0)),1)</f>
        <v>202853.25</v>
      </c>
    </row>
    <row r="126">
      <c r="B126" s="1545" t="inlineStr">
        <is>
          <t>Technology Manager</t>
        </is>
      </c>
      <c r="C126" s="1545" t="str">
        <f>COUNTA($B$127:$B$130)&amp;IF(COUNTA($B$127:$B$130)=1," role"," roles")</f>
        <v>4 roles</v>
      </c>
      <c r="D126" s="1545" t="n"/>
      <c r="E126" s="1545" t="n"/>
      <c r="F126" s="1785">
        <f>SUM(F127:F130)</f>
        <v>816085.638</v>
      </c>
      <c r="G126" s="1785">
        <f>SUM(G127:G130)</f>
        <v>816085.638</v>
      </c>
    </row>
    <row r="127">
      <c r="B127" s="1530" t="str">
        <f>INDEX('REVIEW - Complete Role Mapping'!$B:$B,147)</f>
        <v>Kris Hamilton</v>
      </c>
      <c r="C127" s="1530" t="str">
        <f>INDEX('REVIEW - Complete Role Mapping'!$C:$C,147)</f>
        <v>Technology Manager - Loyalty &amp; Martech</v>
      </c>
      <c r="D127" s="1530" t="str">
        <f>INDEX('REVIEW - Complete Role Mapping'!$AK:$AK,147)</f>
        <v>Filled</v>
      </c>
      <c r="E127" s="1547" t="inlineStr">
        <is>
          <t>Filled</t>
        </is>
      </c>
      <c r="F127" s="1773">
        <f>INDEX('REVIEW - Complete Role Mapping'!$AA:$AA,147)</f>
        <v>202853.25</v>
      </c>
      <c r="G127" s="1773">
        <f>$F127*IFERROR(INDEX(Lists!$AD:$AD,MATCH($E127,Lists!$AC:$AC,0)),1)</f>
        <v>202853.25</v>
      </c>
    </row>
    <row r="128">
      <c r="B128" s="1530" t="str">
        <f>INDEX('REVIEW - Complete Role Mapping'!$B:$B,152)</f>
        <v>Mitesh Shah</v>
      </c>
      <c r="C128" s="1530" t="str">
        <f>INDEX('REVIEW - Complete Role Mapping'!$C:$C,152)</f>
        <v>Technology Manager - Digital</v>
      </c>
      <c r="D128" s="1530" t="str">
        <f>INDEX('REVIEW - Complete Role Mapping'!$AK:$AK,152)</f>
        <v>Filled</v>
      </c>
      <c r="E128" s="1547" t="inlineStr">
        <is>
          <t>Filled</t>
        </is>
      </c>
      <c r="F128" s="1773">
        <f>INDEX('REVIEW - Complete Role Mapping'!$AA:$AA,152)</f>
        <v>223946.25</v>
      </c>
      <c r="G128" s="1773">
        <f>$F128*IFERROR(INDEX(Lists!$AD:$AD,MATCH($E128,Lists!$AC:$AC,0)),1)</f>
        <v>223946.25</v>
      </c>
    </row>
    <row r="129">
      <c r="B129" s="1530" t="str">
        <f>INDEX('REVIEW - Complete Role Mapping'!$B:$B,176)</f>
        <v>Vacant</v>
      </c>
      <c r="C129" s="1530" t="str">
        <f>INDEX('REVIEW - Complete Role Mapping'!$C:$C,176)</f>
        <v>Technology Manager, Engineering</v>
      </c>
      <c r="D129" s="1530" t="str">
        <f>INDEX('REVIEW - Complete Role Mapping'!$AK:$AK,176)</f>
        <v>Vacant</v>
      </c>
      <c r="E129" s="1547" t="inlineStr">
        <is>
          <t>Hire</t>
        </is>
      </c>
      <c r="F129" s="1773">
        <f>INDEX('REVIEW - Complete Role Mapping'!$AA:$AA,176)</f>
        <v>186432.888</v>
      </c>
      <c r="G129" s="1773">
        <f>$F129*IFERROR(INDEX(Lists!$AD:$AD,MATCH($E129,Lists!$AC:$AC,0)),1)</f>
        <v>186432.888</v>
      </c>
    </row>
    <row r="130">
      <c r="B130" s="1530" t="str">
        <f>INDEX('REVIEW - Complete Role Mapping'!$B:$B,189)</f>
        <v>Zoe Udy</v>
      </c>
      <c r="C130" s="1530" t="str">
        <f>INDEX('REVIEW - Complete Role Mapping'!$C:$C,189)</f>
        <v>Technology Manager - Data &amp; Engineering</v>
      </c>
      <c r="D130" s="1530" t="str">
        <f>INDEX('REVIEW - Complete Role Mapping'!$AK:$AK,189)</f>
        <v>Filled</v>
      </c>
      <c r="E130" s="1547" t="inlineStr">
        <is>
          <t>Filled</t>
        </is>
      </c>
      <c r="F130" s="1773">
        <f>INDEX('REVIEW - Complete Role Mapping'!$AA:$AA,189)</f>
        <v>202853.25</v>
      </c>
      <c r="G130" s="1773">
        <f>$F130*IFERROR(INDEX(Lists!$AD:$AD,MATCH($E130,Lists!$AC:$AC,0)),1)</f>
        <v>202853.25</v>
      </c>
    </row>
  </sheetData>
  <autoFilter ref="B24:G108">
    <sortState ref="B25:G108">
      <sortCondition ref="A25:A108" customList=""/>
    </sortState>
  </autoFilter>
  <dataValidations count="1">
    <dataValidation sqref="E37 E38 E39 E40 E41 E42 E43 E44 E45 E46 E47 E48 E49 E50 E52 E53 E54 E55 E56 E57 E58 E59 E60 E62 E63 E64 E65 E66 E67 E68 E69 E70 E72 E73 E75 E76 E77 E78 E79 E80 E81 E83 E84 E85 E86 E87 E88 E89 E90 E91 E92 E94 E95 E96 E97 E98 E100 E101 E102 E103 E104 E106 E107 E108 E109 E110 E111 E112 E113 E114 E115 E116 E117 E118 E119 E121 E122 E124 E125 E127 E128 E129 E13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62"/>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Platforms</t>
        </is>
      </c>
      <c r="C7" s="1530" t="str">
        <f>IFERROR(INDEX('1.3 Enterprise Data'!$C$25:$C$38,MATCH($B7,'1.3 Enterprise Data'!$B$25:$B$38,0)),"Not on the 1.x tab")</f>
        <v>Enterprise Data and Insights</v>
      </c>
      <c r="D7" s="1530" t="str">
        <f>IFERROR(IF(INDEX('1.3 Enterprise Data'!$D$25:$D$38,MATCH($B7,'1.3 Enterprise Data'!$B$25:$B$38,0))="","-",INDEX('1.3 Enterprise Data'!$D$25:$D$38,MATCH($B7,'1.3 Enterprise Data'!$B$25:$B$38,0))),"-")</f>
        <v>M</v>
      </c>
      <c r="E7" s="1782">
        <f>IFERROR(INDEX('0.3 Squad Archetypes'!$F$5:$F$23,MATCH($C7&amp;"|"&amp;$D7,'0.3 Squad Archetypes'!$A$5:$A$23,0)),"-")</f>
        <v>7.5</v>
      </c>
      <c r="F7" s="1773">
        <f>COUNTA($B$31:$B$39)</f>
        <v>9</v>
      </c>
      <c r="G7" s="1773">
        <f>COUNTIFS($D$31:$D$39,"Filled")</f>
        <v>3</v>
      </c>
      <c r="H7" s="1773">
        <f>COUNTIFS($D$31:$D$39,"Vacant")</f>
        <v>6</v>
      </c>
      <c r="I7" s="1773">
        <f>COUNTIFS($D$31:$D$39,"Vacant",$E$31:$E$39,"Hire")</f>
        <v>6</v>
      </c>
      <c r="J7" s="1773">
        <f>COUNTIFS($E$31:$E$39,"Offshore")</f>
        <v>0</v>
      </c>
      <c r="K7" s="1773">
        <f>COUNTIFS($E$31:$E$39,"Hold")</f>
        <v>0</v>
      </c>
      <c r="L7" s="1773">
        <f>$F7-$K7</f>
        <v>9</v>
      </c>
      <c r="M7" s="1772">
        <f>IFERROR(IF(INDEX('1.3 Enterprise Data'!$E$25:$E$38,MATCH($B7,'1.3 Enterprise Data'!$B$25:$B$38,0))="Offshore",INDEX('0.3 Squad Archetypes'!$H$5:$H$23,MATCH($C7&amp;"|"&amp;$D7,'0.3 Squad Archetypes'!$A$5:$A$23,0)),INDEX('0.3 Squad Archetypes'!$G$5:$G$23,MATCH($C7&amp;"|"&amp;$D7,'0.3 Squad Archetypes'!$A$5:$A$23,0))),"-")</f>
        <v>1.7</v>
      </c>
      <c r="N7" s="1772">
        <f>SUMIFS('REVIEW - Complete Role Mapping'!$AA$2:$AA$528,'REVIEW - Complete Role Mapping'!$AJ$2:$AJ$528,$C$3,'REVIEW - Complete Role Mapping'!$AT$2:$AT$528,$B7)/1000000</f>
        <v>1.786160296</v>
      </c>
      <c r="O7" s="1772">
        <f>IFERROR(ROUND($N7-$M7,6),"-")</f>
        <v>0.08616</v>
      </c>
      <c r="P7" s="1772">
        <f>SUM($G$31:$G$39)/1000000</f>
        <v>1.786160296</v>
      </c>
      <c r="Q7" s="1772">
        <f>IFERROR(ROUND($P7-$M7,6),"-")</f>
        <v>0.08616</v>
      </c>
    </row>
    <row r="8">
      <c r="B8" s="1530" t="inlineStr">
        <is>
          <t>Data Science</t>
        </is>
      </c>
      <c r="C8" s="1530" t="str">
        <f>IFERROR(INDEX('1.3 Enterprise Data'!$C$25:$C$38,MATCH($B8,'1.3 Enterprise Data'!$B$25:$B$38,0)),"Not on the 1.x tab")</f>
        <v>Enterprise Data and Insights</v>
      </c>
      <c r="D8" s="1530" t="str">
        <f>IFERROR(IF(INDEX('1.3 Enterprise Data'!$D$25:$D$38,MATCH($B8,'1.3 Enterprise Data'!$B$25:$B$38,0))="","-",INDEX('1.3 Enterprise Data'!$D$25:$D$38,MATCH($B8,'1.3 Enterprise Data'!$B$25:$B$38,0))),"-")</f>
        <v>S</v>
      </c>
      <c r="E8" s="1782">
        <f>IFERROR(INDEX('0.3 Squad Archetypes'!$F$5:$F$23,MATCH($C8&amp;"|"&amp;$D8,'0.3 Squad Archetypes'!$A$5:$A$23,0)),"-")</f>
        <v>4</v>
      </c>
      <c r="F8" s="1773">
        <f>COUNTA($B$41:$B$44)</f>
        <v>4</v>
      </c>
      <c r="G8" s="1773">
        <f>COUNTIFS($D$41:$D$44,"Filled")</f>
        <v>4</v>
      </c>
      <c r="H8" s="1773">
        <f>COUNTIFS($D$41:$D$44,"Vacant")</f>
        <v>0</v>
      </c>
      <c r="I8" s="1773">
        <f>COUNTIFS($D$41:$D$44,"Vacant",$E$41:$E$44,"Hire")</f>
        <v>0</v>
      </c>
      <c r="J8" s="1773">
        <f>COUNTIFS($E$41:$E$44,"Offshore")</f>
        <v>0</v>
      </c>
      <c r="K8" s="1773">
        <f>COUNTIFS($E$41:$E$44,"Hold")</f>
        <v>0</v>
      </c>
      <c r="L8" s="1773">
        <f>$F8-$K8</f>
        <v>4</v>
      </c>
      <c r="M8" s="1772">
        <f>IFERROR(IF(INDEX('1.3 Enterprise Data'!$E$25:$E$38,MATCH($B8,'1.3 Enterprise Data'!$B$25:$B$38,0))="Offshore",INDEX('0.3 Squad Archetypes'!$H$5:$H$23,MATCH($C8&amp;"|"&amp;$D8,'0.3 Squad Archetypes'!$A$5:$A$23,0)),INDEX('0.3 Squad Archetypes'!$G$5:$G$23,MATCH($C8&amp;"|"&amp;$D8,'0.3 Squad Archetypes'!$A$5:$A$23,0))),"-")</f>
        <v>0.9</v>
      </c>
      <c r="N8" s="1772">
        <f>SUMIFS('REVIEW - Complete Role Mapping'!$AA$2:$AA$528,'REVIEW - Complete Role Mapping'!$AJ$2:$AJ$528,$C$3,'REVIEW - Complete Role Mapping'!$AT$2:$AT$528,$B8)/1000000</f>
        <v>0.80639733</v>
      </c>
      <c r="O8" s="1772">
        <f>IFERROR(ROUND($N8-$M8,6),"-")</f>
        <v>-0.093603</v>
      </c>
      <c r="P8" s="1772">
        <f>SUM($G$41:$G$44)/1000000</f>
        <v>0.80639733</v>
      </c>
      <c r="Q8" s="1772">
        <f>IFERROR(ROUND($P8-$M8,6),"-")</f>
        <v>-0.093603</v>
      </c>
    </row>
    <row r="9">
      <c r="B9" s="1530" t="inlineStr">
        <is>
          <t>Reporting &amp; Analytics</t>
        </is>
      </c>
      <c r="C9" s="1530" t="str">
        <f>IFERROR(INDEX('1.3 Enterprise Data'!$C$25:$C$38,MATCH($B9,'1.3 Enterprise Data'!$B$25:$B$38,0)),"Not on the 1.x tab")</f>
        <v>Enterprise Data and Insights</v>
      </c>
      <c r="D9" s="1530" t="str">
        <f>IFERROR(IF(INDEX('1.3 Enterprise Data'!$D$25:$D$38,MATCH($B9,'1.3 Enterprise Data'!$B$25:$B$38,0))="","-",INDEX('1.3 Enterprise Data'!$D$25:$D$38,MATCH($B9,'1.3 Enterprise Data'!$B$25:$B$38,0))),"-")</f>
        <v>M</v>
      </c>
      <c r="E9" s="1782">
        <f>IFERROR(INDEX('0.3 Squad Archetypes'!$F$5:$F$23,MATCH($C9&amp;"|"&amp;$D9,'0.3 Squad Archetypes'!$A$5:$A$23,0)),"-")</f>
        <v>7.5</v>
      </c>
      <c r="F9" s="1773">
        <f>COUNTA($B$46:$B$57)</f>
        <v>12</v>
      </c>
      <c r="G9" s="1773">
        <f>COUNTIFS($D$46:$D$57,"Filled")</f>
        <v>9</v>
      </c>
      <c r="H9" s="1773">
        <f>COUNTIFS($D$46:$D$57,"Vacant")</f>
        <v>3</v>
      </c>
      <c r="I9" s="1773">
        <f>COUNTIFS($D$46:$D$57,"Vacant",$E$46:$E$57,"Hire")</f>
        <v>3</v>
      </c>
      <c r="J9" s="1773">
        <f>COUNTIFS($E$46:$E$57,"Offshore")</f>
        <v>0</v>
      </c>
      <c r="K9" s="1773">
        <f>COUNTIFS($E$46:$E$57,"Hold")</f>
        <v>0</v>
      </c>
      <c r="L9" s="1773">
        <f>$F9-$K9</f>
        <v>12</v>
      </c>
      <c r="M9" s="1772">
        <f>IFERROR(IF(INDEX('1.3 Enterprise Data'!$E$25:$E$38,MATCH($B9,'1.3 Enterprise Data'!$B$25:$B$38,0))="Offshore",INDEX('0.3 Squad Archetypes'!$H$5:$H$23,MATCH($C9&amp;"|"&amp;$D9,'0.3 Squad Archetypes'!$A$5:$A$23,0)),INDEX('0.3 Squad Archetypes'!$G$5:$G$23,MATCH($C9&amp;"|"&amp;$D9,'0.3 Squad Archetypes'!$A$5:$A$23,0))),"-")</f>
        <v>1.7</v>
      </c>
      <c r="N9" s="1772">
        <f>SUMIFS('REVIEW - Complete Role Mapping'!$AA$2:$AA$528,'REVIEW - Complete Role Mapping'!$AJ$2:$AJ$528,$C$3,'REVIEW - Complete Role Mapping'!$AT$2:$AT$528,$B9)/1000000</f>
        <v>2.7648117</v>
      </c>
      <c r="O9" s="1772">
        <f>IFERROR(ROUND($N9-$M9,6),"-")</f>
        <v>1.064812</v>
      </c>
      <c r="P9" s="1772">
        <f>SUM($G$46:$G$57)/1000000</f>
        <v>2.7648117</v>
      </c>
      <c r="Q9" s="1772">
        <f>IFERROR(ROUND($P9-$M9,6),"-")</f>
        <v>1.064812</v>
      </c>
    </row>
    <row r="10">
      <c r="B10" s="1534" t="inlineStr">
        <is>
          <t>Squads priced by an archetype</t>
        </is>
      </c>
      <c r="C10" s="1534" t="n"/>
      <c r="D10" s="1534" t="n"/>
      <c r="E10" s="1783">
        <f>SUM(E7:E9)</f>
        <v>19</v>
      </c>
      <c r="F10" s="1775">
        <f>SUM(F7:F9)</f>
        <v>25</v>
      </c>
      <c r="G10" s="1775">
        <f>SUM(G7:G9)</f>
        <v>16</v>
      </c>
      <c r="H10" s="1775">
        <f>SUM(H7:H9)</f>
        <v>9</v>
      </c>
      <c r="I10" s="1775">
        <f>SUM(I7:I9)</f>
        <v>9</v>
      </c>
      <c r="J10" s="1775">
        <f>SUM(J7:J9)</f>
        <v>0</v>
      </c>
      <c r="K10" s="1775">
        <f>SUM(K7:K9)</f>
        <v>0</v>
      </c>
      <c r="L10" s="1775">
        <f>SUM(L7:L9)</f>
        <v>25</v>
      </c>
      <c r="M10" s="1774">
        <f>SUM(M7:M9)</f>
        <v>4.3</v>
      </c>
      <c r="N10" s="1774">
        <f>SUM(N7:N9)</f>
        <v>5.357369326</v>
      </c>
      <c r="O10" s="1774">
        <f>SUM(O7:O9)</f>
        <v>1.057369</v>
      </c>
      <c r="P10" s="1774">
        <f>SUM(P7:P9)</f>
        <v>5.357369326</v>
      </c>
      <c r="Q10" s="1774">
        <f>SUM(Q7:Q9)</f>
        <v>1.057369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COUNTA($B$59:$B$59)</f>
        <v>1</v>
      </c>
      <c r="G19" s="1773">
        <f>COUNTIFS($D$59:$D$59,"Filled")</f>
        <v>1</v>
      </c>
      <c r="H19" s="1773">
        <f>COUNTIFS($D$59:$D$59,"Vacant")</f>
        <v>0</v>
      </c>
      <c r="I19" s="1773">
        <f>COUNTIFS($D$59:$D$59,"Vacant",$E$59:$E$59,"Hire")</f>
        <v>0</v>
      </c>
      <c r="J19" s="1773">
        <f>COUNTIFS($E$59:$E$59,"Offshore")</f>
        <v>0</v>
      </c>
      <c r="K19" s="1773">
        <f>COUNTIFS($E$59:$E$59,"Hold")</f>
        <v>0</v>
      </c>
      <c r="L19" s="1773">
        <f>$F19-$K19</f>
        <v>1</v>
      </c>
      <c r="M19" s="1538" t="str">
        <f>"-"</f>
        <v>-</v>
      </c>
      <c r="N19" s="1772">
        <f>SUMIFS('REVIEW - Complete Role Mapping'!$AA$2:$AA$528,'REVIEW - Complete Role Mapping'!$AJ$2:$AJ$528,$C$3,'REVIEW - Complete Role Mapping'!$AT$2:$AT$528,$B19)/1000000</f>
        <v>0.4097557</v>
      </c>
      <c r="O19" s="1538" t="str">
        <f>"-"</f>
        <v>-</v>
      </c>
      <c r="P19" s="1772">
        <f>SUM($G$59:$G$59)/1000000</f>
        <v>0.4097557</v>
      </c>
      <c r="Q19" s="1538" t="str">
        <f>"-"</f>
        <v>-</v>
      </c>
    </row>
    <row r="20">
      <c r="B20" s="1530" t="inlineStr">
        <is>
          <t>Technology Manager</t>
        </is>
      </c>
      <c r="C20" s="1530" t="str">
        <f>"-"</f>
        <v>-</v>
      </c>
      <c r="D20" s="1530" t="str">
        <f>"-"</f>
        <v>-</v>
      </c>
      <c r="E20" s="1538" t="str">
        <f>"-"</f>
        <v>-</v>
      </c>
      <c r="F20" s="1773">
        <f>COUNTA($B$61:$B$62)</f>
        <v>2</v>
      </c>
      <c r="G20" s="1773">
        <f>COUNTIFS($D$61:$D$62,"Filled")</f>
        <v>2</v>
      </c>
      <c r="H20" s="1773">
        <f>COUNTIFS($D$61:$D$62,"Vacant")</f>
        <v>0</v>
      </c>
      <c r="I20" s="1773">
        <f>COUNTIFS($D$61:$D$62,"Vacant",$E$61:$E$62,"Hire")</f>
        <v>0</v>
      </c>
      <c r="J20" s="1773">
        <f>COUNTIFS($E$61:$E$62,"Offshore")</f>
        <v>0</v>
      </c>
      <c r="K20" s="1773">
        <f>COUNTIFS($E$61:$E$62,"Hold")</f>
        <v>0</v>
      </c>
      <c r="L20" s="1773">
        <f>$F20-$K20</f>
        <v>2</v>
      </c>
      <c r="M20" s="1538" t="str">
        <f>"-"</f>
        <v>-</v>
      </c>
      <c r="N20" s="1772">
        <f>SUMIFS('REVIEW - Complete Role Mapping'!$AA$2:$AA$528,'REVIEW - Complete Role Mapping'!$AJ$2:$AJ$528,$C$3,'REVIEW - Complete Role Mapping'!$AT$2:$AT$528,$B20)/1000000</f>
        <v>0.65127875</v>
      </c>
      <c r="O20" s="1538" t="str">
        <f>"-"</f>
        <v>-</v>
      </c>
      <c r="P20" s="1772">
        <f>SUM($G$61:$G$62)/1000000</f>
        <v>0.65127875</v>
      </c>
      <c r="Q20" s="1538" t="str">
        <f>"-"</f>
        <v>-</v>
      </c>
    </row>
    <row r="21">
      <c r="B21" s="1534" t="inlineStr">
        <is>
          <t>Overhead roles total</t>
        </is>
      </c>
      <c r="C21" s="1534" t="n"/>
      <c r="D21" s="1534" t="n"/>
      <c r="E21" s="1783">
        <f>SUM(E19:E20)</f>
        <v>0</v>
      </c>
      <c r="F21" s="1775">
        <f>SUM(F19:F20)</f>
        <v>3</v>
      </c>
      <c r="G21" s="1775">
        <f>SUM(G19:G20)</f>
        <v>3</v>
      </c>
      <c r="H21" s="1775">
        <f>SUM(H19:H20)</f>
        <v>0</v>
      </c>
      <c r="I21" s="1775">
        <f>SUM(I19:I20)</f>
        <v>0</v>
      </c>
      <c r="J21" s="1775">
        <f>SUM(J19:J20)</f>
        <v>0</v>
      </c>
      <c r="K21" s="1775">
        <f>SUM(K19:K20)</f>
        <v>0</v>
      </c>
      <c r="L21" s="1775">
        <f>SUM(L19:L20)</f>
        <v>3</v>
      </c>
      <c r="M21" s="1774">
        <f>SUM(M19:M20)</f>
        <v>0</v>
      </c>
      <c r="N21" s="1774">
        <f>SUM(N19:N20)</f>
        <v>1.06103445</v>
      </c>
      <c r="O21" s="1774">
        <f>SUM(O19:O20)</f>
        <v>0</v>
      </c>
      <c r="P21" s="1774">
        <f>SUM(P19:P20)</f>
        <v>1.06103445</v>
      </c>
      <c r="Q21" s="1774">
        <f>SUM(Q19:Q20)</f>
        <v>0</v>
      </c>
    </row>
    <row r="22"/>
    <row r="23">
      <c r="B23" s="1539" t="inlineStr">
        <is>
          <t>Total portfolio</t>
        </is>
      </c>
      <c r="C23" s="1539" t="n"/>
      <c r="D23" s="1539" t="n"/>
      <c r="E23" s="1784">
        <f>N(E10)+N(E15)+N(E21)</f>
        <v>19</v>
      </c>
      <c r="F23" s="1777">
        <f>N(F10)+N(F15)+N(F21)</f>
        <v>28</v>
      </c>
      <c r="G23" s="1777">
        <f>N(G10)+N(G15)+N(G21)</f>
        <v>19</v>
      </c>
      <c r="H23" s="1777">
        <f>N(H10)+N(H15)+N(H21)</f>
        <v>9</v>
      </c>
      <c r="I23" s="1777">
        <f>N(I10)+N(I15)+N(I21)</f>
        <v>9</v>
      </c>
      <c r="J23" s="1777">
        <f>N(J10)+N(J15)+N(J21)</f>
        <v>0</v>
      </c>
      <c r="K23" s="1777">
        <f>N(K10)+N(K15)+N(K21)</f>
        <v>0</v>
      </c>
      <c r="L23" s="1777">
        <f>N(L10)+N(L15)+N(L21)</f>
        <v>28</v>
      </c>
      <c r="M23" s="1776">
        <f>N(M10)+N(M15)+N(M21)</f>
        <v>4.3</v>
      </c>
      <c r="N23" s="1776">
        <f>N(N10)+N(N15)+N(N21)</f>
        <v>6.418403776</v>
      </c>
      <c r="O23" s="1776">
        <f>N(O10)+N(O15)+N(O21)</f>
        <v>1.057369</v>
      </c>
      <c r="P23" s="1776">
        <f>N(P10)+N(P15)+N(P21)</f>
        <v>6.418403776</v>
      </c>
      <c r="Q23" s="1776">
        <f>N(Q10)+N(Q15)+N(Q21)</f>
        <v>1.057369</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Enterprise Data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Data Platforms</t>
        </is>
      </c>
      <c r="C30" s="1545" t="str">
        <f>COUNTA($B$31:$B$39)&amp;IF(COUNTA($B$31:$B$39)=1," role"," roles")</f>
        <v>9 roles</v>
      </c>
      <c r="D30" s="1545" t="n"/>
      <c r="E30" s="1545" t="n"/>
      <c r="F30" s="1785">
        <f>SUM(F31:F39)</f>
        <v>1786160.296</v>
      </c>
      <c r="G30" s="1785">
        <f>SUM(G31:G39)</f>
        <v>1786160.296</v>
      </c>
    </row>
    <row r="31">
      <c r="B31" s="1530" t="str">
        <f>INDEX('REVIEW - Complete Role Mapping'!$B:$B,284)</f>
        <v>Dinesh Chandrasekaran</v>
      </c>
      <c r="C31" s="1530" t="str">
        <f>INDEX('REVIEW - Complete Role Mapping'!$C:$C,284)</f>
        <v>Lead Engineer (Snowflake)</v>
      </c>
      <c r="D31" s="1530" t="str">
        <f>INDEX('REVIEW - Complete Role Mapping'!$AK:$AK,284)</f>
        <v>Filled</v>
      </c>
      <c r="E31" s="1547" t="inlineStr">
        <is>
          <t>Filled</t>
        </is>
      </c>
      <c r="F31" s="1773">
        <f>INDEX('REVIEW - Complete Role Mapping'!$AA:$AA,284)</f>
        <v>243984.6</v>
      </c>
      <c r="G31" s="1773">
        <f>$F31*IFERROR(INDEX(Lists!$AD:$AD,MATCH($E31,Lists!$AC:$AC,0)),1)</f>
        <v>243984.6</v>
      </c>
    </row>
    <row r="32">
      <c r="B32" s="1530" t="str">
        <f>INDEX('REVIEW - Complete Role Mapping'!$B:$B,307)</f>
        <v>Roozbeh Shahbazirad</v>
      </c>
      <c r="C32" s="1530" t="str">
        <f>INDEX('REVIEW - Complete Role Mapping'!$C:$C,307)</f>
        <v>Lead Engineer</v>
      </c>
      <c r="D32" s="1530" t="str">
        <f>INDEX('REVIEW - Complete Role Mapping'!$AK:$AK,307)</f>
        <v>Filled</v>
      </c>
      <c r="E32" s="1547" t="inlineStr">
        <is>
          <t>Filled</t>
        </is>
      </c>
      <c r="F32" s="1773">
        <f>INDEX('REVIEW - Complete Role Mapping'!$AA:$AA,307)</f>
        <v>204006.636</v>
      </c>
      <c r="G32" s="1773">
        <f>$F32*IFERROR(INDEX(Lists!$AD:$AD,MATCH($E32,Lists!$AC:$AC,0)),1)</f>
        <v>204006.636</v>
      </c>
    </row>
    <row r="33">
      <c r="B33" s="1530" t="str">
        <f>INDEX('REVIEW - Complete Role Mapping'!$B:$B,312)</f>
        <v>Tim Snedden</v>
      </c>
      <c r="C33" s="1530" t="str">
        <f>INDEX('REVIEW - Complete Role Mapping'!$C:$C,312)</f>
        <v>Delivery Lead</v>
      </c>
      <c r="D33" s="1530" t="str">
        <f>INDEX('REVIEW - Complete Role Mapping'!$AK:$AK,312)</f>
        <v>Filled</v>
      </c>
      <c r="E33" s="1547" t="inlineStr">
        <is>
          <t>Filled</t>
        </is>
      </c>
      <c r="F33" s="1773">
        <f>INDEX('REVIEW - Complete Role Mapping'!$AA:$AA,312)</f>
        <v>185776.56</v>
      </c>
      <c r="G33" s="1773">
        <f>$F33*IFERROR(INDEX(Lists!$AD:$AD,MATCH($E33,Lists!$AC:$AC,0)),1)</f>
        <v>185776.56</v>
      </c>
    </row>
    <row r="34">
      <c r="B34" s="1530" t="str">
        <f>INDEX('REVIEW - Complete Role Mapping'!$B:$B,314)</f>
        <v>Vacant</v>
      </c>
      <c r="C34" s="1530" t="str">
        <f>INDEX('REVIEW - Complete Role Mapping'!$C:$C,314)</f>
        <v>Engineer Data  </v>
      </c>
      <c r="D34" s="1530" t="str">
        <f>INDEX('REVIEW - Complete Role Mapping'!$AK:$AK,314)</f>
        <v>Vacant</v>
      </c>
      <c r="E34" s="1547" t="inlineStr">
        <is>
          <t>Hire</t>
        </is>
      </c>
      <c r="F34" s="1773">
        <f>INDEX('REVIEW - Complete Role Mapping'!$AA:$AA,314)</f>
        <v>202853.25</v>
      </c>
      <c r="G34" s="1773">
        <f>$F34*IFERROR(INDEX(Lists!$AD:$AD,MATCH($E34,Lists!$AC:$AC,0)),1)</f>
        <v>202853.25</v>
      </c>
    </row>
    <row r="35">
      <c r="B35" s="1530" t="str">
        <f>INDEX('REVIEW - Complete Role Mapping'!$B:$B,315)</f>
        <v>Vacant</v>
      </c>
      <c r="C35" s="1530" t="str">
        <f>INDEX('REVIEW - Complete Role Mapping'!$C:$C,315)</f>
        <v>Quality Assurance</v>
      </c>
      <c r="D35" s="1530" t="str">
        <f>INDEX('REVIEW - Complete Role Mapping'!$AK:$AK,315)</f>
        <v>Vacant</v>
      </c>
      <c r="E35" s="1547" t="inlineStr">
        <is>
          <t>Hire</t>
        </is>
      </c>
      <c r="F35" s="1773">
        <f>INDEX('REVIEW - Complete Role Mapping'!$AA:$AA,315)</f>
        <v>170489.75</v>
      </c>
      <c r="G35" s="1773">
        <f>$F35*IFERROR(INDEX(Lists!$AD:$AD,MATCH($E35,Lists!$AC:$AC,0)),1)</f>
        <v>170489.75</v>
      </c>
    </row>
    <row r="36">
      <c r="B36" s="1530" t="str">
        <f>INDEX('REVIEW - Complete Role Mapping'!$B:$B,316)</f>
        <v>Vacant</v>
      </c>
      <c r="C36" s="1530" t="str">
        <f>INDEX('REVIEW - Complete Role Mapping'!$C:$C,316)</f>
        <v>Engineer - DevOps</v>
      </c>
      <c r="D36" s="1530" t="str">
        <f>INDEX('REVIEW - Complete Role Mapping'!$AK:$AK,316)</f>
        <v>Vacant</v>
      </c>
      <c r="E36" s="1547" t="inlineStr">
        <is>
          <t>Hire</t>
        </is>
      </c>
      <c r="F36" s="1773">
        <f>INDEX('REVIEW - Complete Role Mapping'!$AA:$AA,316)</f>
        <v>202853.25</v>
      </c>
      <c r="G36" s="1773">
        <f>$F36*IFERROR(INDEX(Lists!$AD:$AD,MATCH($E36,Lists!$AC:$AC,0)),1)</f>
        <v>202853.25</v>
      </c>
    </row>
    <row r="37">
      <c r="B37" s="1530" t="str">
        <f>INDEX('REVIEW - Complete Role Mapping'!$B:$B,317)</f>
        <v>Vacant</v>
      </c>
      <c r="C37" s="1530" t="str">
        <f>INDEX('REVIEW - Complete Role Mapping'!$C:$C,317)</f>
        <v>Business Analyst</v>
      </c>
      <c r="D37" s="1530" t="str">
        <f>INDEX('REVIEW - Complete Role Mapping'!$AK:$AK,317)</f>
        <v>Vacant</v>
      </c>
      <c r="E37" s="1547" t="inlineStr">
        <is>
          <t>Hire</t>
        </is>
      </c>
      <c r="F37" s="1773">
        <f>INDEX('REVIEW - Complete Role Mapping'!$AA:$AA,317)</f>
        <v>202853.25</v>
      </c>
      <c r="G37" s="1773">
        <f>$F37*IFERROR(INDEX(Lists!$AD:$AD,MATCH($E37,Lists!$AC:$AC,0)),1)</f>
        <v>202853.25</v>
      </c>
    </row>
    <row r="38">
      <c r="B38" s="1530" t="str">
        <f>INDEX('REVIEW - Complete Role Mapping'!$B:$B,319)</f>
        <v>Vacant</v>
      </c>
      <c r="C38" s="1530" t="str">
        <f>INDEX('REVIEW - Complete Role Mapping'!$C:$C,319)</f>
        <v>Engineer - Data</v>
      </c>
      <c r="D38" s="1530" t="str">
        <f>INDEX('REVIEW - Complete Role Mapping'!$AK:$AK,319)</f>
        <v>Vacant</v>
      </c>
      <c r="E38" s="1547" t="inlineStr">
        <is>
          <t>Hire</t>
        </is>
      </c>
      <c r="F38" s="1773">
        <f>INDEX('REVIEW - Complete Role Mapping'!$AA:$AA,319)</f>
        <v>202853.25</v>
      </c>
      <c r="G38" s="1773">
        <f>$F38*IFERROR(INDEX(Lists!$AD:$AD,MATCH($E38,Lists!$AC:$AC,0)),1)</f>
        <v>202853.25</v>
      </c>
    </row>
    <row r="39">
      <c r="B39" s="1530" t="str">
        <f>INDEX('REVIEW - Complete Role Mapping'!$B:$B,320)</f>
        <v>Vacant</v>
      </c>
      <c r="C39" s="1530" t="str">
        <f>INDEX('REVIEW - Complete Role Mapping'!$C:$C,320)</f>
        <v>Quality Assurance</v>
      </c>
      <c r="D39" s="1530" t="str">
        <f>INDEX('REVIEW - Complete Role Mapping'!$AK:$AK,320)</f>
        <v>Vacant</v>
      </c>
      <c r="E39" s="1547" t="inlineStr">
        <is>
          <t>Hire</t>
        </is>
      </c>
      <c r="F39" s="1773">
        <f>INDEX('REVIEW - Complete Role Mapping'!$AA:$AA,320)</f>
        <v>170489.75</v>
      </c>
      <c r="G39" s="1773">
        <f>$F39*IFERROR(INDEX(Lists!$AD:$AD,MATCH($E39,Lists!$AC:$AC,0)),1)</f>
        <v>170489.75</v>
      </c>
    </row>
    <row r="40">
      <c r="B40" s="1545" t="inlineStr">
        <is>
          <t>Data Science</t>
        </is>
      </c>
      <c r="C40" s="1545" t="str">
        <f>COUNTA($B$41:$B$44)&amp;IF(COUNTA($B$41:$B$44)=1," role"," roles")</f>
        <v>4 roles</v>
      </c>
      <c r="D40" s="1545" t="n"/>
      <c r="E40" s="1545" t="n"/>
      <c r="F40" s="1785">
        <f>SUM(F41:F44)</f>
        <v>806397.33</v>
      </c>
      <c r="G40" s="1785">
        <f>SUM(G41:G44)</f>
        <v>806397.33</v>
      </c>
    </row>
    <row r="41">
      <c r="B41" s="1530" t="str">
        <f>INDEX('REVIEW - Complete Role Mapping'!$B:$B,281)</f>
        <v>Carol Kuang</v>
      </c>
      <c r="C41" s="1530" t="str">
        <f>INDEX('REVIEW - Complete Role Mapping'!$C:$C,281)</f>
        <v>Senior Data Scientist</v>
      </c>
      <c r="D41" s="1530" t="str">
        <f>INDEX('REVIEW - Complete Role Mapping'!$AK:$AK,281)</f>
        <v>Filled</v>
      </c>
      <c r="E41" s="1547" t="inlineStr">
        <is>
          <t>Filled</t>
        </is>
      </c>
      <c r="F41" s="1773">
        <f>INDEX('REVIEW - Complete Role Mapping'!$AA:$AA,281)</f>
        <v>184871.28</v>
      </c>
      <c r="G41" s="1773">
        <f>$F41*IFERROR(INDEX(Lists!$AD:$AD,MATCH($E41,Lists!$AC:$AC,0)),1)</f>
        <v>184871.28</v>
      </c>
    </row>
    <row r="42">
      <c r="B42" s="1530" t="str">
        <f>INDEX('REVIEW - Complete Role Mapping'!$B:$B,295)</f>
        <v>Om Singh</v>
      </c>
      <c r="C42" s="1530" t="str">
        <f>INDEX('REVIEW - Complete Role Mapping'!$C:$C,295)</f>
        <v>Data Scientist</v>
      </c>
      <c r="D42" s="1530" t="str">
        <f>INDEX('REVIEW - Complete Role Mapping'!$AK:$AK,295)</f>
        <v>Filled</v>
      </c>
      <c r="E42" s="1547" t="inlineStr">
        <is>
          <t>Filled</t>
        </is>
      </c>
      <c r="F42" s="1773">
        <f>INDEX('REVIEW - Complete Role Mapping'!$AA:$AA,295)</f>
        <v>181470</v>
      </c>
      <c r="G42" s="1773">
        <f>$F42*IFERROR(INDEX(Lists!$AD:$AD,MATCH($E42,Lists!$AC:$AC,0)),1)</f>
        <v>181470</v>
      </c>
    </row>
    <row r="43">
      <c r="B43" s="1530" t="str">
        <f>INDEX('REVIEW - Complete Role Mapping'!$B:$B,296)</f>
        <v>Prashant Tataskar</v>
      </c>
      <c r="C43" s="1530" t="str">
        <f>INDEX('REVIEW - Complete Role Mapping'!$C:$C,296)</f>
        <v>Data Scientist</v>
      </c>
      <c r="D43" s="1530" t="str">
        <f>INDEX('REVIEW - Complete Role Mapping'!$AK:$AK,296)</f>
        <v>Filled</v>
      </c>
      <c r="E43" s="1547" t="inlineStr">
        <is>
          <t>Filled</t>
        </is>
      </c>
      <c r="F43" s="1773">
        <f>INDEX('REVIEW - Complete Role Mapping'!$AA:$AA,296)</f>
        <v>208473.6</v>
      </c>
      <c r="G43" s="1773">
        <f>$F43*IFERROR(INDEX(Lists!$AD:$AD,MATCH($E43,Lists!$AC:$AC,0)),1)</f>
        <v>208473.6</v>
      </c>
    </row>
    <row r="44">
      <c r="B44" s="1530" t="str">
        <f>INDEX('REVIEW - Complete Role Mapping'!$B:$B,332)</f>
        <v>Yu Chen</v>
      </c>
      <c r="C44" s="1530" t="str">
        <f>INDEX('REVIEW - Complete Role Mapping'!$C:$C,332)</f>
        <v>Senior Data Scientist</v>
      </c>
      <c r="D44" s="1530" t="str">
        <f>INDEX('REVIEW - Complete Role Mapping'!$AK:$AK,332)</f>
        <v>Filled</v>
      </c>
      <c r="E44" s="1547" t="inlineStr">
        <is>
          <t>Filled</t>
        </is>
      </c>
      <c r="F44" s="1773">
        <f>INDEX('REVIEW - Complete Role Mapping'!$AA:$AA,332)</f>
        <v>231582.45</v>
      </c>
      <c r="G44" s="1773">
        <f>$F44*IFERROR(INDEX(Lists!$AD:$AD,MATCH($E44,Lists!$AC:$AC,0)),1)</f>
        <v>231582.45</v>
      </c>
    </row>
    <row r="45">
      <c r="B45" s="1545" t="inlineStr">
        <is>
          <t>Reporting &amp; Analytics</t>
        </is>
      </c>
      <c r="C45" s="1545" t="str">
        <f>COUNTA($B$46:$B$57)&amp;IF(COUNTA($B$46:$B$57)=1," role"," roles")</f>
        <v>12 roles</v>
      </c>
      <c r="D45" s="1545" t="n"/>
      <c r="E45" s="1545" t="n"/>
      <c r="F45" s="1785">
        <f>SUM(F46:F57)</f>
        <v>2764811.7</v>
      </c>
      <c r="G45" s="1785">
        <f>SUM(G46:G57)</f>
        <v>2764811.7</v>
      </c>
    </row>
    <row r="46">
      <c r="B46" s="1530" t="str">
        <f>INDEX('REVIEW - Complete Role Mapping'!$B:$B,279)</f>
        <v>Abdul Ghaffar</v>
      </c>
      <c r="C46" s="1530" t="str">
        <f>INDEX('REVIEW - Complete Role Mapping'!$C:$C,279)</f>
        <v>Applications Specialist - Demand Planning</v>
      </c>
      <c r="D46" s="1530" t="str">
        <f>INDEX('REVIEW - Complete Role Mapping'!$AK:$AK,279)</f>
        <v>Filled</v>
      </c>
      <c r="E46" s="1547" t="inlineStr">
        <is>
          <t>Filled</t>
        </is>
      </c>
      <c r="F46" s="1773">
        <f>INDEX('REVIEW - Complete Role Mapping'!$AA:$AA,279)</f>
        <v>240300</v>
      </c>
      <c r="G46" s="1773">
        <f>$F46*IFERROR(INDEX(Lists!$AD:$AD,MATCH($E46,Lists!$AC:$AC,0)),1)</f>
        <v>240300</v>
      </c>
    </row>
    <row r="47">
      <c r="B47" s="1530" t="str">
        <f>INDEX('REVIEW - Complete Role Mapping'!$B:$B,280)</f>
        <v>Bobby Mason</v>
      </c>
      <c r="C47" s="1530" t="str">
        <f>INDEX('REVIEW - Complete Role Mapping'!$C:$C,280)</f>
        <v>Reporting Analyst</v>
      </c>
      <c r="D47" s="1530" t="str">
        <f>INDEX('REVIEW - Complete Role Mapping'!$AK:$AK,280)</f>
        <v>Filled</v>
      </c>
      <c r="E47" s="1547" t="inlineStr">
        <is>
          <t>Filled</t>
        </is>
      </c>
      <c r="F47" s="1773">
        <f>INDEX('REVIEW - Complete Role Mapping'!$AA:$AA,280)</f>
        <v>222357.6</v>
      </c>
      <c r="G47" s="1773">
        <f>$F47*IFERROR(INDEX(Lists!$AD:$AD,MATCH($E47,Lists!$AC:$AC,0)),1)</f>
        <v>222357.6</v>
      </c>
    </row>
    <row r="48">
      <c r="B48" s="1530" t="str">
        <f>INDEX('REVIEW - Complete Role Mapping'!$B:$B,290)</f>
        <v>Kina Birkby</v>
      </c>
      <c r="C48" s="1530" t="str">
        <f>INDEX('REVIEW - Complete Role Mapping'!$C:$C,290)</f>
        <v>Delivery Lead</v>
      </c>
      <c r="D48" s="1530" t="str">
        <f>INDEX('REVIEW - Complete Role Mapping'!$AK:$AK,290)</f>
        <v>Filled</v>
      </c>
      <c r="E48" s="1547" t="inlineStr">
        <is>
          <t>Filled</t>
        </is>
      </c>
      <c r="F48" s="1773">
        <f>INDEX('REVIEW - Complete Role Mapping'!$AA:$AA,290)</f>
        <v>263235.3</v>
      </c>
      <c r="G48" s="1773">
        <f>$F48*IFERROR(INDEX(Lists!$AD:$AD,MATCH($E48,Lists!$AC:$AC,0)),1)</f>
        <v>263235.3</v>
      </c>
    </row>
    <row r="49">
      <c r="B49" s="1530" t="str">
        <f>INDEX('REVIEW - Complete Role Mapping'!$B:$B,297)</f>
        <v>Prashanth Krishnankutty</v>
      </c>
      <c r="C49" s="1530" t="str">
        <f>INDEX('REVIEW - Complete Role Mapping'!$C:$C,297)</f>
        <v>Lead Reporting &amp; Insights</v>
      </c>
      <c r="D49" s="1530" t="str">
        <f>INDEX('REVIEW - Complete Role Mapping'!$AK:$AK,297)</f>
        <v>Filled</v>
      </c>
      <c r="E49" s="1547" t="inlineStr">
        <is>
          <t>Filled</t>
        </is>
      </c>
      <c r="F49" s="1773">
        <f>INDEX('REVIEW - Complete Role Mapping'!$AA:$AA,297)</f>
        <v>255372.15</v>
      </c>
      <c r="G49" s="1773">
        <f>$F49*IFERROR(INDEX(Lists!$AD:$AD,MATCH($E49,Lists!$AC:$AC,0)),1)</f>
        <v>255372.15</v>
      </c>
    </row>
    <row r="50">
      <c r="B50" s="1530" t="str">
        <f>INDEX('REVIEW - Complete Role Mapping'!$B:$B,298)</f>
        <v>Rakshit Kaul</v>
      </c>
      <c r="C50" s="1530" t="str">
        <f>INDEX('REVIEW - Complete Role Mapping'!$C:$C,298)</f>
        <v>Applications Specialist</v>
      </c>
      <c r="D50" s="1530" t="str">
        <f>INDEX('REVIEW - Complete Role Mapping'!$AK:$AK,298)</f>
        <v>Filled</v>
      </c>
      <c r="E50" s="1547" t="inlineStr">
        <is>
          <t>Filled</t>
        </is>
      </c>
      <c r="F50" s="1773">
        <f>INDEX('REVIEW - Complete Role Mapping'!$AA:$AA,298)</f>
        <v>237763.5</v>
      </c>
      <c r="G50" s="1773">
        <f>$F50*IFERROR(INDEX(Lists!$AD:$AD,MATCH($E50,Lists!$AC:$AC,0)),1)</f>
        <v>237763.5</v>
      </c>
    </row>
    <row r="51">
      <c r="B51" s="1530" t="str">
        <f>INDEX('REVIEW - Complete Role Mapping'!$B:$B,308)</f>
        <v>Sai Konka</v>
      </c>
      <c r="C51" s="1530" t="str">
        <f>INDEX('REVIEW - Complete Role Mapping'!$C:$C,308)</f>
        <v>Application &amp; Analytics Manager</v>
      </c>
      <c r="D51" s="1530" t="str">
        <f>INDEX('REVIEW - Complete Role Mapping'!$AK:$AK,308)</f>
        <v>Filled</v>
      </c>
      <c r="E51" s="1547" t="inlineStr">
        <is>
          <t>Filled</t>
        </is>
      </c>
      <c r="F51" s="1773">
        <f>INDEX('REVIEW - Complete Role Mapping'!$AA:$AA,308)</f>
        <v>263635.8</v>
      </c>
      <c r="G51" s="1773">
        <f>$F51*IFERROR(INDEX(Lists!$AD:$AD,MATCH($E51,Lists!$AC:$AC,0)),1)</f>
        <v>263635.8</v>
      </c>
    </row>
    <row r="52">
      <c r="B52" s="1530" t="str">
        <f>INDEX('REVIEW - Complete Role Mapping'!$B:$B,310)</f>
        <v>Steve Murray</v>
      </c>
      <c r="C52" s="1530" t="str">
        <f>INDEX('REVIEW - Complete Role Mapping'!$C:$C,310)</f>
        <v>Applications Specialist</v>
      </c>
      <c r="D52" s="1530" t="str">
        <f>INDEX('REVIEW - Complete Role Mapping'!$AK:$AK,310)</f>
        <v>Filled</v>
      </c>
      <c r="E52" s="1547" t="inlineStr">
        <is>
          <t>Filled</t>
        </is>
      </c>
      <c r="F52" s="1773">
        <f>INDEX('REVIEW - Complete Role Mapping'!$AA:$AA,310)</f>
        <v>242970</v>
      </c>
      <c r="G52" s="1773">
        <f>$F52*IFERROR(INDEX(Lists!$AD:$AD,MATCH($E52,Lists!$AC:$AC,0)),1)</f>
        <v>242970</v>
      </c>
    </row>
    <row r="53">
      <c r="B53" s="1530" t="str">
        <f>INDEX('REVIEW - Complete Role Mapping'!$B:$B,311)</f>
        <v>Sumathi Manikkampichai</v>
      </c>
      <c r="C53" s="1530" t="str">
        <f>INDEX('REVIEW - Complete Role Mapping'!$C:$C,311)</f>
        <v>Data Architect</v>
      </c>
      <c r="D53" s="1530" t="str">
        <f>INDEX('REVIEW - Complete Role Mapping'!$AK:$AK,311)</f>
        <v>Filled</v>
      </c>
      <c r="E53" s="1547" t="inlineStr">
        <is>
          <t>Filled</t>
        </is>
      </c>
      <c r="F53" s="1773">
        <f>INDEX('REVIEW - Complete Role Mapping'!$AA:$AA,311)</f>
        <v>250993.35</v>
      </c>
      <c r="G53" s="1773">
        <f>$F53*IFERROR(INDEX(Lists!$AD:$AD,MATCH($E53,Lists!$AC:$AC,0)),1)</f>
        <v>250993.35</v>
      </c>
    </row>
    <row r="54">
      <c r="B54" s="1530" t="str">
        <f>INDEX('REVIEW - Complete Role Mapping'!$B:$B,318)</f>
        <v>Vacant</v>
      </c>
      <c r="C54" s="1530" t="str">
        <f>INDEX('REVIEW - Complete Role Mapping'!$C:$C,318)</f>
        <v>Business Analyst</v>
      </c>
      <c r="D54" s="1530" t="str">
        <f>INDEX('REVIEW - Complete Role Mapping'!$AK:$AK,318)</f>
        <v>Vacant</v>
      </c>
      <c r="E54" s="1547" t="inlineStr">
        <is>
          <t>Hire</t>
        </is>
      </c>
      <c r="F54" s="1773">
        <f>INDEX('REVIEW - Complete Role Mapping'!$AA:$AA,318)</f>
        <v>202853.25</v>
      </c>
      <c r="G54" s="1773">
        <f>$F54*IFERROR(INDEX(Lists!$AD:$AD,MATCH($E54,Lists!$AC:$AC,0)),1)</f>
        <v>202853.25</v>
      </c>
    </row>
    <row r="55">
      <c r="B55" s="1530" t="str">
        <f>INDEX('REVIEW - Complete Role Mapping'!$B:$B,329)</f>
        <v>Vacant</v>
      </c>
      <c r="C55" s="1530" t="str">
        <f>INDEX('REVIEW - Complete Role Mapping'!$C:$C,329)</f>
        <v>Applications Specialist - Strategic Programs</v>
      </c>
      <c r="D55" s="1530" t="str">
        <f>INDEX('REVIEW - Complete Role Mapping'!$AK:$AK,329)</f>
        <v>Vacant</v>
      </c>
      <c r="E55" s="1547" t="inlineStr">
        <is>
          <t>Hire</t>
        </is>
      </c>
      <c r="F55" s="1773">
        <f>INDEX('REVIEW - Complete Role Mapping'!$AA:$AA,329)</f>
        <v>202853.25</v>
      </c>
      <c r="G55" s="1773">
        <f>$F55*IFERROR(INDEX(Lists!$AD:$AD,MATCH($E55,Lists!$AC:$AC,0)),1)</f>
        <v>202853.25</v>
      </c>
    </row>
    <row r="56">
      <c r="B56" s="1530" t="str">
        <f>INDEX('REVIEW - Complete Role Mapping'!$B:$B,330)</f>
        <v>Vacant</v>
      </c>
      <c r="C56" s="1530" t="str">
        <f>INDEX('REVIEW - Complete Role Mapping'!$C:$C,330)</f>
        <v>Reporting analysts - Strategic Programs</v>
      </c>
      <c r="D56" s="1530" t="str">
        <f>INDEX('REVIEW - Complete Role Mapping'!$AK:$AK,330)</f>
        <v>Vacant</v>
      </c>
      <c r="E56" s="1547" t="inlineStr">
        <is>
          <t>Hire</t>
        </is>
      </c>
      <c r="F56" s="1773">
        <f>INDEX('REVIEW - Complete Role Mapping'!$AA:$AA,330)</f>
        <v>202853.25</v>
      </c>
      <c r="G56" s="1773">
        <f>$F56*IFERROR(INDEX(Lists!$AD:$AD,MATCH($E56,Lists!$AC:$AC,0)),1)</f>
        <v>202853.25</v>
      </c>
    </row>
    <row r="57">
      <c r="B57" s="1530" t="str">
        <f>INDEX('REVIEW - Complete Role Mapping'!$B:$B,331)</f>
        <v>Vincent Lu</v>
      </c>
      <c r="C57" s="1530" t="str">
        <f>INDEX('REVIEW - Complete Role Mapping'!$C:$C,331)</f>
        <v>Reporting Analyst</v>
      </c>
      <c r="D57" s="1530" t="str">
        <f>INDEX('REVIEW - Complete Role Mapping'!$AK:$AK,331)</f>
        <v>Filled</v>
      </c>
      <c r="E57" s="1547" t="inlineStr">
        <is>
          <t>Filled</t>
        </is>
      </c>
      <c r="F57" s="1773">
        <f>INDEX('REVIEW - Complete Role Mapping'!$AA:$AA,331)</f>
        <v>179624.25</v>
      </c>
      <c r="G57" s="1773">
        <f>$F57*IFERROR(INDEX(Lists!$AD:$AD,MATCH($E57,Lists!$AC:$AC,0)),1)</f>
        <v>179624.25</v>
      </c>
    </row>
    <row r="58">
      <c r="B58" s="1545" t="inlineStr">
        <is>
          <t>Head of Technology</t>
        </is>
      </c>
      <c r="C58" s="1545" t="str">
        <f>COUNTA($B$59:$B$59)&amp;IF(COUNTA($B$59:$B$59)=1," role"," roles")</f>
        <v>1 role</v>
      </c>
      <c r="D58" s="1545" t="n"/>
      <c r="E58" s="1545" t="n"/>
      <c r="F58" s="1785">
        <f>SUM(F59:F59)</f>
        <v>409755.7</v>
      </c>
      <c r="G58" s="1785">
        <f>SUM(G59:G59)</f>
        <v>409755.7</v>
      </c>
    </row>
    <row r="59">
      <c r="B59" s="1530" t="str">
        <f>INDEX('REVIEW - Complete Role Mapping'!$B:$B,285)</f>
        <v>James Holgate</v>
      </c>
      <c r="C59" s="1530" t="str">
        <f>INDEX('REVIEW - Complete Role Mapping'!$C:$C,285)</f>
        <v>Head of Technology,  Group Data</v>
      </c>
      <c r="D59" s="1530" t="str">
        <f>INDEX('REVIEW - Complete Role Mapping'!$AK:$AK,285)</f>
        <v>Filled</v>
      </c>
      <c r="E59" s="1547" t="inlineStr">
        <is>
          <t>Filled</t>
        </is>
      </c>
      <c r="F59" s="1773">
        <f>INDEX('REVIEW - Complete Role Mapping'!$AA:$AA,285)</f>
        <v>409755.7</v>
      </c>
      <c r="G59" s="1773">
        <f>$F59*IFERROR(INDEX(Lists!$AD:$AD,MATCH($E59,Lists!$AC:$AC,0)),1)</f>
        <v>409755.7</v>
      </c>
    </row>
    <row r="60">
      <c r="B60" s="1545" t="inlineStr">
        <is>
          <t>Technology Manager</t>
        </is>
      </c>
      <c r="C60" s="1545" t="str">
        <f>COUNTA($B$61:$B$62)&amp;IF(COUNTA($B$61:$B$62)=1," role"," roles")</f>
        <v>2 roles</v>
      </c>
      <c r="D60" s="1545" t="n"/>
      <c r="E60" s="1545" t="n"/>
      <c r="F60" s="1785">
        <f>SUM(F61:F62)</f>
        <v>651278.75</v>
      </c>
      <c r="G60" s="1785">
        <f>SUM(G61:G62)</f>
        <v>651278.75</v>
      </c>
    </row>
    <row r="61">
      <c r="B61" s="1530" t="str">
        <f>INDEX('REVIEW - Complete Role Mapping'!$B:$B,286)</f>
        <v>Jason Gleason</v>
      </c>
      <c r="C61" s="1530" t="str">
        <f>INDEX('REVIEW - Complete Role Mapping'!$C:$C,286)</f>
        <v>Technology Manager, Data Engineering &amp; Platforms</v>
      </c>
      <c r="D61" s="1530" t="str">
        <f>INDEX('REVIEW - Complete Role Mapping'!$AK:$AK,286)</f>
        <v>Filled</v>
      </c>
      <c r="E61" s="1547" t="inlineStr">
        <is>
          <t>Filled</t>
        </is>
      </c>
      <c r="F61" s="1773">
        <f>INDEX('REVIEW - Complete Role Mapping'!$AA:$AA,286)</f>
        <v>320862</v>
      </c>
      <c r="G61" s="1773">
        <f>$F61*IFERROR(INDEX(Lists!$AD:$AD,MATCH($E61,Lists!$AC:$AC,0)),1)</f>
        <v>320862</v>
      </c>
    </row>
    <row r="62">
      <c r="B62" s="1530" t="str">
        <f>INDEX('REVIEW - Complete Role Mapping'!$B:$B,289)</f>
        <v>Jonathan Robinson</v>
      </c>
      <c r="C62" s="1530" t="str">
        <f>INDEX('REVIEW - Complete Role Mapping'!$C:$C,289)</f>
        <v>Technology Manager  Data Science</v>
      </c>
      <c r="D62" s="1530" t="str">
        <f>INDEX('REVIEW - Complete Role Mapping'!$AK:$AK,289)</f>
        <v>Filled</v>
      </c>
      <c r="E62" s="1547" t="inlineStr">
        <is>
          <t>Filled</t>
        </is>
      </c>
      <c r="F62" s="1773">
        <f>INDEX('REVIEW - Complete Role Mapping'!$AA:$AA,289)</f>
        <v>330416.75</v>
      </c>
      <c r="G62" s="1773">
        <f>$F62*IFERROR(INDEX(Lists!$AD:$AD,MATCH($E62,Lists!$AC:$AC,0)),1)</f>
        <v>330416.75</v>
      </c>
    </row>
  </sheetData>
  <dataValidations count="1">
    <dataValidation sqref="E31 E32 E33 E34 E35 E36 E37 E38 E39 E41 E42 E43 E44 E46 E47 E48 E49 E50 E51 E52 E53 E54 E55 E56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5"/>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Cloud, Network &amp; Infra Ops</t>
        </is>
      </c>
      <c r="C7" s="1530" t="str">
        <f>IFERROR(INDEX('1.4 TDD Group Functions'!$C$19:$C$31,MATCH($B7,'1.4 TDD Group Functions'!$B$19:$B$31,0)),"Not on the 1.x tab")</f>
        <v>Operations</v>
      </c>
      <c r="D7" s="1530" t="str">
        <f>IFERROR(IF(INDEX('1.4 TDD Group Functions'!$D$19:$D$31,MATCH($B7,'1.4 TDD Group Functions'!$B$19:$B$31,0))="","-",INDEX('1.4 TDD Group Functions'!$D$19:$D$31,MATCH($B7,'1.4 TDD Group Functions'!$B$19:$B$31,0))),"-")</f>
        <v>M</v>
      </c>
      <c r="E7" s="1782">
        <f>IFERROR(INDEX('0.3 Squad Archetypes'!$F$5:$F$23,MATCH($C7&amp;"|"&amp;$D7,'0.3 Squad Archetypes'!$A$5:$A$23,0)),"-")</f>
        <v>6</v>
      </c>
      <c r="F7" s="1773">
        <f>COUNTA($B$33:$B$44)</f>
        <v>12</v>
      </c>
      <c r="G7" s="1773">
        <f>COUNTIFS($D$33:$D$44,"Filled")</f>
        <v>11</v>
      </c>
      <c r="H7" s="1773">
        <f>COUNTIFS($D$33:$D$44,"Vacant")</f>
        <v>1</v>
      </c>
      <c r="I7" s="1773">
        <f>COUNTIFS($D$33:$D$44,"Vacant",$E$33:$E$44,"Hire")</f>
        <v>1</v>
      </c>
      <c r="J7" s="1773">
        <f>COUNTIFS($E$33:$E$44,"Offshore")</f>
        <v>0</v>
      </c>
      <c r="K7" s="1773">
        <f>COUNTIFS($E$33:$E$44,"Hold")</f>
        <v>0</v>
      </c>
      <c r="L7" s="1773">
        <f>$F7-$K7</f>
        <v>12</v>
      </c>
      <c r="M7" s="1772">
        <f>IFERROR(IF(INDEX('1.4 TDD Group Functions'!$E$19:$E$31,MATCH($B7,'1.4 TDD Group Functions'!$B$19:$B$31,0))="Offshore",INDEX('0.3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2.8267209564</v>
      </c>
      <c r="O7" s="1772">
        <f>IFERROR(ROUND($N7-$M7,6),"-")</f>
        <v>1.426721</v>
      </c>
      <c r="P7" s="1772">
        <f>SUM($G$33:$G$44)/1000000</f>
        <v>2.8267209564</v>
      </c>
      <c r="Q7" s="1772">
        <f>IFERROR(ROUND($P7-$M7,6),"-")</f>
        <v>1.426721</v>
      </c>
    </row>
    <row r="8">
      <c r="B8" s="1530" t="inlineStr">
        <is>
          <t>DevOps &amp; QE</t>
        </is>
      </c>
      <c r="C8" s="1530" t="str">
        <f>IFERROR(INDEX('1.4 TDD Group Functions'!$C$19:$C$31,MATCH($B8,'1.4 TDD Group Functions'!$B$19:$B$31,0)),"Not on the 1.x tab")</f>
        <v>Engineering</v>
      </c>
      <c r="D8" s="1530" t="str">
        <f>IFERROR(IF(INDEX('1.4 TDD Group Functions'!$D$19:$D$31,MATCH($B8,'1.4 TDD Group Functions'!$B$19:$B$31,0))="","-",INDEX('1.4 TDD Group Functions'!$D$19:$D$31,MATCH($B8,'1.4 TDD Group Functions'!$B$19:$B$31,0))),"-")</f>
        <v>S</v>
      </c>
      <c r="E8" s="1782">
        <f>IFERROR(INDEX('0.3 Squad Archetypes'!$F$5:$F$23,MATCH($C8&amp;"|"&amp;$D8,'0.3 Squad Archetypes'!$A$5:$A$23,0)),"-")</f>
        <v>4.5</v>
      </c>
      <c r="F8" s="1773">
        <f>COUNTA($B$46:$B$53)</f>
        <v>8</v>
      </c>
      <c r="G8" s="1773">
        <f>COUNTIFS($D$46:$D$53,"Filled")</f>
        <v>4</v>
      </c>
      <c r="H8" s="1773">
        <f>COUNTIFS($D$46:$D$53,"Vacant")</f>
        <v>4</v>
      </c>
      <c r="I8" s="1773">
        <f>COUNTIFS($D$46:$D$53,"Vacant",$E$46:$E$53,"Hire")</f>
        <v>4</v>
      </c>
      <c r="J8" s="1773">
        <f>COUNTIFS($E$46:$E$53,"Offshore")</f>
        <v>0</v>
      </c>
      <c r="K8" s="1773">
        <f>COUNTIFS($E$46:$E$53,"Hold")</f>
        <v>0</v>
      </c>
      <c r="L8" s="1773">
        <f>$F8-$K8</f>
        <v>8</v>
      </c>
      <c r="M8" s="1772">
        <f>IFERROR(IF(INDEX('1.4 TDD Group Functions'!$E$19:$E$31,MATCH($B8,'1.4 TDD Group Functions'!$B$19:$B$31,0))="Offshore",INDEX('0.3 Squad Archetypes'!$H$5:$H$23,MATCH($C8&amp;"|"&amp;$D8,'0.3 Squad Archetypes'!$A$5:$A$23,0)),INDEX('0.3 Squad Archetypes'!$G$5:$G$23,MATCH($C8&amp;"|"&amp;$D8,'0.3 Squad Archetypes'!$A$5:$A$23,0))),"-")</f>
        <v>0.8</v>
      </c>
      <c r="N8" s="1772">
        <f>SUMIFS('REVIEW - Complete Role Mapping'!$AA$2:$AA$528,'REVIEW - Complete Role Mapping'!$AJ$2:$AJ$528,$C$3,'REVIEW - Complete Role Mapping'!$AT$2:$AT$528,$B8)/1000000</f>
        <v>1.581591798</v>
      </c>
      <c r="O8" s="1772">
        <f>IFERROR(ROUND($N8-$M8,6),"-")</f>
        <v>0.781592</v>
      </c>
      <c r="P8" s="1772">
        <f>SUM($G$46:$G$53)/1000000</f>
        <v>1.581591798</v>
      </c>
      <c r="Q8" s="1772">
        <f>IFERROR(ROUND($P8-$M8,6),"-")</f>
        <v>0.781592</v>
      </c>
    </row>
    <row r="9">
      <c r="B9" s="1530" t="inlineStr">
        <is>
          <t>Integration &amp; Process Automation</t>
        </is>
      </c>
      <c r="C9" s="1530" t="str">
        <f>IFERROR(INDEX('1.4 TDD Group Functions'!$C$19:$C$31,MATCH($B9,'1.4 TDD Group Functions'!$B$19:$B$31,0)),"Not on the 1.x tab")</f>
        <v>Configuration / Integration</v>
      </c>
      <c r="D9" s="1530" t="str">
        <f>IFERROR(IF(INDEX('1.4 TDD Group Functions'!$D$19:$D$31,MATCH($B9,'1.4 TDD Group Functions'!$B$19:$B$31,0))="","-",INDEX('1.4 TDD Group Functions'!$D$19:$D$31,MATCH($B9,'1.4 TDD Group Functions'!$B$19:$B$31,0))),"-")</f>
        <v>M</v>
      </c>
      <c r="E9" s="1782">
        <f>IFERROR(INDEX('0.3 Squad Archetypes'!$F$5:$F$23,MATCH($C9&amp;"|"&amp;$D9,'0.3 Squad Archetypes'!$A$5:$A$23,0)),"-")</f>
        <v>9</v>
      </c>
      <c r="F9" s="1773">
        <f>COUNTA($B$60:$B$69)</f>
        <v>10</v>
      </c>
      <c r="G9" s="1773">
        <f>COUNTIFS($D$60:$D$69,"Filled")</f>
        <v>8</v>
      </c>
      <c r="H9" s="1773">
        <f>COUNTIFS($D$60:$D$69,"Vacant")</f>
        <v>2</v>
      </c>
      <c r="I9" s="1773">
        <f>COUNTIFS($D$60:$D$69,"Vacant",$E$60:$E$69,"Hire")</f>
        <v>2</v>
      </c>
      <c r="J9" s="1773">
        <f>COUNTIFS($E$60:$E$69,"Offshore")</f>
        <v>0</v>
      </c>
      <c r="K9" s="1773">
        <f>COUNTIFS($E$60:$E$69,"Hold")</f>
        <v>0</v>
      </c>
      <c r="L9" s="1773">
        <f>$F9-$K9</f>
        <v>10</v>
      </c>
      <c r="M9" s="1772">
        <f>IFERROR(IF(INDEX('1.4 TDD Group Functions'!$E$19:$E$31,MATCH($B9,'1.4 TDD Group Functions'!$B$19:$B$31,0))="Offshore",INDEX('0.3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1.815247746</v>
      </c>
      <c r="O9" s="1772">
        <f>IFERROR(ROUND($N9-$M9,6),"-")</f>
        <v>-0.284752</v>
      </c>
      <c r="P9" s="1772">
        <f>SUM($G$60:$G$69)/1000000</f>
        <v>1.815247746</v>
      </c>
      <c r="Q9" s="1772">
        <f>IFERROR(ROUND($P9-$M9,6),"-")</f>
        <v>-0.284752</v>
      </c>
    </row>
    <row r="10">
      <c r="B10" s="1530" t="inlineStr">
        <is>
          <t>Workplace &amp; Enterprise Tooling</t>
        </is>
      </c>
      <c r="C10" s="1530" t="str">
        <f>IFERROR(INDEX('1.4 TDD Group Functions'!$C$19:$C$31,MATCH($B10,'1.4 TDD Group Functions'!$B$19:$B$31,0)),"Not on the 1.x tab")</f>
        <v>Configuration / Integration</v>
      </c>
      <c r="D10" s="1530" t="str">
        <f>IFERROR(IF(INDEX('1.4 TDD Group Functions'!$D$19:$D$31,MATCH($B10,'1.4 TDD Group Functions'!$B$19:$B$31,0))="","-",INDEX('1.4 TDD Group Functions'!$D$19:$D$31,MATCH($B10,'1.4 TDD Group Functions'!$B$19:$B$31,0))),"-")</f>
        <v>S</v>
      </c>
      <c r="E10" s="1782">
        <f>IFERROR(INDEX('0.3 Squad Archetypes'!$F$5:$F$23,MATCH($C10&amp;"|"&amp;$D10,'0.3 Squad Archetypes'!$A$5:$A$23,0)),"-")</f>
        <v>6</v>
      </c>
      <c r="F10" s="1773">
        <f>COUNTA($B$71:$B$76)</f>
        <v>6</v>
      </c>
      <c r="G10" s="1773">
        <f>COUNTIFS($D$71:$D$76,"Filled")</f>
        <v>4</v>
      </c>
      <c r="H10" s="1773">
        <f>COUNTIFS($D$71:$D$76,"Vacant")</f>
        <v>2</v>
      </c>
      <c r="I10" s="1773">
        <f>COUNTIFS($D$71:$D$76,"Vacant",$E$71:$E$76,"Hire")</f>
        <v>2</v>
      </c>
      <c r="J10" s="1773">
        <f>COUNTIFS($E$71:$E$76,"Offshore")</f>
        <v>0</v>
      </c>
      <c r="K10" s="1773">
        <f>COUNTIFS($E$71:$E$76,"Hold")</f>
        <v>0</v>
      </c>
      <c r="L10" s="1773">
        <f>$F10-$K10</f>
        <v>6</v>
      </c>
      <c r="M10" s="1772">
        <f>IFERROR(IF(INDEX('1.4 TDD Group Functions'!$E$19:$E$31,MATCH($B10,'1.4 TDD Group Functions'!$B$19:$B$31,0))="Offshore",INDEX('0.3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1.117329222</v>
      </c>
      <c r="O10" s="1772">
        <f>IFERROR(ROUND($N10-$M10,6),"-")</f>
        <v>-0.282671</v>
      </c>
      <c r="P10" s="1772">
        <f>SUM($G$71:$G$76)/1000000</f>
        <v>1.117329222</v>
      </c>
      <c r="Q10" s="1772">
        <f>IFERROR(ROUND($P10-$M10,6),"-")</f>
        <v>-0.282671</v>
      </c>
    </row>
    <row r="11">
      <c r="B11" s="1534" t="inlineStr">
        <is>
          <t>Squads priced by an archetype</t>
        </is>
      </c>
      <c r="C11" s="1534" t="n"/>
      <c r="D11" s="1534" t="n"/>
      <c r="E11" s="1783">
        <f>SUM(E7:E10)</f>
        <v>25.5</v>
      </c>
      <c r="F11" s="1775">
        <f>SUM(F7:F10)</f>
        <v>36</v>
      </c>
      <c r="G11" s="1775">
        <f>SUM(G7:G10)</f>
        <v>27</v>
      </c>
      <c r="H11" s="1775">
        <f>SUM(H7:H10)</f>
        <v>9</v>
      </c>
      <c r="I11" s="1775">
        <f>SUM(I7:I10)</f>
        <v>9</v>
      </c>
      <c r="J11" s="1775">
        <f>SUM(J7:J10)</f>
        <v>0</v>
      </c>
      <c r="K11" s="1775">
        <f>SUM(K7:K10)</f>
        <v>0</v>
      </c>
      <c r="L11" s="1775">
        <f>SUM(L7:L10)</f>
        <v>36</v>
      </c>
      <c r="M11" s="1774">
        <f>SUM(M7:M10)</f>
        <v>5.7</v>
      </c>
      <c r="N11" s="1774">
        <f>SUM(N7:N10)</f>
        <v>7.3408897224</v>
      </c>
      <c r="O11" s="1774">
        <f>SUM(O7:O10)</f>
        <v>1.64089</v>
      </c>
      <c r="P11" s="1774">
        <f>SUM(P7:P10)</f>
        <v>7.3408897224</v>
      </c>
      <c r="Q11" s="1774">
        <f>SUM(Q7:Q10)</f>
        <v>1.64089</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EGI TDD</t>
        </is>
      </c>
      <c r="C15" s="1530" t="str">
        <f>IFERROR(INDEX('1.4 TDD Group Functions'!$C$19:$C$31,MATCH($B15,'1.4 TDD Group Functions'!$B$19:$B$31,0)),"Not on the 1.x tab")</f>
        <v>Strategic Programs</v>
      </c>
      <c r="D15" s="1530" t="str">
        <f>IFERROR(IF(INDEX('1.4 TDD Group Functions'!$D$19:$D$31,MATCH($B15,'1.4 TDD Group Functions'!$B$19:$B$31,0))="","-",INDEX('1.4 TDD Group Functions'!$D$19:$D$31,MATCH($B15,'1.4 TDD Group Functions'!$B$19:$B$31,0))),"-")</f>
        <v>-</v>
      </c>
      <c r="E15" s="1782" t="str">
        <f>"-"</f>
        <v>-</v>
      </c>
      <c r="F15" s="1773">
        <f>COUNTA($B$55:$B$58)</f>
        <v>4</v>
      </c>
      <c r="G15" s="1773">
        <f>COUNTIFS($D$55:$D$58,"Filled")</f>
        <v>4</v>
      </c>
      <c r="H15" s="1773">
        <f>COUNTIFS($D$55:$D$58,"Vacant")</f>
        <v>0</v>
      </c>
      <c r="I15" s="1773">
        <f>COUNTIFS($D$55:$D$58,"Vacant",$E$55:$E$58,"Hire")</f>
        <v>0</v>
      </c>
      <c r="J15" s="1773">
        <f>COUNTIFS($E$55:$E$58,"Offshore")</f>
        <v>0</v>
      </c>
      <c r="K15" s="1773">
        <f>COUNTIFS($E$55:$E$58,"Hold")</f>
        <v>0</v>
      </c>
      <c r="L15" s="1773">
        <f>$F15-$K15</f>
        <v>4</v>
      </c>
      <c r="M15" s="1772">
        <f>$N15</f>
        <v>1.02484851</v>
      </c>
      <c r="N15" s="1772">
        <f>SUMIFS('REVIEW - Complete Role Mapping'!$AA$2:$AA$528,'REVIEW - Complete Role Mapping'!$AJ$2:$AJ$528,$C$3,'REVIEW - Complete Role Mapping'!$AT$2:$AT$528,$B15)/1000000</f>
        <v>1.02484851</v>
      </c>
      <c r="O15" s="1772">
        <f>IFERROR(ROUND($N15-$M15,6),"-")</f>
        <v>0</v>
      </c>
      <c r="P15" s="1772">
        <f>SUM($G$55:$G$58)/1000000</f>
        <v>1.02484851</v>
      </c>
      <c r="Q15" s="1772">
        <f>IFERROR(ROUND($P15-$M15,6),"-")</f>
        <v>0</v>
      </c>
    </row>
    <row r="16">
      <c r="B16" s="1534" t="inlineStr">
        <is>
          <t>Directly funded total</t>
        </is>
      </c>
      <c r="C16" s="1534" t="n"/>
      <c r="D16" s="1534" t="n"/>
      <c r="E16" s="1783">
        <f>SUM(E15:E15)</f>
        <v>0</v>
      </c>
      <c r="F16" s="1775">
        <f>SUM(F15:F15)</f>
        <v>4</v>
      </c>
      <c r="G16" s="1775">
        <f>SUM(G15:G15)</f>
        <v>4</v>
      </c>
      <c r="H16" s="1775">
        <f>SUM(H15:H15)</f>
        <v>0</v>
      </c>
      <c r="I16" s="1775">
        <f>SUM(I15:I15)</f>
        <v>0</v>
      </c>
      <c r="J16" s="1775">
        <f>SUM(J15:J15)</f>
        <v>0</v>
      </c>
      <c r="K16" s="1775">
        <f>SUM(K15:K15)</f>
        <v>0</v>
      </c>
      <c r="L16" s="1775">
        <f>SUM(L15:L15)</f>
        <v>4</v>
      </c>
      <c r="M16" s="1774">
        <f>SUM(M15:M15)</f>
        <v>1.02484851</v>
      </c>
      <c r="N16" s="1774">
        <f>SUM(N15:N15)</f>
        <v>1.02484851</v>
      </c>
      <c r="O16" s="1774">
        <f>SUM(O15:O15)</f>
        <v>0</v>
      </c>
      <c r="P16" s="1774">
        <f>SUM(P15:P15)</f>
        <v>1.02484851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COUNTA($B$78:$B$78)</f>
        <v>1</v>
      </c>
      <c r="G20" s="1773">
        <f>COUNTIFS($D$78:$D$78,"Filled")</f>
        <v>0</v>
      </c>
      <c r="H20" s="1773">
        <f>COUNTIFS($D$78:$D$78,"Vacant")</f>
        <v>1</v>
      </c>
      <c r="I20" s="1773">
        <f>COUNTIFS($D$78:$D$78,"Vacant",$E$78:$E$78,"Hire")</f>
        <v>1</v>
      </c>
      <c r="J20" s="1773">
        <f>COUNTIFS($E$78:$E$78,"Offshore")</f>
        <v>0</v>
      </c>
      <c r="K20" s="1773">
        <f>COUNTIFS($E$78:$E$78,"Hold")</f>
        <v>0</v>
      </c>
      <c r="L20" s="1773">
        <f>$F20-$K20</f>
        <v>1</v>
      </c>
      <c r="M20" s="1538" t="str">
        <f>"-"</f>
        <v>-</v>
      </c>
      <c r="N20" s="1772">
        <f>SUMIFS('REVIEW - Complete Role Mapping'!$AA$2:$AA$528,'REVIEW - Complete Role Mapping'!$AJ$2:$AJ$528,$C$3,'REVIEW - Complete Role Mapping'!$AT$2:$AT$528,$B20)/1000000</f>
        <v>0.33302025</v>
      </c>
      <c r="O20" s="1538" t="str">
        <f>"-"</f>
        <v>-</v>
      </c>
      <c r="P20" s="1772">
        <f>SUM($G$78:$G$78)/1000000</f>
        <v>0.33302025</v>
      </c>
      <c r="Q20" s="1538" t="str">
        <f>"-"</f>
        <v>-</v>
      </c>
    </row>
    <row r="21">
      <c r="B21" s="1530" t="inlineStr">
        <is>
          <t>Delivery Manager</t>
        </is>
      </c>
      <c r="C21" s="1530" t="str">
        <f>"-"</f>
        <v>-</v>
      </c>
      <c r="D21" s="1530" t="str">
        <f>"-"</f>
        <v>-</v>
      </c>
      <c r="E21" s="1538" t="str">
        <f>"-"</f>
        <v>-</v>
      </c>
      <c r="F21" s="1773">
        <f>COUNTA($B$80:$B$80)</f>
        <v>1</v>
      </c>
      <c r="G21" s="1773">
        <f>COUNTIFS($D$80:$D$80,"Filled")</f>
        <v>0</v>
      </c>
      <c r="H21" s="1773">
        <f>COUNTIFS($D$80:$D$80,"Vacant")</f>
        <v>1</v>
      </c>
      <c r="I21" s="1773">
        <f>COUNTIFS($D$80:$D$80,"Vacant",$E$80:$E$80,"Hire")</f>
        <v>1</v>
      </c>
      <c r="J21" s="1773">
        <f>COUNTIFS($E$80:$E$80,"Offshore")</f>
        <v>0</v>
      </c>
      <c r="K21" s="1773">
        <f>COUNTIFS($E$80:$E$80,"Hold")</f>
        <v>0</v>
      </c>
      <c r="L21" s="1773">
        <f>$F21-$K21</f>
        <v>1</v>
      </c>
      <c r="M21" s="1538" t="str">
        <f>"-"</f>
        <v>-</v>
      </c>
      <c r="N21" s="1772">
        <f>SUMIFS('REVIEW - Complete Role Mapping'!$AA$2:$AA$528,'REVIEW - Complete Role Mapping'!$AJ$2:$AJ$528,$C$3,'REVIEW - Complete Role Mapping'!$AT$2:$AT$528,$B21)/1000000</f>
        <v>0.27581025</v>
      </c>
      <c r="O21" s="1538" t="str">
        <f>"-"</f>
        <v>-</v>
      </c>
      <c r="P21" s="1772">
        <f>SUM($G$80:$G$80)/1000000</f>
        <v>0.27581025</v>
      </c>
      <c r="Q21" s="1538" t="str">
        <f>"-"</f>
        <v>-</v>
      </c>
    </row>
    <row r="22">
      <c r="B22" s="1530" t="inlineStr">
        <is>
          <t>Technology Manager</t>
        </is>
      </c>
      <c r="C22" s="1530" t="str">
        <f>"-"</f>
        <v>-</v>
      </c>
      <c r="D22" s="1530" t="str">
        <f>"-"</f>
        <v>-</v>
      </c>
      <c r="E22" s="1538" t="str">
        <f>"-"</f>
        <v>-</v>
      </c>
      <c r="F22" s="1773">
        <f>COUNTA($B$82:$B$85)</f>
        <v>4</v>
      </c>
      <c r="G22" s="1773">
        <f>COUNTIFS($D$82:$D$85,"Filled")</f>
        <v>1</v>
      </c>
      <c r="H22" s="1773">
        <f>COUNTIFS($D$82:$D$85,"Vacant")</f>
        <v>3</v>
      </c>
      <c r="I22" s="1773">
        <f>COUNTIFS($D$82:$D$85,"Vacant",$E$82:$E$85,"Hire")</f>
        <v>3</v>
      </c>
      <c r="J22" s="1773">
        <f>COUNTIFS($E$82:$E$85,"Offshore")</f>
        <v>0</v>
      </c>
      <c r="K22" s="1773">
        <f>COUNTIFS($E$82:$E$85,"Hold")</f>
        <v>0</v>
      </c>
      <c r="L22" s="1773">
        <f>$F22-$K22</f>
        <v>4</v>
      </c>
      <c r="M22" s="1538" t="str">
        <f>"-"</f>
        <v>-</v>
      </c>
      <c r="N22" s="1772">
        <f>SUMIFS('REVIEW - Complete Role Mapping'!$AA$2:$AA$528,'REVIEW - Complete Role Mapping'!$AJ$2:$AJ$528,$C$3,'REVIEW - Complete Role Mapping'!$AT$2:$AT$528,$B22)/1000000</f>
        <v>1.05666075</v>
      </c>
      <c r="O22" s="1538" t="str">
        <f>"-"</f>
        <v>-</v>
      </c>
      <c r="P22" s="1772">
        <f>SUM($G$82:$G$85)/1000000</f>
        <v>1.05666075</v>
      </c>
      <c r="Q22" s="1538" t="str">
        <f>"-"</f>
        <v>-</v>
      </c>
    </row>
    <row r="23">
      <c r="B23" s="1534" t="inlineStr">
        <is>
          <t>Overhead roles total</t>
        </is>
      </c>
      <c r="C23" s="1534" t="n"/>
      <c r="D23" s="1534" t="n"/>
      <c r="E23" s="1783">
        <f>SUM(E20:E22)</f>
        <v>0</v>
      </c>
      <c r="F23" s="1775">
        <f>SUM(F20:F22)</f>
        <v>6</v>
      </c>
      <c r="G23" s="1775">
        <f>SUM(G20:G22)</f>
        <v>1</v>
      </c>
      <c r="H23" s="1775">
        <f>SUM(H20:H22)</f>
        <v>5</v>
      </c>
      <c r="I23" s="1775">
        <f>SUM(I20:I22)</f>
        <v>5</v>
      </c>
      <c r="J23" s="1775">
        <f>SUM(J20:J22)</f>
        <v>0</v>
      </c>
      <c r="K23" s="1775">
        <f>SUM(K20:K22)</f>
        <v>0</v>
      </c>
      <c r="L23" s="1775">
        <f>SUM(L20:L22)</f>
        <v>6</v>
      </c>
      <c r="M23" s="1774">
        <f>SUM(M20:M22)</f>
        <v>0</v>
      </c>
      <c r="N23" s="1774">
        <f>SUM(N20:N22)</f>
        <v>1.66549125</v>
      </c>
      <c r="O23" s="1774">
        <f>SUM(O20:O22)</f>
        <v>0</v>
      </c>
      <c r="P23" s="1774">
        <f>SUM(P20:P22)</f>
        <v>1.66549125</v>
      </c>
      <c r="Q23" s="1774">
        <f>SUM(Q20:Q22)</f>
        <v>0</v>
      </c>
    </row>
    <row r="24"/>
    <row r="25">
      <c r="B25" s="1539" t="inlineStr">
        <is>
          <t>Total portfolio</t>
        </is>
      </c>
      <c r="C25" s="1539" t="n"/>
      <c r="D25" s="1539" t="n"/>
      <c r="E25" s="1784">
        <f>N(E11)+N(E16)+N(E23)</f>
        <v>25.5</v>
      </c>
      <c r="F25" s="1777">
        <f>N(F11)+N(F16)+N(F23)</f>
        <v>46</v>
      </c>
      <c r="G25" s="1777">
        <f>N(G11)+N(G16)+N(G23)</f>
        <v>32</v>
      </c>
      <c r="H25" s="1777">
        <f>N(H11)+N(H16)+N(H23)</f>
        <v>14</v>
      </c>
      <c r="I25" s="1777">
        <f>N(I11)+N(I16)+N(I23)</f>
        <v>14</v>
      </c>
      <c r="J25" s="1777">
        <f>N(J11)+N(J16)+N(J23)</f>
        <v>0</v>
      </c>
      <c r="K25" s="1777">
        <f>N(K11)+N(K16)+N(K23)</f>
        <v>0</v>
      </c>
      <c r="L25" s="1777">
        <f>N(L11)+N(L16)+N(L23)</f>
        <v>46</v>
      </c>
      <c r="M25" s="1776">
        <f>N(M11)+N(M16)+N(M23)</f>
        <v>6.72484851</v>
      </c>
      <c r="N25" s="1776">
        <f>N(N11)+N(N16)+N(N23)</f>
        <v>10.0312294824</v>
      </c>
      <c r="O25" s="1776">
        <f>N(O11)+N(O16)+N(O23)</f>
        <v>1.64089</v>
      </c>
      <c r="P25" s="1776">
        <f>N(P11)+N(P16)+N(P23)</f>
        <v>10.0312294824</v>
      </c>
      <c r="Q25" s="1776">
        <f>N(Q11)+N(Q16)+N(Q23)</f>
        <v>1.64089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TDD Group Functions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Cloud, Network &amp; Infra Ops</t>
        </is>
      </c>
      <c r="C32" s="1545" t="str">
        <f>COUNTA($B$33:$B$44)&amp;IF(COUNTA($B$33:$B$44)=1," role"," roles")</f>
        <v>12 roles</v>
      </c>
      <c r="D32" s="1545" t="n"/>
      <c r="E32" s="1545" t="n"/>
      <c r="F32" s="1785">
        <f>SUM(F33:F44)</f>
        <v>2826720.9564</v>
      </c>
      <c r="G32" s="1785">
        <f>SUM(G33:G44)</f>
        <v>2826720.9564</v>
      </c>
    </row>
    <row r="33">
      <c r="B33" s="1530" t="str">
        <f>INDEX('REVIEW - Complete Role Mapping'!$B:$B,468)</f>
        <v>C K Lau</v>
      </c>
      <c r="C33" s="1530" t="str">
        <f>INDEX('REVIEW - Complete Role Mapping'!$C:$C,468)</f>
        <v>Delivery Lead (Cloud &amp; Network)</v>
      </c>
      <c r="D33" s="1530" t="str">
        <f>INDEX('REVIEW - Complete Role Mapping'!$AK:$AK,468)</f>
        <v>Filled</v>
      </c>
      <c r="E33" s="1547" t="inlineStr">
        <is>
          <t>Filled</t>
        </is>
      </c>
      <c r="F33" s="1773">
        <f>INDEX('REVIEW - Complete Role Mapping'!$AA:$AA,468)</f>
        <v>249164.4</v>
      </c>
      <c r="G33" s="1773">
        <f>$F33*IFERROR(INDEX(Lists!$AD:$AD,MATCH($E33,Lists!$AC:$AC,0)),1)</f>
        <v>249164.4</v>
      </c>
    </row>
    <row r="34">
      <c r="B34" s="1530" t="str">
        <f>INDEX('REVIEW - Complete Role Mapping'!$B:$B,469)</f>
        <v>Fan Zhang</v>
      </c>
      <c r="C34" s="1530" t="str">
        <f>INDEX('REVIEW - Complete Role Mapping'!$C:$C,469)</f>
        <v>Infrastructure Engineer</v>
      </c>
      <c r="D34" s="1530" t="str">
        <f>INDEX('REVIEW - Complete Role Mapping'!$AK:$AK,469)</f>
        <v>Filled</v>
      </c>
      <c r="E34" s="1547" t="inlineStr">
        <is>
          <t>Filled</t>
        </is>
      </c>
      <c r="F34" s="1773">
        <f>INDEX('REVIEW - Complete Role Mapping'!$AA:$AA,469)</f>
        <v>133812.3564</v>
      </c>
      <c r="G34" s="1773">
        <f>$F34*IFERROR(INDEX(Lists!$AD:$AD,MATCH($E34,Lists!$AC:$AC,0)),1)</f>
        <v>133812.3564</v>
      </c>
    </row>
    <row r="35">
      <c r="B35" s="1530" t="str">
        <f>INDEX('REVIEW - Complete Role Mapping'!$B:$B,470)</f>
        <v>Jason Satoso</v>
      </c>
      <c r="C35" s="1530" t="str">
        <f>INDEX('REVIEW - Complete Role Mapping'!$C:$C,470)</f>
        <v>Cloud Operations Engineer</v>
      </c>
      <c r="D35" s="1530" t="str">
        <f>INDEX('REVIEW - Complete Role Mapping'!$AK:$AK,470)</f>
        <v>Filled</v>
      </c>
      <c r="E35" s="1547" t="inlineStr">
        <is>
          <t>Filled</t>
        </is>
      </c>
      <c r="F35" s="1773">
        <f>INDEX('REVIEW - Complete Role Mapping'!$AA:$AA,470)</f>
        <v>206190.75</v>
      </c>
      <c r="G35" s="1773">
        <f>$F35*IFERROR(INDEX(Lists!$AD:$AD,MATCH($E35,Lists!$AC:$AC,0)),1)</f>
        <v>206190.75</v>
      </c>
    </row>
    <row r="36">
      <c r="B36" s="1530" t="str">
        <f>INDEX('REVIEW - Complete Role Mapping'!$B:$B,471)</f>
        <v>John McCormack</v>
      </c>
      <c r="C36" s="1530" t="str">
        <f>INDEX('REVIEW - Complete Role Mapping'!$C:$C,471)</f>
        <v>Manager - Infrastructure Operations</v>
      </c>
      <c r="D36" s="1530" t="str">
        <f>INDEX('REVIEW - Complete Role Mapping'!$AK:$AK,471)</f>
        <v>Filled</v>
      </c>
      <c r="E36" s="1547" t="inlineStr">
        <is>
          <t>Filled</t>
        </is>
      </c>
      <c r="F36" s="1773">
        <f>INDEX('REVIEW - Complete Role Mapping'!$AA:$AA,471)</f>
        <v>246494.4</v>
      </c>
      <c r="G36" s="1773">
        <f>$F36*IFERROR(INDEX(Lists!$AD:$AD,MATCH($E36,Lists!$AC:$AC,0)),1)</f>
        <v>246494.4</v>
      </c>
    </row>
    <row r="37">
      <c r="B37" s="1530" t="str">
        <f>INDEX('REVIEW - Complete Role Mapping'!$B:$B,472)</f>
        <v>Muhammad Abubaker</v>
      </c>
      <c r="C37" s="1530" t="str">
        <f>INDEX('REVIEW - Complete Role Mapping'!$C:$C,472)</f>
        <v>Network Operations Engineer</v>
      </c>
      <c r="D37" s="1530" t="str">
        <f>INDEX('REVIEW - Complete Role Mapping'!$AK:$AK,472)</f>
        <v>Filled</v>
      </c>
      <c r="E37" s="1547" t="inlineStr">
        <is>
          <t>Filled</t>
        </is>
      </c>
      <c r="F37" s="1773">
        <f>INDEX('REVIEW - Complete Role Mapping'!$AA:$AA,472)</f>
        <v>217658.4</v>
      </c>
      <c r="G37" s="1773">
        <f>$F37*IFERROR(INDEX(Lists!$AD:$AD,MATCH($E37,Lists!$AC:$AC,0)),1)</f>
        <v>217658.4</v>
      </c>
    </row>
    <row r="38">
      <c r="B38" s="1530" t="str">
        <f>INDEX('REVIEW - Complete Role Mapping'!$B:$B,473)</f>
        <v>Ring fenced selection</v>
      </c>
      <c r="C38" s="1530" t="str">
        <f>INDEX('REVIEW - Complete Role Mapping'!$C:$C,473)</f>
        <v>Cloud Solutions Architect</v>
      </c>
      <c r="D38" s="1530" t="str">
        <f>INDEX('REVIEW - Complete Role Mapping'!$AK:$AK,473)</f>
        <v>Filled</v>
      </c>
      <c r="E38" s="1547" t="inlineStr">
        <is>
          <t>Filled</t>
        </is>
      </c>
      <c r="F38" s="1773">
        <f>INDEX('REVIEW - Complete Role Mapping'!$AA:$AA,473)</f>
        <v>267000</v>
      </c>
      <c r="G38" s="1773">
        <f>$F38*IFERROR(INDEX(Lists!$AD:$AD,MATCH($E38,Lists!$AC:$AC,0)),1)</f>
        <v>267000</v>
      </c>
    </row>
    <row r="39">
      <c r="B39" s="1530" t="str">
        <f>INDEX('REVIEW - Complete Role Mapping'!$B:$B,474)</f>
        <v>Ring fenced selection</v>
      </c>
      <c r="C39" s="1530" t="str">
        <f>INDEX('REVIEW - Complete Role Mapping'!$C:$C,474)</f>
        <v>Cloud Solutions Architect</v>
      </c>
      <c r="D39" s="1530" t="str">
        <f>INDEX('REVIEW - Complete Role Mapping'!$AK:$AK,474)</f>
        <v>Filled</v>
      </c>
      <c r="E39" s="1547" t="inlineStr">
        <is>
          <t>Filled</t>
        </is>
      </c>
      <c r="F39" s="1773">
        <f>INDEX('REVIEW - Complete Role Mapping'!$AA:$AA,474)</f>
        <v>267000</v>
      </c>
      <c r="G39" s="1773">
        <f>$F39*IFERROR(INDEX(Lists!$AD:$AD,MATCH($E39,Lists!$AC:$AC,0)),1)</f>
        <v>267000</v>
      </c>
    </row>
    <row r="40">
      <c r="B40" s="1530" t="str">
        <f>INDEX('REVIEW - Complete Role Mapping'!$B:$B,475)</f>
        <v>Ring fenced selection</v>
      </c>
      <c r="C40" s="1530" t="str">
        <f>INDEX('REVIEW - Complete Role Mapping'!$C:$C,475)</f>
        <v>Cloud Solutions Architect</v>
      </c>
      <c r="D40" s="1530" t="str">
        <f>INDEX('REVIEW - Complete Role Mapping'!$AK:$AK,475)</f>
        <v>Filled</v>
      </c>
      <c r="E40" s="1547" t="inlineStr">
        <is>
          <t>Filled</t>
        </is>
      </c>
      <c r="F40" s="1773">
        <f>INDEX('REVIEW - Complete Role Mapping'!$AA:$AA,475)</f>
        <v>267000</v>
      </c>
      <c r="G40" s="1773">
        <f>$F40*IFERROR(INDEX(Lists!$AD:$AD,MATCH($E40,Lists!$AC:$AC,0)),1)</f>
        <v>267000</v>
      </c>
    </row>
    <row r="41">
      <c r="B41" s="1530" t="str">
        <f>INDEX('REVIEW - Complete Role Mapping'!$B:$B,476)</f>
        <v>Ring fenced selection</v>
      </c>
      <c r="C41" s="1530" t="str">
        <f>INDEX('REVIEW - Complete Role Mapping'!$C:$C,476)</f>
        <v>Cloud Solutions Architect</v>
      </c>
      <c r="D41" s="1530" t="str">
        <f>INDEX('REVIEW - Complete Role Mapping'!$AK:$AK,476)</f>
        <v>Filled</v>
      </c>
      <c r="E41" s="1547" t="inlineStr">
        <is>
          <t>Filled</t>
        </is>
      </c>
      <c r="F41" s="1773">
        <f>INDEX('REVIEW - Complete Role Mapping'!$AA:$AA,476)</f>
        <v>267000</v>
      </c>
      <c r="G41" s="1773">
        <f>$F41*IFERROR(INDEX(Lists!$AD:$AD,MATCH($E41,Lists!$AC:$AC,0)),1)</f>
        <v>267000</v>
      </c>
    </row>
    <row r="42">
      <c r="B42" s="1530" t="str">
        <f>INDEX('REVIEW - Complete Role Mapping'!$B:$B,477)</f>
        <v>Satish Chowdhary</v>
      </c>
      <c r="C42" s="1530" t="str">
        <f>INDEX('REVIEW - Complete Role Mapping'!$C:$C,477)</f>
        <v>Nework Architect</v>
      </c>
      <c r="D42" s="1530" t="str">
        <f>INDEX('REVIEW - Complete Role Mapping'!$AK:$AK,477)</f>
        <v>Filled</v>
      </c>
      <c r="E42" s="1547" t="inlineStr">
        <is>
          <t>Filled</t>
        </is>
      </c>
      <c r="F42" s="1773">
        <f>INDEX('REVIEW - Complete Role Mapping'!$AA:$AA,477)</f>
        <v>259123.5</v>
      </c>
      <c r="G42" s="1773">
        <f>$F42*IFERROR(INDEX(Lists!$AD:$AD,MATCH($E42,Lists!$AC:$AC,0)),1)</f>
        <v>259123.5</v>
      </c>
    </row>
    <row r="43">
      <c r="B43" s="1530" t="str">
        <f>INDEX('REVIEW - Complete Role Mapping'!$B:$B,478)</f>
        <v>Steven Yong</v>
      </c>
      <c r="C43" s="1530" t="str">
        <f>INDEX('REVIEW - Complete Role Mapping'!$C:$C,478)</f>
        <v>Nework Architect</v>
      </c>
      <c r="D43" s="1530" t="str">
        <f>INDEX('REVIEW - Complete Role Mapping'!$AK:$AK,478)</f>
        <v>Filled</v>
      </c>
      <c r="E43" s="1547" t="inlineStr">
        <is>
          <t>Filled</t>
        </is>
      </c>
      <c r="F43" s="1773">
        <f>INDEX('REVIEW - Complete Role Mapping'!$AA:$AA,478)</f>
        <v>243423.9</v>
      </c>
      <c r="G43" s="1773">
        <f>$F43*IFERROR(INDEX(Lists!$AD:$AD,MATCH($E43,Lists!$AC:$AC,0)),1)</f>
        <v>243423.9</v>
      </c>
    </row>
    <row r="44">
      <c r="B44" s="1530" t="str">
        <f>INDEX('REVIEW - Complete Role Mapping'!$B:$B,513)</f>
        <v>Vacant</v>
      </c>
      <c r="C44" s="1530" t="str">
        <f>INDEX('REVIEW - Complete Role Mapping'!$C:$C,513)</f>
        <v>Infrastructure Operations Lead</v>
      </c>
      <c r="D44" s="1530" t="str">
        <f>INDEX('REVIEW - Complete Role Mapping'!$AK:$AK,513)</f>
        <v>Vacant</v>
      </c>
      <c r="E44" s="1547" t="inlineStr">
        <is>
          <t>Hire</t>
        </is>
      </c>
      <c r="F44" s="1773">
        <f>INDEX('REVIEW - Complete Role Mapping'!$AA:$AA,513)</f>
        <v>202853.25</v>
      </c>
      <c r="G44" s="1773">
        <f>$F44*IFERROR(INDEX(Lists!$AD:$AD,MATCH($E44,Lists!$AC:$AC,0)),1)</f>
        <v>202853.25</v>
      </c>
    </row>
    <row r="45">
      <c r="B45" s="1545" t="inlineStr">
        <is>
          <t>DevOps &amp; QE</t>
        </is>
      </c>
      <c r="C45" s="1545" t="str">
        <f>COUNTA($B$46:$B$53)&amp;IF(COUNTA($B$46:$B$53)=1," role"," roles")</f>
        <v>8 roles</v>
      </c>
      <c r="D45" s="1545" t="n"/>
      <c r="E45" s="1545" t="n"/>
      <c r="F45" s="1785">
        <f>SUM(F46:F53)</f>
        <v>1581591.798</v>
      </c>
      <c r="G45" s="1785">
        <f>SUM(G46:G53)</f>
        <v>1581591.798</v>
      </c>
    </row>
    <row r="46">
      <c r="B46" s="1530" t="str">
        <f>INDEX('REVIEW - Complete Role Mapping'!$B:$B,479)</f>
        <v>Lucas Wang</v>
      </c>
      <c r="C46" s="1530" t="str">
        <f>INDEX('REVIEW - Complete Role Mapping'!$C:$C,479)</f>
        <v>Senior Engineer (Automation Test)</v>
      </c>
      <c r="D46" s="1530" t="str">
        <f>INDEX('REVIEW - Complete Role Mapping'!$AK:$AK,479)</f>
        <v>Filled</v>
      </c>
      <c r="E46" s="1547" t="inlineStr">
        <is>
          <t>Filled</t>
        </is>
      </c>
      <c r="F46" s="1773">
        <f>INDEX('REVIEW - Complete Role Mapping'!$AA:$AA,479)</f>
        <v>194522.85</v>
      </c>
      <c r="G46" s="1773">
        <f>$F46*IFERROR(INDEX(Lists!$AD:$AD,MATCH($E46,Lists!$AC:$AC,0)),1)</f>
        <v>194522.85</v>
      </c>
    </row>
    <row r="47">
      <c r="B47" s="1530" t="str">
        <f>INDEX('REVIEW - Complete Role Mapping'!$B:$B,480)</f>
        <v>Luke Hamer</v>
      </c>
      <c r="C47" s="1530" t="str">
        <f>INDEX('REVIEW - Complete Role Mapping'!$C:$C,480)</f>
        <v>Lead Engineer - Devops</v>
      </c>
      <c r="D47" s="1530" t="str">
        <f>INDEX('REVIEW - Complete Role Mapping'!$AK:$AK,480)</f>
        <v>Filled</v>
      </c>
      <c r="E47" s="1547" t="inlineStr">
        <is>
          <t>Filled</t>
        </is>
      </c>
      <c r="F47" s="1773">
        <f>INDEX('REVIEW - Complete Role Mapping'!$AA:$AA,480)</f>
        <v>183060.72</v>
      </c>
      <c r="G47" s="1773">
        <f>$F47*IFERROR(INDEX(Lists!$AD:$AD,MATCH($E47,Lists!$AC:$AC,0)),1)</f>
        <v>183060.72</v>
      </c>
    </row>
    <row r="48">
      <c r="B48" s="1530" t="str">
        <f>INDEX('REVIEW - Complete Role Mapping'!$B:$B,481)</f>
        <v>Mike Lealamanu</v>
      </c>
      <c r="C48" s="1530" t="str">
        <f>INDEX('REVIEW - Complete Role Mapping'!$C:$C,481)</f>
        <v>Quality Assurance</v>
      </c>
      <c r="D48" s="1530" t="str">
        <f>INDEX('REVIEW - Complete Role Mapping'!$AK:$AK,481)</f>
        <v>Filled</v>
      </c>
      <c r="E48" s="1547" t="inlineStr">
        <is>
          <t>Filled</t>
        </is>
      </c>
      <c r="F48" s="1773">
        <f>INDEX('REVIEW - Complete Role Mapping'!$AA:$AA,481)</f>
        <v>133983.228</v>
      </c>
      <c r="G48" s="1773">
        <f>$F48*IFERROR(INDEX(Lists!$AD:$AD,MATCH($E48,Lists!$AC:$AC,0)),1)</f>
        <v>133983.228</v>
      </c>
    </row>
    <row r="49">
      <c r="B49" s="1530" t="str">
        <f>INDEX('REVIEW - Complete Role Mapping'!$B:$B,482)</f>
        <v>Sunny Arya</v>
      </c>
      <c r="C49" s="1530" t="str">
        <f>INDEX('REVIEW - Complete Role Mapping'!$C:$C,482)</f>
        <v>Lead Engineer, Devops</v>
      </c>
      <c r="D49" s="1530" t="str">
        <f>INDEX('REVIEW - Complete Role Mapping'!$AK:$AK,482)</f>
        <v>Filled</v>
      </c>
      <c r="E49" s="1547" t="inlineStr">
        <is>
          <t>Filled</t>
        </is>
      </c>
      <c r="F49" s="1773">
        <f>INDEX('REVIEW - Complete Role Mapping'!$AA:$AA,482)</f>
        <v>200940</v>
      </c>
      <c r="G49" s="1773">
        <f>$F49*IFERROR(INDEX(Lists!$AD:$AD,MATCH($E49,Lists!$AC:$AC,0)),1)</f>
        <v>200940</v>
      </c>
    </row>
    <row r="50">
      <c r="B50" s="1530" t="str">
        <f>INDEX('REVIEW - Complete Role Mapping'!$B:$B,515)</f>
        <v>Vacant</v>
      </c>
      <c r="C50" s="1530" t="str">
        <f>INDEX('REVIEW - Complete Role Mapping'!$C:$C,515)</f>
        <v>Senior Engineer (Automation Test)</v>
      </c>
      <c r="D50" s="1530" t="str">
        <f>INDEX('REVIEW - Complete Role Mapping'!$AK:$AK,515)</f>
        <v>Vacant</v>
      </c>
      <c r="E50" s="1547" t="inlineStr">
        <is>
          <t>Hire</t>
        </is>
      </c>
      <c r="F50" s="1773">
        <f>INDEX('REVIEW - Complete Role Mapping'!$AA:$AA,515)</f>
        <v>202853.25</v>
      </c>
      <c r="G50" s="1773">
        <f>$F50*IFERROR(INDEX(Lists!$AD:$AD,MATCH($E50,Lists!$AC:$AC,0)),1)</f>
        <v>202853.25</v>
      </c>
    </row>
    <row r="51">
      <c r="B51" s="1530" t="str">
        <f>INDEX('REVIEW - Complete Role Mapping'!$B:$B,520)</f>
        <v>Vacant</v>
      </c>
      <c r="C51" s="1530" t="str">
        <f>INDEX('REVIEW - Complete Role Mapping'!$C:$C,520)</f>
        <v>Environments and Test Data Manager</v>
      </c>
      <c r="D51" s="1530" t="str">
        <f>INDEX('REVIEW - Complete Role Mapping'!$AK:$AK,520)</f>
        <v>Vacant</v>
      </c>
      <c r="E51" s="1547" t="inlineStr">
        <is>
          <t>Hire</t>
        </is>
      </c>
      <c r="F51" s="1773">
        <f>INDEX('REVIEW - Complete Role Mapping'!$AA:$AA,520)</f>
        <v>202853.25</v>
      </c>
      <c r="G51" s="1773">
        <f>$F51*IFERROR(INDEX(Lists!$AD:$AD,MATCH($E51,Lists!$AC:$AC,0)),1)</f>
        <v>202853.25</v>
      </c>
    </row>
    <row r="52">
      <c r="B52" s="1530" t="str">
        <f>INDEX('REVIEW - Complete Role Mapping'!$B:$B,521)</f>
        <v>Vacant</v>
      </c>
      <c r="C52" s="1530" t="str">
        <f>INDEX('REVIEW - Complete Role Mapping'!$C:$C,521)</f>
        <v>Lead Engineer (Automation Test)</v>
      </c>
      <c r="D52" s="1530" t="str">
        <f>INDEX('REVIEW - Complete Role Mapping'!$AK:$AK,521)</f>
        <v>Vacant</v>
      </c>
      <c r="E52" s="1547" t="inlineStr">
        <is>
          <t>Hire</t>
        </is>
      </c>
      <c r="F52" s="1773">
        <f>INDEX('REVIEW - Complete Role Mapping'!$AA:$AA,521)</f>
        <v>231689.25</v>
      </c>
      <c r="G52" s="1773">
        <f>$F52*IFERROR(INDEX(Lists!$AD:$AD,MATCH($E52,Lists!$AC:$AC,0)),1)</f>
        <v>231689.25</v>
      </c>
    </row>
    <row r="53">
      <c r="B53" s="1530" t="str">
        <f>INDEX('REVIEW - Complete Role Mapping'!$B:$B,522)</f>
        <v>Vacant</v>
      </c>
      <c r="C53" s="1530" t="str">
        <f>INDEX('REVIEW - Complete Role Mapping'!$C:$C,522)</f>
        <v>Lead Engineer Software</v>
      </c>
      <c r="D53" s="1530" t="str">
        <f>INDEX('REVIEW - Complete Role Mapping'!$AK:$AK,522)</f>
        <v>Vacant</v>
      </c>
      <c r="E53" s="1547" t="inlineStr">
        <is>
          <t>Hire</t>
        </is>
      </c>
      <c r="F53" s="1773">
        <f>INDEX('REVIEW - Complete Role Mapping'!$AA:$AA,522)</f>
        <v>231689.25</v>
      </c>
      <c r="G53" s="1773">
        <f>$F53*IFERROR(INDEX(Lists!$AD:$AD,MATCH($E53,Lists!$AC:$AC,0)),1)</f>
        <v>231689.25</v>
      </c>
    </row>
    <row r="54">
      <c r="B54" s="1545" t="inlineStr">
        <is>
          <t>EGI TDD</t>
        </is>
      </c>
      <c r="C54" s="1545" t="str">
        <f>COUNTA($B$55:$B$58)&amp;IF(COUNTA($B$55:$B$58)=1," role"," roles")</f>
        <v>4 roles</v>
      </c>
      <c r="D54" s="1545" t="n"/>
      <c r="E54" s="1545" t="n"/>
      <c r="F54" s="1785">
        <f>SUM(F55:F58)</f>
        <v>1024848.51</v>
      </c>
      <c r="G54" s="1785">
        <f>SUM(G55:G58)</f>
        <v>1024848.51</v>
      </c>
    </row>
    <row r="55">
      <c r="B55" s="1530" t="str">
        <f>INDEX('REVIEW - Complete Role Mapping'!$B:$B,449)</f>
        <v>Anjali Patra</v>
      </c>
      <c r="C55" s="1530" t="str">
        <f>INDEX('REVIEW - Complete Role Mapping'!$C:$C,449)</f>
        <v>Delivery Lead - EGI</v>
      </c>
      <c r="D55" s="1530" t="str">
        <f>INDEX('REVIEW - Complete Role Mapping'!$AK:$AK,449)</f>
        <v>Filled</v>
      </c>
      <c r="E55" s="1547" t="inlineStr">
        <is>
          <t>Filled</t>
        </is>
      </c>
      <c r="F55" s="1773">
        <f>INDEX('REVIEW - Complete Role Mapping'!$AA:$AA,449)</f>
        <v>210996.75</v>
      </c>
      <c r="G55" s="1773">
        <f>$F55*IFERROR(INDEX(Lists!$AD:$AD,MATCH($E55,Lists!$AC:$AC,0)),1)</f>
        <v>210996.75</v>
      </c>
    </row>
    <row r="56">
      <c r="B56" s="1530" t="str">
        <f>INDEX('REVIEW - Complete Role Mapping'!$B:$B,450)</f>
        <v>Arun Tahlan</v>
      </c>
      <c r="C56" s="1530" t="str">
        <f>INDEX('REVIEW - Complete Role Mapping'!$C:$C,450)</f>
        <v>Integration Architect (C) - Boomi</v>
      </c>
      <c r="D56" s="1530" t="str">
        <f>INDEX('REVIEW - Complete Role Mapping'!$AK:$AK,450)</f>
        <v>Filled</v>
      </c>
      <c r="E56" s="1547" t="inlineStr">
        <is>
          <t>Filled</t>
        </is>
      </c>
      <c r="F56" s="1773">
        <f>INDEX('REVIEW - Complete Role Mapping'!$AA:$AA,450)</f>
        <v>348096</v>
      </c>
      <c r="G56" s="1773">
        <f>$F56*IFERROR(INDEX(Lists!$AD:$AD,MATCH($E56,Lists!$AC:$AC,0)),1)</f>
        <v>348096</v>
      </c>
    </row>
    <row r="57">
      <c r="B57" s="1530" t="str">
        <f>INDEX('REVIEW - Complete Role Mapping'!$B:$B,451)</f>
        <v>Shobhit Mittal</v>
      </c>
      <c r="C57" s="1530" t="str">
        <f>INDEX('REVIEW - Complete Role Mapping'!$C:$C,451)</f>
        <v>Lead Engineer - Automation Test</v>
      </c>
      <c r="D57" s="1530" t="str">
        <f>INDEX('REVIEW - Complete Role Mapping'!$AK:$AK,451)</f>
        <v>Filled</v>
      </c>
      <c r="E57" s="1547" t="inlineStr">
        <is>
          <t>Filled</t>
        </is>
      </c>
      <c r="F57" s="1773">
        <f>INDEX('REVIEW - Complete Role Mapping'!$AA:$AA,451)</f>
        <v>199355.76</v>
      </c>
      <c r="G57" s="1773">
        <f>$F57*IFERROR(INDEX(Lists!$AD:$AD,MATCH($E57,Lists!$AC:$AC,0)),1)</f>
        <v>199355.76</v>
      </c>
    </row>
    <row r="58">
      <c r="B58" s="1530" t="str">
        <f>INDEX('REVIEW - Complete Role Mapping'!$B:$B,452)</f>
        <v>Kris Thornley</v>
      </c>
      <c r="C58" s="1530" t="str">
        <f>INDEX('REVIEW - Complete Role Mapping'!$C:$C,452)</f>
        <v>Integration Architect (C)</v>
      </c>
      <c r="D58" s="1530" t="str">
        <f>INDEX('REVIEW - Complete Role Mapping'!$AK:$AK,452)</f>
        <v>Filled</v>
      </c>
      <c r="E58" s="1547" t="inlineStr">
        <is>
          <t>Filled</t>
        </is>
      </c>
      <c r="F58" s="1773">
        <f>INDEX('REVIEW - Complete Role Mapping'!$AA:$AA,452)</f>
        <v>266400</v>
      </c>
      <c r="G58" s="1773">
        <f>$F58*IFERROR(INDEX(Lists!$AD:$AD,MATCH($E58,Lists!$AC:$AC,0)),1)</f>
        <v>266400</v>
      </c>
    </row>
    <row r="59">
      <c r="B59" s="1545" t="inlineStr">
        <is>
          <t>Integration &amp; Process Automation</t>
        </is>
      </c>
      <c r="C59" s="1545" t="str">
        <f>COUNTA($B$60:$B$69)&amp;IF(COUNTA($B$60:$B$69)=1," role"," roles")</f>
        <v>10 roles</v>
      </c>
      <c r="D59" s="1545" t="n"/>
      <c r="E59" s="1545" t="n"/>
      <c r="F59" s="1785">
        <f>SUM(F60:F69)</f>
        <v>1815247.746</v>
      </c>
      <c r="G59" s="1785">
        <f>SUM(G60:G69)</f>
        <v>1815247.746</v>
      </c>
    </row>
    <row r="60">
      <c r="B60" s="1530" t="str">
        <f>INDEX('REVIEW - Complete Role Mapping'!$B:$B,483)</f>
        <v>Archana Chetiwal</v>
      </c>
      <c r="C60" s="1530" t="str">
        <f>INDEX('REVIEW - Complete Role Mapping'!$C:$C,483)</f>
        <v>Snr Engineer</v>
      </c>
      <c r="D60" s="1530" t="str">
        <f>INDEX('REVIEW - Complete Role Mapping'!$AK:$AK,483)</f>
        <v>Filled</v>
      </c>
      <c r="E60" s="1547" t="inlineStr">
        <is>
          <t>Filled</t>
        </is>
      </c>
      <c r="F60" s="1773">
        <f>INDEX('REVIEW - Complete Role Mapping'!$AA:$AA,483)</f>
        <v>186900</v>
      </c>
      <c r="G60" s="1773">
        <f>$F60*IFERROR(INDEX(Lists!$AD:$AD,MATCH($E60,Lists!$AC:$AC,0)),1)</f>
        <v>186900</v>
      </c>
    </row>
    <row r="61">
      <c r="B61" s="1530" t="str">
        <f>INDEX('REVIEW - Complete Role Mapping'!$B:$B,484)</f>
        <v>Bala Thiruvadi</v>
      </c>
      <c r="C61" s="1530" t="str">
        <f>INDEX('REVIEW - Complete Role Mapping'!$C:$C,484)</f>
        <v>Integration Architect - Boomi</v>
      </c>
      <c r="D61" s="1530" t="str">
        <f>INDEX('REVIEW - Complete Role Mapping'!$AK:$AK,484)</f>
        <v>Filled</v>
      </c>
      <c r="E61" s="1547" t="inlineStr">
        <is>
          <t>Filled</t>
        </is>
      </c>
      <c r="F61" s="1773">
        <f>INDEX('REVIEW - Complete Role Mapping'!$AA:$AA,484)</f>
        <v>271902.12</v>
      </c>
      <c r="G61" s="1773">
        <f>$F61*IFERROR(INDEX(Lists!$AD:$AD,MATCH($E61,Lists!$AC:$AC,0)),1)</f>
        <v>271902.12</v>
      </c>
    </row>
    <row r="62">
      <c r="B62" s="1530" t="str">
        <f>INDEX('REVIEW - Complete Role Mapping'!$B:$B,485)</f>
        <v>Joel Krijnen</v>
      </c>
      <c r="C62" s="1530" t="str">
        <f>INDEX('REVIEW - Complete Role Mapping'!$C:$C,485)</f>
        <v>Lead Engineer Software</v>
      </c>
      <c r="D62" s="1530" t="str">
        <f>INDEX('REVIEW - Complete Role Mapping'!$AK:$AK,485)</f>
        <v>Filled</v>
      </c>
      <c r="E62" s="1547" t="inlineStr">
        <is>
          <t>Filled</t>
        </is>
      </c>
      <c r="F62" s="1773">
        <f>INDEX('REVIEW - Complete Role Mapping'!$AA:$AA,485)</f>
        <v>178115.628</v>
      </c>
      <c r="G62" s="1773">
        <f>$F62*IFERROR(INDEX(Lists!$AD:$AD,MATCH($E62,Lists!$AC:$AC,0)),1)</f>
        <v>178115.628</v>
      </c>
    </row>
    <row r="63">
      <c r="B63" s="1530" t="str">
        <f>INDEX('REVIEW - Complete Role Mapping'!$B:$B,486)</f>
        <v>Lisa Rademakers</v>
      </c>
      <c r="C63" s="1530" t="str">
        <f>INDEX('REVIEW - Complete Role Mapping'!$C:$C,486)</f>
        <v>Delivery Lead (Integrations)</v>
      </c>
      <c r="D63" s="1530" t="str">
        <f>INDEX('REVIEW - Complete Role Mapping'!$AK:$AK,486)</f>
        <v>Filled</v>
      </c>
      <c r="E63" s="1547" t="inlineStr">
        <is>
          <t>Filled</t>
        </is>
      </c>
      <c r="F63" s="1773">
        <f>INDEX('REVIEW - Complete Role Mapping'!$AA:$AA,486)</f>
        <v>202320.552</v>
      </c>
      <c r="G63" s="1773">
        <f>$F63*IFERROR(INDEX(Lists!$AD:$AD,MATCH($E63,Lists!$AC:$AC,0)),1)</f>
        <v>202320.552</v>
      </c>
    </row>
    <row r="64">
      <c r="B64" s="1530" t="str">
        <f>INDEX('REVIEW - Complete Role Mapping'!$B:$B,487)</f>
        <v>Michael Weng</v>
      </c>
      <c r="C64" s="1530" t="str">
        <f>INDEX('REVIEW - Complete Role Mapping'!$C:$C,487)</f>
        <v>Solution Architect</v>
      </c>
      <c r="D64" s="1530" t="str">
        <f>INDEX('REVIEW - Complete Role Mapping'!$AK:$AK,487)</f>
        <v>Filled</v>
      </c>
      <c r="E64" s="1547" t="inlineStr">
        <is>
          <t>Filled</t>
        </is>
      </c>
      <c r="F64" s="1773">
        <f>INDEX('REVIEW - Complete Role Mapping'!$AA:$AA,487)</f>
        <v>216227.916</v>
      </c>
      <c r="G64" s="1773">
        <f>$F64*IFERROR(INDEX(Lists!$AD:$AD,MATCH($E64,Lists!$AC:$AC,0)),1)</f>
        <v>216227.916</v>
      </c>
    </row>
    <row r="65">
      <c r="B65" s="1530" t="str">
        <f>INDEX('REVIEW - Complete Role Mapping'!$B:$B,489)</f>
        <v>Noel Morris</v>
      </c>
      <c r="C65" s="1530" t="str">
        <f>INDEX('REVIEW - Complete Role Mapping'!$C:$C,489)</f>
        <v>Snr Engineer</v>
      </c>
      <c r="D65" s="1530" t="str">
        <f>INDEX('REVIEW - Complete Role Mapping'!$AK:$AK,489)</f>
        <v>Filled</v>
      </c>
      <c r="E65" s="1547" t="inlineStr">
        <is>
          <t>Filled</t>
        </is>
      </c>
      <c r="F65" s="1773">
        <f>INDEX('REVIEW - Complete Role Mapping'!$AA:$AA,489)</f>
        <v>139607.28</v>
      </c>
      <c r="G65" s="1773">
        <f>$F65*IFERROR(INDEX(Lists!$AD:$AD,MATCH($E65,Lists!$AC:$AC,0)),1)</f>
        <v>139607.28</v>
      </c>
    </row>
    <row r="66">
      <c r="B66" s="1530" t="str">
        <f>INDEX('REVIEW - Complete Role Mapping'!$B:$B,490)</f>
        <v>Thandava Krishna Kakarala</v>
      </c>
      <c r="C66" s="1530" t="str">
        <f>INDEX('REVIEW - Complete Role Mapping'!$C:$C,490)</f>
        <v>Snr Engineer - Boomi</v>
      </c>
      <c r="D66" s="1530" t="str">
        <f>INDEX('REVIEW - Complete Role Mapping'!$AK:$AK,490)</f>
        <v>Filled</v>
      </c>
      <c r="E66" s="1547" t="inlineStr">
        <is>
          <t>Filled</t>
        </is>
      </c>
      <c r="F66" s="1773">
        <f>INDEX('REVIEW - Complete Role Mapping'!$AA:$AA,490)</f>
        <v>186900</v>
      </c>
      <c r="G66" s="1773">
        <f>$F66*IFERROR(INDEX(Lists!$AD:$AD,MATCH($E66,Lists!$AC:$AC,0)),1)</f>
        <v>186900</v>
      </c>
    </row>
    <row r="67">
      <c r="B67" s="1530" t="str">
        <f>INDEX('REVIEW - Complete Role Mapping'!$B:$B,491)</f>
        <v>Nidhi Aggarwal</v>
      </c>
      <c r="C67" s="1530" t="str">
        <f>INDEX('REVIEW - Complete Role Mapping'!$C:$C,491)</f>
        <v>Snr Engineer - Boomi</v>
      </c>
      <c r="D67" s="1530" t="str">
        <f>INDEX('REVIEW - Complete Role Mapping'!$AK:$AK,491)</f>
        <v>Filled</v>
      </c>
      <c r="E67" s="1547" t="inlineStr">
        <is>
          <t>Filled</t>
        </is>
      </c>
      <c r="F67" s="1773">
        <f>INDEX('REVIEW - Complete Role Mapping'!$AA:$AA,491)</f>
        <v>0</v>
      </c>
      <c r="G67" s="1773">
        <f>$F67*IFERROR(INDEX(Lists!$AD:$AD,MATCH($E67,Lists!$AC:$AC,0)),1)</f>
        <v>0</v>
      </c>
    </row>
    <row r="68">
      <c r="B68" s="1530" t="str">
        <f>INDEX('REVIEW - Complete Role Mapping'!$B:$B,514)</f>
        <v>Vacant</v>
      </c>
      <c r="C68" s="1530" t="str">
        <f>INDEX('REVIEW - Complete Role Mapping'!$C:$C,514)</f>
        <v>RPA Lead</v>
      </c>
      <c r="D68" s="1530" t="str">
        <f>INDEX('REVIEW - Complete Role Mapping'!$AK:$AK,514)</f>
        <v>Vacant</v>
      </c>
      <c r="E68" s="1547" t="inlineStr">
        <is>
          <t>Hire</t>
        </is>
      </c>
      <c r="F68" s="1773">
        <f>INDEX('REVIEW - Complete Role Mapping'!$AA:$AA,514)</f>
        <v>231689.25</v>
      </c>
      <c r="G68" s="1773">
        <f>$F68*IFERROR(INDEX(Lists!$AD:$AD,MATCH($E68,Lists!$AC:$AC,0)),1)</f>
        <v>231689.25</v>
      </c>
    </row>
    <row r="69">
      <c r="B69" s="1530" t="str">
        <f>INDEX('REVIEW - Complete Role Mapping'!$B:$B,516)</f>
        <v>Vacant</v>
      </c>
      <c r="C69" s="1530" t="str">
        <f>INDEX('REVIEW - Complete Role Mapping'!$C:$C,516)</f>
        <v>Business Analyst (Integrations)</v>
      </c>
      <c r="D69" s="1530" t="str">
        <f>INDEX('REVIEW - Complete Role Mapping'!$AK:$AK,516)</f>
        <v>Vacant</v>
      </c>
      <c r="E69" s="1547" t="inlineStr">
        <is>
          <t>Hire</t>
        </is>
      </c>
      <c r="F69" s="1773">
        <f>INDEX('REVIEW - Complete Role Mapping'!$AA:$AA,516)</f>
        <v>201585</v>
      </c>
      <c r="G69" s="1773">
        <f>$F69*IFERROR(INDEX(Lists!$AD:$AD,MATCH($E69,Lists!$AC:$AC,0)),1)</f>
        <v>201585</v>
      </c>
    </row>
    <row r="70">
      <c r="B70" s="1545" t="inlineStr">
        <is>
          <t>Workplace &amp; Enterprise Tooling</t>
        </is>
      </c>
      <c r="C70" s="1545" t="str">
        <f>COUNTA($B$71:$B$76)&amp;IF(COUNTA($B$71:$B$76)=1," role"," roles")</f>
        <v>6 roles</v>
      </c>
      <c r="D70" s="1545" t="n"/>
      <c r="E70" s="1545" t="n"/>
      <c r="F70" s="1785">
        <f>SUM(F71:F76)</f>
        <v>1117329.222</v>
      </c>
      <c r="G70" s="1785">
        <f>SUM(G71:G76)</f>
        <v>1117329.222</v>
      </c>
    </row>
    <row r="71">
      <c r="B71" s="1530" t="str">
        <f>INDEX('REVIEW - Complete Role Mapping'!$B:$B,492)</f>
        <v>Billie Connolly</v>
      </c>
      <c r="C71" s="1530" t="str">
        <f>INDEX('REVIEW - Complete Role Mapping'!$C:$C,492)</f>
        <v>Engineer - Modern Workplaces</v>
      </c>
      <c r="D71" s="1530" t="str">
        <f>INDEX('REVIEW - Complete Role Mapping'!$AK:$AK,492)</f>
        <v>Filled</v>
      </c>
      <c r="E71" s="1547" t="inlineStr">
        <is>
          <t>Filled</t>
        </is>
      </c>
      <c r="F71" s="1773">
        <f>INDEX('REVIEW - Complete Role Mapping'!$AA:$AA,492)</f>
        <v>135906.948</v>
      </c>
      <c r="G71" s="1773">
        <f>$F71*IFERROR(INDEX(Lists!$AD:$AD,MATCH($E71,Lists!$AC:$AC,0)),1)</f>
        <v>135906.948</v>
      </c>
    </row>
    <row r="72">
      <c r="B72" s="1530" t="str">
        <f>INDEX('REVIEW - Complete Role Mapping'!$B:$B,493)</f>
        <v>Ken Thomson</v>
      </c>
      <c r="C72" s="1530" t="str">
        <f>INDEX('REVIEW - Complete Role Mapping'!$C:$C,493)</f>
        <v>Servicenow Platform Specialist</v>
      </c>
      <c r="D72" s="1530" t="str">
        <f>INDEX('REVIEW - Complete Role Mapping'!$AK:$AK,493)</f>
        <v>Filled</v>
      </c>
      <c r="E72" s="1547" t="inlineStr">
        <is>
          <t>Filled</t>
        </is>
      </c>
      <c r="F72" s="1773">
        <f>INDEX('REVIEW - Complete Role Mapping'!$AA:$AA,493)</f>
        <v>220875.75</v>
      </c>
      <c r="G72" s="1773">
        <f>$F72*IFERROR(INDEX(Lists!$AD:$AD,MATCH($E72,Lists!$AC:$AC,0)),1)</f>
        <v>220875.75</v>
      </c>
    </row>
    <row r="73">
      <c r="B73" s="1530" t="str">
        <f>INDEX('REVIEW - Complete Role Mapping'!$B:$B,494)</f>
        <v>Nicholas McKay</v>
      </c>
      <c r="C73" s="1530" t="str">
        <f>INDEX('REVIEW - Complete Role Mapping'!$C:$C,494)</f>
        <v>Workplace Tooling Specialist</v>
      </c>
      <c r="D73" s="1530" t="str">
        <f>INDEX('REVIEW - Complete Role Mapping'!$AK:$AK,494)</f>
        <v>Filled</v>
      </c>
      <c r="E73" s="1547" t="inlineStr">
        <is>
          <t>Filled</t>
        </is>
      </c>
      <c r="F73" s="1773">
        <f>INDEX('REVIEW - Complete Role Mapping'!$AA:$AA,494)</f>
        <v>212438.55</v>
      </c>
      <c r="G73" s="1773">
        <f>$F73*IFERROR(INDEX(Lists!$AD:$AD,MATCH($E73,Lists!$AC:$AC,0)),1)</f>
        <v>212438.55</v>
      </c>
    </row>
    <row r="74">
      <c r="B74" s="1530" t="str">
        <f>INDEX('REVIEW - Complete Role Mapping'!$B:$B,517)</f>
        <v>Vacant</v>
      </c>
      <c r="C74" s="1530" t="str">
        <f>INDEX('REVIEW - Complete Role Mapping'!$C:$C,517)</f>
        <v>Business Analyst (Workplace &amp; Enterprise Tooling)</v>
      </c>
      <c r="D74" s="1530" t="str">
        <f>INDEX('REVIEW - Complete Role Mapping'!$AK:$AK,517)</f>
        <v>Vacant</v>
      </c>
      <c r="E74" s="1547" t="inlineStr">
        <is>
          <t>Hire</t>
        </is>
      </c>
      <c r="F74" s="1773">
        <f>INDEX('REVIEW - Complete Role Mapping'!$AA:$AA,517)</f>
        <v>201585</v>
      </c>
      <c r="G74" s="1773">
        <f>$F74*IFERROR(INDEX(Lists!$AD:$AD,MATCH($E74,Lists!$AC:$AC,0)),1)</f>
        <v>201585</v>
      </c>
    </row>
    <row r="75">
      <c r="B75" s="1530" t="str">
        <f>INDEX('REVIEW - Complete Role Mapping'!$B:$B,519)</f>
        <v>Vacant</v>
      </c>
      <c r="C75" s="1530" t="str">
        <f>INDEX('REVIEW - Complete Role Mapping'!$C:$C,519)</f>
        <v>Enterprise Systems Specialist</v>
      </c>
      <c r="D75" s="1530" t="str">
        <f>INDEX('REVIEW - Complete Role Mapping'!$AK:$AK,519)</f>
        <v>Vacant</v>
      </c>
      <c r="E75" s="1547" t="inlineStr">
        <is>
          <t>Hire</t>
        </is>
      </c>
      <c r="F75" s="1773">
        <f>INDEX('REVIEW - Complete Role Mapping'!$AA:$AA,519)</f>
        <v>202853.25</v>
      </c>
      <c r="G75" s="1773">
        <f>$F75*IFERROR(INDEX(Lists!$AD:$AD,MATCH($E75,Lists!$AC:$AC,0)),1)</f>
        <v>202853.25</v>
      </c>
    </row>
    <row r="76">
      <c r="B76" s="1530" t="str">
        <f>INDEX('REVIEW - Complete Role Mapping'!$B:$B,527)</f>
        <v>Rob Struthers</v>
      </c>
      <c r="C76" s="1530" t="str">
        <f>INDEX('REVIEW - Complete Role Mapping'!$C:$C,527)</f>
        <v>Engineer - Modern Workplaces</v>
      </c>
      <c r="D76" s="1530" t="str">
        <f>INDEX('REVIEW - Complete Role Mapping'!$AK:$AK,527)</f>
        <v>Filled</v>
      </c>
      <c r="E76" s="1547" t="inlineStr">
        <is>
          <t>Filled</t>
        </is>
      </c>
      <c r="F76" s="1773">
        <f>INDEX('REVIEW - Complete Role Mapping'!$AA:$AA,527)</f>
        <v>143669.724</v>
      </c>
      <c r="G76" s="1773">
        <f>$F76*IFERROR(INDEX(Lists!$AD:$AD,MATCH($E76,Lists!$AC:$AC,0)),1)</f>
        <v>143669.724</v>
      </c>
    </row>
    <row r="77">
      <c r="B77" s="1545" t="inlineStr">
        <is>
          <t>Head of Technology</t>
        </is>
      </c>
      <c r="C77" s="1545" t="str">
        <f>COUNTA($B$78:$B$78)&amp;IF(COUNTA($B$78:$B$78)=1," role"," roles")</f>
        <v>1 role</v>
      </c>
      <c r="D77" s="1545" t="n"/>
      <c r="E77" s="1545" t="n"/>
      <c r="F77" s="1785">
        <f>SUM(F78:F78)</f>
        <v>333020.25</v>
      </c>
      <c r="G77" s="1785">
        <f>SUM(G78:G78)</f>
        <v>333020.25</v>
      </c>
    </row>
    <row r="78">
      <c r="B78" s="1530" t="str">
        <f>INDEX('REVIEW - Complete Role Mapping'!$B:$B,512)</f>
        <v>Vacant</v>
      </c>
      <c r="C78" s="1530" t="str">
        <f>INDEX('REVIEW - Complete Role Mapping'!$C:$C,512)</f>
        <v>Head of Technology - TDD &amp; Engineering Capability Lead</v>
      </c>
      <c r="D78" s="1530" t="str">
        <f>INDEX('REVIEW - Complete Role Mapping'!$AK:$AK,512)</f>
        <v>Vacant</v>
      </c>
      <c r="E78" s="1547" t="inlineStr">
        <is>
          <t>Hire</t>
        </is>
      </c>
      <c r="F78" s="1773">
        <f>INDEX('REVIEW - Complete Role Mapping'!$AA:$AA,512)</f>
        <v>333020.25</v>
      </c>
      <c r="G78" s="1773">
        <f>$F78*IFERROR(INDEX(Lists!$AD:$AD,MATCH($E78,Lists!$AC:$AC,0)),1)</f>
        <v>333020.25</v>
      </c>
    </row>
    <row r="79">
      <c r="B79" s="1545" t="inlineStr">
        <is>
          <t>Delivery Manager</t>
        </is>
      </c>
      <c r="C79" s="1545" t="str">
        <f>COUNTA($B$80:$B$80)&amp;IF(COUNTA($B$80:$B$80)=1," role"," roles")</f>
        <v>1 role</v>
      </c>
      <c r="D79" s="1545" t="n"/>
      <c r="E79" s="1545" t="n"/>
      <c r="F79" s="1785">
        <f>SUM(F80:F80)</f>
        <v>275810.25</v>
      </c>
      <c r="G79" s="1785">
        <f>SUM(G80:G80)</f>
        <v>275810.25</v>
      </c>
    </row>
    <row r="80">
      <c r="B80" s="1530" t="str">
        <f>INDEX('REVIEW - Complete Role Mapping'!$B:$B,518)</f>
        <v>Vacant</v>
      </c>
      <c r="C80" s="1530" t="str">
        <f>INDEX('REVIEW - Complete Role Mapping'!$C:$C,518)</f>
        <v>Delivery Manager</v>
      </c>
      <c r="D80" s="1530" t="str">
        <f>INDEX('REVIEW - Complete Role Mapping'!$AK:$AK,518)</f>
        <v>Vacant</v>
      </c>
      <c r="E80" s="1547" t="inlineStr">
        <is>
          <t>Hire</t>
        </is>
      </c>
      <c r="F80" s="1773">
        <f>INDEX('REVIEW - Complete Role Mapping'!$AA:$AA,518)</f>
        <v>275810.25</v>
      </c>
      <c r="G80" s="1773">
        <f>$F80*IFERROR(INDEX(Lists!$AD:$AD,MATCH($E80,Lists!$AC:$AC,0)),1)</f>
        <v>275810.25</v>
      </c>
    </row>
    <row r="81">
      <c r="B81" s="1545" t="inlineStr">
        <is>
          <t>Technology Manager</t>
        </is>
      </c>
      <c r="C81" s="1545" t="str">
        <f>COUNTA($B$82:$B$85)&amp;IF(COUNTA($B$82:$B$85)=1," role"," roles")</f>
        <v>4 roles</v>
      </c>
      <c r="D81" s="1545" t="n"/>
      <c r="E81" s="1545" t="n"/>
      <c r="F81" s="1785">
        <f>SUM(F82:F85)</f>
        <v>1056660.75</v>
      </c>
      <c r="G81" s="1785">
        <f>SUM(G82:G85)</f>
        <v>1056660.75</v>
      </c>
    </row>
    <row r="82">
      <c r="B82" s="1530" t="str">
        <f>INDEX('REVIEW - Complete Role Mapping'!$B:$B,488)</f>
        <v>Mike Seales</v>
      </c>
      <c r="C82" s="1530" t="str">
        <f>INDEX('REVIEW - Complete Role Mapping'!$C:$C,488)</f>
        <v>Technology Manager, Integration &amp; Process Automation</v>
      </c>
      <c r="D82" s="1530" t="str">
        <f>INDEX('REVIEW - Complete Role Mapping'!$AK:$AK,488)</f>
        <v>Filled</v>
      </c>
      <c r="E82" s="1547" t="inlineStr">
        <is>
          <t>Filled</t>
        </is>
      </c>
      <c r="F82" s="1773">
        <f>INDEX('REVIEW - Complete Role Mapping'!$AA:$AA,488)</f>
        <v>229230</v>
      </c>
      <c r="G82" s="1773">
        <f>$F82*IFERROR(INDEX(Lists!$AD:$AD,MATCH($E82,Lists!$AC:$AC,0)),1)</f>
        <v>229230</v>
      </c>
    </row>
    <row r="83">
      <c r="B83" s="1530" t="str">
        <f>INDEX('REVIEW - Complete Role Mapping'!$B:$B,523)</f>
        <v>Vacant</v>
      </c>
      <c r="C83" s="1530" t="str">
        <f>INDEX('REVIEW - Complete Role Mapping'!$C:$C,523)</f>
        <v>Technology Manager - Cloud, Network and Infrastructure Operations</v>
      </c>
      <c r="D83" s="1530" t="str">
        <f>INDEX('REVIEW - Complete Role Mapping'!$AK:$AK,523)</f>
        <v>Vacant</v>
      </c>
      <c r="E83" s="1547" t="inlineStr">
        <is>
          <t>Hire</t>
        </is>
      </c>
      <c r="F83" s="1773">
        <f>INDEX('REVIEW - Complete Role Mapping'!$AA:$AA,523)</f>
        <v>275810.25</v>
      </c>
      <c r="G83" s="1773">
        <f>$F83*IFERROR(INDEX(Lists!$AD:$AD,MATCH($E83,Lists!$AC:$AC,0)),1)</f>
        <v>275810.25</v>
      </c>
    </row>
    <row r="84">
      <c r="B84" s="1530" t="str">
        <f>INDEX('REVIEW - Complete Role Mapping'!$B:$B,524)</f>
        <v>Vacant</v>
      </c>
      <c r="C84" s="1530" t="str">
        <f>INDEX('REVIEW - Complete Role Mapping'!$C:$C,524)</f>
        <v>Technology Manager - DevOps and Quality Engineering</v>
      </c>
      <c r="D84" s="1530" t="str">
        <f>INDEX('REVIEW - Complete Role Mapping'!$AK:$AK,524)</f>
        <v>Vacant</v>
      </c>
      <c r="E84" s="1547" t="inlineStr">
        <is>
          <t>Hire</t>
        </is>
      </c>
      <c r="F84" s="1773">
        <f>INDEX('REVIEW - Complete Role Mapping'!$AA:$AA,524)</f>
        <v>275810.25</v>
      </c>
      <c r="G84" s="1773">
        <f>$F84*IFERROR(INDEX(Lists!$AD:$AD,MATCH($E84,Lists!$AC:$AC,0)),1)</f>
        <v>275810.25</v>
      </c>
    </row>
    <row r="85">
      <c r="B85" s="1530" t="str">
        <f>INDEX('REVIEW - Complete Role Mapping'!$B:$B,525)</f>
        <v>Vacant</v>
      </c>
      <c r="C85" s="1530" t="str">
        <f>INDEX('REVIEW - Complete Role Mapping'!$C:$C,525)</f>
        <v>Technology Manager, Enterprise Tooling</v>
      </c>
      <c r="D85" s="1530" t="str">
        <f>INDEX('REVIEW - Complete Role Mapping'!$AK:$AK,525)</f>
        <v>Vacant</v>
      </c>
      <c r="E85" s="1547" t="inlineStr">
        <is>
          <t>Hire</t>
        </is>
      </c>
      <c r="F85" s="1773">
        <f>INDEX('REVIEW - Complete Role Mapping'!$AA:$AA,525)</f>
        <v>275810.25</v>
      </c>
      <c r="G85" s="1773">
        <f>$F85*IFERROR(INDEX(Lists!$AD:$AD,MATCH($E85,Lists!$AC:$AC,0)),1)</f>
        <v>275810.25</v>
      </c>
    </row>
  </sheetData>
  <dataValidations count="1">
    <dataValidation sqref="E33 E34 E35 E36 E37 E38 E39 E40 E41 E42 E43 E44 E46 E47 E48 E49 E50 E51 E52 E53 E55 E56 E57 E58 E60 E61 E62 E63 E64 E65 E66 E67 E68 E69 E71 E72 E73 E74 E75 E76 E78 E80 E82 E83 E84 E8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3"/>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P&amp;C - working copy</t>
        </is>
      </c>
    </row>
    <row r="3">
      <c r="B3" s="1525" t="inlineStr">
        <is>
          <t>Portfolio</t>
        </is>
      </c>
      <c r="C3" s="1526" t="inlineStr">
        <is>
          <t>P&amp;C</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P&amp;C</t>
        </is>
      </c>
      <c r="C7" s="1530" t="str">
        <f>IFERROR(INDEX('1.5 P&amp;C'!$C$23:$C$33,MATCH($B7,'1.5 P&amp;C'!$B$23:$B$33,0)),"Not on the 1.x tab")</f>
        <v>Configuration / Integration</v>
      </c>
      <c r="D7" s="1530" t="str">
        <f>IFERROR(IF(INDEX('1.5 P&amp;C'!$D$23:$D$33,MATCH($B7,'1.5 P&amp;C'!$B$23:$B$33,0))="","-",INDEX('1.5 P&amp;C'!$D$23:$D$33,MATCH($B7,'1.5 P&amp;C'!$B$23:$B$33,0))),"-")</f>
        <v>M</v>
      </c>
      <c r="E7" s="1782">
        <f>IFERROR(INDEX('0.3 Squad Archetypes'!$F$5:$F$23,MATCH($C7&amp;"|"&amp;$D7,'0.3 Squad Archetypes'!$A$5:$A$23,0)),"-")</f>
        <v>9</v>
      </c>
      <c r="F7" s="1773">
        <f>COUNTA($B$33:$B$40)</f>
        <v>8</v>
      </c>
      <c r="G7" s="1773">
        <f>COUNTIFS($D$33:$D$40,"Filled")</f>
        <v>5</v>
      </c>
      <c r="H7" s="1773">
        <f>COUNTIFS($D$33:$D$40,"Vacant")</f>
        <v>3</v>
      </c>
      <c r="I7" s="1773">
        <f>COUNTIFS($D$33:$D$40,"Vacant",$E$33:$E$40,"Hire")</f>
        <v>3</v>
      </c>
      <c r="J7" s="1773">
        <f>COUNTIFS($E$33:$E$40,"Offshore")</f>
        <v>0</v>
      </c>
      <c r="K7" s="1773">
        <f>COUNTIFS($E$33:$E$40,"Hold")</f>
        <v>0</v>
      </c>
      <c r="L7" s="1773">
        <f>$F7-$K7</f>
        <v>8</v>
      </c>
      <c r="M7" s="1772">
        <f>IFERROR(IF(INDEX('1.5 P&amp;C'!$E$23:$E$33,MATCH($B7,'1.5 P&amp;C'!$B$23:$B$33,0))="Offshore",INDEX('0.3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1.76551793</v>
      </c>
      <c r="O7" s="1772">
        <f>IFERROR(ROUND($N7-$M7,6),"-")</f>
        <v>-0.334482</v>
      </c>
      <c r="P7" s="1772">
        <f>SUM($G$33:$G$40)/1000000</f>
        <v>1.76551793</v>
      </c>
      <c r="Q7" s="1772">
        <f>IFERROR(ROUND($P7-$M7,6),"-")</f>
        <v>-0.334482</v>
      </c>
    </row>
    <row r="8">
      <c r="B8" s="1530" t="inlineStr">
        <is>
          <t>P&amp;C RTA</t>
        </is>
      </c>
      <c r="C8" s="1530" t="str">
        <f>IFERROR(INDEX('1.5 P&amp;C'!$C$23:$C$33,MATCH($B8,'1.5 P&amp;C'!$B$23:$B$33,0)),"Not on the 1.x tab")</f>
        <v>Configuration / Integration</v>
      </c>
      <c r="D8" s="1530" t="str">
        <f>IFERROR(IF(INDEX('1.5 P&amp;C'!$D$23:$D$33,MATCH($B8,'1.5 P&amp;C'!$B$23:$B$33,0))="","-",INDEX('1.5 P&amp;C'!$D$23:$D$33,MATCH($B8,'1.5 P&amp;C'!$B$23:$B$33,0))),"-")</f>
        <v>S</v>
      </c>
      <c r="E8" s="1782">
        <f>IFERROR(INDEX('0.3 Squad Archetypes'!$F$5:$F$23,MATCH($C8&amp;"|"&amp;$D8,'0.3 Squad Archetypes'!$A$5:$A$23,0)),"-")</f>
        <v>6</v>
      </c>
      <c r="F8" s="1773">
        <f>COUNTA($B$42:$B$47)</f>
        <v>6</v>
      </c>
      <c r="G8" s="1773">
        <f>COUNTIFS($D$42:$D$47,"Filled")</f>
        <v>1</v>
      </c>
      <c r="H8" s="1773">
        <f>COUNTIFS($D$42:$D$47,"Vacant")</f>
        <v>5</v>
      </c>
      <c r="I8" s="1773">
        <f>COUNTIFS($D$42:$D$47,"Vacant",$E$42:$E$47,"Hire")</f>
        <v>5</v>
      </c>
      <c r="J8" s="1773">
        <f>COUNTIFS($E$42:$E$47,"Offshore")</f>
        <v>0</v>
      </c>
      <c r="K8" s="1773">
        <f>COUNTIFS($E$42:$E$47,"Hold")</f>
        <v>0</v>
      </c>
      <c r="L8" s="1773">
        <f>$F8-$K8</f>
        <v>6</v>
      </c>
      <c r="M8" s="1772">
        <f>IFERROR(IF(INDEX('1.5 P&amp;C'!$E$23:$E$33,MATCH($B8,'1.5 P&amp;C'!$B$23:$B$33,0))="Offshore",INDEX('0.3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1.26408815</v>
      </c>
      <c r="O8" s="1772">
        <f>IFERROR(ROUND($N8-$M8,6),"-")</f>
        <v>-0.135912</v>
      </c>
      <c r="P8" s="1772">
        <f>SUM($G$42:$G$47)/1000000</f>
        <v>1.26408815</v>
      </c>
      <c r="Q8" s="1772">
        <f>IFERROR(ROUND($P8-$M8,6),"-")</f>
        <v>-0.135912</v>
      </c>
    </row>
    <row r="9">
      <c r="B9" s="1534" t="inlineStr">
        <is>
          <t>Squads priced by an archetype</t>
        </is>
      </c>
      <c r="C9" s="1534" t="n"/>
      <c r="D9" s="1534" t="n"/>
      <c r="E9" s="1783">
        <f>SUM(E7:E8)</f>
        <v>15</v>
      </c>
      <c r="F9" s="1775">
        <f>SUM(F7:F8)</f>
        <v>14</v>
      </c>
      <c r="G9" s="1775">
        <f>SUM(G7:G8)</f>
        <v>6</v>
      </c>
      <c r="H9" s="1775">
        <f>SUM(H7:H8)</f>
        <v>8</v>
      </c>
      <c r="I9" s="1775">
        <f>SUM(I7:I8)</f>
        <v>8</v>
      </c>
      <c r="J9" s="1775">
        <f>SUM(J7:J8)</f>
        <v>0</v>
      </c>
      <c r="K9" s="1775">
        <f>SUM(K7:K8)</f>
        <v>0</v>
      </c>
      <c r="L9" s="1775">
        <f>SUM(L7:L8)</f>
        <v>14</v>
      </c>
      <c r="M9" s="1774">
        <f>SUM(M7:M8)</f>
        <v>3.5</v>
      </c>
      <c r="N9" s="1774">
        <f>SUM(N7:N8)</f>
        <v>3.02960608</v>
      </c>
      <c r="O9" s="1774">
        <f>SUM(O7:O8)</f>
        <v>-0.470394</v>
      </c>
      <c r="P9" s="1774">
        <f>SUM(P7:P8)</f>
        <v>3.02960608</v>
      </c>
      <c r="Q9" s="1774">
        <f>SUM(Q7:Q8)</f>
        <v>-0.470394</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P&amp;C</t>
        </is>
      </c>
      <c r="C13" s="1530" t="str">
        <f>IFERROR(INDEX('1.5 P&amp;C'!$C$23:$C$33,MATCH($B13,'1.5 P&amp;C'!$B$23:$B$33,0)),"Not on the 1.x tab")</f>
        <v>Strategic Programs</v>
      </c>
      <c r="D13" s="1530" t="str">
        <f>IFERROR(IF(INDEX('1.5 P&amp;C'!$D$23:$D$33,MATCH($B13,'1.5 P&amp;C'!$B$23:$B$33,0))="","-",INDEX('1.5 P&amp;C'!$D$23:$D$33,MATCH($B13,'1.5 P&amp;C'!$B$23:$B$33,0))),"-")</f>
        <v>-</v>
      </c>
      <c r="E13" s="1782" t="str">
        <f>"-"</f>
        <v>-</v>
      </c>
      <c r="F13" s="1773">
        <f>COUNTA($B$31:$B$31)</f>
        <v>1</v>
      </c>
      <c r="G13" s="1773">
        <f>COUNTIFS($D$31:$D$31,"Filled")</f>
        <v>1</v>
      </c>
      <c r="H13" s="1773">
        <f>COUNTIFS($D$31:$D$31,"Vacant")</f>
        <v>0</v>
      </c>
      <c r="I13" s="1773">
        <f>COUNTIFS($D$31:$D$31,"Vacant",$E$31:$E$31,"Hire")</f>
        <v>0</v>
      </c>
      <c r="J13" s="1773">
        <f>COUNTIFS($E$31:$E$31,"Offshore")</f>
        <v>0</v>
      </c>
      <c r="K13" s="1773">
        <f>COUNTIFS($E$31:$E$31,"Hold")</f>
        <v>0</v>
      </c>
      <c r="L13" s="1773">
        <f>$F13-$K13</f>
        <v>1</v>
      </c>
      <c r="M13" s="1772">
        <f>$N13</f>
        <v>0.238965</v>
      </c>
      <c r="N13" s="1772">
        <f>SUMIFS('REVIEW - Complete Role Mapping'!$AA$2:$AA$528,'REVIEW - Complete Role Mapping'!$AJ$2:$AJ$528,$C$3,'REVIEW - Complete Role Mapping'!$AT$2:$AT$528,$B13)/1000000</f>
        <v>0.238965</v>
      </c>
      <c r="O13" s="1772">
        <f>IFERROR(ROUND($N13-$M13,6),"-")</f>
        <v>0</v>
      </c>
      <c r="P13" s="1772">
        <f>SUM($G$31:$G$31)/1000000</f>
        <v>0.238965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0.238965</v>
      </c>
      <c r="N14" s="1774">
        <f>SUM(N13:N13)</f>
        <v>0.238965</v>
      </c>
      <c r="O14" s="1774">
        <f>SUM(O13:O13)</f>
        <v>0</v>
      </c>
      <c r="P14" s="1774">
        <f>SUM(P13:P13)</f>
        <v>0.238965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Head of Technology</t>
        </is>
      </c>
      <c r="C18" s="1530" t="str">
        <f>"-"</f>
        <v>-</v>
      </c>
      <c r="D18" s="1530" t="str">
        <f>"-"</f>
        <v>-</v>
      </c>
      <c r="E18" s="1538" t="str">
        <f>"-"</f>
        <v>-</v>
      </c>
      <c r="F18" s="1773">
        <f>COUNTA($B$49:$B$49)</f>
        <v>1</v>
      </c>
      <c r="G18" s="1773">
        <f>COUNTIFS($D$49:$D$49,"Filled")</f>
        <v>1</v>
      </c>
      <c r="H18" s="1773">
        <f>COUNTIFS($D$49:$D$49,"Vacant")</f>
        <v>0</v>
      </c>
      <c r="I18" s="1773">
        <f>COUNTIFS($D$49:$D$49,"Vacant",$E$49:$E$49,"Hire")</f>
        <v>0</v>
      </c>
      <c r="J18" s="1773">
        <f>COUNTIFS($E$49:$E$49,"Offshore")</f>
        <v>0</v>
      </c>
      <c r="K18" s="1773">
        <f>COUNTIFS($E$49:$E$49,"Hold")</f>
        <v>0</v>
      </c>
      <c r="L18" s="1773">
        <f>$F18-$K18</f>
        <v>1</v>
      </c>
      <c r="M18" s="1538" t="str">
        <f>"-"</f>
        <v>-</v>
      </c>
      <c r="N18" s="1772">
        <f>SUMIFS('REVIEW - Complete Role Mapping'!$AA$2:$AA$528,'REVIEW - Complete Role Mapping'!$AJ$2:$AJ$528,$C$3,'REVIEW - Complete Role Mapping'!$AT$2:$AT$528,$B18)/1000000</f>
        <v>0.3642493</v>
      </c>
      <c r="O18" s="1538" t="str">
        <f>"-"</f>
        <v>-</v>
      </c>
      <c r="P18" s="1772">
        <f>SUM($G$49:$G$49)/1000000</f>
        <v>0.3642493</v>
      </c>
      <c r="Q18" s="1538" t="str">
        <f>"-"</f>
        <v>-</v>
      </c>
    </row>
    <row r="19">
      <c r="B19" s="1530" t="inlineStr">
        <is>
          <t>Delivery Manager</t>
        </is>
      </c>
      <c r="C19" s="1530" t="str">
        <f>"-"</f>
        <v>-</v>
      </c>
      <c r="D19" s="1530" t="str">
        <f>"-"</f>
        <v>-</v>
      </c>
      <c r="E19" s="1538" t="str">
        <f>"-"</f>
        <v>-</v>
      </c>
      <c r="F19" s="1773">
        <f>COUNTA($B$51:$B$51)</f>
        <v>1</v>
      </c>
      <c r="G19" s="1773">
        <f>COUNTIFS($D$51:$D$51,"Filled")</f>
        <v>0</v>
      </c>
      <c r="H19" s="1773">
        <f>COUNTIFS($D$51:$D$51,"Vacant")</f>
        <v>1</v>
      </c>
      <c r="I19" s="1773">
        <f>COUNTIFS($D$51:$D$51,"Vacant",$E$51:$E$51,"Hire")</f>
        <v>1</v>
      </c>
      <c r="J19" s="1773">
        <f>COUNTIFS($E$51:$E$51,"Offshore")</f>
        <v>0</v>
      </c>
      <c r="K19" s="1773">
        <f>COUNTIFS($E$51:$E$51,"Hold")</f>
        <v>0</v>
      </c>
      <c r="L19" s="1773">
        <f>$F19-$K19</f>
        <v>1</v>
      </c>
      <c r="M19" s="1538" t="str">
        <f>"-"</f>
        <v>-</v>
      </c>
      <c r="N19" s="1772">
        <f>SUMIFS('REVIEW - Complete Role Mapping'!$AA$2:$AA$528,'REVIEW - Complete Role Mapping'!$AJ$2:$AJ$528,$C$3,'REVIEW - Complete Role Mapping'!$AT$2:$AT$528,$B19)/1000000</f>
        <v>0.27581025</v>
      </c>
      <c r="O19" s="1538" t="str">
        <f>"-"</f>
        <v>-</v>
      </c>
      <c r="P19" s="1772">
        <f>SUM($G$51:$G$51)/1000000</f>
        <v>0.27581025</v>
      </c>
      <c r="Q19" s="1538" t="str">
        <f>"-"</f>
        <v>-</v>
      </c>
    </row>
    <row r="20">
      <c r="B20" s="1530" t="inlineStr">
        <is>
          <t>Technology Manager</t>
        </is>
      </c>
      <c r="C20" s="1530" t="str">
        <f>"-"</f>
        <v>-</v>
      </c>
      <c r="D20" s="1530" t="str">
        <f>"-"</f>
        <v>-</v>
      </c>
      <c r="E20" s="1538" t="str">
        <f>"-"</f>
        <v>-</v>
      </c>
      <c r="F20" s="1773">
        <f>COUNTA($B$53:$B$53)</f>
        <v>1</v>
      </c>
      <c r="G20" s="1773">
        <f>COUNTIFS($D$53:$D$53,"Filled")</f>
        <v>0</v>
      </c>
      <c r="H20" s="1773">
        <f>COUNTIFS($D$53:$D$53,"Vacant")</f>
        <v>1</v>
      </c>
      <c r="I20" s="1773">
        <f>COUNTIFS($D$53:$D$53,"Vacant",$E$53:$E$53,"Hire")</f>
        <v>1</v>
      </c>
      <c r="J20" s="1773">
        <f>COUNTIFS($E$53:$E$53,"Offshore")</f>
        <v>0</v>
      </c>
      <c r="K20" s="1773">
        <f>COUNTIFS($E$53:$E$53,"Hold")</f>
        <v>0</v>
      </c>
      <c r="L20" s="1773">
        <f>$F20-$K20</f>
        <v>1</v>
      </c>
      <c r="M20" s="1538" t="str">
        <f>"-"</f>
        <v>-</v>
      </c>
      <c r="N20" s="1772">
        <f>SUMIFS('REVIEW - Complete Role Mapping'!$AA$2:$AA$528,'REVIEW - Complete Role Mapping'!$AJ$2:$AJ$528,$C$3,'REVIEW - Complete Role Mapping'!$AT$2:$AT$528,$B20)/1000000</f>
        <v>0.27581025</v>
      </c>
      <c r="O20" s="1538" t="str">
        <f>"-"</f>
        <v>-</v>
      </c>
      <c r="P20" s="1772">
        <f>SUM($G$53:$G$53)/1000000</f>
        <v>0.27581025</v>
      </c>
      <c r="Q20" s="1538" t="str">
        <f>"-"</f>
        <v>-</v>
      </c>
    </row>
    <row r="21">
      <c r="B21" s="1534" t="inlineStr">
        <is>
          <t>Overhead roles total</t>
        </is>
      </c>
      <c r="C21" s="1534" t="n"/>
      <c r="D21" s="1534" t="n"/>
      <c r="E21" s="1783">
        <f>SUM(E18:E20)</f>
        <v>0</v>
      </c>
      <c r="F21" s="1775">
        <f>SUM(F18:F20)</f>
        <v>3</v>
      </c>
      <c r="G21" s="1775">
        <f>SUM(G18:G20)</f>
        <v>1</v>
      </c>
      <c r="H21" s="1775">
        <f>SUM(H18:H20)</f>
        <v>2</v>
      </c>
      <c r="I21" s="1775">
        <f>SUM(I18:I20)</f>
        <v>2</v>
      </c>
      <c r="J21" s="1775">
        <f>SUM(J18:J20)</f>
        <v>0</v>
      </c>
      <c r="K21" s="1775">
        <f>SUM(K18:K20)</f>
        <v>0</v>
      </c>
      <c r="L21" s="1775">
        <f>SUM(L18:L20)</f>
        <v>3</v>
      </c>
      <c r="M21" s="1774">
        <f>SUM(M18:M20)</f>
        <v>0</v>
      </c>
      <c r="N21" s="1774">
        <f>SUM(N18:N20)</f>
        <v>0.9158698</v>
      </c>
      <c r="O21" s="1774">
        <f>SUM(O18:O20)</f>
        <v>0</v>
      </c>
      <c r="P21" s="1774">
        <f>SUM(P18:P20)</f>
        <v>0.9158698</v>
      </c>
      <c r="Q21" s="1774">
        <f>SUM(Q18:Q20)</f>
        <v>0</v>
      </c>
    </row>
    <row r="22"/>
    <row r="23">
      <c r="B23" s="1539" t="inlineStr">
        <is>
          <t>Total portfolio</t>
        </is>
      </c>
      <c r="C23" s="1539" t="n"/>
      <c r="D23" s="1539" t="n"/>
      <c r="E23" s="1784">
        <f>N(E9)+N(E14)+N(E21)</f>
        <v>15</v>
      </c>
      <c r="F23" s="1777">
        <f>N(F9)+N(F14)+N(F21)</f>
        <v>18</v>
      </c>
      <c r="G23" s="1777">
        <f>N(G9)+N(G14)+N(G21)</f>
        <v>8</v>
      </c>
      <c r="H23" s="1777">
        <f>N(H9)+N(H14)+N(H21)</f>
        <v>10</v>
      </c>
      <c r="I23" s="1777">
        <f>N(I9)+N(I14)+N(I21)</f>
        <v>10</v>
      </c>
      <c r="J23" s="1777">
        <f>N(J9)+N(J14)+N(J21)</f>
        <v>0</v>
      </c>
      <c r="K23" s="1777">
        <f>N(K9)+N(K14)+N(K21)</f>
        <v>0</v>
      </c>
      <c r="L23" s="1777">
        <f>N(L9)+N(L14)+N(L21)</f>
        <v>18</v>
      </c>
      <c r="M23" s="1776">
        <f>N(M9)+N(M14)+N(M21)</f>
        <v>3.738965</v>
      </c>
      <c r="N23" s="1776">
        <f>N(N9)+N(N14)+N(N21)</f>
        <v>4.18444088</v>
      </c>
      <c r="O23" s="1776">
        <f>N(O9)+N(O14)+N(O21)</f>
        <v>-0.470394</v>
      </c>
      <c r="P23" s="1776">
        <f>N(P9)+N(P14)+N(P21)</f>
        <v>4.18444088</v>
      </c>
      <c r="Q23" s="1776">
        <f>N(Q9)+N(Q14)+N(Q21)</f>
        <v>-0.470394</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P&amp;C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EGI P&amp;C</t>
        </is>
      </c>
      <c r="C30" s="1545" t="str">
        <f>COUNTA($B$31:$B$31)&amp;IF(COUNTA($B$31:$B$31)=1," role"," roles")</f>
        <v>1 role</v>
      </c>
      <c r="D30" s="1545" t="n"/>
      <c r="E30" s="1545" t="n"/>
      <c r="F30" s="1785">
        <f>SUM(F31:F31)</f>
        <v>238965</v>
      </c>
      <c r="G30" s="1785">
        <f>SUM(G31:G31)</f>
        <v>238965</v>
      </c>
    </row>
    <row r="31">
      <c r="B31" s="1530" t="str">
        <f>INDEX('REVIEW - Complete Role Mapping'!$B:$B,448)</f>
        <v>Vikram Chhahira</v>
      </c>
      <c r="C31" s="1530" t="str">
        <f>INDEX('REVIEW - Complete Role Mapping'!$C:$C,448)</f>
        <v>Delivery Lead, EGI</v>
      </c>
      <c r="D31" s="1530" t="str">
        <f>INDEX('REVIEW - Complete Role Mapping'!$AK:$AK,448)</f>
        <v>Filled</v>
      </c>
      <c r="E31" s="1547" t="inlineStr">
        <is>
          <t>Filled</t>
        </is>
      </c>
      <c r="F31" s="1773">
        <f>INDEX('REVIEW - Complete Role Mapping'!$AA:$AA,448)</f>
        <v>238965</v>
      </c>
      <c r="G31" s="1773">
        <f>$F31*IFERROR(INDEX(Lists!$AD:$AD,MATCH($E31,Lists!$AC:$AC,0)),1)</f>
        <v>238965</v>
      </c>
    </row>
    <row r="32">
      <c r="B32" s="1545" t="inlineStr">
        <is>
          <t>P&amp;C</t>
        </is>
      </c>
      <c r="C32" s="1545" t="str">
        <f>COUNTA($B$33:$B$40)&amp;IF(COUNTA($B$33:$B$40)=1," role"," roles")</f>
        <v>8 roles</v>
      </c>
      <c r="D32" s="1545" t="n"/>
      <c r="E32" s="1545" t="n"/>
      <c r="F32" s="1785">
        <f>SUM(F33:F40)</f>
        <v>1765517.93</v>
      </c>
      <c r="G32" s="1785">
        <f>SUM(G33:G40)</f>
        <v>1765517.93</v>
      </c>
    </row>
    <row r="33">
      <c r="B33" s="1530" t="str">
        <f>INDEX('REVIEW - Complete Role Mapping'!$B:$B,460)</f>
        <v>Grace Hadiwijaya</v>
      </c>
      <c r="C33" s="1530" t="str">
        <f>INDEX('REVIEW - Complete Role Mapping'!$C:$C,460)</f>
        <v>Lead P&amp;C Platforms</v>
      </c>
      <c r="D33" s="1530" t="str">
        <f>INDEX('REVIEW - Complete Role Mapping'!$AK:$AK,460)</f>
        <v>Filled</v>
      </c>
      <c r="E33" s="1547" t="inlineStr">
        <is>
          <t>Filled</t>
        </is>
      </c>
      <c r="F33" s="1773">
        <f>INDEX('REVIEW - Complete Role Mapping'!$AA:$AA,460)</f>
        <v>237963.75</v>
      </c>
      <c r="G33" s="1773">
        <f>$F33*IFERROR(INDEX(Lists!$AD:$AD,MATCH($E33,Lists!$AC:$AC,0)),1)</f>
        <v>237963.75</v>
      </c>
    </row>
    <row r="34">
      <c r="B34" s="1530" t="str">
        <f>INDEX('REVIEW - Complete Role Mapping'!$B:$B,461)</f>
        <v>Maadhu Suresh</v>
      </c>
      <c r="C34" s="1530" t="str">
        <f>INDEX('REVIEW - Complete Role Mapping'!$C:$C,461)</f>
        <v>Solution Architect</v>
      </c>
      <c r="D34" s="1530" t="str">
        <f>INDEX('REVIEW - Complete Role Mapping'!$AK:$AK,461)</f>
        <v>Filled</v>
      </c>
      <c r="E34" s="1547" t="inlineStr">
        <is>
          <t>Filled</t>
        </is>
      </c>
      <c r="F34" s="1773">
        <f>INDEX('REVIEW - Complete Role Mapping'!$AA:$AA,461)</f>
        <v>272340</v>
      </c>
      <c r="G34" s="1773">
        <f>$F34*IFERROR(INDEX(Lists!$AD:$AD,MATCH($E34,Lists!$AC:$AC,0)),1)</f>
        <v>272340</v>
      </c>
    </row>
    <row r="35">
      <c r="B35" s="1530" t="str">
        <f>INDEX('REVIEW - Complete Role Mapping'!$B:$B,462)</f>
        <v>Michael Pollock</v>
      </c>
      <c r="C35" s="1530" t="str">
        <f>INDEX('REVIEW - Complete Role Mapping'!$C:$C,462)</f>
        <v>Lead Business Analyst</v>
      </c>
      <c r="D35" s="1530" t="str">
        <f>INDEX('REVIEW - Complete Role Mapping'!$AK:$AK,462)</f>
        <v>Filled</v>
      </c>
      <c r="E35" s="1547" t="inlineStr">
        <is>
          <t>Filled</t>
        </is>
      </c>
      <c r="F35" s="1773">
        <f>INDEX('REVIEW - Complete Role Mapping'!$AA:$AA,462)</f>
        <v>193358.28</v>
      </c>
      <c r="G35" s="1773">
        <f>$F35*IFERROR(INDEX(Lists!$AD:$AD,MATCH($E35,Lists!$AC:$AC,0)),1)</f>
        <v>193358.28</v>
      </c>
    </row>
    <row r="36">
      <c r="B36" s="1530" t="str">
        <f>INDEX('REVIEW - Complete Role Mapping'!$B:$B,463)</f>
        <v>Prerna Sharma</v>
      </c>
      <c r="C36" s="1530" t="str">
        <f>INDEX('REVIEW - Complete Role Mapping'!$C:$C,463)</f>
        <v>SAP HR Specialist</v>
      </c>
      <c r="D36" s="1530" t="str">
        <f>INDEX('REVIEW - Complete Role Mapping'!$AK:$AK,463)</f>
        <v>Filled</v>
      </c>
      <c r="E36" s="1547" t="inlineStr">
        <is>
          <t>Filled</t>
        </is>
      </c>
      <c r="F36" s="1773">
        <f>INDEX('REVIEW - Complete Role Mapping'!$AA:$AA,463)</f>
        <v>234172.35</v>
      </c>
      <c r="G36" s="1773">
        <f>$F36*IFERROR(INDEX(Lists!$AD:$AD,MATCH($E36,Lists!$AC:$AC,0)),1)</f>
        <v>234172.35</v>
      </c>
    </row>
    <row r="37">
      <c r="B37" s="1530" t="str">
        <f>INDEX('REVIEW - Complete Role Mapping'!$B:$B,464)</f>
        <v>Thai Pung</v>
      </c>
      <c r="C37" s="1530" t="str">
        <f>INDEX('REVIEW - Complete Role Mapping'!$C:$C,464)</f>
        <v>Delivery Lead - (P&amp;C)</v>
      </c>
      <c r="D37" s="1530" t="str">
        <f>INDEX('REVIEW - Complete Role Mapping'!$AK:$AK,464)</f>
        <v>Filled</v>
      </c>
      <c r="E37" s="1547" t="inlineStr">
        <is>
          <t>Filled</t>
        </is>
      </c>
      <c r="F37" s="1773">
        <f>INDEX('REVIEW - Complete Role Mapping'!$AA:$AA,464)</f>
        <v>251487.3</v>
      </c>
      <c r="G37" s="1773">
        <f>$F37*IFERROR(INDEX(Lists!$AD:$AD,MATCH($E37,Lists!$AC:$AC,0)),1)</f>
        <v>251487.3</v>
      </c>
    </row>
    <row r="38">
      <c r="B38" s="1530" t="str">
        <f>INDEX('REVIEW - Complete Role Mapping'!$B:$B,504)</f>
        <v>Vacant</v>
      </c>
      <c r="C38" s="1530" t="str">
        <f>INDEX('REVIEW - Complete Role Mapping'!$C:$C,504)</f>
        <v>Engineer</v>
      </c>
      <c r="D38" s="1530" t="str">
        <f>INDEX('REVIEW - Complete Role Mapping'!$AK:$AK,504)</f>
        <v>Vacant</v>
      </c>
      <c r="E38" s="1547" t="inlineStr">
        <is>
          <t>Hire</t>
        </is>
      </c>
      <c r="F38" s="1773">
        <f>INDEX('REVIEW - Complete Role Mapping'!$AA:$AA,504)</f>
        <v>202853.25</v>
      </c>
      <c r="G38" s="1773">
        <f>$F38*IFERROR(INDEX(Lists!$AD:$AD,MATCH($E38,Lists!$AC:$AC,0)),1)</f>
        <v>202853.25</v>
      </c>
    </row>
    <row r="39">
      <c r="B39" s="1530" t="str">
        <f>INDEX('REVIEW - Complete Role Mapping'!$B:$B,505)</f>
        <v>Vacant</v>
      </c>
      <c r="C39" s="1530" t="str">
        <f>INDEX('REVIEW - Complete Role Mapping'!$C:$C,505)</f>
        <v>Engineer</v>
      </c>
      <c r="D39" s="1530" t="str">
        <f>INDEX('REVIEW - Complete Role Mapping'!$AK:$AK,505)</f>
        <v>Vacant</v>
      </c>
      <c r="E39" s="1547" t="inlineStr">
        <is>
          <t>Hire</t>
        </is>
      </c>
      <c r="F39" s="1773">
        <f>INDEX('REVIEW - Complete Role Mapping'!$AA:$AA,505)</f>
        <v>202853.25</v>
      </c>
      <c r="G39" s="1773">
        <f>$F39*IFERROR(INDEX(Lists!$AD:$AD,MATCH($E39,Lists!$AC:$AC,0)),1)</f>
        <v>202853.25</v>
      </c>
    </row>
    <row r="40">
      <c r="B40" s="1530" t="str">
        <f>INDEX('REVIEW - Complete Role Mapping'!$B:$B,507)</f>
        <v>Vacant</v>
      </c>
      <c r="C40" s="1530" t="str">
        <f>INDEX('REVIEW - Complete Role Mapping'!$C:$C,507)</f>
        <v>Quality Assurance</v>
      </c>
      <c r="D40" s="1530" t="str">
        <f>INDEX('REVIEW - Complete Role Mapping'!$AK:$AK,507)</f>
        <v>Vacant</v>
      </c>
      <c r="E40" s="1547" t="inlineStr">
        <is>
          <t>Hire</t>
        </is>
      </c>
      <c r="F40" s="1773">
        <f>INDEX('REVIEW - Complete Role Mapping'!$AA:$AA,507)</f>
        <v>170489.75</v>
      </c>
      <c r="G40" s="1773">
        <f>$F40*IFERROR(INDEX(Lists!$AD:$AD,MATCH($E40,Lists!$AC:$AC,0)),1)</f>
        <v>170489.75</v>
      </c>
    </row>
    <row r="41">
      <c r="B41" s="1545" t="inlineStr">
        <is>
          <t>P&amp;C RTA</t>
        </is>
      </c>
      <c r="C41" s="1545" t="str">
        <f>COUNTA($B$42:$B$47)&amp;IF(COUNTA($B$42:$B$47)=1," role"," roles")</f>
        <v>6 roles</v>
      </c>
      <c r="D41" s="1545" t="n"/>
      <c r="E41" s="1545" t="n"/>
      <c r="F41" s="1785">
        <f>SUM(F42:F47)</f>
        <v>1264088.15</v>
      </c>
      <c r="G41" s="1785">
        <f>SUM(G42:G47)</f>
        <v>1264088.15</v>
      </c>
    </row>
    <row r="42">
      <c r="B42" s="1530" t="str">
        <f>INDEX('REVIEW - Complete Role Mapping'!$B:$B,465)</f>
        <v>Kurniaty Widjaya</v>
      </c>
      <c r="C42" s="1530" t="str">
        <f>INDEX('REVIEW - Complete Role Mapping'!$C:$C,465)</f>
        <v>ERP HR Pay Functional Lead</v>
      </c>
      <c r="D42" s="1530" t="str">
        <f>INDEX('REVIEW - Complete Role Mapping'!$AK:$AK,465)</f>
        <v>Filled</v>
      </c>
      <c r="E42" s="1547" t="inlineStr">
        <is>
          <t>Filled</t>
        </is>
      </c>
      <c r="F42" s="1773">
        <f>INDEX('REVIEW - Complete Role Mapping'!$AA:$AA,465)</f>
        <v>277500</v>
      </c>
      <c r="G42" s="1773">
        <f>$F42*IFERROR(INDEX(Lists!$AD:$AD,MATCH($E42,Lists!$AC:$AC,0)),1)</f>
        <v>277500</v>
      </c>
    </row>
    <row r="43">
      <c r="B43" s="1530" t="str">
        <f>INDEX('REVIEW - Complete Role Mapping'!$B:$B,502)</f>
        <v>Vacant</v>
      </c>
      <c r="C43" s="1530" t="str">
        <f>INDEX('REVIEW - Complete Role Mapping'!$C:$C,502)</f>
        <v>Business Analyst (P&amp;C RTA)</v>
      </c>
      <c r="D43" s="1530" t="str">
        <f>INDEX('REVIEW - Complete Role Mapping'!$AK:$AK,502)</f>
        <v>Vacant</v>
      </c>
      <c r="E43" s="1547" t="inlineStr">
        <is>
          <t>Hire</t>
        </is>
      </c>
      <c r="F43" s="1773">
        <f>INDEX('REVIEW - Complete Role Mapping'!$AA:$AA,502)</f>
        <v>201585</v>
      </c>
      <c r="G43" s="1773">
        <f>$F43*IFERROR(INDEX(Lists!$AD:$AD,MATCH($E43,Lists!$AC:$AC,0)),1)</f>
        <v>201585</v>
      </c>
    </row>
    <row r="44">
      <c r="B44" s="1530" t="str">
        <f>INDEX('REVIEW - Complete Role Mapping'!$B:$B,503)</f>
        <v>Vacant</v>
      </c>
      <c r="C44" s="1530" t="str">
        <f>INDEX('REVIEW - Complete Role Mapping'!$C:$C,503)</f>
        <v>Delivery Lead (RTA)</v>
      </c>
      <c r="D44" s="1530" t="str">
        <f>INDEX('REVIEW - Complete Role Mapping'!$AK:$AK,503)</f>
        <v>Vacant</v>
      </c>
      <c r="E44" s="1547" t="inlineStr">
        <is>
          <t>Hire</t>
        </is>
      </c>
      <c r="F44" s="1773">
        <f>INDEX('REVIEW - Complete Role Mapping'!$AA:$AA,503)</f>
        <v>231689.25</v>
      </c>
      <c r="G44" s="1773">
        <f>$F44*IFERROR(INDEX(Lists!$AD:$AD,MATCH($E44,Lists!$AC:$AC,0)),1)</f>
        <v>231689.25</v>
      </c>
    </row>
    <row r="45">
      <c r="B45" s="1530" t="str">
        <f>INDEX('REVIEW - Complete Role Mapping'!$B:$B,506)</f>
        <v>Vacant</v>
      </c>
      <c r="C45" s="1530" t="str">
        <f>INDEX('REVIEW - Complete Role Mapping'!$C:$C,506)</f>
        <v>Engineer</v>
      </c>
      <c r="D45" s="1530" t="str">
        <f>INDEX('REVIEW - Complete Role Mapping'!$AK:$AK,506)</f>
        <v>Vacant</v>
      </c>
      <c r="E45" s="1547" t="inlineStr">
        <is>
          <t>Hire</t>
        </is>
      </c>
      <c r="F45" s="1773">
        <f>INDEX('REVIEW - Complete Role Mapping'!$AA:$AA,506)</f>
        <v>202853.25</v>
      </c>
      <c r="G45" s="1773">
        <f>$F45*IFERROR(INDEX(Lists!$AD:$AD,MATCH($E45,Lists!$AC:$AC,0)),1)</f>
        <v>202853.25</v>
      </c>
    </row>
    <row r="46">
      <c r="B46" s="1530" t="str">
        <f>INDEX('REVIEW - Complete Role Mapping'!$B:$B,508)</f>
        <v>Vacant</v>
      </c>
      <c r="C46" s="1530" t="str">
        <f>INDEX('REVIEW - Complete Role Mapping'!$C:$C,508)</f>
        <v>Quality Assurance</v>
      </c>
      <c r="D46" s="1530" t="str">
        <f>INDEX('REVIEW - Complete Role Mapping'!$AK:$AK,508)</f>
        <v>Vacant</v>
      </c>
      <c r="E46" s="1547" t="inlineStr">
        <is>
          <t>Hire</t>
        </is>
      </c>
      <c r="F46" s="1773">
        <f>INDEX('REVIEW - Complete Role Mapping'!$AA:$AA,508)</f>
        <v>170489.75</v>
      </c>
      <c r="G46" s="1773">
        <f>$F46*IFERROR(INDEX(Lists!$AD:$AD,MATCH($E46,Lists!$AC:$AC,0)),1)</f>
        <v>170489.75</v>
      </c>
    </row>
    <row r="47">
      <c r="B47" s="1530" t="str">
        <f>INDEX('REVIEW - Complete Role Mapping'!$B:$B,509)</f>
        <v>Vacant</v>
      </c>
      <c r="C47" s="1530" t="str">
        <f>INDEX('REVIEW - Complete Role Mapping'!$C:$C,509)</f>
        <v>Systems Specialist</v>
      </c>
      <c r="D47" s="1530" t="str">
        <f>INDEX('REVIEW - Complete Role Mapping'!$AK:$AK,509)</f>
        <v>Vacant</v>
      </c>
      <c r="E47" s="1547" t="inlineStr">
        <is>
          <t>Hire</t>
        </is>
      </c>
      <c r="F47" s="1773">
        <f>INDEX('REVIEW - Complete Role Mapping'!$AA:$AA,509)</f>
        <v>179970.9</v>
      </c>
      <c r="G47" s="1773">
        <f>$F47*IFERROR(INDEX(Lists!$AD:$AD,MATCH($E47,Lists!$AC:$AC,0)),1)</f>
        <v>179970.9</v>
      </c>
    </row>
    <row r="48">
      <c r="B48" s="1545" t="inlineStr">
        <is>
          <t>Head of Technology</t>
        </is>
      </c>
      <c r="C48" s="1545" t="str">
        <f>COUNTA($B$49:$B$49)&amp;IF(COUNTA($B$49:$B$49)=1," role"," roles")</f>
        <v>1 role</v>
      </c>
      <c r="D48" s="1545" t="n"/>
      <c r="E48" s="1545" t="n"/>
      <c r="F48" s="1785">
        <f>SUM(F49:F49)</f>
        <v>364249.3</v>
      </c>
      <c r="G48" s="1785">
        <f>SUM(G49:G49)</f>
        <v>364249.3</v>
      </c>
    </row>
    <row r="49">
      <c r="B49" s="1530" t="str">
        <f>INDEX('REVIEW - Complete Role Mapping'!$B:$B,466)</f>
        <v>Vaso Vukovic</v>
      </c>
      <c r="C49" s="1530" t="str">
        <f>INDEX('REVIEW - Complete Role Mapping'!$C:$C,466)</f>
        <v>Head of Technology - P&amp;C, Finance &amp; Legal</v>
      </c>
      <c r="D49" s="1530" t="str">
        <f>INDEX('REVIEW - Complete Role Mapping'!$AK:$AK,466)</f>
        <v>Filled</v>
      </c>
      <c r="E49" s="1547" t="inlineStr">
        <is>
          <t>Filled</t>
        </is>
      </c>
      <c r="F49" s="1773">
        <f>INDEX('REVIEW - Complete Role Mapping'!$AA:$AA,466)</f>
        <v>364249.3</v>
      </c>
      <c r="G49" s="1773">
        <f>$F49*IFERROR(INDEX(Lists!$AD:$AD,MATCH($E49,Lists!$AC:$AC,0)),1)</f>
        <v>364249.3</v>
      </c>
    </row>
    <row r="50">
      <c r="B50" s="1545" t="inlineStr">
        <is>
          <t>Delivery Manager</t>
        </is>
      </c>
      <c r="C50" s="1545" t="str">
        <f>COUNTA($B$51:$B$51)&amp;IF(COUNTA($B$51:$B$51)=1," role"," roles")</f>
        <v>1 role</v>
      </c>
      <c r="D50" s="1545" t="n"/>
      <c r="E50" s="1545" t="n"/>
      <c r="F50" s="1785">
        <f>SUM(F51:F51)</f>
        <v>275810.25</v>
      </c>
      <c r="G50" s="1785">
        <f>SUM(G51:G51)</f>
        <v>275810.25</v>
      </c>
    </row>
    <row r="51">
      <c r="B51" s="1530" t="str">
        <f>INDEX('REVIEW - Complete Role Mapping'!$B:$B,511)</f>
        <v>Vacant</v>
      </c>
      <c r="C51" s="1530" t="str">
        <f>INDEX('REVIEW - Complete Role Mapping'!$C:$C,511)</f>
        <v>Delivery Manager</v>
      </c>
      <c r="D51" s="1530" t="str">
        <f>INDEX('REVIEW - Complete Role Mapping'!$AK:$AK,511)</f>
        <v>Vacant</v>
      </c>
      <c r="E51" s="1547" t="inlineStr">
        <is>
          <t>Hire</t>
        </is>
      </c>
      <c r="F51" s="1773">
        <f>INDEX('REVIEW - Complete Role Mapping'!$AA:$AA,511)</f>
        <v>275810.25</v>
      </c>
      <c r="G51" s="1773">
        <f>$F51*IFERROR(INDEX(Lists!$AD:$AD,MATCH($E51,Lists!$AC:$AC,0)),1)</f>
        <v>275810.25</v>
      </c>
    </row>
    <row r="52">
      <c r="B52" s="1545" t="inlineStr">
        <is>
          <t>Technology Manager</t>
        </is>
      </c>
      <c r="C52" s="1545" t="str">
        <f>COUNTA($B$53:$B$53)&amp;IF(COUNTA($B$53:$B$53)=1," role"," roles")</f>
        <v>1 role</v>
      </c>
      <c r="D52" s="1545" t="n"/>
      <c r="E52" s="1545" t="n"/>
      <c r="F52" s="1785">
        <f>SUM(F53:F53)</f>
        <v>275810.25</v>
      </c>
      <c r="G52" s="1785">
        <f>SUM(G53:G53)</f>
        <v>275810.25</v>
      </c>
    </row>
    <row r="53">
      <c r="B53" s="1530" t="str">
        <f>INDEX('REVIEW - Complete Role Mapping'!$B:$B,510)</f>
        <v>Vacant</v>
      </c>
      <c r="C53" s="1530" t="str">
        <f>INDEX('REVIEW - Complete Role Mapping'!$C:$C,510)</f>
        <v>Technology Manager - P&amp;C Platforms</v>
      </c>
      <c r="D53" s="1530" t="str">
        <f>INDEX('REVIEW - Complete Role Mapping'!$AK:$AK,510)</f>
        <v>Vacant</v>
      </c>
      <c r="E53" s="1547" t="inlineStr">
        <is>
          <t>Hire</t>
        </is>
      </c>
      <c r="F53" s="1773">
        <f>INDEX('REVIEW - Complete Role Mapping'!$AA:$AA,510)</f>
        <v>275810.25</v>
      </c>
      <c r="G53" s="1773">
        <f>$F53*IFERROR(INDEX(Lists!$AD:$AD,MATCH($E53,Lists!$AC:$AC,0)),1)</f>
        <v>275810.25</v>
      </c>
    </row>
  </sheetData>
  <dataValidations count="1">
    <dataValidation sqref="E31 E33 E34 E35 E36 E37 E38 E39 E40 E42 E43 E44 E45 E46 E47 E49 E51 E5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8"/>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Finance - working copy</t>
        </is>
      </c>
    </row>
    <row r="3">
      <c r="B3" s="1525" t="inlineStr">
        <is>
          <t>Portfolio</t>
        </is>
      </c>
      <c r="C3" s="1526" t="inlineStr">
        <is>
          <t>Finance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NZ Finance</t>
        </is>
      </c>
      <c r="C7" s="1530" t="str">
        <f>IFERROR(INDEX('1.6 Finance'!$C$24:$C$34,MATCH($B7,'1.6 Finance'!$B$24:$B$34,0)),"Not on the 1.x tab")</f>
        <v>Configuration / Integration</v>
      </c>
      <c r="D7" s="1530" t="str">
        <f>IFERROR(IF(INDEX('1.6 Finance'!$D$24:$D$34,MATCH($B7,'1.6 Finance'!$B$24:$B$34,0))="","-",INDEX('1.6 Finance'!$D$24:$D$34,MATCH($B7,'1.6 Finance'!$B$24:$B$34,0))),"-")</f>
        <v>S</v>
      </c>
      <c r="E7" s="1782">
        <f>IFERROR(INDEX('0.3 Squad Archetypes'!$F$5:$F$23,MATCH($C7&amp;"|"&amp;$D7,'0.3 Squad Archetypes'!$A$5:$A$23,0)),"-")</f>
        <v>6</v>
      </c>
      <c r="F7" s="1773">
        <f>COUNTA($B$31:$B$35)</f>
        <v>5</v>
      </c>
      <c r="G7" s="1773">
        <f>COUNTIFS($D$31:$D$35,"Filled")</f>
        <v>4</v>
      </c>
      <c r="H7" s="1773">
        <f>COUNTIFS($D$31:$D$35,"Vacant")</f>
        <v>1</v>
      </c>
      <c r="I7" s="1773">
        <f>COUNTIFS($D$31:$D$35,"Vacant",$E$31:$E$35,"Hire")</f>
        <v>1</v>
      </c>
      <c r="J7" s="1773">
        <f>COUNTIFS($E$31:$E$35,"Offshore")</f>
        <v>0</v>
      </c>
      <c r="K7" s="1773">
        <f>COUNTIFS($E$31:$E$35,"Hold")</f>
        <v>0</v>
      </c>
      <c r="L7" s="1773">
        <f>$F7-$K7</f>
        <v>5</v>
      </c>
      <c r="M7" s="1772">
        <f>IFERROR(IF(INDEX('1.6 Finance'!$E$24:$E$34,MATCH($B7,'1.6 Finance'!$B$24:$B$34,0))="Offshore",INDEX('0.3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0.905141646</v>
      </c>
      <c r="O7" s="1772">
        <f>IFERROR(ROUND($N7-$M7,6),"-")</f>
        <v>-0.494858</v>
      </c>
      <c r="P7" s="1772">
        <f>SUM($G$31:$G$35)/1000000</f>
        <v>0.905141646</v>
      </c>
      <c r="Q7" s="1772">
        <f>IFERROR(ROUND($P7-$M7,6),"-")</f>
        <v>-0.494858</v>
      </c>
    </row>
    <row r="8">
      <c r="B8" s="1530" t="inlineStr">
        <is>
          <t>SAP ERP</t>
        </is>
      </c>
      <c r="C8" s="1530" t="str">
        <f>IFERROR(INDEX('1.6 Finance'!$C$24:$C$34,MATCH($B8,'1.6 Finance'!$B$24:$B$34,0)),"Not on the 1.x tab")</f>
        <v>Configuration / Integration</v>
      </c>
      <c r="D8" s="1530" t="str">
        <f>IFERROR(IF(INDEX('1.6 Finance'!$D$24:$D$34,MATCH($B8,'1.6 Finance'!$B$24:$B$34,0))="","-",INDEX('1.6 Finance'!$D$24:$D$34,MATCH($B8,'1.6 Finance'!$B$24:$B$34,0))),"-")</f>
        <v>S</v>
      </c>
      <c r="E8" s="1782">
        <f>IFERROR(INDEX('0.3 Squad Archetypes'!$F$5:$F$23,MATCH($C8&amp;"|"&amp;$D8,'0.3 Squad Archetypes'!$A$5:$A$23,0)),"-")</f>
        <v>6</v>
      </c>
      <c r="F8" s="1773">
        <f>COUNTA($B$37:$B$46)</f>
        <v>10</v>
      </c>
      <c r="G8" s="1773">
        <f>COUNTIFS($D$37:$D$46,"Filled")</f>
        <v>3</v>
      </c>
      <c r="H8" s="1773">
        <f>COUNTIFS($D$37:$D$46,"Vacant")</f>
        <v>7</v>
      </c>
      <c r="I8" s="1773">
        <f>COUNTIFS($D$37:$D$46,"Vacant",$E$37:$E$46,"Hire")</f>
        <v>7</v>
      </c>
      <c r="J8" s="1773">
        <f>COUNTIFS($E$37:$E$46,"Offshore")</f>
        <v>0</v>
      </c>
      <c r="K8" s="1773">
        <f>COUNTIFS($E$37:$E$46,"Hold")</f>
        <v>0</v>
      </c>
      <c r="L8" s="1773">
        <f>$F8-$K8</f>
        <v>10</v>
      </c>
      <c r="M8" s="1772">
        <f>IFERROR(IF(INDEX('1.6 Finance'!$E$24:$E$34,MATCH($B8,'1.6 Finance'!$B$24:$B$34,0))="Offshore",INDEX('0.3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2.37418557</v>
      </c>
      <c r="O8" s="1772">
        <f>IFERROR(ROUND($N8-$M8,6),"-")</f>
        <v>0.974186</v>
      </c>
      <c r="P8" s="1772">
        <f>SUM($G$37:$G$46)/1000000</f>
        <v>2.37418557</v>
      </c>
      <c r="Q8" s="1772">
        <f>IFERROR(ROUND($P8-$M8,6),"-")</f>
        <v>0.974186</v>
      </c>
    </row>
    <row r="9">
      <c r="B9" s="1534" t="inlineStr">
        <is>
          <t>Squads priced by an archetype</t>
        </is>
      </c>
      <c r="C9" s="1534" t="n"/>
      <c r="D9" s="1534" t="n"/>
      <c r="E9" s="1783">
        <f>SUM(E7:E8)</f>
        <v>12</v>
      </c>
      <c r="F9" s="1775">
        <f>SUM(F7:F8)</f>
        <v>15</v>
      </c>
      <c r="G9" s="1775">
        <f>SUM(G7:G8)</f>
        <v>7</v>
      </c>
      <c r="H9" s="1775">
        <f>SUM(H7:H8)</f>
        <v>8</v>
      </c>
      <c r="I9" s="1775">
        <f>SUM(I7:I8)</f>
        <v>8</v>
      </c>
      <c r="J9" s="1775">
        <f>SUM(J7:J8)</f>
        <v>0</v>
      </c>
      <c r="K9" s="1775">
        <f>SUM(K7:K8)</f>
        <v>0</v>
      </c>
      <c r="L9" s="1775">
        <f>SUM(L7:L8)</f>
        <v>15</v>
      </c>
      <c r="M9" s="1774">
        <f>SUM(M7:M8)</f>
        <v>2.8</v>
      </c>
      <c r="N9" s="1774">
        <f>SUM(N7:N8)</f>
        <v>3.279327216</v>
      </c>
      <c r="O9" s="1774">
        <f>SUM(O7:O8)</f>
        <v>0.479328</v>
      </c>
      <c r="P9" s="1774">
        <f>SUM(P7:P8)</f>
        <v>3.279327216</v>
      </c>
      <c r="Q9" s="1774">
        <f>SUM(Q7:Q8)</f>
        <v>0.479328</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Finance</t>
        </is>
      </c>
      <c r="C13" s="1530" t="str">
        <f>IFERROR(INDEX('1.6 Finance'!$C$24:$C$34,MATCH($B13,'1.6 Finance'!$B$24:$B$34,0)),"Not on the 1.x tab")</f>
        <v>Strategic Programs</v>
      </c>
      <c r="D13" s="1530" t="str">
        <f>IFERROR(IF(INDEX('1.6 Finance'!$D$24:$D$34,MATCH($B13,'1.6 Finance'!$B$24:$B$34,0))="","-",INDEX('1.6 Finance'!$D$24:$D$34,MATCH($B13,'1.6 Finance'!$B$24:$B$34,0))),"-")</f>
        <v>-</v>
      </c>
      <c r="E13" s="1782" t="str">
        <f>"-"</f>
        <v>-</v>
      </c>
      <c r="F13" s="1773">
        <f>COUNTA($B$29:$B$29)</f>
        <v>1</v>
      </c>
      <c r="G13" s="1773">
        <f>COUNTIFS($D$29:$D$29,"Filled")</f>
        <v>1</v>
      </c>
      <c r="H13" s="1773">
        <f>COUNTIFS($D$29:$D$29,"Vacant")</f>
        <v>0</v>
      </c>
      <c r="I13" s="1773">
        <f>COUNTIFS($D$29:$D$29,"Vacant",$E$29:$E$29,"Hire")</f>
        <v>0</v>
      </c>
      <c r="J13" s="1773">
        <f>COUNTIFS($E$29:$E$29,"Offshore")</f>
        <v>0</v>
      </c>
      <c r="K13" s="1773">
        <f>COUNTIFS($E$29:$E$29,"Hold")</f>
        <v>0</v>
      </c>
      <c r="L13" s="1773">
        <f>$F13-$K13</f>
        <v>1</v>
      </c>
      <c r="M13" s="1772">
        <f>$N13</f>
        <v>0.24172845</v>
      </c>
      <c r="N13" s="1772">
        <f>SUMIFS('REVIEW - Complete Role Mapping'!$AA$2:$AA$528,'REVIEW - Complete Role Mapping'!$AJ$2:$AJ$528,$C$3,'REVIEW - Complete Role Mapping'!$AT$2:$AT$528,$B13)/1000000</f>
        <v>0.24172845</v>
      </c>
      <c r="O13" s="1772">
        <f>IFERROR(ROUND($N13-$M13,6),"-")</f>
        <v>0</v>
      </c>
      <c r="P13" s="1772">
        <f>SUM($G$29:$G$29)/1000000</f>
        <v>0.24172845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0.24172845</v>
      </c>
      <c r="N14" s="1774">
        <f>SUM(N13:N13)</f>
        <v>0.24172845</v>
      </c>
      <c r="O14" s="1774">
        <f>SUM(O13:O13)</f>
        <v>0</v>
      </c>
      <c r="P14" s="1774">
        <f>SUM(P13:P13)</f>
        <v>0.24172845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Technology Manager</t>
        </is>
      </c>
      <c r="C18" s="1530" t="str">
        <f>"-"</f>
        <v>-</v>
      </c>
      <c r="D18" s="1530" t="str">
        <f>"-"</f>
        <v>-</v>
      </c>
      <c r="E18" s="1538" t="str">
        <f>"-"</f>
        <v>-</v>
      </c>
      <c r="F18" s="1773">
        <f>COUNTA($B$48:$B$48)</f>
        <v>1</v>
      </c>
      <c r="G18" s="1773">
        <f>COUNTIFS($D$48:$D$48,"Filled")</f>
        <v>1</v>
      </c>
      <c r="H18" s="1773">
        <f>COUNTIFS($D$48:$D$48,"Vacant")</f>
        <v>0</v>
      </c>
      <c r="I18" s="1773">
        <f>COUNTIFS($D$48:$D$48,"Vacant",$E$48:$E$48,"Hire")</f>
        <v>0</v>
      </c>
      <c r="J18" s="1773">
        <f>COUNTIFS($E$48:$E$48,"Offshore")</f>
        <v>0</v>
      </c>
      <c r="K18" s="1773">
        <f>COUNTIFS($E$48:$E$48,"Hold")</f>
        <v>0</v>
      </c>
      <c r="L18" s="1773">
        <f>$F18-$K18</f>
        <v>1</v>
      </c>
      <c r="M18" s="1538" t="str">
        <f>"-"</f>
        <v>-</v>
      </c>
      <c r="N18" s="1772">
        <f>SUMIFS('REVIEW - Complete Role Mapping'!$AA$2:$AA$528,'REVIEW - Complete Role Mapping'!$AJ$2:$AJ$528,$C$3,'REVIEW - Complete Role Mapping'!$AT$2:$AT$528,$B18)/1000000</f>
        <v>0.32356045</v>
      </c>
      <c r="O18" s="1538" t="str">
        <f>"-"</f>
        <v>-</v>
      </c>
      <c r="P18" s="1772">
        <f>SUM($G$48:$G$48)/1000000</f>
        <v>0.32356045</v>
      </c>
      <c r="Q18" s="1538" t="str">
        <f>"-"</f>
        <v>-</v>
      </c>
    </row>
    <row r="19">
      <c r="B19" s="1534" t="inlineStr">
        <is>
          <t>Overhead roles total</t>
        </is>
      </c>
      <c r="C19" s="1534" t="n"/>
      <c r="D19" s="1534" t="n"/>
      <c r="E19" s="1783">
        <f>SUM(E18:E18)</f>
        <v>0</v>
      </c>
      <c r="F19" s="1775">
        <f>SUM(F18:F18)</f>
        <v>1</v>
      </c>
      <c r="G19" s="1775">
        <f>SUM(G18:G18)</f>
        <v>1</v>
      </c>
      <c r="H19" s="1775">
        <f>SUM(H18:H18)</f>
        <v>0</v>
      </c>
      <c r="I19" s="1775">
        <f>SUM(I18:I18)</f>
        <v>0</v>
      </c>
      <c r="J19" s="1775">
        <f>SUM(J18:J18)</f>
        <v>0</v>
      </c>
      <c r="K19" s="1775">
        <f>SUM(K18:K18)</f>
        <v>0</v>
      </c>
      <c r="L19" s="1775">
        <f>SUM(L18:L18)</f>
        <v>1</v>
      </c>
      <c r="M19" s="1774">
        <f>SUM(M18:M18)</f>
        <v>0</v>
      </c>
      <c r="N19" s="1774">
        <f>SUM(N18:N18)</f>
        <v>0.32356045</v>
      </c>
      <c r="O19" s="1774">
        <f>SUM(O18:O18)</f>
        <v>0</v>
      </c>
      <c r="P19" s="1774">
        <f>SUM(P18:P18)</f>
        <v>0.32356045</v>
      </c>
      <c r="Q19" s="1774">
        <f>SUM(Q18:Q18)</f>
        <v>0</v>
      </c>
    </row>
    <row r="20"/>
    <row r="21">
      <c r="B21" s="1539" t="inlineStr">
        <is>
          <t>Total portfolio</t>
        </is>
      </c>
      <c r="C21" s="1539" t="n"/>
      <c r="D21" s="1539" t="n"/>
      <c r="E21" s="1784">
        <f>N(E9)+N(E14)+N(E19)</f>
        <v>12</v>
      </c>
      <c r="F21" s="1777">
        <f>N(F9)+N(F14)+N(F19)</f>
        <v>17</v>
      </c>
      <c r="G21" s="1777">
        <f>N(G9)+N(G14)+N(G19)</f>
        <v>9</v>
      </c>
      <c r="H21" s="1777">
        <f>N(H9)+N(H14)+N(H19)</f>
        <v>8</v>
      </c>
      <c r="I21" s="1777">
        <f>N(I9)+N(I14)+N(I19)</f>
        <v>8</v>
      </c>
      <c r="J21" s="1777">
        <f>N(J9)+N(J14)+N(J19)</f>
        <v>0</v>
      </c>
      <c r="K21" s="1777">
        <f>N(K9)+N(K14)+N(K19)</f>
        <v>0</v>
      </c>
      <c r="L21" s="1777">
        <f>N(L9)+N(L14)+N(L19)</f>
        <v>17</v>
      </c>
      <c r="M21" s="1776">
        <f>N(M9)+N(M14)+N(M19)</f>
        <v>3.04172845</v>
      </c>
      <c r="N21" s="1776">
        <f>N(N9)+N(N14)+N(N19)</f>
        <v>3.844616116</v>
      </c>
      <c r="O21" s="1776">
        <f>N(O9)+N(O14)+N(O19)</f>
        <v>0.479328</v>
      </c>
      <c r="P21" s="1776">
        <f>N(P9)+N(P14)+N(P19)</f>
        <v>3.844616116</v>
      </c>
      <c r="Q21" s="1776">
        <f>N(Q9)+N(Q14)+N(Q19)</f>
        <v>0.479328</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Finance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45" t="inlineStr">
        <is>
          <t>EGI Finance</t>
        </is>
      </c>
      <c r="C28" s="1545" t="str">
        <f>COUNTA($B$29:$B$29)&amp;IF(COUNTA($B$29:$B$29)=1," role"," roles")</f>
        <v>1 role</v>
      </c>
      <c r="D28" s="1545" t="n"/>
      <c r="E28" s="1545" t="n"/>
      <c r="F28" s="1785">
        <f>SUM(F29:F29)</f>
        <v>241728.45</v>
      </c>
      <c r="G28" s="1785">
        <f>SUM(G29:G29)</f>
        <v>241728.45</v>
      </c>
    </row>
    <row r="29">
      <c r="B29" s="1530" t="str">
        <f>INDEX('REVIEW - Complete Role Mapping'!$B:$B,447)</f>
        <v>Ee Lynn Yap</v>
      </c>
      <c r="C29" s="1530" t="str">
        <f>INDEX('REVIEW - Complete Role Mapping'!$C:$C,447)</f>
        <v>SAP ERP Application Lead</v>
      </c>
      <c r="D29" s="1530" t="str">
        <f>INDEX('REVIEW - Complete Role Mapping'!$AK:$AK,447)</f>
        <v>Filled</v>
      </c>
      <c r="E29" s="1547" t="inlineStr">
        <is>
          <t>Filled</t>
        </is>
      </c>
      <c r="F29" s="1773">
        <f>INDEX('REVIEW - Complete Role Mapping'!$AA:$AA,447)</f>
        <v>241728.45</v>
      </c>
      <c r="G29" s="1773">
        <f>$F29*IFERROR(INDEX(Lists!$AD:$AD,MATCH($E29,Lists!$AC:$AC,0)),1)</f>
        <v>241728.45</v>
      </c>
    </row>
    <row r="30">
      <c r="B30" s="1545" t="inlineStr">
        <is>
          <t>NZ Finance</t>
        </is>
      </c>
      <c r="C30" s="1545" t="str">
        <f>COUNTA($B$31:$B$35)&amp;IF(COUNTA($B$31:$B$35)=1," role"," roles")</f>
        <v>5 roles</v>
      </c>
      <c r="D30" s="1545" t="n"/>
      <c r="E30" s="1545" t="n"/>
      <c r="F30" s="1785">
        <f>SUM(F31:F35)</f>
        <v>905141.646</v>
      </c>
      <c r="G30" s="1785">
        <f>SUM(G31:G35)</f>
        <v>905141.646</v>
      </c>
    </row>
    <row r="31">
      <c r="B31" s="1530" t="str">
        <f>INDEX('REVIEW - Complete Role Mapping'!$B:$B,456)</f>
        <v>Leilanie Avilla</v>
      </c>
      <c r="C31" s="1530" t="str">
        <f>INDEX('REVIEW - Complete Role Mapping'!$C:$C,456)</f>
        <v>JDE Systems Specialist</v>
      </c>
      <c r="D31" s="1530" t="str">
        <f>INDEX('REVIEW - Complete Role Mapping'!$AK:$AK,456)</f>
        <v>Filled</v>
      </c>
      <c r="E31" s="1547" t="inlineStr">
        <is>
          <t>Filled</t>
        </is>
      </c>
      <c r="F31" s="1773">
        <f>INDEX('REVIEW - Complete Role Mapping'!$AA:$AA,456)</f>
        <v>107420.712</v>
      </c>
      <c r="G31" s="1773">
        <f>$F31*IFERROR(INDEX(Lists!$AD:$AD,MATCH($E31,Lists!$AC:$AC,0)),1)</f>
        <v>107420.712</v>
      </c>
    </row>
    <row r="32">
      <c r="B32" s="1530" t="str">
        <f>INDEX('REVIEW - Complete Role Mapping'!$B:$B,457)</f>
        <v>Lydia Pritchard</v>
      </c>
      <c r="C32" s="1530" t="str">
        <f>INDEX('REVIEW - Complete Role Mapping'!$C:$C,457)</f>
        <v>Lead JDE Systems Specialist</v>
      </c>
      <c r="D32" s="1530" t="str">
        <f>INDEX('REVIEW - Complete Role Mapping'!$AK:$AK,457)</f>
        <v>Filled</v>
      </c>
      <c r="E32" s="1547" t="inlineStr">
        <is>
          <t>Filled</t>
        </is>
      </c>
      <c r="F32" s="1773">
        <f>INDEX('REVIEW - Complete Role Mapping'!$AA:$AA,457)</f>
        <v>198099.684</v>
      </c>
      <c r="G32" s="1773">
        <f>$F32*IFERROR(INDEX(Lists!$AD:$AD,MATCH($E32,Lists!$AC:$AC,0)),1)</f>
        <v>198099.684</v>
      </c>
    </row>
    <row r="33">
      <c r="B33" s="1530" t="str">
        <f>INDEX('REVIEW - Complete Role Mapping'!$B:$B,458)</f>
        <v>Ring fenced</v>
      </c>
      <c r="C33" s="1530" t="str">
        <f>INDEX('REVIEW - Complete Role Mapping'!$C:$C,458)</f>
        <v>JDE Senior Systems Specialist</v>
      </c>
      <c r="D33" s="1530" t="str">
        <f>INDEX('REVIEW - Complete Role Mapping'!$AK:$AK,458)</f>
        <v>Filled</v>
      </c>
      <c r="E33" s="1547" t="inlineStr">
        <is>
          <t>Filled</t>
        </is>
      </c>
      <c r="F33" s="1773">
        <f>INDEX('REVIEW - Complete Role Mapping'!$AA:$AA,458)</f>
        <v>183966</v>
      </c>
      <c r="G33" s="1773">
        <f>$F33*IFERROR(INDEX(Lists!$AD:$AD,MATCH($E33,Lists!$AC:$AC,0)),1)</f>
        <v>183966</v>
      </c>
    </row>
    <row r="34">
      <c r="B34" s="1530" t="str">
        <f>INDEX('REVIEW - Complete Role Mapping'!$B:$B,459)</f>
        <v>Ring fenced</v>
      </c>
      <c r="C34" s="1530" t="str">
        <f>INDEX('REVIEW - Complete Role Mapping'!$C:$C,459)</f>
        <v>JDE Senior Systems Specialist</v>
      </c>
      <c r="D34" s="1530" t="str">
        <f>INDEX('REVIEW - Complete Role Mapping'!$AK:$AK,459)</f>
        <v>Filled</v>
      </c>
      <c r="E34" s="1547" t="inlineStr">
        <is>
          <t>Filled</t>
        </is>
      </c>
      <c r="F34" s="1773">
        <f>INDEX('REVIEW - Complete Role Mapping'!$AA:$AA,459)</f>
        <v>183966</v>
      </c>
      <c r="G34" s="1773">
        <f>$F34*IFERROR(INDEX(Lists!$AD:$AD,MATCH($E34,Lists!$AC:$AC,0)),1)</f>
        <v>183966</v>
      </c>
    </row>
    <row r="35">
      <c r="B35" s="1530" t="str">
        <f>INDEX('REVIEW - Complete Role Mapping'!$B:$B,500)</f>
        <v>Vacant</v>
      </c>
      <c r="C35" s="1530" t="str">
        <f>INDEX('REVIEW - Complete Role Mapping'!$C:$C,500)</f>
        <v>Delivery Lead (JDE)</v>
      </c>
      <c r="D35" s="1530" t="str">
        <f>INDEX('REVIEW - Complete Role Mapping'!$AK:$AK,500)</f>
        <v>Vacant</v>
      </c>
      <c r="E35" s="1547" t="inlineStr">
        <is>
          <t>Hire</t>
        </is>
      </c>
      <c r="F35" s="1773">
        <f>INDEX('REVIEW - Complete Role Mapping'!$AA:$AA,500)</f>
        <v>231689.25</v>
      </c>
      <c r="G35" s="1773">
        <f>$F35*IFERROR(INDEX(Lists!$AD:$AD,MATCH($E35,Lists!$AC:$AC,0)),1)</f>
        <v>231689.25</v>
      </c>
    </row>
    <row r="36">
      <c r="B36" s="1545" t="inlineStr">
        <is>
          <t>SAP ERP</t>
        </is>
      </c>
      <c r="C36" s="1545" t="str">
        <f>COUNTA($B$37:$B$46)&amp;IF(COUNTA($B$37:$B$46)=1," role"," roles")</f>
        <v>10 roles</v>
      </c>
      <c r="D36" s="1545" t="n"/>
      <c r="E36" s="1545" t="n"/>
      <c r="F36" s="1785">
        <f>SUM(F37:F46)</f>
        <v>2374185.57</v>
      </c>
      <c r="G36" s="1785">
        <f>SUM(G37:G46)</f>
        <v>2374185.57</v>
      </c>
    </row>
    <row r="37">
      <c r="B37" s="1530" t="str">
        <f>INDEX('REVIEW - Complete Role Mapping'!$B:$B,453)</f>
        <v>Julma Bhagwani</v>
      </c>
      <c r="C37" s="1530" t="str">
        <f>INDEX('REVIEW - Complete Role Mapping'!$C:$C,453)</f>
        <v>SAP ERP Application Lead</v>
      </c>
      <c r="D37" s="1530" t="str">
        <f>INDEX('REVIEW - Complete Role Mapping'!$AK:$AK,453)</f>
        <v>Filled</v>
      </c>
      <c r="E37" s="1547" t="inlineStr">
        <is>
          <t>Filled</t>
        </is>
      </c>
      <c r="F37" s="1773">
        <f>INDEX('REVIEW - Complete Role Mapping'!$AA:$AA,453)</f>
        <v>239899.5</v>
      </c>
      <c r="G37" s="1773">
        <f>$F37*IFERROR(INDEX(Lists!$AD:$AD,MATCH($E37,Lists!$AC:$AC,0)),1)</f>
        <v>239899.5</v>
      </c>
    </row>
    <row r="38">
      <c r="B38" s="1530" t="str">
        <f>INDEX('REVIEW - Complete Role Mapping'!$B:$B,454)</f>
        <v>Maudud Chaudhury</v>
      </c>
      <c r="C38" s="1530" t="str">
        <f>INDEX('REVIEW - Complete Role Mapping'!$C:$C,454)</f>
        <v>SAP ERP Application Lead</v>
      </c>
      <c r="D38" s="1530" t="str">
        <f>INDEX('REVIEW - Complete Role Mapping'!$AK:$AK,454)</f>
        <v>Filled</v>
      </c>
      <c r="E38" s="1547" t="inlineStr">
        <is>
          <t>Filled</t>
        </is>
      </c>
      <c r="F38" s="1773">
        <f>INDEX('REVIEW - Complete Role Mapping'!$AA:$AA,454)</f>
        <v>214093.95</v>
      </c>
      <c r="G38" s="1773">
        <f>$F38*IFERROR(INDEX(Lists!$AD:$AD,MATCH($E38,Lists!$AC:$AC,0)),1)</f>
        <v>214093.95</v>
      </c>
    </row>
    <row r="39">
      <c r="B39" s="1530" t="str">
        <f>INDEX('REVIEW - Complete Role Mapping'!$B:$B,495)</f>
        <v>Vacant</v>
      </c>
      <c r="C39" s="1530" t="str">
        <f>INDEX('REVIEW - Complete Role Mapping'!$C:$C,495)</f>
        <v>SAP Functional Specialist</v>
      </c>
      <c r="D39" s="1530" t="str">
        <f>INDEX('REVIEW - Complete Role Mapping'!$AK:$AK,495)</f>
        <v>Vacant</v>
      </c>
      <c r="E39" s="1547" t="inlineStr">
        <is>
          <t>Hire</t>
        </is>
      </c>
      <c r="F39" s="1773">
        <f>INDEX('REVIEW - Complete Role Mapping'!$AA:$AA,495)</f>
        <v>231689.25</v>
      </c>
      <c r="G39" s="1773">
        <f>$F39*IFERROR(INDEX(Lists!$AD:$AD,MATCH($E39,Lists!$AC:$AC,0)),1)</f>
        <v>231689.25</v>
      </c>
    </row>
    <row r="40">
      <c r="B40" s="1530" t="str">
        <f>INDEX('REVIEW - Complete Role Mapping'!$B:$B,496)</f>
        <v>Vacant</v>
      </c>
      <c r="C40" s="1530" t="str">
        <f>INDEX('REVIEW - Complete Role Mapping'!$C:$C,496)</f>
        <v>SAP Functional Specialist</v>
      </c>
      <c r="D40" s="1530" t="str">
        <f>INDEX('REVIEW - Complete Role Mapping'!$AK:$AK,496)</f>
        <v>Vacant</v>
      </c>
      <c r="E40" s="1547" t="inlineStr">
        <is>
          <t>Hire</t>
        </is>
      </c>
      <c r="F40" s="1773">
        <f>INDEX('REVIEW - Complete Role Mapping'!$AA:$AA,496)</f>
        <v>231689.25</v>
      </c>
      <c r="G40" s="1773">
        <f>$F40*IFERROR(INDEX(Lists!$AD:$AD,MATCH($E40,Lists!$AC:$AC,0)),1)</f>
        <v>231689.25</v>
      </c>
    </row>
    <row r="41">
      <c r="B41" s="1530" t="str">
        <f>INDEX('REVIEW - Complete Role Mapping'!$B:$B,497)</f>
        <v>Vacant</v>
      </c>
      <c r="C41" s="1530" t="str">
        <f>INDEX('REVIEW - Complete Role Mapping'!$C:$C,497)</f>
        <v>SAP Functional Specialist</v>
      </c>
      <c r="D41" s="1530" t="str">
        <f>INDEX('REVIEW - Complete Role Mapping'!$AK:$AK,497)</f>
        <v>Vacant</v>
      </c>
      <c r="E41" s="1547" t="inlineStr">
        <is>
          <t>Hire</t>
        </is>
      </c>
      <c r="F41" s="1773">
        <f>INDEX('REVIEW - Complete Role Mapping'!$AA:$AA,497)</f>
        <v>231689.25</v>
      </c>
      <c r="G41" s="1773">
        <f>$F41*IFERROR(INDEX(Lists!$AD:$AD,MATCH($E41,Lists!$AC:$AC,0)),1)</f>
        <v>231689.25</v>
      </c>
    </row>
    <row r="42">
      <c r="B42" s="1530" t="str">
        <f>INDEX('REVIEW - Complete Role Mapping'!$B:$B,498)</f>
        <v>Vacant</v>
      </c>
      <c r="C42" s="1530" t="str">
        <f>INDEX('REVIEW - Complete Role Mapping'!$C:$C,498)</f>
        <v>SAP Functional Specialist</v>
      </c>
      <c r="D42" s="1530" t="str">
        <f>INDEX('REVIEW - Complete Role Mapping'!$AK:$AK,498)</f>
        <v>Vacant</v>
      </c>
      <c r="E42" s="1547" t="inlineStr">
        <is>
          <t>Hire</t>
        </is>
      </c>
      <c r="F42" s="1773">
        <f>INDEX('REVIEW - Complete Role Mapping'!$AA:$AA,498)</f>
        <v>231689.25</v>
      </c>
      <c r="G42" s="1773">
        <f>$F42*IFERROR(INDEX(Lists!$AD:$AD,MATCH($E42,Lists!$AC:$AC,0)),1)</f>
        <v>231689.25</v>
      </c>
    </row>
    <row r="43">
      <c r="B43" s="1530" t="str">
        <f>INDEX('REVIEW - Complete Role Mapping'!$B:$B,499)</f>
        <v>Vacant</v>
      </c>
      <c r="C43" s="1530" t="str">
        <f>INDEX('REVIEW - Complete Role Mapping'!$C:$C,499)</f>
        <v>Solution Architect - Finance</v>
      </c>
      <c r="D43" s="1530" t="str">
        <f>INDEX('REVIEW - Complete Role Mapping'!$AK:$AK,499)</f>
        <v>Vacant</v>
      </c>
      <c r="E43" s="1547" t="inlineStr">
        <is>
          <t>Hire</t>
        </is>
      </c>
      <c r="F43" s="1773">
        <f>INDEX('REVIEW - Complete Role Mapping'!$AA:$AA,499)</f>
        <v>231689.25</v>
      </c>
      <c r="G43" s="1773">
        <f>$F43*IFERROR(INDEX(Lists!$AD:$AD,MATCH($E43,Lists!$AC:$AC,0)),1)</f>
        <v>231689.25</v>
      </c>
    </row>
    <row r="44">
      <c r="B44" s="1530" t="str">
        <f>INDEX('REVIEW - Complete Role Mapping'!$B:$B,501)</f>
        <v>Vacant</v>
      </c>
      <c r="C44" s="1530" t="str">
        <f>INDEX('REVIEW - Complete Role Mapping'!$C:$C,501)</f>
        <v>Delivery Lead (SAP)</v>
      </c>
      <c r="D44" s="1530" t="str">
        <f>INDEX('REVIEW - Complete Role Mapping'!$AK:$AK,501)</f>
        <v>Vacant</v>
      </c>
      <c r="E44" s="1547" t="inlineStr">
        <is>
          <t>Hire</t>
        </is>
      </c>
      <c r="F44" s="1773">
        <f>INDEX('REVIEW - Complete Role Mapping'!$AA:$AA,501)</f>
        <v>231689.25</v>
      </c>
      <c r="G44" s="1773">
        <f>$F44*IFERROR(INDEX(Lists!$AD:$AD,MATCH($E44,Lists!$AC:$AC,0)),1)</f>
        <v>231689.25</v>
      </c>
    </row>
    <row r="45">
      <c r="B45" s="1530" t="str">
        <f>INDEX('REVIEW - Complete Role Mapping'!$B:$B,526)</f>
        <v>Vacant</v>
      </c>
      <c r="C45" s="1530" t="str">
        <f>INDEX('REVIEW - Complete Role Mapping'!$C:$C,526)</f>
        <v>Integration Specialist (ASAPIO CTRM)</v>
      </c>
      <c r="D45" s="1530" t="str">
        <f>INDEX('REVIEW - Complete Role Mapping'!$AK:$AK,526)</f>
        <v>Vacant</v>
      </c>
      <c r="E45" s="1547" t="inlineStr">
        <is>
          <t>Hire</t>
        </is>
      </c>
      <c r="F45" s="1773">
        <f>INDEX('REVIEW - Complete Role Mapping'!$AA:$AA,526)</f>
        <v>174856.62</v>
      </c>
      <c r="G45" s="1773">
        <f>$F45*IFERROR(INDEX(Lists!$AD:$AD,MATCH($E45,Lists!$AC:$AC,0)),1)</f>
        <v>174856.62</v>
      </c>
    </row>
    <row r="46">
      <c r="B46" s="1530" t="str">
        <f>INDEX('REVIEW - Complete Role Mapping'!$B:$B,528)</f>
        <v>Jens Tom</v>
      </c>
      <c r="C46" s="1530" t="str">
        <f>INDEX('REVIEW - Complete Role Mapping'!$C:$C,528)</f>
        <v>SAP Solution Architect</v>
      </c>
      <c r="D46" s="1530" t="str">
        <f>INDEX('REVIEW - Complete Role Mapping'!$AK:$AK,528)</f>
        <v>Filled</v>
      </c>
      <c r="E46" s="1547" t="inlineStr">
        <is>
          <t>Filled</t>
        </is>
      </c>
      <c r="F46" s="1773">
        <f>INDEX('REVIEW - Complete Role Mapping'!$AA:$AA,528)</f>
        <v>355200</v>
      </c>
      <c r="G46" s="1773">
        <f>$F46*IFERROR(INDEX(Lists!$AD:$AD,MATCH($E46,Lists!$AC:$AC,0)),1)</f>
        <v>355200</v>
      </c>
    </row>
    <row r="47">
      <c r="B47" s="1545" t="inlineStr">
        <is>
          <t>Technology Manager</t>
        </is>
      </c>
      <c r="C47" s="1545" t="str">
        <f>COUNTA($B$48:$B$48)&amp;IF(COUNTA($B$48:$B$48)=1," role"," roles")</f>
        <v>1 role</v>
      </c>
      <c r="D47" s="1545" t="n"/>
      <c r="E47" s="1545" t="n"/>
      <c r="F47" s="1785">
        <f>SUM(F48:F48)</f>
        <v>323560.45</v>
      </c>
      <c r="G47" s="1785">
        <f>SUM(G48:G48)</f>
        <v>323560.45</v>
      </c>
    </row>
    <row r="48">
      <c r="B48" s="1530" t="str">
        <f>INDEX('REVIEW - Complete Role Mapping'!$B:$B,455)</f>
        <v>Shane Ker</v>
      </c>
      <c r="C48" s="1530" t="str">
        <f>INDEX('REVIEW - Complete Role Mapping'!$C:$C,455)</f>
        <v>Technology Manger - Finance Platfoms</v>
      </c>
      <c r="D48" s="1530" t="str">
        <f>INDEX('REVIEW - Complete Role Mapping'!$AK:$AK,455)</f>
        <v>Filled</v>
      </c>
      <c r="E48" s="1547" t="inlineStr">
        <is>
          <t>Filled</t>
        </is>
      </c>
      <c r="F48" s="1773">
        <f>INDEX('REVIEW - Complete Role Mapping'!$AA:$AA,455)</f>
        <v>323560.45</v>
      </c>
      <c r="G48" s="1773">
        <f>$F48*IFERROR(INDEX(Lists!$AD:$AD,MATCH($E48,Lists!$AC:$AC,0)),1)</f>
        <v>323560.45</v>
      </c>
    </row>
  </sheetData>
  <dataValidations count="1">
    <dataValidation sqref="E29 E31 E32 E33 E34 E35 E37 E38 E39 E40 E41 E42 E43 E44 E45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&amp; Insights</t>
        </is>
      </c>
      <c r="C7" s="1530" t="str">
        <f>IFERROR(INDEX('1.7 Infrastructure'!$C$24:$C$41,MATCH($B7,'1.7 Infrastructure'!$B$24:$B$41,0)),"Not on the 1.x tab")</f>
        <v>Configuration / Integration</v>
      </c>
      <c r="D7" s="1530" t="str">
        <f>IFERROR(IF(INDEX('1.7 Infrastructure'!$D$24:$D$41,MATCH($B7,'1.7 Infrastructure'!$B$24:$B$41,0))="","-",INDEX('1.7 Infrastructure'!$D$24:$D$41,MATCH($B7,'1.7 Infrastructure'!$B$24:$B$41,0))),"-")</f>
        <v>S</v>
      </c>
      <c r="E7" s="1782">
        <f>IFERROR(INDEX('0.3 Squad Archetypes'!$F$5:$F$23,MATCH($C7&amp;"|"&amp;$D7,'0.3 Squad Archetypes'!$A$5:$A$23,0)),"-")</f>
        <v>6</v>
      </c>
      <c r="F7" s="1773">
        <f>COUNTA($B$33:$B$39)</f>
        <v>7</v>
      </c>
      <c r="G7" s="1773">
        <f>COUNTIFS($D$33:$D$39,"Filled")</f>
        <v>2</v>
      </c>
      <c r="H7" s="1773">
        <f>COUNTIFS($D$33:$D$39,"Vacant")</f>
        <v>5</v>
      </c>
      <c r="I7" s="1773">
        <f>COUNTIFS($D$33:$D$39,"Vacant",$E$33:$E$39,"Hire")</f>
        <v>5</v>
      </c>
      <c r="J7" s="1773">
        <f>COUNTIFS($E$33:$E$39,"Offshore")</f>
        <v>0</v>
      </c>
      <c r="K7" s="1773">
        <f>COUNTIFS($E$33:$E$39,"Hold")</f>
        <v>0</v>
      </c>
      <c r="L7" s="1773">
        <f>$F7-$K7</f>
        <v>7</v>
      </c>
      <c r="M7" s="1772">
        <f>IFERROR(IF(INDEX('1.7 Infrastructure'!$E$24:$E$41,MATCH($B7,'1.7 Infrastructure'!$B$24:$B$41,0))="Offshore",INDEX('0.3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1.51725675</v>
      </c>
      <c r="O7" s="1772">
        <f>IFERROR(ROUND($N7-$M7,6),"-")</f>
        <v>0.117257</v>
      </c>
      <c r="P7" s="1772">
        <f>SUM($G$33:$G$39)/1000000</f>
        <v>1.51725675</v>
      </c>
      <c r="Q7" s="1772">
        <f>IFERROR(ROUND($P7-$M7,6),"-")</f>
        <v>0.117257</v>
      </c>
    </row>
    <row r="8">
      <c r="B8" s="1530" t="inlineStr">
        <is>
          <t>Distribution, Sales &amp; Services</t>
        </is>
      </c>
      <c r="C8" s="1530" t="str">
        <f>IFERROR(INDEX('1.7 Infrastructure'!$C$24:$C$41,MATCH($B8,'1.7 Infrastructure'!$B$24:$B$41,0)),"Not on the 1.x tab")</f>
        <v>Configuration / Integration</v>
      </c>
      <c r="D8" s="1530" t="str">
        <f>IFERROR(IF(INDEX('1.7 Infrastructure'!$D$24:$D$41,MATCH($B8,'1.7 Infrastructure'!$B$24:$B$41,0))="","-",INDEX('1.7 Infrastructure'!$D$24:$D$41,MATCH($B8,'1.7 Infrastructure'!$B$24:$B$41,0))),"-")</f>
        <v>M</v>
      </c>
      <c r="E8" s="1782">
        <f>IFERROR(INDEX('0.3 Squad Archetypes'!$F$5:$F$23,MATCH($C8&amp;"|"&amp;$D8,'0.3 Squad Archetypes'!$A$5:$A$23,0)),"-")</f>
        <v>9</v>
      </c>
      <c r="F8" s="1773">
        <f>COUNTA($B$41:$B$50)</f>
        <v>10</v>
      </c>
      <c r="G8" s="1773">
        <f>COUNTIFS($D$41:$D$50,"Filled")</f>
        <v>8</v>
      </c>
      <c r="H8" s="1773">
        <f>COUNTIFS($D$41:$D$50,"Vacant")</f>
        <v>2</v>
      </c>
      <c r="I8" s="1773">
        <f>COUNTIFS($D$41:$D$50,"Vacant",$E$41:$E$50,"Hire")</f>
        <v>2</v>
      </c>
      <c r="J8" s="1773">
        <f>COUNTIFS($E$41:$E$50,"Offshore")</f>
        <v>0</v>
      </c>
      <c r="K8" s="1773">
        <f>COUNTIFS($E$41:$E$50,"Hold")</f>
        <v>0</v>
      </c>
      <c r="L8" s="1773">
        <f>$F8-$K8</f>
        <v>10</v>
      </c>
      <c r="M8" s="1772">
        <f>IFERROR(IF(INDEX('1.7 Infrastructure'!$E$24:$E$41,MATCH($B8,'1.7 Infrastructure'!$B$24:$B$41,0))="Offshore",INDEX('0.3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2.12727365</v>
      </c>
      <c r="O8" s="1772">
        <f>IFERROR(ROUND($N8-$M8,6),"-")</f>
        <v>0.027274</v>
      </c>
      <c r="P8" s="1772">
        <f>SUM($G$41:$G$50)/1000000</f>
        <v>2.12727365</v>
      </c>
      <c r="Q8" s="1772">
        <f>IFERROR(ROUND($P8-$M8,6),"-")</f>
        <v>0.027274</v>
      </c>
    </row>
    <row r="9">
      <c r="B9" s="1530" t="inlineStr">
        <is>
          <t>Manufacturing Group Projects</t>
        </is>
      </c>
      <c r="C9" s="1530" t="str">
        <f>IFERROR(INDEX('1.7 Infrastructure'!$C$24:$C$41,MATCH($B9,'1.7 Infrastructure'!$B$24:$B$41,0)),"Not on the 1.x tab")</f>
        <v>Configuration / Integration</v>
      </c>
      <c r="D9" s="1530" t="str">
        <f>IFERROR(IF(INDEX('1.7 Infrastructure'!$D$24:$D$41,MATCH($B9,'1.7 Infrastructure'!$B$24:$B$41,0))="","-",INDEX('1.7 Infrastructure'!$D$24:$D$41,MATCH($B9,'1.7 Infrastructure'!$B$24:$B$41,0))),"-")</f>
        <v>M</v>
      </c>
      <c r="E9" s="1782">
        <f>IFERROR(INDEX('0.3 Squad Archetypes'!$F$5:$F$23,MATCH($C9&amp;"|"&amp;$D9,'0.3 Squad Archetypes'!$A$5:$A$23,0)),"-")</f>
        <v>9</v>
      </c>
      <c r="F9" s="1773">
        <f>COUNTA($B$54:$B$62)</f>
        <v>9</v>
      </c>
      <c r="G9" s="1773">
        <f>COUNTIFS($D$54:$D$62,"Filled")</f>
        <v>7</v>
      </c>
      <c r="H9" s="1773">
        <f>COUNTIFS($D$54:$D$62,"Vacant")</f>
        <v>2</v>
      </c>
      <c r="I9" s="1773">
        <f>COUNTIFS($D$54:$D$62,"Vacant",$E$54:$E$62,"Hire")</f>
        <v>2</v>
      </c>
      <c r="J9" s="1773">
        <f>COUNTIFS($E$54:$E$62,"Offshore")</f>
        <v>0</v>
      </c>
      <c r="K9" s="1773">
        <f>COUNTIFS($E$54:$E$62,"Hold")</f>
        <v>0</v>
      </c>
      <c r="L9" s="1773">
        <f>$F9-$K9</f>
        <v>9</v>
      </c>
      <c r="M9" s="1772">
        <f>IFERROR(IF(INDEX('1.7 Infrastructure'!$E$24:$E$41,MATCH($B9,'1.7 Infrastructure'!$B$24:$B$41,0))="Offshore",INDEX('0.3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1.9147733</v>
      </c>
      <c r="O9" s="1772">
        <f>IFERROR(ROUND($N9-$M9,6),"-")</f>
        <v>-0.185227</v>
      </c>
      <c r="P9" s="1772">
        <f>SUM($G$54:$G$62)/1000000</f>
        <v>1.9147733</v>
      </c>
      <c r="Q9" s="1772">
        <f>IFERROR(ROUND($P9-$M9,6),"-")</f>
        <v>-0.185227</v>
      </c>
    </row>
    <row r="10">
      <c r="B10" s="1530" t="inlineStr">
        <is>
          <t>Technology Support</t>
        </is>
      </c>
      <c r="C10" s="1530" t="str">
        <f>IFERROR(INDEX('1.7 Infrastructure'!$C$24:$C$41,MATCH($B10,'1.7 Infrastructure'!$B$24:$B$41,0)),"Not on the 1.x tab")</f>
        <v>Operations</v>
      </c>
      <c r="D10" s="1530" t="str">
        <f>IFERROR(IF(INDEX('1.7 Infrastructure'!$D$24:$D$41,MATCH($B10,'1.7 Infrastructure'!$B$24:$B$41,0))="","-",INDEX('1.7 Infrastructure'!$D$24:$D$41,MATCH($B10,'1.7 Infrastructure'!$B$24:$B$41,0))),"-")</f>
        <v>S</v>
      </c>
      <c r="E10" s="1782">
        <f>IFERROR(INDEX('0.3 Squad Archetypes'!$F$5:$F$23,MATCH($C10&amp;"|"&amp;$D10,'0.3 Squad Archetypes'!$A$5:$A$23,0)),"-")</f>
        <v>4</v>
      </c>
      <c r="F10" s="1773">
        <f>COUNTA($B$64:$B$68)</f>
        <v>5</v>
      </c>
      <c r="G10" s="1773">
        <f>COUNTIFS($D$64:$D$68,"Filled")</f>
        <v>5</v>
      </c>
      <c r="H10" s="1773">
        <f>COUNTIFS($D$64:$D$68,"Vacant")</f>
        <v>0</v>
      </c>
      <c r="I10" s="1773">
        <f>COUNTIFS($D$64:$D$68,"Vacant",$E$64:$E$68,"Hire")</f>
        <v>0</v>
      </c>
      <c r="J10" s="1773">
        <f>COUNTIFS($E$64:$E$68,"Offshore")</f>
        <v>0</v>
      </c>
      <c r="K10" s="1773">
        <f>COUNTIFS($E$64:$E$68,"Hold")</f>
        <v>0</v>
      </c>
      <c r="L10" s="1773">
        <f>$F10-$K10</f>
        <v>5</v>
      </c>
      <c r="M10" s="1772">
        <f>IFERROR(IF(INDEX('1.7 Infrastructure'!$E$24:$E$41,MATCH($B10,'1.7 Infrastructure'!$B$24:$B$41,0))="Offshore",INDEX('0.3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0.74133529</v>
      </c>
      <c r="O10" s="1772">
        <f>IFERROR(ROUND($N10-$M10,6),"-")</f>
        <v>-0.058665</v>
      </c>
      <c r="P10" s="1772">
        <f>SUM($G$64:$G$68)/1000000</f>
        <v>0.74133529</v>
      </c>
      <c r="Q10" s="1772">
        <f>IFERROR(ROUND($P10-$M10,6),"-")</f>
        <v>-0.058665</v>
      </c>
    </row>
    <row r="11">
      <c r="B11" s="1534" t="inlineStr">
        <is>
          <t>Squads priced by an archetype</t>
        </is>
      </c>
      <c r="C11" s="1534" t="n"/>
      <c r="D11" s="1534" t="n"/>
      <c r="E11" s="1783">
        <f>SUM(E7:E10)</f>
        <v>28</v>
      </c>
      <c r="F11" s="1775">
        <f>SUM(F7:F10)</f>
        <v>31</v>
      </c>
      <c r="G11" s="1775">
        <f>SUM(G7:G10)</f>
        <v>22</v>
      </c>
      <c r="H11" s="1775">
        <f>SUM(H7:H10)</f>
        <v>9</v>
      </c>
      <c r="I11" s="1775">
        <f>SUM(I7:I10)</f>
        <v>9</v>
      </c>
      <c r="J11" s="1775">
        <f>SUM(J7:J10)</f>
        <v>0</v>
      </c>
      <c r="K11" s="1775">
        <f>SUM(K7:K10)</f>
        <v>0</v>
      </c>
      <c r="L11" s="1775">
        <f>SUM(L7:L10)</f>
        <v>31</v>
      </c>
      <c r="M11" s="1774">
        <f>SUM(M7:M10)</f>
        <v>6.4</v>
      </c>
      <c r="N11" s="1774">
        <f>SUM(N7:N10)</f>
        <v>6.30063899</v>
      </c>
      <c r="O11" s="1774">
        <f>SUM(O7:O10)</f>
        <v>-0.099361</v>
      </c>
      <c r="P11" s="1774">
        <f>SUM(P7:P10)</f>
        <v>6.30063899</v>
      </c>
      <c r="Q11" s="1774">
        <f>SUM(Q7:Q10)</f>
        <v>-0.099361</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Leadership</t>
        </is>
      </c>
      <c r="C15" s="1530" t="str">
        <f>IFERROR(INDEX('1.7 Infrastructure'!$C$24:$C$41,MATCH($B15,'1.7 Infrastructure'!$B$24:$B$41,0)),"Not on the 1.x tab")</f>
        <v>Not on the 1.x tab</v>
      </c>
      <c r="D15" s="1530" t="str">
        <f>IFERROR(IF(INDEX('1.7 Infrastructure'!$D$24:$D$41,MATCH($B15,'1.7 Infrastructure'!$B$24:$B$41,0))="","-",INDEX('1.7 Infrastructure'!$D$24:$D$41,MATCH($B15,'1.7 Infrastructure'!$B$24:$B$41,0))),"-")</f>
        <v>-</v>
      </c>
      <c r="E15" s="1782" t="str">
        <f>"-"</f>
        <v>-</v>
      </c>
      <c r="F15" s="1773">
        <f>COUNTA($B$52:$B$52)</f>
        <v>1</v>
      </c>
      <c r="G15" s="1773">
        <f>COUNTIFS($D$52:$D$52,"Filled")</f>
        <v>1</v>
      </c>
      <c r="H15" s="1773">
        <f>COUNTIFS($D$52:$D$52,"Vacant")</f>
        <v>0</v>
      </c>
      <c r="I15" s="1773">
        <f>COUNTIFS($D$52:$D$52,"Vacant",$E$52:$E$52,"Hire")</f>
        <v>0</v>
      </c>
      <c r="J15" s="1773">
        <f>COUNTIFS($E$52:$E$52,"Offshore")</f>
        <v>0</v>
      </c>
      <c r="K15" s="1773">
        <f>COUNTIFS($E$52:$E$52,"Hold")</f>
        <v>0</v>
      </c>
      <c r="L15" s="1773">
        <f>$F15-$K15</f>
        <v>1</v>
      </c>
      <c r="M15" s="1772" t="str">
        <f>IFERROR(INDEX('1.7 Infrastructure'!$H$24:$H$41,MATCH($B15,'1.7 Infrastructure'!$B$24:$B$41,0)),"-")</f>
        <v>-</v>
      </c>
      <c r="N15" s="1772">
        <f>SUMIFS('REVIEW - Complete Role Mapping'!$AA$2:$AA$528,'REVIEW - Complete Role Mapping'!$AJ$2:$AJ$528,$C$3,'REVIEW - Complete Role Mapping'!$AT$2:$AT$528,$B15)/1000000</f>
        <v>0.2566671</v>
      </c>
      <c r="O15" s="1772" t="str">
        <f>IFERROR(ROUND($N15-$M15,6),"-")</f>
        <v>-</v>
      </c>
      <c r="P15" s="1772">
        <f>SUM($G$52:$G$52)/1000000</f>
        <v>0.2566671</v>
      </c>
      <c r="Q15" s="1772" t="str">
        <f>IFERROR(ROUND($P15-$M15,6),"-")</f>
        <v>-</v>
      </c>
    </row>
    <row r="16">
      <c r="B16" s="1534" t="inlineStr">
        <is>
          <t>Directly funded total</t>
        </is>
      </c>
      <c r="C16" s="1534" t="n"/>
      <c r="D16" s="1534" t="n"/>
      <c r="E16" s="1783">
        <f>SUM(E15:E15)</f>
        <v>0</v>
      </c>
      <c r="F16" s="1775">
        <f>SUM(F15:F15)</f>
        <v>1</v>
      </c>
      <c r="G16" s="1775">
        <f>SUM(G15:G15)</f>
        <v>1</v>
      </c>
      <c r="H16" s="1775">
        <f>SUM(H15:H15)</f>
        <v>0</v>
      </c>
      <c r="I16" s="1775">
        <f>SUM(I15:I15)</f>
        <v>0</v>
      </c>
      <c r="J16" s="1775">
        <f>SUM(J15:J15)</f>
        <v>0</v>
      </c>
      <c r="K16" s="1775">
        <f>SUM(K15:K15)</f>
        <v>0</v>
      </c>
      <c r="L16" s="1775">
        <f>SUM(L15:L15)</f>
        <v>1</v>
      </c>
      <c r="M16" s="1774">
        <f>SUM(M15:M15)</f>
        <v>0</v>
      </c>
      <c r="N16" s="1774">
        <f>SUM(N15:N15)</f>
        <v>0.2566671</v>
      </c>
      <c r="O16" s="1774">
        <f>SUM(O15:O15)</f>
        <v>0</v>
      </c>
      <c r="P16" s="1774">
        <f>SUM(P15:P15)</f>
        <v>0.2566671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COUNTA($B$70:$B$70)</f>
        <v>1</v>
      </c>
      <c r="G20" s="1773">
        <f>COUNTIFS($D$70:$D$70,"Filled")</f>
        <v>1</v>
      </c>
      <c r="H20" s="1773">
        <f>COUNTIFS($D$70:$D$70,"Vacant")</f>
        <v>0</v>
      </c>
      <c r="I20" s="1773">
        <f>COUNTIFS($D$70:$D$70,"Vacant",$E$70:$E$70,"Hire")</f>
        <v>0</v>
      </c>
      <c r="J20" s="1773">
        <f>COUNTIFS($E$70:$E$70,"Offshore")</f>
        <v>0</v>
      </c>
      <c r="K20" s="1773">
        <f>COUNTIFS($E$70:$E$70,"Hold")</f>
        <v>0</v>
      </c>
      <c r="L20" s="1773">
        <f>$F20-$K20</f>
        <v>1</v>
      </c>
      <c r="M20" s="1538" t="str">
        <f>"-"</f>
        <v>-</v>
      </c>
      <c r="N20" s="1772">
        <f>SUMIFS('REVIEW - Complete Role Mapping'!$AA$2:$AA$528,'REVIEW - Complete Role Mapping'!$AJ$2:$AJ$528,$C$3,'REVIEW - Complete Role Mapping'!$AT$2:$AT$528,$B20)/1000000</f>
        <v>0.3636267</v>
      </c>
      <c r="O20" s="1538" t="str">
        <f>"-"</f>
        <v>-</v>
      </c>
      <c r="P20" s="1772">
        <f>SUM($G$70:$G$70)/1000000</f>
        <v>0.3636267</v>
      </c>
      <c r="Q20" s="1538" t="str">
        <f>"-"</f>
        <v>-</v>
      </c>
    </row>
    <row r="21">
      <c r="B21" s="1530" t="inlineStr">
        <is>
          <t>Delivery Manager</t>
        </is>
      </c>
      <c r="C21" s="1530" t="str">
        <f>"-"</f>
        <v>-</v>
      </c>
      <c r="D21" s="1530" t="str">
        <f>"-"</f>
        <v>-</v>
      </c>
      <c r="E21" s="1538" t="str">
        <f>"-"</f>
        <v>-</v>
      </c>
      <c r="F21" s="1773">
        <f>COUNTA($B$72:$B$72)</f>
        <v>1</v>
      </c>
      <c r="G21" s="1773">
        <f>COUNTIFS($D$72:$D$72,"Filled")</f>
        <v>0</v>
      </c>
      <c r="H21" s="1773">
        <f>COUNTIFS($D$72:$D$72,"Vacant")</f>
        <v>1</v>
      </c>
      <c r="I21" s="1773">
        <f>COUNTIFS($D$72:$D$72,"Vacant",$E$72:$E$72,"Hire")</f>
        <v>1</v>
      </c>
      <c r="J21" s="1773">
        <f>COUNTIFS($E$72:$E$72,"Offshore")</f>
        <v>0</v>
      </c>
      <c r="K21" s="1773">
        <f>COUNTIFS($E$72:$E$72,"Hold")</f>
        <v>0</v>
      </c>
      <c r="L21" s="1773">
        <f>$F21-$K21</f>
        <v>1</v>
      </c>
      <c r="M21" s="1538" t="str">
        <f>"-"</f>
        <v>-</v>
      </c>
      <c r="N21" s="1772">
        <f>SUMIFS('REVIEW - Complete Role Mapping'!$AA$2:$AA$528,'REVIEW - Complete Role Mapping'!$AJ$2:$AJ$528,$C$3,'REVIEW - Complete Role Mapping'!$AT$2:$AT$528,$B21)/1000000</f>
        <v>0.27581025</v>
      </c>
      <c r="O21" s="1538" t="str">
        <f>"-"</f>
        <v>-</v>
      </c>
      <c r="P21" s="1772">
        <f>SUM($G$72:$G$72)/1000000</f>
        <v>0.27581025</v>
      </c>
      <c r="Q21" s="1538" t="str">
        <f>"-"</f>
        <v>-</v>
      </c>
    </row>
    <row r="22">
      <c r="B22" s="1530" t="inlineStr">
        <is>
          <t>Technology Manager</t>
        </is>
      </c>
      <c r="C22" s="1530" t="str">
        <f>"-"</f>
        <v>-</v>
      </c>
      <c r="D22" s="1530" t="str">
        <f>"-"</f>
        <v>-</v>
      </c>
      <c r="E22" s="1538" t="str">
        <f>"-"</f>
        <v>-</v>
      </c>
      <c r="F22" s="1773">
        <f>COUNTA($B$74:$B$75)</f>
        <v>2</v>
      </c>
      <c r="G22" s="1773">
        <f>COUNTIFS($D$74:$D$75,"Filled")</f>
        <v>0</v>
      </c>
      <c r="H22" s="1773">
        <f>COUNTIFS($D$74:$D$75,"Vacant")</f>
        <v>2</v>
      </c>
      <c r="I22" s="1773">
        <f>COUNTIFS($D$74:$D$75,"Vacant",$E$74:$E$75,"Hire")</f>
        <v>2</v>
      </c>
      <c r="J22" s="1773">
        <f>COUNTIFS($E$74:$E$75,"Offshore")</f>
        <v>0</v>
      </c>
      <c r="K22" s="1773">
        <f>COUNTIFS($E$74:$E$75,"Hold")</f>
        <v>0</v>
      </c>
      <c r="L22" s="1773">
        <f>$F22-$K22</f>
        <v>2</v>
      </c>
      <c r="M22" s="1538" t="str">
        <f>"-"</f>
        <v>-</v>
      </c>
      <c r="N22" s="1772">
        <f>SUMIFS('REVIEW - Complete Role Mapping'!$AA$2:$AA$528,'REVIEW - Complete Role Mapping'!$AJ$2:$AJ$528,$C$3,'REVIEW - Complete Role Mapping'!$AT$2:$AT$528,$B22)/1000000</f>
        <v>0.5516205</v>
      </c>
      <c r="O22" s="1538" t="str">
        <f>"-"</f>
        <v>-</v>
      </c>
      <c r="P22" s="1772">
        <f>SUM($G$74:$G$75)/1000000</f>
        <v>0.5516205</v>
      </c>
      <c r="Q22" s="1538" t="str">
        <f>"-"</f>
        <v>-</v>
      </c>
    </row>
    <row r="23">
      <c r="B23" s="1534" t="inlineStr">
        <is>
          <t>Overhead roles total</t>
        </is>
      </c>
      <c r="C23" s="1534" t="n"/>
      <c r="D23" s="1534" t="n"/>
      <c r="E23" s="1783">
        <f>SUM(E20:E22)</f>
        <v>0</v>
      </c>
      <c r="F23" s="1775">
        <f>SUM(F20:F22)</f>
        <v>4</v>
      </c>
      <c r="G23" s="1775">
        <f>SUM(G20:G22)</f>
        <v>1</v>
      </c>
      <c r="H23" s="1775">
        <f>SUM(H20:H22)</f>
        <v>3</v>
      </c>
      <c r="I23" s="1775">
        <f>SUM(I20:I22)</f>
        <v>3</v>
      </c>
      <c r="J23" s="1775">
        <f>SUM(J20:J22)</f>
        <v>0</v>
      </c>
      <c r="K23" s="1775">
        <f>SUM(K20:K22)</f>
        <v>0</v>
      </c>
      <c r="L23" s="1775">
        <f>SUM(L20:L22)</f>
        <v>4</v>
      </c>
      <c r="M23" s="1774">
        <f>SUM(M20:M22)</f>
        <v>0</v>
      </c>
      <c r="N23" s="1774">
        <f>SUM(N20:N22)</f>
        <v>1.19105745</v>
      </c>
      <c r="O23" s="1774">
        <f>SUM(O20:O22)</f>
        <v>0</v>
      </c>
      <c r="P23" s="1774">
        <f>SUM(P20:P22)</f>
        <v>1.19105745</v>
      </c>
      <c r="Q23" s="1774">
        <f>SUM(Q20:Q22)</f>
        <v>0</v>
      </c>
    </row>
    <row r="24"/>
    <row r="25">
      <c r="B25" s="1539" t="inlineStr">
        <is>
          <t>Total portfolio</t>
        </is>
      </c>
      <c r="C25" s="1539" t="n"/>
      <c r="D25" s="1539" t="n"/>
      <c r="E25" s="1784">
        <f>N(E11)+N(E16)+N(E23)</f>
        <v>28</v>
      </c>
      <c r="F25" s="1777">
        <f>N(F11)+N(F16)+N(F23)</f>
        <v>36</v>
      </c>
      <c r="G25" s="1777">
        <f>N(G11)+N(G16)+N(G23)</f>
        <v>24</v>
      </c>
      <c r="H25" s="1777">
        <f>N(H11)+N(H16)+N(H23)</f>
        <v>12</v>
      </c>
      <c r="I25" s="1777">
        <f>N(I11)+N(I16)+N(I23)</f>
        <v>12</v>
      </c>
      <c r="J25" s="1777">
        <f>N(J11)+N(J16)+N(J23)</f>
        <v>0</v>
      </c>
      <c r="K25" s="1777">
        <f>N(K11)+N(K16)+N(K23)</f>
        <v>0</v>
      </c>
      <c r="L25" s="1777">
        <f>N(L11)+N(L16)+N(L23)</f>
        <v>36</v>
      </c>
      <c r="M25" s="1776">
        <f>N(M11)+N(M16)+N(M23)</f>
        <v>6.4</v>
      </c>
      <c r="N25" s="1776">
        <f>N(N11)+N(N16)+N(N23)</f>
        <v>7.74836354</v>
      </c>
      <c r="O25" s="1776">
        <f>N(O11)+N(O16)+N(O23)</f>
        <v>-0.099361</v>
      </c>
      <c r="P25" s="1776">
        <f>N(P11)+N(P16)+N(P23)</f>
        <v>7.74836354</v>
      </c>
      <c r="Q25" s="1776">
        <f>N(Q11)+N(Q16)+N(Q23)</f>
        <v>-0.099361</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Infrastructure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&amp; Insights</t>
        </is>
      </c>
      <c r="C32" s="1545" t="str">
        <f>COUNTA($B$33:$B$39)&amp;IF(COUNTA($B$33:$B$39)=1," role"," roles")</f>
        <v>7 roles</v>
      </c>
      <c r="D32" s="1545" t="n"/>
      <c r="E32" s="1545" t="n"/>
      <c r="F32" s="1785">
        <f>SUM(F33:F39)</f>
        <v>1517256.75</v>
      </c>
      <c r="G32" s="1785">
        <f>SUM(G33:G39)</f>
        <v>1517256.75</v>
      </c>
    </row>
    <row r="33">
      <c r="B33" s="1530" t="str">
        <f>INDEX('REVIEW - Complete Role Mapping'!$B:$B,403)</f>
        <v>Simrat Singh</v>
      </c>
      <c r="C33" s="1530" t="str">
        <f>INDEX('REVIEW - Complete Role Mapping'!$C:$C,403)</f>
        <v>Reporting Analyst</v>
      </c>
      <c r="D33" s="1530" t="str">
        <f>INDEX('REVIEW - Complete Role Mapping'!$AK:$AK,403)</f>
        <v>Filled</v>
      </c>
      <c r="E33" s="1547" t="inlineStr">
        <is>
          <t>Filled</t>
        </is>
      </c>
      <c r="F33" s="1773">
        <f>INDEX('REVIEW - Complete Role Mapping'!$AA:$AA,403)</f>
        <v>197580</v>
      </c>
      <c r="G33" s="1773">
        <f>$F33*IFERROR(INDEX(Lists!$AD:$AD,MATCH($E33,Lists!$AC:$AC,0)),1)</f>
        <v>197580</v>
      </c>
    </row>
    <row r="34">
      <c r="B34" s="1530" t="str">
        <f>INDEX('REVIEW - Complete Role Mapping'!$B:$B,407)</f>
        <v>Stevani Kho</v>
      </c>
      <c r="C34" s="1530" t="str">
        <f>INDEX('REVIEW - Complete Role Mapping'!$C:$C,407)</f>
        <v>Delivery Lead</v>
      </c>
      <c r="D34" s="1530" t="str">
        <f>INDEX('REVIEW - Complete Role Mapping'!$AK:$AK,407)</f>
        <v>Filled</v>
      </c>
      <c r="E34" s="1547" t="inlineStr">
        <is>
          <t>Filled</t>
        </is>
      </c>
      <c r="F34" s="1773">
        <f>INDEX('REVIEW - Complete Role Mapping'!$AA:$AA,407)</f>
        <v>277842.75</v>
      </c>
      <c r="G34" s="1773">
        <f>$F34*IFERROR(INDEX(Lists!$AD:$AD,MATCH($E34,Lists!$AC:$AC,0)),1)</f>
        <v>277842.75</v>
      </c>
    </row>
    <row r="35">
      <c r="B35" s="1530" t="str">
        <f>INDEX('REVIEW - Complete Role Mapping'!$B:$B,433)</f>
        <v>Vacant</v>
      </c>
      <c r="C35" s="1530" t="str">
        <f>INDEX('REVIEW - Complete Role Mapping'!$C:$C,433)</f>
        <v>Data Analyst</v>
      </c>
      <c r="D35" s="1530" t="str">
        <f>INDEX('REVIEW - Complete Role Mapping'!$AK:$AK,433)</f>
        <v>Vacant</v>
      </c>
      <c r="E35" s="1547" t="inlineStr">
        <is>
          <t>Hire</t>
        </is>
      </c>
      <c r="F35" s="1773">
        <f>INDEX('REVIEW - Complete Role Mapping'!$AA:$AA,433)</f>
        <v>201585</v>
      </c>
      <c r="G35" s="1773">
        <f>$F35*IFERROR(INDEX(Lists!$AD:$AD,MATCH($E35,Lists!$AC:$AC,0)),1)</f>
        <v>201585</v>
      </c>
    </row>
    <row r="36">
      <c r="B36" s="1530" t="str">
        <f>INDEX('REVIEW - Complete Role Mapping'!$B:$B,434)</f>
        <v>Vacant</v>
      </c>
      <c r="C36" s="1530" t="str">
        <f>INDEX('REVIEW - Complete Role Mapping'!$C:$C,434)</f>
        <v>Engineer Data</v>
      </c>
      <c r="D36" s="1530" t="str">
        <f>INDEX('REVIEW - Complete Role Mapping'!$AK:$AK,434)</f>
        <v>Vacant</v>
      </c>
      <c r="E36" s="1547" t="inlineStr">
        <is>
          <t>Hire</t>
        </is>
      </c>
      <c r="F36" s="1773">
        <f>INDEX('REVIEW - Complete Role Mapping'!$AA:$AA,434)</f>
        <v>202853.25</v>
      </c>
      <c r="G36" s="1773">
        <f>$F36*IFERROR(INDEX(Lists!$AD:$AD,MATCH($E36,Lists!$AC:$AC,0)),1)</f>
        <v>202853.25</v>
      </c>
    </row>
    <row r="37">
      <c r="B37" s="1530" t="str">
        <f>INDEX('REVIEW - Complete Role Mapping'!$B:$B,435)</f>
        <v>Vacant</v>
      </c>
      <c r="C37" s="1530" t="str">
        <f>INDEX('REVIEW - Complete Role Mapping'!$C:$C,435)</f>
        <v>Lead Data Analyst</v>
      </c>
      <c r="D37" s="1530" t="str">
        <f>INDEX('REVIEW - Complete Role Mapping'!$AK:$AK,435)</f>
        <v>Vacant</v>
      </c>
      <c r="E37" s="1547" t="inlineStr">
        <is>
          <t>Hire</t>
        </is>
      </c>
      <c r="F37" s="1773">
        <f>INDEX('REVIEW - Complete Role Mapping'!$AA:$AA,435)</f>
        <v>231689.25</v>
      </c>
      <c r="G37" s="1773">
        <f>$F37*IFERROR(INDEX(Lists!$AD:$AD,MATCH($E37,Lists!$AC:$AC,0)),1)</f>
        <v>231689.25</v>
      </c>
    </row>
    <row r="38">
      <c r="B38" s="1530" t="str">
        <f>INDEX('REVIEW - Complete Role Mapping'!$B:$B,436)</f>
        <v>Vacant</v>
      </c>
      <c r="C38" s="1530" t="str">
        <f>INDEX('REVIEW - Complete Role Mapping'!$C:$C,436)</f>
        <v>Reporting Analyst</v>
      </c>
      <c r="D38" s="1530" t="str">
        <f>INDEX('REVIEW - Complete Role Mapping'!$AK:$AK,436)</f>
        <v>Vacant</v>
      </c>
      <c r="E38" s="1547" t="inlineStr">
        <is>
          <t>Hire</t>
        </is>
      </c>
      <c r="F38" s="1773">
        <f>INDEX('REVIEW - Complete Role Mapping'!$AA:$AA,436)</f>
        <v>202853.25</v>
      </c>
      <c r="G38" s="1773">
        <f>$F38*IFERROR(INDEX(Lists!$AD:$AD,MATCH($E38,Lists!$AC:$AC,0)),1)</f>
        <v>202853.25</v>
      </c>
    </row>
    <row r="39">
      <c r="B39" s="1530" t="str">
        <f>INDEX('REVIEW - Complete Role Mapping'!$B:$B,437)</f>
        <v>Vacant</v>
      </c>
      <c r="C39" s="1530" t="str">
        <f>INDEX('REVIEW - Complete Role Mapping'!$C:$C,437)</f>
        <v>Senior Engineer Data</v>
      </c>
      <c r="D39" s="1530" t="str">
        <f>INDEX('REVIEW - Complete Role Mapping'!$AK:$AK,437)</f>
        <v>Vacant</v>
      </c>
      <c r="E39" s="1547" t="inlineStr">
        <is>
          <t>Hire</t>
        </is>
      </c>
      <c r="F39" s="1773">
        <f>INDEX('REVIEW - Complete Role Mapping'!$AA:$AA,437)</f>
        <v>202853.25</v>
      </c>
      <c r="G39" s="1773">
        <f>$F39*IFERROR(INDEX(Lists!$AD:$AD,MATCH($E39,Lists!$AC:$AC,0)),1)</f>
        <v>202853.25</v>
      </c>
    </row>
    <row r="40">
      <c r="B40" s="1545" t="inlineStr">
        <is>
          <t>Distribution, Sales &amp; Services</t>
        </is>
      </c>
      <c r="C40" s="1545" t="str">
        <f>COUNTA($B$41:$B$50)&amp;IF(COUNTA($B$41:$B$50)=1," role"," roles")</f>
        <v>10 roles</v>
      </c>
      <c r="D40" s="1545" t="n"/>
      <c r="E40" s="1545" t="n"/>
      <c r="F40" s="1785">
        <f>SUM(F41:F50)</f>
        <v>2127273.65</v>
      </c>
      <c r="G40" s="1785">
        <f>SUM(G41:G50)</f>
        <v>2127273.65</v>
      </c>
    </row>
    <row r="41">
      <c r="B41" s="1530" t="str">
        <f>INDEX('REVIEW - Complete Role Mapping'!$B:$B,341)</f>
        <v>Angus Gibson</v>
      </c>
      <c r="C41" s="1530" t="str">
        <f>INDEX('REVIEW - Complete Role Mapping'!$C:$C,341)</f>
        <v>Senior Systems Analyst</v>
      </c>
      <c r="D41" s="1530" t="str">
        <f>INDEX('REVIEW - Complete Role Mapping'!$AK:$AK,341)</f>
        <v>Filled</v>
      </c>
      <c r="E41" s="1547" t="inlineStr">
        <is>
          <t>Filled</t>
        </is>
      </c>
      <c r="F41" s="1773">
        <f>INDEX('REVIEW - Complete Role Mapping'!$AA:$AA,341)</f>
        <v>235494</v>
      </c>
      <c r="G41" s="1773">
        <f>$F41*IFERROR(INDEX(Lists!$AD:$AD,MATCH($E41,Lists!$AC:$AC,0)),1)</f>
        <v>235494</v>
      </c>
    </row>
    <row r="42">
      <c r="B42" s="1530" t="str">
        <f>INDEX('REVIEW - Complete Role Mapping'!$B:$B,345)</f>
        <v>Anvitha Kurra</v>
      </c>
      <c r="C42" s="1530" t="str">
        <f>INDEX('REVIEW - Complete Role Mapping'!$C:$C,345)</f>
        <v>Senior Systems Analyst</v>
      </c>
      <c r="D42" s="1530" t="str">
        <f>INDEX('REVIEW - Complete Role Mapping'!$AK:$AK,345)</f>
        <v>Filled</v>
      </c>
      <c r="E42" s="1547" t="inlineStr">
        <is>
          <t>Filled</t>
        </is>
      </c>
      <c r="F42" s="1773">
        <f>INDEX('REVIEW - Complete Role Mapping'!$AA:$AA,345)</f>
        <v>215388.9</v>
      </c>
      <c r="G42" s="1773">
        <f>$F42*IFERROR(INDEX(Lists!$AD:$AD,MATCH($E42,Lists!$AC:$AC,0)),1)</f>
        <v>215388.9</v>
      </c>
    </row>
    <row r="43">
      <c r="B43" s="1530" t="str">
        <f>INDEX('REVIEW - Complete Role Mapping'!$B:$B,349)</f>
        <v>Breanna Hua</v>
      </c>
      <c r="C43" s="1530" t="str">
        <f>INDEX('REVIEW - Complete Role Mapping'!$C:$C,349)</f>
        <v>Systems Analyst</v>
      </c>
      <c r="D43" s="1530" t="str">
        <f>INDEX('REVIEW - Complete Role Mapping'!$AK:$AK,349)</f>
        <v>Filled</v>
      </c>
      <c r="E43" s="1547" t="inlineStr">
        <is>
          <t>Filled</t>
        </is>
      </c>
      <c r="F43" s="1773">
        <f>INDEX('REVIEW - Complete Role Mapping'!$AA:$AA,349)</f>
        <v>167149.65</v>
      </c>
      <c r="G43" s="1773">
        <f>$F43*IFERROR(INDEX(Lists!$AD:$AD,MATCH($E43,Lists!$AC:$AC,0)),1)</f>
        <v>167149.65</v>
      </c>
    </row>
    <row r="44">
      <c r="B44" s="1530" t="str">
        <f>INDEX('REVIEW - Complete Role Mapping'!$B:$B,375)</f>
        <v>Jodi Higgins</v>
      </c>
      <c r="C44" s="1530" t="str">
        <f>INDEX('REVIEW - Complete Role Mapping'!$C:$C,375)</f>
        <v>Delivery Lead</v>
      </c>
      <c r="D44" s="1530" t="str">
        <f>INDEX('REVIEW - Complete Role Mapping'!$AK:$AK,375)</f>
        <v>Filled</v>
      </c>
      <c r="E44" s="1547" t="inlineStr">
        <is>
          <t>Filled</t>
        </is>
      </c>
      <c r="F44" s="1773">
        <f>INDEX('REVIEW - Complete Role Mapping'!$AA:$AA,375)</f>
        <v>257481.45</v>
      </c>
      <c r="G44" s="1773">
        <f>$F44*IFERROR(INDEX(Lists!$AD:$AD,MATCH($E44,Lists!$AC:$AC,0)),1)</f>
        <v>257481.45</v>
      </c>
    </row>
    <row r="45">
      <c r="B45" s="1530" t="str">
        <f>INDEX('REVIEW - Complete Role Mapping'!$B:$B,397)</f>
        <v>Rebecca Estepa</v>
      </c>
      <c r="C45" s="1530" t="str">
        <f>INDEX('REVIEW - Complete Role Mapping'!$C:$C,397)</f>
        <v>Snr Business Analyst</v>
      </c>
      <c r="D45" s="1530" t="str">
        <f>INDEX('REVIEW - Complete Role Mapping'!$AK:$AK,397)</f>
        <v>Filled</v>
      </c>
      <c r="E45" s="1547" t="inlineStr">
        <is>
          <t>Filled</t>
        </is>
      </c>
      <c r="F45" s="1773">
        <f>INDEX('REVIEW - Complete Role Mapping'!$AA:$AA,397)</f>
        <v>233331.3</v>
      </c>
      <c r="G45" s="1773">
        <f>$F45*IFERROR(INDEX(Lists!$AD:$AD,MATCH($E45,Lists!$AC:$AC,0)),1)</f>
        <v>233331.3</v>
      </c>
    </row>
    <row r="46">
      <c r="B46" s="1530" t="str">
        <f>INDEX('REVIEW - Complete Role Mapping'!$B:$B,400)</f>
        <v>Rohan Patel</v>
      </c>
      <c r="C46" s="1530" t="str">
        <f>INDEX('REVIEW - Complete Role Mapping'!$C:$C,400)</f>
        <v>Senior Systems Analyst</v>
      </c>
      <c r="D46" s="1530" t="str">
        <f>INDEX('REVIEW - Complete Role Mapping'!$AK:$AK,400)</f>
        <v>Filled</v>
      </c>
      <c r="E46" s="1547" t="inlineStr">
        <is>
          <t>Filled</t>
        </is>
      </c>
      <c r="F46" s="1773">
        <f>INDEX('REVIEW - Complete Role Mapping'!$AA:$AA,400)</f>
        <v>209394.75</v>
      </c>
      <c r="G46" s="1773">
        <f>$F46*IFERROR(INDEX(Lists!$AD:$AD,MATCH($E46,Lists!$AC:$AC,0)),1)</f>
        <v>209394.75</v>
      </c>
    </row>
    <row r="47">
      <c r="B47" s="1530" t="str">
        <f>INDEX('REVIEW - Complete Role Mapping'!$B:$B,404)</f>
        <v>Siva Chimmani</v>
      </c>
      <c r="C47" s="1530" t="str">
        <f>INDEX('REVIEW - Complete Role Mapping'!$C:$C,404)</f>
        <v>Senior Engineer</v>
      </c>
      <c r="D47" s="1530" t="str">
        <f>INDEX('REVIEW - Complete Role Mapping'!$AK:$AK,404)</f>
        <v>Filled</v>
      </c>
      <c r="E47" s="1547" t="inlineStr">
        <is>
          <t>Filled</t>
        </is>
      </c>
      <c r="F47" s="1773">
        <f>INDEX('REVIEW - Complete Role Mapping'!$AA:$AA,404)</f>
        <v>213600</v>
      </c>
      <c r="G47" s="1773">
        <f>$F47*IFERROR(INDEX(Lists!$AD:$AD,MATCH($E47,Lists!$AC:$AC,0)),1)</f>
        <v>213600</v>
      </c>
    </row>
    <row r="48">
      <c r="B48" s="1530" t="str">
        <f>INDEX('REVIEW - Complete Role Mapping'!$B:$B,406)</f>
        <v>Sriramani Deyyala</v>
      </c>
      <c r="C48" s="1530" t="str">
        <f>INDEX('REVIEW - Complete Role Mapping'!$C:$C,406)</f>
        <v>Systems Analyst</v>
      </c>
      <c r="D48" s="1530" t="str">
        <f>INDEX('REVIEW - Complete Role Mapping'!$AK:$AK,406)</f>
        <v>Filled</v>
      </c>
      <c r="E48" s="1547" t="inlineStr">
        <is>
          <t>Filled</t>
        </is>
      </c>
      <c r="F48" s="1773">
        <f>INDEX('REVIEW - Complete Role Mapping'!$AA:$AA,406)</f>
        <v>222090.6</v>
      </c>
      <c r="G48" s="1773">
        <f>$F48*IFERROR(INDEX(Lists!$AD:$AD,MATCH($E48,Lists!$AC:$AC,0)),1)</f>
        <v>222090.6</v>
      </c>
    </row>
    <row r="49">
      <c r="B49" s="1530" t="str">
        <f>INDEX('REVIEW - Complete Role Mapping'!$B:$B,431)</f>
        <v>Vacant</v>
      </c>
      <c r="C49" s="1530" t="str">
        <f>INDEX('REVIEW - Complete Role Mapping'!$C:$C,431)</f>
        <v>Quality Assurance</v>
      </c>
      <c r="D49" s="1530" t="str">
        <f>INDEX('REVIEW - Complete Role Mapping'!$AK:$AK,431)</f>
        <v>Vacant</v>
      </c>
      <c r="E49" s="1547" t="inlineStr">
        <is>
          <t>Hire</t>
        </is>
      </c>
      <c r="F49" s="1773">
        <f>INDEX('REVIEW - Complete Role Mapping'!$AA:$AA,431)</f>
        <v>170489.75</v>
      </c>
      <c r="G49" s="1773">
        <f>$F49*IFERROR(INDEX(Lists!$AD:$AD,MATCH($E49,Lists!$AC:$AC,0)),1)</f>
        <v>170489.75</v>
      </c>
    </row>
    <row r="50">
      <c r="B50" s="1530" t="str">
        <f>INDEX('REVIEW - Complete Role Mapping'!$B:$B,432)</f>
        <v>Vacant</v>
      </c>
      <c r="C50" s="1530" t="str">
        <f>INDEX('REVIEW - Complete Role Mapping'!$C:$C,432)</f>
        <v>Business Analyst</v>
      </c>
      <c r="D50" s="1530" t="str">
        <f>INDEX('REVIEW - Complete Role Mapping'!$AK:$AK,432)</f>
        <v>Vacant</v>
      </c>
      <c r="E50" s="1547" t="inlineStr">
        <is>
          <t>Hire</t>
        </is>
      </c>
      <c r="F50" s="1773">
        <f>INDEX('REVIEW - Complete Role Mapping'!$AA:$AA,432)</f>
        <v>202853.25</v>
      </c>
      <c r="G50" s="1773">
        <f>$F50*IFERROR(INDEX(Lists!$AD:$AD,MATCH($E50,Lists!$AC:$AC,0)),1)</f>
        <v>202853.25</v>
      </c>
    </row>
    <row r="51">
      <c r="B51" s="1545" t="inlineStr">
        <is>
          <t>Leadership</t>
        </is>
      </c>
      <c r="C51" s="1545" t="str">
        <f>COUNTA($B$52:$B$52)&amp;IF(COUNTA($B$52:$B$52)=1," role"," roles")</f>
        <v>1 role</v>
      </c>
      <c r="D51" s="1545" t="n"/>
      <c r="E51" s="1545" t="n"/>
      <c r="F51" s="1785">
        <f>SUM(F52:F52)</f>
        <v>256667.1</v>
      </c>
      <c r="G51" s="1785">
        <f>SUM(G52:G52)</f>
        <v>256667.1</v>
      </c>
    </row>
    <row r="52">
      <c r="B52" s="1530" t="str">
        <f>INDEX('REVIEW - Complete Role Mapping'!$B:$B,364)</f>
        <v>George Moun</v>
      </c>
      <c r="C52" s="1530" t="str">
        <f>INDEX('REVIEW - Complete Role Mapping'!$C:$C,364)</f>
        <v>Solution Architect</v>
      </c>
      <c r="D52" s="1530" t="str">
        <f>INDEX('REVIEW - Complete Role Mapping'!$AK:$AK,364)</f>
        <v>Filled</v>
      </c>
      <c r="E52" s="1547" t="inlineStr">
        <is>
          <t>Filled</t>
        </is>
      </c>
      <c r="F52" s="1773">
        <f>INDEX('REVIEW - Complete Role Mapping'!$AA:$AA,364)</f>
        <v>256667.1</v>
      </c>
      <c r="G52" s="1773">
        <f>$F52*IFERROR(INDEX(Lists!$AD:$AD,MATCH($E52,Lists!$AC:$AC,0)),1)</f>
        <v>256667.1</v>
      </c>
    </row>
    <row r="53">
      <c r="B53" s="1545" t="inlineStr">
        <is>
          <t>Manufacturing Group Projects</t>
        </is>
      </c>
      <c r="C53" s="1545" t="str">
        <f>COUNTA($B$54:$B$62)&amp;IF(COUNTA($B$54:$B$62)=1," role"," roles")</f>
        <v>9 roles</v>
      </c>
      <c r="D53" s="1545" t="n"/>
      <c r="E53" s="1545" t="n"/>
      <c r="F53" s="1785">
        <f>SUM(F54:F62)</f>
        <v>1914773.3</v>
      </c>
      <c r="G53" s="1785">
        <f>SUM(G54:G62)</f>
        <v>1914773.3</v>
      </c>
    </row>
    <row r="54">
      <c r="B54" s="1530" t="str">
        <f>INDEX('REVIEW - Complete Role Mapping'!$B:$B,333)</f>
        <v>Akhil Sriram</v>
      </c>
      <c r="C54" s="1530" t="str">
        <f>INDEX('REVIEW - Complete Role Mapping'!$C:$C,333)</f>
        <v>Snr Business Analyst</v>
      </c>
      <c r="D54" s="1530" t="str">
        <f>INDEX('REVIEW - Complete Role Mapping'!$AK:$AK,333)</f>
        <v>Filled</v>
      </c>
      <c r="E54" s="1547" t="inlineStr">
        <is>
          <t>Filled</t>
        </is>
      </c>
      <c r="F54" s="1773">
        <f>INDEX('REVIEW - Complete Role Mapping'!$AA:$AA,333)</f>
        <v>221796.9</v>
      </c>
      <c r="G54" s="1773">
        <f>$F54*IFERROR(INDEX(Lists!$AD:$AD,MATCH($E54,Lists!$AC:$AC,0)),1)</f>
        <v>221796.9</v>
      </c>
    </row>
    <row r="55">
      <c r="B55" s="1530" t="str">
        <f>INDEX('REVIEW - Complete Role Mapping'!$B:$B,356)</f>
        <v>Chris Camacho</v>
      </c>
      <c r="C55" s="1530" t="str">
        <f>INDEX('REVIEW - Complete Role Mapping'!$C:$C,356)</f>
        <v>Senior Systems Analyst</v>
      </c>
      <c r="D55" s="1530" t="str">
        <f>INDEX('REVIEW - Complete Role Mapping'!$AK:$AK,356)</f>
        <v>Filled</v>
      </c>
      <c r="E55" s="1547" t="inlineStr">
        <is>
          <t>Filled</t>
        </is>
      </c>
      <c r="F55" s="1773">
        <f>INDEX('REVIEW - Complete Role Mapping'!$AA:$AA,356)</f>
        <v>225051.95</v>
      </c>
      <c r="G55" s="1773">
        <f>$F55*IFERROR(INDEX(Lists!$AD:$AD,MATCH($E55,Lists!$AC:$AC,0)),1)</f>
        <v>225051.95</v>
      </c>
    </row>
    <row r="56">
      <c r="B56" s="1530" t="str">
        <f>INDEX('REVIEW - Complete Role Mapping'!$B:$B,361)</f>
        <v>Fabian Moreno Cortes</v>
      </c>
      <c r="C56" s="1530" t="str">
        <f>INDEX('REVIEW - Complete Role Mapping'!$C:$C,361)</f>
        <v>Engineer - Software</v>
      </c>
      <c r="D56" s="1530" t="str">
        <f>INDEX('REVIEW - Complete Role Mapping'!$AK:$AK,361)</f>
        <v>Filled</v>
      </c>
      <c r="E56" s="1547" t="inlineStr">
        <is>
          <t>Filled</t>
        </is>
      </c>
      <c r="F56" s="1773">
        <f>INDEX('REVIEW - Complete Role Mapping'!$AA:$AA,361)</f>
        <v>193575</v>
      </c>
      <c r="G56" s="1773">
        <f>$F56*IFERROR(INDEX(Lists!$AD:$AD,MATCH($E56,Lists!$AC:$AC,0)),1)</f>
        <v>193575</v>
      </c>
    </row>
    <row r="57">
      <c r="B57" s="1530" t="str">
        <f>INDEX('REVIEW - Complete Role Mapping'!$B:$B,372)</f>
        <v>Jaya Ganasan</v>
      </c>
      <c r="C57" s="1530" t="str">
        <f>INDEX('REVIEW - Complete Role Mapping'!$C:$C,372)</f>
        <v>B2B &amp; Energy+B452:I452</v>
      </c>
      <c r="D57" s="1530" t="str">
        <f>INDEX('REVIEW - Complete Role Mapping'!$AK:$AK,372)</f>
        <v>Filled</v>
      </c>
      <c r="E57" s="1547" t="inlineStr">
        <is>
          <t>Filled</t>
        </is>
      </c>
      <c r="F57" s="1773">
        <f>INDEX('REVIEW - Complete Role Mapping'!$AA:$AA,372)</f>
        <v>257693.9</v>
      </c>
      <c r="G57" s="1773">
        <f>$F57*IFERROR(INDEX(Lists!$AD:$AD,MATCH($E57,Lists!$AC:$AC,0)),1)</f>
        <v>257693.9</v>
      </c>
    </row>
    <row r="58">
      <c r="B58" s="1530" t="str">
        <f>INDEX('REVIEW - Complete Role Mapping'!$B:$B,387)</f>
        <v>Louis Ballington</v>
      </c>
      <c r="C58" s="1530" t="str">
        <f>INDEX('REVIEW - Complete Role Mapping'!$C:$C,387)</f>
        <v>Delivery Lead</v>
      </c>
      <c r="D58" s="1530" t="str">
        <f>INDEX('REVIEW - Complete Role Mapping'!$AK:$AK,387)</f>
        <v>Filled</v>
      </c>
      <c r="E58" s="1547" t="inlineStr">
        <is>
          <t>Filled</t>
        </is>
      </c>
      <c r="F58" s="1773">
        <f>INDEX('REVIEW - Complete Role Mapping'!$AA:$AA,387)</f>
        <v>256466.85</v>
      </c>
      <c r="G58" s="1773">
        <f>$F58*IFERROR(INDEX(Lists!$AD:$AD,MATCH($E58,Lists!$AC:$AC,0)),1)</f>
        <v>256466.85</v>
      </c>
    </row>
    <row r="59">
      <c r="B59" s="1530" t="str">
        <f>INDEX('REVIEW - Complete Role Mapping'!$B:$B,411)</f>
        <v>Tyler Meggs</v>
      </c>
      <c r="C59" s="1530" t="str">
        <f>INDEX('REVIEW - Complete Role Mapping'!$C:$C,411)</f>
        <v>System Analyst</v>
      </c>
      <c r="D59" s="1530" t="str">
        <f>INDEX('REVIEW - Complete Role Mapping'!$AK:$AK,411)</f>
        <v>Filled</v>
      </c>
      <c r="E59" s="1547" t="inlineStr">
        <is>
          <t>Filled</t>
        </is>
      </c>
      <c r="F59" s="1773">
        <f>INDEX('REVIEW - Complete Role Mapping'!$AA:$AA,411)</f>
        <v>144650</v>
      </c>
      <c r="G59" s="1773">
        <f>$F59*IFERROR(INDEX(Lists!$AD:$AD,MATCH($E59,Lists!$AC:$AC,0)),1)</f>
        <v>144650</v>
      </c>
    </row>
    <row r="60">
      <c r="B60" s="1530" t="str">
        <f>INDEX('REVIEW - Complete Role Mapping'!$B:$B,429)</f>
        <v>Vacant</v>
      </c>
      <c r="C60" s="1530" t="str">
        <f>INDEX('REVIEW - Complete Role Mapping'!$C:$C,429)</f>
        <v>Quality Assurance</v>
      </c>
      <c r="D60" s="1530" t="str">
        <f>INDEX('REVIEW - Complete Role Mapping'!$AK:$AK,429)</f>
        <v>Vacant</v>
      </c>
      <c r="E60" s="1547" t="inlineStr">
        <is>
          <t>Hire</t>
        </is>
      </c>
      <c r="F60" s="1773">
        <f>INDEX('REVIEW - Complete Role Mapping'!$AA:$AA,429)</f>
        <v>170489.75</v>
      </c>
      <c r="G60" s="1773">
        <f>$F60*IFERROR(INDEX(Lists!$AD:$AD,MATCH($E60,Lists!$AC:$AC,0)),1)</f>
        <v>170489.75</v>
      </c>
    </row>
    <row r="61">
      <c r="B61" s="1530" t="str">
        <f>INDEX('REVIEW - Complete Role Mapping'!$B:$B,430)</f>
        <v>Vacant</v>
      </c>
      <c r="C61" s="1530" t="str">
        <f>INDEX('REVIEW - Complete Role Mapping'!$C:$C,430)</f>
        <v>Solution Architect</v>
      </c>
      <c r="D61" s="1530" t="str">
        <f>INDEX('REVIEW - Complete Role Mapping'!$AK:$AK,430)</f>
        <v>Vacant</v>
      </c>
      <c r="E61" s="1547" t="inlineStr">
        <is>
          <t>Hire</t>
        </is>
      </c>
      <c r="F61" s="1773">
        <f>INDEX('REVIEW - Complete Role Mapping'!$AA:$AA,430)</f>
        <v>231689.25</v>
      </c>
      <c r="G61" s="1773">
        <f>$F61*IFERROR(INDEX(Lists!$AD:$AD,MATCH($E61,Lists!$AC:$AC,0)),1)</f>
        <v>231689.25</v>
      </c>
    </row>
    <row r="62">
      <c r="B62" s="1530" t="str">
        <f>INDEX('REVIEW - Complete Role Mapping'!$B:$B,443)</f>
        <v>Victor Olasanoye</v>
      </c>
      <c r="C62" s="1530" t="str">
        <f>INDEX('REVIEW - Complete Role Mapping'!$C:$C,443)</f>
        <v>Senior Systems Analyst</v>
      </c>
      <c r="D62" s="1530" t="str">
        <f>INDEX('REVIEW - Complete Role Mapping'!$AK:$AK,443)</f>
        <v>Filled</v>
      </c>
      <c r="E62" s="1547" t="inlineStr">
        <is>
          <t>Filled</t>
        </is>
      </c>
      <c r="F62" s="1773">
        <f>INDEX('REVIEW - Complete Role Mapping'!$AA:$AA,443)</f>
        <v>213359.7</v>
      </c>
      <c r="G62" s="1773">
        <f>$F62*IFERROR(INDEX(Lists!$AD:$AD,MATCH($E62,Lists!$AC:$AC,0)),1)</f>
        <v>213359.7</v>
      </c>
    </row>
    <row r="63">
      <c r="B63" s="1545" t="inlineStr">
        <is>
          <t>Technology Support</t>
        </is>
      </c>
      <c r="C63" s="1545" t="str">
        <f>COUNTA($B$64:$B$68)&amp;IF(COUNTA($B$64:$B$68)=1," role"," roles")</f>
        <v>5 roles</v>
      </c>
      <c r="D63" s="1545" t="n"/>
      <c r="E63" s="1545" t="n"/>
      <c r="F63" s="1785">
        <f>SUM(F64:F68)</f>
        <v>741335.29</v>
      </c>
      <c r="G63" s="1785">
        <f>SUM(G64:G68)</f>
        <v>741335.29</v>
      </c>
    </row>
    <row r="64">
      <c r="B64" s="1530" t="str">
        <f>INDEX('REVIEW - Complete Role Mapping'!$B:$B,335)</f>
        <v>Alison Rosier</v>
      </c>
      <c r="C64" s="1530" t="str">
        <f>INDEX('REVIEW - Complete Role Mapping'!$C:$C,335)</f>
        <v>Technology Support Engineer - Infrastructure</v>
      </c>
      <c r="D64" s="1530" t="str">
        <f>INDEX('REVIEW - Complete Role Mapping'!$AK:$AK,335)</f>
        <v>Filled</v>
      </c>
      <c r="E64" s="1547" t="inlineStr">
        <is>
          <t>Filled</t>
        </is>
      </c>
      <c r="F64" s="1773">
        <f>INDEX('REVIEW - Complete Role Mapping'!$AA:$AA,335)</f>
        <v>162936.39</v>
      </c>
      <c r="G64" s="1773">
        <f>$F64*IFERROR(INDEX(Lists!$AD:$AD,MATCH($E64,Lists!$AC:$AC,0)),1)</f>
        <v>162936.39</v>
      </c>
    </row>
    <row r="65">
      <c r="B65" s="1530" t="str">
        <f>INDEX('REVIEW - Complete Role Mapping'!$B:$B,365)</f>
        <v>Glenn Earl</v>
      </c>
      <c r="C65" s="1530" t="str">
        <f>INDEX('REVIEW - Complete Role Mapping'!$C:$C,365)</f>
        <v>Lead Technology Support - Infrastructure</v>
      </c>
      <c r="D65" s="1530" t="str">
        <f>INDEX('REVIEW - Complete Role Mapping'!$AK:$AK,365)</f>
        <v>Filled</v>
      </c>
      <c r="E65" s="1547" t="inlineStr">
        <is>
          <t>Filled</t>
        </is>
      </c>
      <c r="F65" s="1773">
        <f>INDEX('REVIEW - Complete Role Mapping'!$AA:$AA,365)</f>
        <v>171291.9</v>
      </c>
      <c r="G65" s="1773">
        <f>$F65*IFERROR(INDEX(Lists!$AD:$AD,MATCH($E65,Lists!$AC:$AC,0)),1)</f>
        <v>171291.9</v>
      </c>
    </row>
    <row r="66">
      <c r="B66" s="1530" t="str">
        <f>INDEX('REVIEW - Complete Role Mapping'!$B:$B,396)</f>
        <v>Radek Rybar</v>
      </c>
      <c r="C66" s="1530" t="str">
        <f>INDEX('REVIEW - Complete Role Mapping'!$C:$C,396)</f>
        <v>Technology Support Engineer - Infrastructure</v>
      </c>
      <c r="D66" s="1530" t="str">
        <f>INDEX('REVIEW - Complete Role Mapping'!$AK:$AK,396)</f>
        <v>Filled</v>
      </c>
      <c r="E66" s="1547" t="inlineStr">
        <is>
          <t>Filled</t>
        </is>
      </c>
      <c r="F66" s="1773">
        <f>INDEX('REVIEW - Complete Role Mapping'!$AA:$AA,396)</f>
        <v>153697.2</v>
      </c>
      <c r="G66" s="1773">
        <f>$F66*IFERROR(INDEX(Lists!$AD:$AD,MATCH($E66,Lists!$AC:$AC,0)),1)</f>
        <v>153697.2</v>
      </c>
    </row>
    <row r="67">
      <c r="B67" s="1530" t="str">
        <f>INDEX('REVIEW - Complete Role Mapping'!$B:$B,401)</f>
        <v>Scott Hasson</v>
      </c>
      <c r="C67" s="1530" t="str">
        <f>INDEX('REVIEW - Complete Role Mapping'!$C:$C,401)</f>
        <v>Technology Support Engineer - Infrastructure</v>
      </c>
      <c r="D67" s="1530" t="str">
        <f>INDEX('REVIEW - Complete Role Mapping'!$AK:$AK,401)</f>
        <v>Filled</v>
      </c>
      <c r="E67" s="1547" t="inlineStr">
        <is>
          <t>Filled</t>
        </is>
      </c>
      <c r="F67" s="1773">
        <f>INDEX('REVIEW - Complete Role Mapping'!$AA:$AA,401)</f>
        <v>146727.7</v>
      </c>
      <c r="G67" s="1773">
        <f>$F67*IFERROR(INDEX(Lists!$AD:$AD,MATCH($E67,Lists!$AC:$AC,0)),1)</f>
        <v>146727.7</v>
      </c>
    </row>
    <row r="68">
      <c r="B68" s="1530" t="str">
        <f>INDEX('REVIEW - Complete Role Mapping'!$B:$B,409)</f>
        <v>Tom Moore</v>
      </c>
      <c r="C68" s="1530" t="str">
        <f>INDEX('REVIEW - Complete Role Mapping'!$C:$C,409)</f>
        <v>Technology Support Engineer - Infrastructure</v>
      </c>
      <c r="D68" s="1530" t="str">
        <f>INDEX('REVIEW - Complete Role Mapping'!$AK:$AK,409)</f>
        <v>Filled</v>
      </c>
      <c r="E68" s="1547" t="inlineStr">
        <is>
          <t>Filled</t>
        </is>
      </c>
      <c r="F68" s="1773">
        <f>INDEX('REVIEW - Complete Role Mapping'!$AA:$AA,409)</f>
        <v>106682.1</v>
      </c>
      <c r="G68" s="1773">
        <f>$F68*IFERROR(INDEX(Lists!$AD:$AD,MATCH($E68,Lists!$AC:$AC,0)),1)</f>
        <v>106682.1</v>
      </c>
    </row>
    <row r="69">
      <c r="B69" s="1545" t="inlineStr">
        <is>
          <t>Head of Technology</t>
        </is>
      </c>
      <c r="C69" s="1545" t="str">
        <f>COUNTA($B$70:$B$70)&amp;IF(COUNTA($B$70:$B$70)=1," role"," roles")</f>
        <v>1 role</v>
      </c>
      <c r="D69" s="1545" t="n"/>
      <c r="E69" s="1545" t="n"/>
      <c r="F69" s="1785">
        <f>SUM(F70:F70)</f>
        <v>363626.7</v>
      </c>
      <c r="G69" s="1785">
        <f>SUM(G70:G70)</f>
        <v>363626.7</v>
      </c>
    </row>
    <row r="70">
      <c r="B70" s="1530" t="str">
        <f>INDEX('REVIEW - Complete Role Mapping'!$B:$B,339)</f>
        <v>Amish Pandit</v>
      </c>
      <c r="C70" s="1530" t="str">
        <f>INDEX('REVIEW - Complete Role Mapping'!$C:$C,339)</f>
        <v>Head of Technology, Fuel Infrastructure</v>
      </c>
      <c r="D70" s="1530" t="str">
        <f>INDEX('REVIEW - Complete Role Mapping'!$AK:$AK,339)</f>
        <v>Filled</v>
      </c>
      <c r="E70" s="1547" t="inlineStr">
        <is>
          <t>Filled</t>
        </is>
      </c>
      <c r="F70" s="1773">
        <f>INDEX('REVIEW - Complete Role Mapping'!$AA:$AA,339)</f>
        <v>363626.7</v>
      </c>
      <c r="G70" s="1773">
        <f>$F70*IFERROR(INDEX(Lists!$AD:$AD,MATCH($E70,Lists!$AC:$AC,0)),1)</f>
        <v>363626.7</v>
      </c>
    </row>
    <row r="71">
      <c r="B71" s="1545" t="inlineStr">
        <is>
          <t>Delivery Manager</t>
        </is>
      </c>
      <c r="C71" s="1545" t="str">
        <f>COUNTA($B$72:$B$72)&amp;IF(COUNTA($B$72:$B$72)=1," role"," roles")</f>
        <v>1 role</v>
      </c>
      <c r="D71" s="1545" t="n"/>
      <c r="E71" s="1545" t="n"/>
      <c r="F71" s="1785">
        <f>SUM(F72:F72)</f>
        <v>275810.25</v>
      </c>
      <c r="G71" s="1785">
        <f>SUM(G72:G72)</f>
        <v>275810.25</v>
      </c>
    </row>
    <row r="72">
      <c r="B72" s="1530" t="str">
        <f>INDEX('REVIEW - Complete Role Mapping'!$B:$B,426)</f>
        <v>Vacant</v>
      </c>
      <c r="C72" s="1530" t="str">
        <f>INDEX('REVIEW - Complete Role Mapping'!$C:$C,426)</f>
        <v>Delivery manager</v>
      </c>
      <c r="D72" s="1530" t="str">
        <f>INDEX('REVIEW - Complete Role Mapping'!$AK:$AK,426)</f>
        <v>Vacant</v>
      </c>
      <c r="E72" s="1547" t="inlineStr">
        <is>
          <t>Hire</t>
        </is>
      </c>
      <c r="F72" s="1773">
        <f>INDEX('REVIEW - Complete Role Mapping'!$AA:$AA,426)</f>
        <v>275810.25</v>
      </c>
      <c r="G72" s="1773">
        <f>$F72*IFERROR(INDEX(Lists!$AD:$AD,MATCH($E72,Lists!$AC:$AC,0)),1)</f>
        <v>275810.25</v>
      </c>
    </row>
    <row r="73">
      <c r="B73" s="1545" t="inlineStr">
        <is>
          <t>Technology Manager</t>
        </is>
      </c>
      <c r="C73" s="1545" t="str">
        <f>COUNTA($B$74:$B$75)&amp;IF(COUNTA($B$74:$B$75)=1," role"," roles")</f>
        <v>2 roles</v>
      </c>
      <c r="D73" s="1545" t="n"/>
      <c r="E73" s="1545" t="n"/>
      <c r="F73" s="1785">
        <f>SUM(F74:F75)</f>
        <v>551620.5</v>
      </c>
      <c r="G73" s="1785">
        <f>SUM(G74:G75)</f>
        <v>551620.5</v>
      </c>
    </row>
    <row r="74">
      <c r="B74" s="1530" t="str">
        <f>INDEX('REVIEW - Complete Role Mapping'!$B:$B,427)</f>
        <v>Vacant</v>
      </c>
      <c r="C74" s="1530" t="str">
        <f>INDEX('REVIEW - Complete Role Mapping'!$C:$C,427)</f>
        <v>Technology Manager Data</v>
      </c>
      <c r="D74" s="1530" t="str">
        <f>INDEX('REVIEW - Complete Role Mapping'!$AK:$AK,427)</f>
        <v>Vacant</v>
      </c>
      <c r="E74" s="1547" t="inlineStr">
        <is>
          <t>Hire</t>
        </is>
      </c>
      <c r="F74" s="1773">
        <f>INDEX('REVIEW - Complete Role Mapping'!$AA:$AA,427)</f>
        <v>275810.25</v>
      </c>
      <c r="G74" s="1773">
        <f>$F74*IFERROR(INDEX(Lists!$AD:$AD,MATCH($E74,Lists!$AC:$AC,0)),1)</f>
        <v>275810.25</v>
      </c>
    </row>
    <row r="75">
      <c r="B75" s="1530" t="str">
        <f>INDEX('REVIEW - Complete Role Mapping'!$B:$B,428)</f>
        <v>Vacant</v>
      </c>
      <c r="C75" s="1530" t="str">
        <f>INDEX('REVIEW - Complete Role Mapping'!$C:$C,428)</f>
        <v>Technology Manager, Future Infrastructure </v>
      </c>
      <c r="D75" s="1530" t="str">
        <f>INDEX('REVIEW - Complete Role Mapping'!$AK:$AK,428)</f>
        <v>Vacant</v>
      </c>
      <c r="E75" s="1547" t="inlineStr">
        <is>
          <t>Hire</t>
        </is>
      </c>
      <c r="F75" s="1773">
        <f>INDEX('REVIEW - Complete Role Mapping'!$AA:$AA,428)</f>
        <v>275810.25</v>
      </c>
      <c r="G75" s="1773">
        <f>$F75*IFERROR(INDEX(Lists!$AD:$AD,MATCH($E75,Lists!$AC:$AC,0)),1)</f>
        <v>275810.25</v>
      </c>
    </row>
  </sheetData>
  <dataValidations count="1">
    <dataValidation sqref="E33 E34 E35 E36 E37 E38 E39 E41 E42 E43 E44 E45 E46 E47 E48 E49 E50 E52 E54 E55 E56 E57 E58 E59 E60 E61 E62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B2B</t>
        </is>
      </c>
      <c r="C7" s="1530" t="str">
        <f>IFERROR(INDEX('1.8 Energy Solutions &amp; B2B'!$C$26:$C$37,MATCH($B7,'1.8 Energy Solutions &amp; B2B'!$B$26:$B$37,0)),"Not on the 1.x tab")</f>
        <v>Configuration / Integration</v>
      </c>
      <c r="D7" s="1530" t="str">
        <f>IFERROR(IF(INDEX('1.8 Energy Solutions &amp; B2B'!$D$26:$D$37,MATCH($B7,'1.8 Energy Solutions &amp; B2B'!$B$26:$B$37,0))="","-",INDEX('1.8 Energy Solutions &amp; B2B'!$D$26:$D$37,MATCH($B7,'1.8 Energy Solutions &amp; B2B'!$B$26:$B$37,0))),"-")</f>
        <v>L</v>
      </c>
      <c r="E7" s="1782">
        <f>IFERROR(INDEX('0.3 Squad Archetypes'!$F$5:$F$23,MATCH($C7&amp;"|"&amp;$D7,'0.3 Squad Archetypes'!$A$5:$A$23,0)),"-")</f>
        <v>14</v>
      </c>
      <c r="F7" s="1773">
        <f>COUNTA($B$32:$B$45)</f>
        <v>14</v>
      </c>
      <c r="G7" s="1773">
        <f>COUNTIFS($D$32:$D$45,"Filled")</f>
        <v>11</v>
      </c>
      <c r="H7" s="1773">
        <f>COUNTIFS($D$32:$D$45,"Vacant")</f>
        <v>3</v>
      </c>
      <c r="I7" s="1773">
        <f>COUNTIFS($D$32:$D$45,"Vacant",$E$32:$E$45,"Hire")</f>
        <v>3</v>
      </c>
      <c r="J7" s="1773">
        <f>COUNTIFS($E$32:$E$45,"Offshore")</f>
        <v>0</v>
      </c>
      <c r="K7" s="1773">
        <f>COUNTIFS($E$32:$E$45,"Hold")</f>
        <v>0</v>
      </c>
      <c r="L7" s="1773">
        <f>$F7-$K7</f>
        <v>14</v>
      </c>
      <c r="M7" s="1772">
        <f>IFERROR(IF(INDEX('1.8 Energy Solutions &amp; B2B'!$E$26:$E$37,MATCH($B7,'1.8 Energy Solutions &amp; B2B'!$B$26:$B$37,0))="Offshore",INDEX('0.3 Squad Archetypes'!$H$5:$H$23,MATCH($C7&amp;"|"&amp;$D7,'0.3 Squad Archetypes'!$A$5:$A$23,0)),INDEX('0.3 Squad Archetypes'!$G$5:$G$23,MATCH($C7&amp;"|"&amp;$D7,'0.3 Squad Archetypes'!$A$5:$A$23,0))),"-")</f>
        <v>3.2</v>
      </c>
      <c r="N7" s="1772">
        <f>SUMIFS('REVIEW - Complete Role Mapping'!$AA$2:$AA$528,'REVIEW - Complete Role Mapping'!$AJ$2:$AJ$528,$C$3,'REVIEW - Complete Role Mapping'!$AT$2:$AT$528,$B7)/1000000</f>
        <v>2.59351107</v>
      </c>
      <c r="O7" s="1772">
        <f>IFERROR(ROUND($N7-$M7,6),"-")</f>
        <v>-0.606489</v>
      </c>
      <c r="P7" s="1772">
        <f>SUM($G$32:$G$45)/1000000</f>
        <v>2.59351107</v>
      </c>
      <c r="Q7" s="1772">
        <f>IFERROR(ROUND($P7-$M7,6),"-")</f>
        <v>-0.606489</v>
      </c>
    </row>
    <row r="8">
      <c r="B8" s="1530" t="inlineStr">
        <is>
          <t>EVCI</t>
        </is>
      </c>
      <c r="C8" s="1530" t="str">
        <f>IFERROR(INDEX('1.8 Energy Solutions &amp; B2B'!$C$26:$C$37,MATCH($B8,'1.8 Energy Solutions &amp; B2B'!$B$26:$B$37,0)),"Not on the 1.x tab")</f>
        <v>Engineering</v>
      </c>
      <c r="D8" s="1530" t="str">
        <f>IFERROR(IF(INDEX('1.8 Energy Solutions &amp; B2B'!$D$26:$D$37,MATCH($B8,'1.8 Energy Solutions &amp; B2B'!$B$26:$B$37,0))="","-",INDEX('1.8 Energy Solutions &amp; B2B'!$D$26:$D$37,MATCH($B8,'1.8 Energy Solutions &amp; B2B'!$B$26:$B$37,0))),"-")</f>
        <v>M</v>
      </c>
      <c r="E8" s="1782">
        <f>IFERROR(INDEX('0.3 Squad Archetypes'!$F$5:$F$23,MATCH($C8&amp;"|"&amp;$D8,'0.3 Squad Archetypes'!$A$5:$A$23,0)),"-")</f>
        <v>9</v>
      </c>
      <c r="F8" s="1773">
        <f>COUNTA($B$47:$B$52)</f>
        <v>6</v>
      </c>
      <c r="G8" s="1773">
        <f>COUNTIFS($D$47:$D$52,"Filled")</f>
        <v>6</v>
      </c>
      <c r="H8" s="1773">
        <f>COUNTIFS($D$47:$D$52,"Vacant")</f>
        <v>0</v>
      </c>
      <c r="I8" s="1773">
        <f>COUNTIFS($D$47:$D$52,"Vacant",$E$47:$E$52,"Hire")</f>
        <v>0</v>
      </c>
      <c r="J8" s="1773">
        <f>COUNTIFS($E$47:$E$52,"Offshore")</f>
        <v>0</v>
      </c>
      <c r="K8" s="1773">
        <f>COUNTIFS($E$47:$E$52,"Hold")</f>
        <v>0</v>
      </c>
      <c r="L8" s="1773">
        <f>$F8-$K8</f>
        <v>6</v>
      </c>
      <c r="M8" s="1772">
        <f>IFERROR(IF(INDEX('1.8 Energy Solutions &amp; B2B'!$E$26:$E$37,MATCH($B8,'1.8 Energy Solutions &amp; B2B'!$B$26:$B$37,0))="Offshore",INDEX('0.3 Squad Archetypes'!$H$5:$H$23,MATCH($C8&amp;"|"&amp;$D8,'0.3 Squad Archetypes'!$A$5:$A$23,0)),INDEX('0.3 Squad Archetypes'!$G$5:$G$23,MATCH($C8&amp;"|"&amp;$D8,'0.3 Squad Archetypes'!$A$5:$A$23,0))),"-")</f>
        <v>2</v>
      </c>
      <c r="N8" s="1772">
        <f>SUMIFS('REVIEW - Complete Role Mapping'!$AA$2:$AA$528,'REVIEW - Complete Role Mapping'!$AJ$2:$AJ$528,$C$3,'REVIEW - Complete Role Mapping'!$AT$2:$AT$528,$B8)/1000000</f>
        <v>0.930799292</v>
      </c>
      <c r="O8" s="1772">
        <f>IFERROR(ROUND($N8-$M8,6),"-")</f>
        <v>-1.069201</v>
      </c>
      <c r="P8" s="1772">
        <f>SUM($G$47:$G$52)/1000000</f>
        <v>0.930799292</v>
      </c>
      <c r="Q8" s="1772">
        <f>IFERROR(ROUND($P8-$M8,6),"-")</f>
        <v>-1.069201</v>
      </c>
    </row>
    <row r="9">
      <c r="B9" s="1530" t="inlineStr">
        <is>
          <t>Energy</t>
        </is>
      </c>
      <c r="C9" s="1530" t="str">
        <f>IFERROR(INDEX('1.8 Energy Solutions &amp; B2B'!$C$26:$C$37,MATCH($B9,'1.8 Energy Solutions &amp; B2B'!$B$26:$B$37,0)),"Not on the 1.x tab")</f>
        <v>Engineering</v>
      </c>
      <c r="D9" s="1530" t="str">
        <f>IFERROR(IF(INDEX('1.8 Energy Solutions &amp; B2B'!$D$26:$D$37,MATCH($B9,'1.8 Energy Solutions &amp; B2B'!$B$26:$B$37,0))="","-",INDEX('1.8 Energy Solutions &amp; B2B'!$D$26:$D$37,MATCH($B9,'1.8 Energy Solutions &amp; B2B'!$B$26:$B$37,0))),"-")</f>
        <v>L</v>
      </c>
      <c r="E9" s="1782">
        <f>IFERROR(INDEX('0.3 Squad Archetypes'!$F$5:$F$23,MATCH($C9&amp;"|"&amp;$D9,'0.3 Squad Archetypes'!$A$5:$A$23,0)),"-")</f>
        <v>12</v>
      </c>
      <c r="F9" s="1773">
        <f>COUNTA($B$54:$B$62)</f>
        <v>9</v>
      </c>
      <c r="G9" s="1773">
        <f>COUNTIFS($D$54:$D$62,"Filled")</f>
        <v>5</v>
      </c>
      <c r="H9" s="1773">
        <f>COUNTIFS($D$54:$D$62,"Vacant")</f>
        <v>4</v>
      </c>
      <c r="I9" s="1773">
        <f>COUNTIFS($D$54:$D$62,"Vacant",$E$54:$E$62,"Hire")</f>
        <v>4</v>
      </c>
      <c r="J9" s="1773">
        <f>COUNTIFS($E$54:$E$62,"Offshore")</f>
        <v>0</v>
      </c>
      <c r="K9" s="1773">
        <f>COUNTIFS($E$54:$E$62,"Hold")</f>
        <v>0</v>
      </c>
      <c r="L9" s="1773">
        <f>$F9-$K9</f>
        <v>9</v>
      </c>
      <c r="M9" s="1772">
        <f>IFERROR(IF(INDEX('1.8 Energy Solutions &amp; B2B'!$E$26:$E$37,MATCH($B9,'1.8 Energy Solutions &amp; B2B'!$B$26:$B$37,0))="Offshore",INDEX('0.3 Squad Archetypes'!$H$5:$H$23,MATCH($C9&amp;"|"&amp;$D9,'0.3 Squad Archetypes'!$A$5:$A$23,0)),INDEX('0.3 Squad Archetypes'!$G$5:$G$23,MATCH($C9&amp;"|"&amp;$D9,'0.3 Squad Archetypes'!$A$5:$A$23,0))),"-")</f>
        <v>2.7</v>
      </c>
      <c r="N9" s="1772">
        <f>SUMIFS('REVIEW - Complete Role Mapping'!$AA$2:$AA$528,'REVIEW - Complete Role Mapping'!$AJ$2:$AJ$528,$C$3,'REVIEW - Complete Role Mapping'!$AT$2:$AT$528,$B9)/1000000</f>
        <v>1.803563966</v>
      </c>
      <c r="O9" s="1772">
        <f>IFERROR(ROUND($N9-$M9,6),"-")</f>
        <v>-0.896436</v>
      </c>
      <c r="P9" s="1772">
        <f>SUM($G$54:$G$62)/1000000</f>
        <v>1.803563966</v>
      </c>
      <c r="Q9" s="1772">
        <f>IFERROR(ROUND($P9-$M9,6),"-")</f>
        <v>-0.896436</v>
      </c>
    </row>
    <row r="10">
      <c r="B10" s="1534" t="inlineStr">
        <is>
          <t>Squads priced by an archetype</t>
        </is>
      </c>
      <c r="C10" s="1534" t="n"/>
      <c r="D10" s="1534" t="n"/>
      <c r="E10" s="1783">
        <f>SUM(E7:E9)</f>
        <v>35</v>
      </c>
      <c r="F10" s="1775">
        <f>SUM(F7:F9)</f>
        <v>29</v>
      </c>
      <c r="G10" s="1775">
        <f>SUM(G7:G9)</f>
        <v>22</v>
      </c>
      <c r="H10" s="1775">
        <f>SUM(H7:H9)</f>
        <v>7</v>
      </c>
      <c r="I10" s="1775">
        <f>SUM(I7:I9)</f>
        <v>7</v>
      </c>
      <c r="J10" s="1775">
        <f>SUM(J7:J9)</f>
        <v>0</v>
      </c>
      <c r="K10" s="1775">
        <f>SUM(K7:K9)</f>
        <v>0</v>
      </c>
      <c r="L10" s="1775">
        <f>SUM(L7:L9)</f>
        <v>29</v>
      </c>
      <c r="M10" s="1774">
        <f>SUM(M7:M9)</f>
        <v>7.9</v>
      </c>
      <c r="N10" s="1774">
        <f>SUM(N7:N9)</f>
        <v>5.327874328</v>
      </c>
      <c r="O10" s="1774">
        <f>SUM(O7:O9)</f>
        <v>-2.572126</v>
      </c>
      <c r="P10" s="1774">
        <f>SUM(P7:P9)</f>
        <v>5.327874328</v>
      </c>
      <c r="Q10" s="1774">
        <f>SUM(Q7:Q9)</f>
        <v>-2.572126</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COUNTA($B$64:$B$64)</f>
        <v>1</v>
      </c>
      <c r="G19" s="1773">
        <f>COUNTIFS($D$64:$D$64,"Filled")</f>
        <v>1</v>
      </c>
      <c r="H19" s="1773">
        <f>COUNTIFS($D$64:$D$64,"Vacant")</f>
        <v>0</v>
      </c>
      <c r="I19" s="1773">
        <f>COUNTIFS($D$64:$D$64,"Vacant",$E$64:$E$64,"Hire")</f>
        <v>0</v>
      </c>
      <c r="J19" s="1773">
        <f>COUNTIFS($E$64:$E$64,"Offshore")</f>
        <v>0</v>
      </c>
      <c r="K19" s="1773">
        <f>COUNTIFS($E$64:$E$64,"Hold")</f>
        <v>0</v>
      </c>
      <c r="L19" s="1773">
        <f>$F19-$K19</f>
        <v>1</v>
      </c>
      <c r="M19" s="1538" t="str">
        <f>"-"</f>
        <v>-</v>
      </c>
      <c r="N19" s="1772">
        <f>SUMIFS('REVIEW - Complete Role Mapping'!$AA$2:$AA$528,'REVIEW - Complete Role Mapping'!$AJ$2:$AJ$528,$C$3,'REVIEW - Complete Role Mapping'!$AT$2:$AT$528,$B19)/1000000</f>
        <v>0.273758</v>
      </c>
      <c r="O19" s="1538" t="str">
        <f>"-"</f>
        <v>-</v>
      </c>
      <c r="P19" s="1772">
        <f>SUM($G$64:$G$64)/1000000</f>
        <v>0.273758</v>
      </c>
      <c r="Q19" s="1538" t="str">
        <f>"-"</f>
        <v>-</v>
      </c>
    </row>
    <row r="20">
      <c r="B20" s="1530" t="inlineStr">
        <is>
          <t>Delivery Manager</t>
        </is>
      </c>
      <c r="C20" s="1530" t="str">
        <f>"-"</f>
        <v>-</v>
      </c>
      <c r="D20" s="1530" t="str">
        <f>"-"</f>
        <v>-</v>
      </c>
      <c r="E20" s="1538" t="str">
        <f>"-"</f>
        <v>-</v>
      </c>
      <c r="F20" s="1773">
        <f>COUNTA($B$66:$B$66)</f>
        <v>1</v>
      </c>
      <c r="G20" s="1773">
        <f>COUNTIFS($D$66:$D$66,"Filled")</f>
        <v>0</v>
      </c>
      <c r="H20" s="1773">
        <f>COUNTIFS($D$66:$D$66,"Vacant")</f>
        <v>1</v>
      </c>
      <c r="I20" s="1773">
        <f>COUNTIFS($D$66:$D$66,"Vacant",$E$66:$E$66,"Hire")</f>
        <v>1</v>
      </c>
      <c r="J20" s="1773">
        <f>COUNTIFS($E$66:$E$66,"Offshore")</f>
        <v>0</v>
      </c>
      <c r="K20" s="1773">
        <f>COUNTIFS($E$66:$E$66,"Hold")</f>
        <v>0</v>
      </c>
      <c r="L20" s="1773">
        <f>$F20-$K20</f>
        <v>1</v>
      </c>
      <c r="M20" s="1538" t="str">
        <f>"-"</f>
        <v>-</v>
      </c>
      <c r="N20" s="1772">
        <f>SUMIFS('REVIEW - Complete Role Mapping'!$AA$2:$AA$528,'REVIEW - Complete Role Mapping'!$AJ$2:$AJ$528,$C$3,'REVIEW - Complete Role Mapping'!$AT$2:$AT$528,$B20)/1000000</f>
        <v>0.27581025</v>
      </c>
      <c r="O20" s="1538" t="str">
        <f>"-"</f>
        <v>-</v>
      </c>
      <c r="P20" s="1772">
        <f>SUM($G$66:$G$66)/1000000</f>
        <v>0.27581025</v>
      </c>
      <c r="Q20" s="1538" t="str">
        <f>"-"</f>
        <v>-</v>
      </c>
    </row>
    <row r="21">
      <c r="B21" s="1530" t="inlineStr">
        <is>
          <t>Technology Manager</t>
        </is>
      </c>
      <c r="C21" s="1530" t="str">
        <f>"-"</f>
        <v>-</v>
      </c>
      <c r="D21" s="1530" t="str">
        <f>"-"</f>
        <v>-</v>
      </c>
      <c r="E21" s="1538" t="str">
        <f>"-"</f>
        <v>-</v>
      </c>
      <c r="F21" s="1773">
        <f>COUNTA($B$68:$B$69)</f>
        <v>2</v>
      </c>
      <c r="G21" s="1773">
        <f>COUNTIFS($D$68:$D$69,"Filled")</f>
        <v>1</v>
      </c>
      <c r="H21" s="1773">
        <f>COUNTIFS($D$68:$D$69,"Vacant")</f>
        <v>1</v>
      </c>
      <c r="I21" s="1773">
        <f>COUNTIFS($D$68:$D$69,"Vacant",$E$68:$E$69,"Hire")</f>
        <v>1</v>
      </c>
      <c r="J21" s="1773">
        <f>COUNTIFS($E$68:$E$69,"Offshore")</f>
        <v>0</v>
      </c>
      <c r="K21" s="1773">
        <f>COUNTIFS($E$68:$E$69,"Hold")</f>
        <v>0</v>
      </c>
      <c r="L21" s="1773">
        <f>$F21-$K21</f>
        <v>2</v>
      </c>
      <c r="M21" s="1538" t="str">
        <f>"-"</f>
        <v>-</v>
      </c>
      <c r="N21" s="1772">
        <f>SUMIFS('REVIEW - Complete Role Mapping'!$AA$2:$AA$528,'REVIEW - Complete Role Mapping'!$AJ$2:$AJ$528,$C$3,'REVIEW - Complete Role Mapping'!$AT$2:$AT$528,$B21)/1000000</f>
        <v>0.5703737</v>
      </c>
      <c r="O21" s="1538" t="str">
        <f>"-"</f>
        <v>-</v>
      </c>
      <c r="P21" s="1772">
        <f>SUM($G$68:$G$69)/1000000</f>
        <v>0.5703737</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1.11994195</v>
      </c>
      <c r="O22" s="1774">
        <f>SUM(O19:O21)</f>
        <v>0</v>
      </c>
      <c r="P22" s="1774">
        <f>SUM(P19:P21)</f>
        <v>1.11994195</v>
      </c>
      <c r="Q22" s="1774">
        <f>SUM(Q19:Q21)</f>
        <v>0</v>
      </c>
    </row>
    <row r="23"/>
    <row r="24">
      <c r="B24" s="1539" t="inlineStr">
        <is>
          <t>Total portfolio</t>
        </is>
      </c>
      <c r="C24" s="1539" t="n"/>
      <c r="D24" s="1539" t="n"/>
      <c r="E24" s="1784">
        <f>N(E10)+N(E15)+N(E22)</f>
        <v>35</v>
      </c>
      <c r="F24" s="1777">
        <f>N(F10)+N(F15)+N(F22)</f>
        <v>33</v>
      </c>
      <c r="G24" s="1777">
        <f>N(G10)+N(G15)+N(G22)</f>
        <v>24</v>
      </c>
      <c r="H24" s="1777">
        <f>N(H10)+N(H15)+N(H22)</f>
        <v>9</v>
      </c>
      <c r="I24" s="1777">
        <f>N(I10)+N(I15)+N(I22)</f>
        <v>9</v>
      </c>
      <c r="J24" s="1777">
        <f>N(J10)+N(J15)+N(J22)</f>
        <v>0</v>
      </c>
      <c r="K24" s="1777">
        <f>N(K10)+N(K15)+N(K22)</f>
        <v>0</v>
      </c>
      <c r="L24" s="1777">
        <f>N(L10)+N(L15)+N(L22)</f>
        <v>33</v>
      </c>
      <c r="M24" s="1776">
        <f>N(M10)+N(M15)+N(M22)</f>
        <v>7.9</v>
      </c>
      <c r="N24" s="1776">
        <f>N(N10)+N(N15)+N(N22)</f>
        <v>6.447816278</v>
      </c>
      <c r="O24" s="1776">
        <f>N(O10)+N(O15)+N(O22)</f>
        <v>-2.572126</v>
      </c>
      <c r="P24" s="1776">
        <f>N(P10)+N(P15)+N(P22)</f>
        <v>6.447816278</v>
      </c>
      <c r="Q24" s="1776">
        <f>N(Q10)+N(Q15)+N(Q22)</f>
        <v>-2.572126</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Energy Solutions &amp; B2B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B2B</t>
        </is>
      </c>
      <c r="C31" s="1545" t="str">
        <f>COUNTA($B$32:$B$45)&amp;IF(COUNTA($B$32:$B$45)=1," role"," roles")</f>
        <v>14 roles</v>
      </c>
      <c r="D31" s="1545" t="n"/>
      <c r="E31" s="1545" t="n"/>
      <c r="F31" s="1785">
        <f>SUM(F32:F45)</f>
        <v>2593511.07</v>
      </c>
      <c r="G31" s="1785">
        <f>SUM(G32:G45)</f>
        <v>2593511.07</v>
      </c>
    </row>
    <row r="32">
      <c r="B32" s="1530" t="str">
        <f>INDEX('REVIEW - Complete Role Mapping'!$B:$B,334)</f>
        <v>Alex Abelita</v>
      </c>
      <c r="C32" s="1530" t="str">
        <f>INDEX('REVIEW - Complete Role Mapping'!$C:$C,334)</f>
        <v>Associate Engineer - Automation Testing</v>
      </c>
      <c r="D32" s="1530" t="str">
        <f>INDEX('REVIEW - Complete Role Mapping'!$AK:$AK,334)</f>
        <v>Filled</v>
      </c>
      <c r="E32" s="1547" t="inlineStr">
        <is>
          <t>Filled</t>
        </is>
      </c>
      <c r="F32" s="1773">
        <f>INDEX('REVIEW - Complete Role Mapping'!$AA:$AA,334)</f>
        <v>87044</v>
      </c>
      <c r="G32" s="1773">
        <f>$F32*IFERROR(INDEX(Lists!$AD:$AD,MATCH($E32,Lists!$AC:$AC,0)),1)</f>
        <v>87044</v>
      </c>
    </row>
    <row r="33">
      <c r="B33" s="1530" t="str">
        <f>INDEX('REVIEW - Complete Role Mapping'!$B:$B,337)</f>
        <v>Allyn Puente</v>
      </c>
      <c r="C33" s="1530" t="str">
        <f>INDEX('REVIEW - Complete Role Mapping'!$C:$C,337)</f>
        <v>Graduate</v>
      </c>
      <c r="D33" s="1530" t="str">
        <f>INDEX('REVIEW - Complete Role Mapping'!$AK:$AK,337)</f>
        <v>Filled</v>
      </c>
      <c r="E33" s="1547" t="inlineStr">
        <is>
          <t>Filled</t>
        </is>
      </c>
      <c r="F33" s="1773">
        <f>INDEX('REVIEW - Complete Role Mapping'!$AA:$AA,337)</f>
        <v>110075</v>
      </c>
      <c r="G33" s="1773">
        <f>$F33*IFERROR(INDEX(Lists!$AD:$AD,MATCH($E33,Lists!$AC:$AC,0)),1)</f>
        <v>110075</v>
      </c>
    </row>
    <row r="34">
      <c r="B34" s="1530" t="str">
        <f>INDEX('REVIEW - Complete Role Mapping'!$B:$B,348)</f>
        <v>Belinda Ford</v>
      </c>
      <c r="C34" s="1530" t="str">
        <f>INDEX('REVIEW - Complete Role Mapping'!$C:$C,348)</f>
        <v>Quality Assurance</v>
      </c>
      <c r="D34" s="1530" t="str">
        <f>INDEX('REVIEW - Complete Role Mapping'!$AK:$AK,348)</f>
        <v>Filled</v>
      </c>
      <c r="E34" s="1547" t="inlineStr">
        <is>
          <t>Filled</t>
        </is>
      </c>
      <c r="F34" s="1773">
        <f>INDEX('REVIEW - Complete Role Mapping'!$AA:$AA,348)</f>
        <v>149160.45</v>
      </c>
      <c r="G34" s="1773">
        <f>$F34*IFERROR(INDEX(Lists!$AD:$AD,MATCH($E34,Lists!$AC:$AC,0)),1)</f>
        <v>149160.45</v>
      </c>
    </row>
    <row r="35">
      <c r="B35" s="1530" t="str">
        <f>INDEX('REVIEW - Complete Role Mapping'!$B:$B,357)</f>
        <v>Debbie Gor</v>
      </c>
      <c r="C35" s="1530" t="str">
        <f>INDEX('REVIEW - Complete Role Mapping'!$C:$C,357)</f>
        <v>Delivery Lead</v>
      </c>
      <c r="D35" s="1530" t="str">
        <f>INDEX('REVIEW - Complete Role Mapping'!$AK:$AK,357)</f>
        <v>Filled</v>
      </c>
      <c r="E35" s="1547" t="inlineStr">
        <is>
          <t>Filled</t>
        </is>
      </c>
      <c r="F35" s="1773">
        <f>INDEX('REVIEW - Complete Role Mapping'!$AA:$AA,357)</f>
        <v>266612.85</v>
      </c>
      <c r="G35" s="1773">
        <f>$F35*IFERROR(INDEX(Lists!$AD:$AD,MATCH($E35,Lists!$AC:$AC,0)),1)</f>
        <v>266612.85</v>
      </c>
    </row>
    <row r="36">
      <c r="B36" s="1530" t="str">
        <f>INDEX('REVIEW - Complete Role Mapping'!$B:$B,362)</f>
        <v>Frank Liang</v>
      </c>
      <c r="C36" s="1530" t="str">
        <f>INDEX('REVIEW - Complete Role Mapping'!$C:$C,362)</f>
        <v>Senior Systems Analyst</v>
      </c>
      <c r="D36" s="1530" t="str">
        <f>INDEX('REVIEW - Complete Role Mapping'!$AK:$AK,362)</f>
        <v>Filled</v>
      </c>
      <c r="E36" s="1547" t="inlineStr">
        <is>
          <t>Filled</t>
        </is>
      </c>
      <c r="F36" s="1773">
        <f>INDEX('REVIEW - Complete Role Mapping'!$AA:$AA,362)</f>
        <v>223625.85</v>
      </c>
      <c r="G36" s="1773">
        <f>$F36*IFERROR(INDEX(Lists!$AD:$AD,MATCH($E36,Lists!$AC:$AC,0)),1)</f>
        <v>223625.85</v>
      </c>
    </row>
    <row r="37">
      <c r="B37" s="1530" t="str">
        <f>INDEX('REVIEW - Complete Role Mapping'!$B:$B,374)</f>
        <v>Jessica Calla</v>
      </c>
      <c r="C37" s="1530" t="str">
        <f>INDEX('REVIEW - Complete Role Mapping'!$C:$C,374)</f>
        <v>System Analyst Card</v>
      </c>
      <c r="D37" s="1530" t="str">
        <f>INDEX('REVIEW - Complete Role Mapping'!$AK:$AK,374)</f>
        <v>Filled</v>
      </c>
      <c r="E37" s="1547" t="inlineStr">
        <is>
          <t>Filled</t>
        </is>
      </c>
      <c r="F37" s="1773">
        <f>INDEX('REVIEW - Complete Role Mapping'!$AA:$AA,374)</f>
        <v>137509.55</v>
      </c>
      <c r="G37" s="1773">
        <f>$F37*IFERROR(INDEX(Lists!$AD:$AD,MATCH($E37,Lists!$AC:$AC,0)),1)</f>
        <v>137509.55</v>
      </c>
    </row>
    <row r="38">
      <c r="B38" s="1530" t="str">
        <f>INDEX('REVIEW - Complete Role Mapping'!$B:$B,386)</f>
        <v>Lindsay Baipas</v>
      </c>
      <c r="C38" s="1530" t="str">
        <f>INDEX('REVIEW - Complete Role Mapping'!$C:$C,386)</f>
        <v>System Analyst Card</v>
      </c>
      <c r="D38" s="1530" t="str">
        <f>INDEX('REVIEW - Complete Role Mapping'!$AK:$AK,386)</f>
        <v>Filled</v>
      </c>
      <c r="E38" s="1547" t="inlineStr">
        <is>
          <t>Filled</t>
        </is>
      </c>
      <c r="F38" s="1773">
        <f>INDEX('REVIEW - Complete Role Mapping'!$AA:$AA,386)</f>
        <v>190306.8</v>
      </c>
      <c r="G38" s="1773">
        <f>$F38*IFERROR(INDEX(Lists!$AD:$AD,MATCH($E38,Lists!$AC:$AC,0)),1)</f>
        <v>190306.8</v>
      </c>
    </row>
    <row r="39">
      <c r="B39" s="1530" t="str">
        <f>INDEX('REVIEW - Complete Role Mapping'!$B:$B,389)</f>
        <v>Mick DaSilva</v>
      </c>
      <c r="C39" s="1530" t="str">
        <f>INDEX('REVIEW - Complete Role Mapping'!$C:$C,389)</f>
        <v>Senior Business Analyst</v>
      </c>
      <c r="D39" s="1530" t="str">
        <f>INDEX('REVIEW - Complete Role Mapping'!$AK:$AK,389)</f>
        <v>Filled</v>
      </c>
      <c r="E39" s="1547" t="inlineStr">
        <is>
          <t>Filled</t>
        </is>
      </c>
      <c r="F39" s="1773">
        <f>INDEX('REVIEW - Complete Role Mapping'!$AA:$AA,389)</f>
        <v>219447.3</v>
      </c>
      <c r="G39" s="1773">
        <f>$F39*IFERROR(INDEX(Lists!$AD:$AD,MATCH($E39,Lists!$AC:$AC,0)),1)</f>
        <v>219447.3</v>
      </c>
    </row>
    <row r="40">
      <c r="B40" s="1530" t="str">
        <f>INDEX('REVIEW - Complete Role Mapping'!$B:$B,390)</f>
        <v>Mikey Tran</v>
      </c>
      <c r="C40" s="1530" t="str">
        <f>INDEX('REVIEW - Complete Role Mapping'!$C:$C,390)</f>
        <v>Senior Systems Analyst - Card</v>
      </c>
      <c r="D40" s="1530" t="str">
        <f>INDEX('REVIEW - Complete Role Mapping'!$AK:$AK,390)</f>
        <v>Filled</v>
      </c>
      <c r="E40" s="1547" t="inlineStr">
        <is>
          <t>Filled</t>
        </is>
      </c>
      <c r="F40" s="1773">
        <f>INDEX('REVIEW - Complete Role Mapping'!$AA:$AA,390)</f>
        <v>186900</v>
      </c>
      <c r="G40" s="1773">
        <f>$F40*IFERROR(INDEX(Lists!$AD:$AD,MATCH($E40,Lists!$AC:$AC,0)),1)</f>
        <v>186900</v>
      </c>
    </row>
    <row r="41">
      <c r="B41" s="1530" t="str">
        <f>INDEX('REVIEW - Complete Role Mapping'!$B:$B,391)</f>
        <v>Ming Shao</v>
      </c>
      <c r="C41" s="1530" t="str">
        <f>INDEX('REVIEW - Complete Role Mapping'!$C:$C,391)</f>
        <v>Senior Systems Analyst Card</v>
      </c>
      <c r="D41" s="1530" t="str">
        <f>INDEX('REVIEW - Complete Role Mapping'!$AK:$AK,391)</f>
        <v>Filled</v>
      </c>
      <c r="E41" s="1547" t="inlineStr">
        <is>
          <t>Filled</t>
        </is>
      </c>
      <c r="F41" s="1773">
        <f>INDEX('REVIEW - Complete Role Mapping'!$AA:$AA,391)</f>
        <v>221610</v>
      </c>
      <c r="G41" s="1773">
        <f>$F41*IFERROR(INDEX(Lists!$AD:$AD,MATCH($E41,Lists!$AC:$AC,0)),1)</f>
        <v>221610</v>
      </c>
    </row>
    <row r="42">
      <c r="B42" s="1530" t="str">
        <f>INDEX('REVIEW - Complete Role Mapping'!$B:$B,399)</f>
        <v>Rod Santillan</v>
      </c>
      <c r="C42" s="1530" t="str">
        <f>INDEX('REVIEW - Complete Role Mapping'!$C:$C,399)</f>
        <v>Snr Engineer Software</v>
      </c>
      <c r="D42" s="1530" t="str">
        <f>INDEX('REVIEW - Complete Role Mapping'!$AK:$AK,399)</f>
        <v>Filled</v>
      </c>
      <c r="E42" s="1547" t="inlineStr">
        <is>
          <t>Filled</t>
        </is>
      </c>
      <c r="F42" s="1773">
        <f>INDEX('REVIEW - Complete Role Mapping'!$AA:$AA,399)</f>
        <v>163823.52</v>
      </c>
      <c r="G42" s="1773">
        <f>$F42*IFERROR(INDEX(Lists!$AD:$AD,MATCH($E42,Lists!$AC:$AC,0)),1)</f>
        <v>163823.52</v>
      </c>
    </row>
    <row r="43">
      <c r="B43" s="1530" t="str">
        <f>INDEX('REVIEW - Complete Role Mapping'!$B:$B,412)</f>
        <v>Vacant</v>
      </c>
      <c r="C43" s="1530" t="str">
        <f>INDEX('REVIEW - Complete Role Mapping'!$C:$C,412)</f>
        <v>Engineer Software</v>
      </c>
      <c r="D43" s="1530" t="str">
        <f>INDEX('REVIEW - Complete Role Mapping'!$AK:$AK,412)</f>
        <v>Vacant</v>
      </c>
      <c r="E43" s="1547" t="inlineStr">
        <is>
          <t>Hire</t>
        </is>
      </c>
      <c r="F43" s="1773">
        <f>INDEX('REVIEW - Complete Role Mapping'!$AA:$AA,412)</f>
        <v>202853.25</v>
      </c>
      <c r="G43" s="1773">
        <f>$F43*IFERROR(INDEX(Lists!$AD:$AD,MATCH($E43,Lists!$AC:$AC,0)),1)</f>
        <v>202853.25</v>
      </c>
    </row>
    <row r="44">
      <c r="B44" s="1530" t="str">
        <f>INDEX('REVIEW - Complete Role Mapping'!$B:$B,413)</f>
        <v>Vacant</v>
      </c>
      <c r="C44" s="1530" t="str">
        <f>INDEX('REVIEW - Complete Role Mapping'!$C:$C,413)</f>
        <v>Solution Architect</v>
      </c>
      <c r="D44" s="1530" t="str">
        <f>INDEX('REVIEW - Complete Role Mapping'!$AK:$AK,413)</f>
        <v>Vacant</v>
      </c>
      <c r="E44" s="1547" t="inlineStr">
        <is>
          <t>Hire</t>
        </is>
      </c>
      <c r="F44" s="1773">
        <f>INDEX('REVIEW - Complete Role Mapping'!$AA:$AA,413)</f>
        <v>231689.25</v>
      </c>
      <c r="G44" s="1773">
        <f>$F44*IFERROR(INDEX(Lists!$AD:$AD,MATCH($E44,Lists!$AC:$AC,0)),1)</f>
        <v>231689.25</v>
      </c>
    </row>
    <row r="45">
      <c r="B45" s="1530" t="str">
        <f>INDEX('REVIEW - Complete Role Mapping'!$B:$B,438)</f>
        <v>Vacant</v>
      </c>
      <c r="C45" s="1530" t="str">
        <f>INDEX('REVIEW - Complete Role Mapping'!$C:$C,438)</f>
        <v>Business Analyst</v>
      </c>
      <c r="D45" s="1530" t="str">
        <f>INDEX('REVIEW - Complete Role Mapping'!$AK:$AK,438)</f>
        <v>Vacant</v>
      </c>
      <c r="E45" s="1547" t="inlineStr">
        <is>
          <t>Hire</t>
        </is>
      </c>
      <c r="F45" s="1773">
        <f>INDEX('REVIEW - Complete Role Mapping'!$AA:$AA,438)</f>
        <v>202853.25</v>
      </c>
      <c r="G45" s="1773">
        <f>$F45*IFERROR(INDEX(Lists!$AD:$AD,MATCH($E45,Lists!$AC:$AC,0)),1)</f>
        <v>202853.25</v>
      </c>
    </row>
    <row r="46">
      <c r="B46" s="1545" t="inlineStr">
        <is>
          <t>EVCI</t>
        </is>
      </c>
      <c r="C46" s="1545" t="str">
        <f>COUNTA($B$47:$B$52)&amp;IF(COUNTA($B$47:$B$52)=1," role"," roles")</f>
        <v>6 roles</v>
      </c>
      <c r="D46" s="1545" t="n"/>
      <c r="E46" s="1545" t="n"/>
      <c r="F46" s="1785">
        <f>SUM(F47:F52)</f>
        <v>930799.292</v>
      </c>
      <c r="G46" s="1785">
        <f>SUM(G47:G52)</f>
        <v>930799.292</v>
      </c>
    </row>
    <row r="47">
      <c r="B47" s="1530" t="str">
        <f>INDEX('REVIEW - Complete Role Mapping'!$B:$B,340)</f>
        <v>Angela Ross</v>
      </c>
      <c r="C47" s="1530" t="str">
        <f>INDEX('REVIEW - Complete Role Mapping'!$C:$C,340)</f>
        <v>Delivery Lead</v>
      </c>
      <c r="D47" s="1530" t="str">
        <f>INDEX('REVIEW - Complete Role Mapping'!$AK:$AK,340)</f>
        <v>Filled</v>
      </c>
      <c r="E47" s="1547" t="inlineStr">
        <is>
          <t>Filled</t>
        </is>
      </c>
      <c r="F47" s="1773">
        <f>INDEX('REVIEW - Complete Role Mapping'!$AA:$AA,340)</f>
        <v>188300.028</v>
      </c>
      <c r="G47" s="1773">
        <f>$F47*IFERROR(INDEX(Lists!$AD:$AD,MATCH($E47,Lists!$AC:$AC,0)),1)</f>
        <v>188300.028</v>
      </c>
    </row>
    <row r="48">
      <c r="B48" s="1530" t="str">
        <f>INDEX('REVIEW - Complete Role Mapping'!$B:$B,342)</f>
        <v>Anie Camerino</v>
      </c>
      <c r="C48" s="1530" t="str">
        <f>INDEX('REVIEW - Complete Role Mapping'!$C:$C,342)</f>
        <v>Snr Quality Assurance</v>
      </c>
      <c r="D48" s="1530" t="str">
        <f>INDEX('REVIEW - Complete Role Mapping'!$AK:$AK,342)</f>
        <v>Filled</v>
      </c>
      <c r="E48" s="1547" t="inlineStr">
        <is>
          <t>Filled</t>
        </is>
      </c>
      <c r="F48" s="1773">
        <f>INDEX('REVIEW - Complete Role Mapping'!$AA:$AA,342)</f>
        <v>153503.328</v>
      </c>
      <c r="G48" s="1773">
        <f>$F48*IFERROR(INDEX(Lists!$AD:$AD,MATCH($E48,Lists!$AC:$AC,0)),1)</f>
        <v>153503.328</v>
      </c>
    </row>
    <row r="49">
      <c r="B49" s="1530" t="str">
        <f>INDEX('REVIEW - Complete Role Mapping'!$B:$B,351)</f>
        <v>Caitlin Dyas</v>
      </c>
      <c r="C49" s="1530" t="str">
        <f>INDEX('REVIEW - Complete Role Mapping'!$C:$C,351)</f>
        <v>Snr Engineer Software</v>
      </c>
      <c r="D49" s="1530" t="str">
        <f>INDEX('REVIEW - Complete Role Mapping'!$AK:$AK,351)</f>
        <v>Filled</v>
      </c>
      <c r="E49" s="1547" t="inlineStr">
        <is>
          <t>Filled</t>
        </is>
      </c>
      <c r="F49" s="1773">
        <f>INDEX('REVIEW - Complete Role Mapping'!$AA:$AA,351)</f>
        <v>144360</v>
      </c>
      <c r="G49" s="1773">
        <f>$F49*IFERROR(INDEX(Lists!$AD:$AD,MATCH($E49,Lists!$AC:$AC,0)),1)</f>
        <v>144360</v>
      </c>
    </row>
    <row r="50">
      <c r="B50" s="1530" t="str">
        <f>INDEX('REVIEW - Complete Role Mapping'!$B:$B,366)</f>
        <v>Gokila Mylsamy</v>
      </c>
      <c r="C50" s="1530" t="str">
        <f>INDEX('REVIEW - Complete Role Mapping'!$C:$C,366)</f>
        <v>Lead Engineer Software</v>
      </c>
      <c r="D50" s="1530" t="str">
        <f>INDEX('REVIEW - Complete Role Mapping'!$AK:$AK,366)</f>
        <v>Filled</v>
      </c>
      <c r="E50" s="1547" t="inlineStr">
        <is>
          <t>Filled</t>
        </is>
      </c>
      <c r="F50" s="1773">
        <f>INDEX('REVIEW - Complete Role Mapping'!$AA:$AA,366)</f>
        <v>184214.952</v>
      </c>
      <c r="G50" s="1773">
        <f>$F50*IFERROR(INDEX(Lists!$AD:$AD,MATCH($E50,Lists!$AC:$AC,0)),1)</f>
        <v>184214.952</v>
      </c>
    </row>
    <row r="51">
      <c r="B51" s="1530" t="str">
        <f>INDEX('REVIEW - Complete Role Mapping'!$B:$B,377)</f>
        <v>Josh Campbell</v>
      </c>
      <c r="C51" s="1530" t="str">
        <f>INDEX('REVIEW - Complete Role Mapping'!$C:$C,377)</f>
        <v>Engineer Software</v>
      </c>
      <c r="D51" s="1530" t="str">
        <f>INDEX('REVIEW - Complete Role Mapping'!$AK:$AK,377)</f>
        <v>Filled</v>
      </c>
      <c r="E51" s="1547" t="inlineStr">
        <is>
          <t>Filled</t>
        </is>
      </c>
      <c r="F51" s="1773">
        <f>INDEX('REVIEW - Complete Role Mapping'!$AA:$AA,377)</f>
        <v>101667.032</v>
      </c>
      <c r="G51" s="1773">
        <f>$F51*IFERROR(INDEX(Lists!$AD:$AD,MATCH($E51,Lists!$AC:$AC,0)),1)</f>
        <v>101667.032</v>
      </c>
    </row>
    <row r="52">
      <c r="B52" s="1530" t="str">
        <f>INDEX('REVIEW - Complete Role Mapping'!$B:$B,382)</f>
        <v>Lana Wagner</v>
      </c>
      <c r="C52" s="1530" t="str">
        <f>INDEX('REVIEW - Complete Role Mapping'!$C:$C,382)</f>
        <v>Senior Business Analyst</v>
      </c>
      <c r="D52" s="1530" t="str">
        <f>INDEX('REVIEW - Complete Role Mapping'!$AK:$AK,382)</f>
        <v>Filled</v>
      </c>
      <c r="E52" s="1547" t="inlineStr">
        <is>
          <t>Filled</t>
        </is>
      </c>
      <c r="F52" s="1773">
        <f>INDEX('REVIEW - Complete Role Mapping'!$AA:$AA,382)</f>
        <v>158753.952</v>
      </c>
      <c r="G52" s="1773">
        <f>$F52*IFERROR(INDEX(Lists!$AD:$AD,MATCH($E52,Lists!$AC:$AC,0)),1)</f>
        <v>158753.952</v>
      </c>
    </row>
    <row r="53">
      <c r="B53" s="1545" t="inlineStr">
        <is>
          <t>Energy</t>
        </is>
      </c>
      <c r="C53" s="1545" t="str">
        <f>COUNTA($B$54:$B$62)&amp;IF(COUNTA($B$54:$B$62)=1," role"," roles")</f>
        <v>9 roles</v>
      </c>
      <c r="D53" s="1545" t="n"/>
      <c r="E53" s="1545" t="n"/>
      <c r="F53" s="1785">
        <f>SUM(F54:F62)</f>
        <v>1803563.966</v>
      </c>
      <c r="G53" s="1785">
        <f>SUM(G54:G62)</f>
        <v>1803563.966</v>
      </c>
    </row>
    <row r="54">
      <c r="B54" s="1530" t="str">
        <f>INDEX('REVIEW - Complete Role Mapping'!$B:$B,352)</f>
        <v>Caitlin Naylor</v>
      </c>
      <c r="C54" s="1530" t="str">
        <f>INDEX('REVIEW - Complete Role Mapping'!$C:$C,352)</f>
        <v>Associate Engineer- Software</v>
      </c>
      <c r="D54" s="1530" t="str">
        <f>INDEX('REVIEW - Complete Role Mapping'!$AK:$AK,352)</f>
        <v>Filled</v>
      </c>
      <c r="E54" s="1547" t="inlineStr">
        <is>
          <t>Filled</t>
        </is>
      </c>
      <c r="F54" s="1773">
        <f>INDEX('REVIEW - Complete Role Mapping'!$AA:$AA,352)</f>
        <v>87434.816</v>
      </c>
      <c r="G54" s="1773">
        <f>$F54*IFERROR(INDEX(Lists!$AD:$AD,MATCH($E54,Lists!$AC:$AC,0)),1)</f>
        <v>87434.816</v>
      </c>
    </row>
    <row r="55">
      <c r="B55" s="1530" t="str">
        <f>INDEX('REVIEW - Complete Role Mapping'!$B:$B,360)</f>
        <v>Elma Kurian</v>
      </c>
      <c r="C55" s="1530" t="str">
        <f>INDEX('REVIEW - Complete Role Mapping'!$C:$C,360)</f>
        <v>System Specialist</v>
      </c>
      <c r="D55" s="1530" t="str">
        <f>INDEX('REVIEW - Complete Role Mapping'!$AK:$AK,360)</f>
        <v>Filled</v>
      </c>
      <c r="E55" s="1547" t="inlineStr">
        <is>
          <t>Filled</t>
        </is>
      </c>
      <c r="F55" s="1773">
        <f>INDEX('REVIEW - Complete Role Mapping'!$AA:$AA,360)</f>
        <v>203253.75</v>
      </c>
      <c r="G55" s="1773">
        <f>$F55*IFERROR(INDEX(Lists!$AD:$AD,MATCH($E55,Lists!$AC:$AC,0)),1)</f>
        <v>203253.75</v>
      </c>
    </row>
    <row r="56">
      <c r="B56" s="1530" t="str">
        <f>INDEX('REVIEW - Complete Role Mapping'!$B:$B,367)</f>
        <v>Gunjan Vasudeva</v>
      </c>
      <c r="C56" s="1530" t="str">
        <f>INDEX('REVIEW - Complete Role Mapping'!$C:$C,367)</f>
        <v>Lead Quality Assurance</v>
      </c>
      <c r="D56" s="1530" t="str">
        <f>INDEX('REVIEW - Complete Role Mapping'!$AK:$AK,367)</f>
        <v>Filled</v>
      </c>
      <c r="E56" s="1547" t="inlineStr">
        <is>
          <t>Filled</t>
        </is>
      </c>
      <c r="F56" s="1773">
        <f>INDEX('REVIEW - Complete Role Mapping'!$AA:$AA,367)</f>
        <v>208473.6</v>
      </c>
      <c r="G56" s="1773">
        <f>$F56*IFERROR(INDEX(Lists!$AD:$AD,MATCH($E56,Lists!$AC:$AC,0)),1)</f>
        <v>208473.6</v>
      </c>
    </row>
    <row r="57">
      <c r="B57" s="1530" t="str">
        <f>INDEX('REVIEW - Complete Role Mapping'!$B:$B,371)</f>
        <v>James Hung</v>
      </c>
      <c r="C57" s="1530" t="str">
        <f>INDEX('REVIEW - Complete Role Mapping'!$C:$C,371)</f>
        <v>System Specialist</v>
      </c>
      <c r="D57" s="1530" t="str">
        <f>INDEX('REVIEW - Complete Role Mapping'!$AK:$AK,371)</f>
        <v>Filled</v>
      </c>
      <c r="E57" s="1547" t="inlineStr">
        <is>
          <t>Filled</t>
        </is>
      </c>
      <c r="F57" s="1773">
        <f>INDEX('REVIEW - Complete Role Mapping'!$AA:$AA,371)</f>
        <v>213533.25</v>
      </c>
      <c r="G57" s="1773">
        <f>$F57*IFERROR(INDEX(Lists!$AD:$AD,MATCH($E57,Lists!$AC:$AC,0)),1)</f>
        <v>213533.25</v>
      </c>
    </row>
    <row r="58">
      <c r="B58" s="1530" t="str">
        <f>INDEX('REVIEW - Complete Role Mapping'!$B:$B,388)</f>
        <v>Marcela Gonzalez</v>
      </c>
      <c r="C58" s="1530" t="str">
        <f>INDEX('REVIEW - Complete Role Mapping'!$C:$C,388)</f>
        <v>Energy Platforms Lead</v>
      </c>
      <c r="D58" s="1530" t="str">
        <f>INDEX('REVIEW - Complete Role Mapping'!$AK:$AK,388)</f>
        <v>Filled</v>
      </c>
      <c r="E58" s="1547" t="inlineStr">
        <is>
          <t>Filled</t>
        </is>
      </c>
      <c r="F58" s="1773">
        <f>INDEX('REVIEW - Complete Role Mapping'!$AA:$AA,388)</f>
        <v>250619.55</v>
      </c>
      <c r="G58" s="1773">
        <f>$F58*IFERROR(INDEX(Lists!$AD:$AD,MATCH($E58,Lists!$AC:$AC,0)),1)</f>
        <v>250619.55</v>
      </c>
    </row>
    <row r="59">
      <c r="B59" s="1530" t="str">
        <f>INDEX('REVIEW - Complete Role Mapping'!$B:$B,416)</f>
        <v>Vacant</v>
      </c>
      <c r="C59" s="1530" t="str">
        <f>INDEX('REVIEW - Complete Role Mapping'!$C:$C,416)</f>
        <v>Engineer Automation - Testing</v>
      </c>
      <c r="D59" s="1530" t="str">
        <f>INDEX('REVIEW - Complete Role Mapping'!$AK:$AK,416)</f>
        <v>Vacant</v>
      </c>
      <c r="E59" s="1547" t="inlineStr">
        <is>
          <t>Hire</t>
        </is>
      </c>
      <c r="F59" s="1773">
        <f>INDEX('REVIEW - Complete Role Mapping'!$AA:$AA,416)</f>
        <v>202853.25</v>
      </c>
      <c r="G59" s="1773">
        <f>$F59*IFERROR(INDEX(Lists!$AD:$AD,MATCH($E59,Lists!$AC:$AC,0)),1)</f>
        <v>202853.25</v>
      </c>
    </row>
    <row r="60">
      <c r="B60" s="1530" t="str">
        <f>INDEX('REVIEW - Complete Role Mapping'!$B:$B,417)</f>
        <v>Vacant</v>
      </c>
      <c r="C60" s="1530" t="str">
        <f>INDEX('REVIEW - Complete Role Mapping'!$C:$C,417)</f>
        <v>Snr Engineer Software</v>
      </c>
      <c r="D60" s="1530" t="str">
        <f>INDEX('REVIEW - Complete Role Mapping'!$AK:$AK,417)</f>
        <v>Vacant</v>
      </c>
      <c r="E60" s="1547" t="inlineStr">
        <is>
          <t>Hire</t>
        </is>
      </c>
      <c r="F60" s="1773">
        <f>INDEX('REVIEW - Complete Role Mapping'!$AA:$AA,417)</f>
        <v>202853.25</v>
      </c>
      <c r="G60" s="1773">
        <f>$F60*IFERROR(INDEX(Lists!$AD:$AD,MATCH($E60,Lists!$AC:$AC,0)),1)</f>
        <v>202853.25</v>
      </c>
    </row>
    <row r="61">
      <c r="B61" s="1530" t="str">
        <f>INDEX('REVIEW - Complete Role Mapping'!$B:$B,418)</f>
        <v>Vacant</v>
      </c>
      <c r="C61" s="1530" t="str">
        <f>INDEX('REVIEW - Complete Role Mapping'!$C:$C,418)</f>
        <v>Solution Architect</v>
      </c>
      <c r="D61" s="1530" t="str">
        <f>INDEX('REVIEW - Complete Role Mapping'!$AK:$AK,418)</f>
        <v>Vacant</v>
      </c>
      <c r="E61" s="1547" t="inlineStr">
        <is>
          <t>Hire</t>
        </is>
      </c>
      <c r="F61" s="1773">
        <f>INDEX('REVIEW - Complete Role Mapping'!$AA:$AA,418)</f>
        <v>231689.25</v>
      </c>
      <c r="G61" s="1773">
        <f>$F61*IFERROR(INDEX(Lists!$AD:$AD,MATCH($E61,Lists!$AC:$AC,0)),1)</f>
        <v>231689.25</v>
      </c>
    </row>
    <row r="62">
      <c r="B62" s="1530" t="str">
        <f>INDEX('REVIEW - Complete Role Mapping'!$B:$B,439)</f>
        <v>Vacant</v>
      </c>
      <c r="C62" s="1530" t="str">
        <f>INDEX('REVIEW - Complete Role Mapping'!$C:$C,439)</f>
        <v>Business Analyst</v>
      </c>
      <c r="D62" s="1530" t="str">
        <f>INDEX('REVIEW - Complete Role Mapping'!$AK:$AK,439)</f>
        <v>Vacant</v>
      </c>
      <c r="E62" s="1547" t="inlineStr">
        <is>
          <t>Hire</t>
        </is>
      </c>
      <c r="F62" s="1773">
        <f>INDEX('REVIEW - Complete Role Mapping'!$AA:$AA,439)</f>
        <v>202853.25</v>
      </c>
      <c r="G62" s="1773">
        <f>$F62*IFERROR(INDEX(Lists!$AD:$AD,MATCH($E62,Lists!$AC:$AC,0)),1)</f>
        <v>202853.25</v>
      </c>
    </row>
    <row r="63">
      <c r="B63" s="1545" t="inlineStr">
        <is>
          <t>Head of Technology</t>
        </is>
      </c>
      <c r="C63" s="1545" t="str">
        <f>COUNTA($B$64:$B$64)&amp;IF(COUNTA($B$64:$B$64)=1," role"," roles")</f>
        <v>1 role</v>
      </c>
      <c r="D63" s="1545" t="n"/>
      <c r="E63" s="1545" t="n"/>
      <c r="F63" s="1785">
        <f>SUM(F64:F64)</f>
        <v>273758</v>
      </c>
      <c r="G63" s="1785">
        <f>SUM(G64:G64)</f>
        <v>273758</v>
      </c>
    </row>
    <row r="64">
      <c r="B64" s="1530" t="str">
        <f>INDEX('REVIEW - Complete Role Mapping'!$B:$B,385)</f>
        <v>Liesl Tye</v>
      </c>
      <c r="C64" s="1530" t="str">
        <f>INDEX('REVIEW - Complete Role Mapping'!$C:$C,385)</f>
        <v>Head of Technology, B2B &amp; Energy Solutions</v>
      </c>
      <c r="D64" s="1530" t="str">
        <f>INDEX('REVIEW - Complete Role Mapping'!$AK:$AK,385)</f>
        <v>Filled</v>
      </c>
      <c r="E64" s="1547" t="inlineStr">
        <is>
          <t>Filled</t>
        </is>
      </c>
      <c r="F64" s="1773">
        <f>INDEX('REVIEW - Complete Role Mapping'!$AA:$AA,385)</f>
        <v>273758</v>
      </c>
      <c r="G64" s="1773">
        <f>$F64*IFERROR(INDEX(Lists!$AD:$AD,MATCH($E64,Lists!$AC:$AC,0)),1)</f>
        <v>273758</v>
      </c>
    </row>
    <row r="65">
      <c r="B65" s="1545" t="inlineStr">
        <is>
          <t>Delivery Manager</t>
        </is>
      </c>
      <c r="C65" s="1545" t="str">
        <f>COUNTA($B$66:$B$66)&amp;IF(COUNTA($B$66:$B$66)=1," role"," roles")</f>
        <v>1 role</v>
      </c>
      <c r="D65" s="1545" t="n"/>
      <c r="E65" s="1545" t="n"/>
      <c r="F65" s="1785">
        <f>SUM(F66:F66)</f>
        <v>275810.25</v>
      </c>
      <c r="G65" s="1785">
        <f>SUM(G66:G66)</f>
        <v>275810.25</v>
      </c>
    </row>
    <row r="66">
      <c r="B66" s="1530" t="str">
        <f>INDEX('REVIEW - Complete Role Mapping'!$B:$B,414)</f>
        <v>Vacant</v>
      </c>
      <c r="C66" s="1530" t="str">
        <f>INDEX('REVIEW - Complete Role Mapping'!$C:$C,414)</f>
        <v>Delivery manager</v>
      </c>
      <c r="D66" s="1530" t="str">
        <f>INDEX('REVIEW - Complete Role Mapping'!$AK:$AK,414)</f>
        <v>Vacant</v>
      </c>
      <c r="E66" s="1547" t="inlineStr">
        <is>
          <t>Hire</t>
        </is>
      </c>
      <c r="F66" s="1773">
        <f>INDEX('REVIEW - Complete Role Mapping'!$AA:$AA,414)</f>
        <v>275810.25</v>
      </c>
      <c r="G66" s="1773">
        <f>$F66*IFERROR(INDEX(Lists!$AD:$AD,MATCH($E66,Lists!$AC:$AC,0)),1)</f>
        <v>275810.25</v>
      </c>
    </row>
    <row r="67">
      <c r="B67" s="1545" t="inlineStr">
        <is>
          <t>Technology Manager</t>
        </is>
      </c>
      <c r="C67" s="1545" t="str">
        <f>COUNTA($B$68:$B$69)&amp;IF(COUNTA($B$68:$B$69)=1," role"," roles")</f>
        <v>2 roles</v>
      </c>
      <c r="D67" s="1545" t="n"/>
      <c r="E67" s="1545" t="n"/>
      <c r="F67" s="1785">
        <f>SUM(F68:F69)</f>
        <v>570373.7</v>
      </c>
      <c r="G67" s="1785">
        <f>SUM(G68:G69)</f>
        <v>570373.7</v>
      </c>
    </row>
    <row r="68">
      <c r="B68" s="1530" t="str">
        <f>INDEX('REVIEW - Complete Role Mapping'!$B:$B,359)</f>
        <v>Elle Spencer</v>
      </c>
      <c r="C68" s="1530" t="str">
        <f>INDEX('REVIEW - Complete Role Mapping'!$C:$C,359)</f>
        <v>Technology Manager - B2B</v>
      </c>
      <c r="D68" s="1530" t="str">
        <f>INDEX('REVIEW - Complete Role Mapping'!$AK:$AK,359)</f>
        <v>Filled</v>
      </c>
      <c r="E68" s="1547" t="inlineStr">
        <is>
          <t>Filled</t>
        </is>
      </c>
      <c r="F68" s="1773">
        <f>INDEX('REVIEW - Complete Role Mapping'!$AA:$AA,359)</f>
        <v>294563.45</v>
      </c>
      <c r="G68" s="1773">
        <f>$F68*IFERROR(INDEX(Lists!$AD:$AD,MATCH($E68,Lists!$AC:$AC,0)),1)</f>
        <v>294563.45</v>
      </c>
    </row>
    <row r="69">
      <c r="B69" s="1530" t="str">
        <f>INDEX('REVIEW - Complete Role Mapping'!$B:$B,415)</f>
        <v>Vacant</v>
      </c>
      <c r="C69" s="1530" t="str">
        <f>INDEX('REVIEW - Complete Role Mapping'!$C:$C,415)</f>
        <v>Technology Manager, Energy Solutions</v>
      </c>
      <c r="D69" s="1530" t="str">
        <f>INDEX('REVIEW - Complete Role Mapping'!$AK:$AK,415)</f>
        <v>Vacant</v>
      </c>
      <c r="E69" s="1547" t="inlineStr">
        <is>
          <t>Hire</t>
        </is>
      </c>
      <c r="F69" s="1773">
        <f>INDEX('REVIEW - Complete Role Mapping'!$AA:$AA,415)</f>
        <v>275810.25</v>
      </c>
      <c r="G69" s="1773">
        <f>$F69*IFERROR(INDEX(Lists!$AD:$AD,MATCH($E69,Lists!$AC:$AC,0)),1)</f>
        <v>275810.25</v>
      </c>
    </row>
  </sheetData>
  <dataValidations count="1">
    <dataValidation sqref="E32 E33 E34 E35 E36 E37 E38 E39 E40 E41 E42 E43 E44 E45 E47 E48 E49 E50 E51 E52 E54 E55 E56 E57 E58 E59 E60 E61 E62 E64 E66 E68 E6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Supply</t>
        </is>
      </c>
      <c r="C7" s="1530" t="str">
        <f>IFERROR(INDEX('1.9 Commercial Fuels'!$C$24:$C$41,MATCH($B7,'1.9 Commercial Fuels'!$B$24:$B$41,0)),"Not on the 1.x tab")</f>
        <v>Configuration / Integration</v>
      </c>
      <c r="D7" s="1530" t="str">
        <f>IFERROR(IF(INDEX('1.9 Commercial Fuels'!$D$24:$D$41,MATCH($B7,'1.9 Commercial Fuels'!$B$24:$B$41,0))="","-",INDEX('1.9 Commercial Fuels'!$D$24:$D$41,MATCH($B7,'1.9 Commercial Fuels'!$B$24:$B$41,0))),"-")</f>
        <v>M</v>
      </c>
      <c r="E7" s="1782">
        <f>IFERROR(INDEX('0.3 Squad Archetypes'!$F$5:$F$23,MATCH($C7&amp;"|"&amp;$D7,'0.3 Squad Archetypes'!$A$5:$A$23,0)),"-")</f>
        <v>9</v>
      </c>
      <c r="F7" s="1773">
        <f>COUNTA($B$47:$B$51)</f>
        <v>5</v>
      </c>
      <c r="G7" s="1773">
        <f>COUNTIFS($D$47:$D$51,"Filled")</f>
        <v>1</v>
      </c>
      <c r="H7" s="1773">
        <f>COUNTIFS($D$47:$D$51,"Vacant")</f>
        <v>4</v>
      </c>
      <c r="I7" s="1773">
        <f>COUNTIFS($D$47:$D$51,"Vacant",$E$47:$E$51,"Hire")</f>
        <v>4</v>
      </c>
      <c r="J7" s="1773">
        <f>COUNTIFS($E$47:$E$51,"Offshore")</f>
        <v>0</v>
      </c>
      <c r="K7" s="1773">
        <f>COUNTIFS($E$47:$E$51,"Hold")</f>
        <v>0</v>
      </c>
      <c r="L7" s="1773">
        <f>$F7-$K7</f>
        <v>5</v>
      </c>
      <c r="M7" s="1772">
        <f>IFERROR(IF(INDEX('1.9 Commercial Fuels'!$E$24:$E$41,MATCH($B7,'1.9 Commercial Fuels'!$B$24:$B$41,0))="Offshore",INDEX('0.3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1.05925575</v>
      </c>
      <c r="O7" s="1772">
        <f>IFERROR(ROUND($N7-$M7,6),"-")</f>
        <v>-1.040744</v>
      </c>
      <c r="P7" s="1772">
        <f>SUM($G$47:$G$51)/1000000</f>
        <v>1.05925575</v>
      </c>
      <c r="Q7" s="1772">
        <f>IFERROR(ROUND($P7-$M7,6),"-")</f>
        <v>-1.040744</v>
      </c>
    </row>
    <row r="8">
      <c r="B8" s="1530" t="inlineStr">
        <is>
          <t>Trading &amp; Shipping</t>
        </is>
      </c>
      <c r="C8" s="1530" t="str">
        <f>IFERROR(INDEX('1.9 Commercial Fuels'!$C$24:$C$41,MATCH($B8,'1.9 Commercial Fuels'!$B$24:$B$41,0)),"Not on the 1.x tab")</f>
        <v>Configuration / Integration</v>
      </c>
      <c r="D8" s="1530" t="str">
        <f>IFERROR(IF(INDEX('1.9 Commercial Fuels'!$D$24:$D$41,MATCH($B8,'1.9 Commercial Fuels'!$B$24:$B$41,0))="","-",INDEX('1.9 Commercial Fuels'!$D$24:$D$41,MATCH($B8,'1.9 Commercial Fuels'!$B$24:$B$41,0))),"-")</f>
        <v>M</v>
      </c>
      <c r="E8" s="1782">
        <f>IFERROR(INDEX('0.3 Squad Archetypes'!$F$5:$F$23,MATCH($C8&amp;"|"&amp;$D8,'0.3 Squad Archetypes'!$A$5:$A$23,0)),"-")</f>
        <v>9</v>
      </c>
      <c r="F8" s="1773">
        <f>COUNTA($B$53:$B$64)</f>
        <v>12</v>
      </c>
      <c r="G8" s="1773">
        <f>COUNTIFS($D$53:$D$64,"Filled")</f>
        <v>9</v>
      </c>
      <c r="H8" s="1773">
        <f>COUNTIFS($D$53:$D$64,"Vacant")</f>
        <v>3</v>
      </c>
      <c r="I8" s="1773">
        <f>COUNTIFS($D$53:$D$64,"Vacant",$E$53:$E$64,"Hire")</f>
        <v>3</v>
      </c>
      <c r="J8" s="1773">
        <f>COUNTIFS($E$53:$E$64,"Offshore")</f>
        <v>0</v>
      </c>
      <c r="K8" s="1773">
        <f>COUNTIFS($E$53:$E$64,"Hold")</f>
        <v>0</v>
      </c>
      <c r="L8" s="1773">
        <f>$F8-$K8</f>
        <v>12</v>
      </c>
      <c r="M8" s="1772">
        <f>IFERROR(IF(INDEX('1.9 Commercial Fuels'!$E$24:$E$41,MATCH($B8,'1.9 Commercial Fuels'!$B$24:$B$41,0))="Offshore",INDEX('0.3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2.6791435617</v>
      </c>
      <c r="O8" s="1772">
        <f>IFERROR(ROUND($N8-$M8,6),"-")</f>
        <v>0.579144</v>
      </c>
      <c r="P8" s="1772">
        <f>SUM($G$53:$G$64)/1000000</f>
        <v>2.6791435617</v>
      </c>
      <c r="Q8" s="1772">
        <f>IFERROR(ROUND($P8-$M8,6),"-")</f>
        <v>0.579144</v>
      </c>
    </row>
    <row r="9">
      <c r="B9" s="1530" t="inlineStr">
        <is>
          <t>Trading &amp; Shipping Data</t>
        </is>
      </c>
      <c r="C9" s="1530" t="str">
        <f>IFERROR(INDEX('1.9 Commercial Fuels'!$C$24:$C$41,MATCH($B9,'1.9 Commercial Fuels'!$B$24:$B$41,0)),"Not on the 1.x tab")</f>
        <v>Enterprise Data and Insights</v>
      </c>
      <c r="D9" s="1530" t="str">
        <f>IFERROR(IF(INDEX('1.9 Commercial Fuels'!$D$24:$D$41,MATCH($B9,'1.9 Commercial Fuels'!$B$24:$B$41,0))="","-",INDEX('1.9 Commercial Fuels'!$D$24:$D$41,MATCH($B9,'1.9 Commercial Fuels'!$B$24:$B$41,0))),"-")</f>
        <v>M</v>
      </c>
      <c r="E9" s="1782">
        <f>IFERROR(INDEX('0.3 Squad Archetypes'!$F$5:$F$23,MATCH($C9&amp;"|"&amp;$D9,'0.3 Squad Archetypes'!$A$5:$A$23,0)),"-")</f>
        <v>7.5</v>
      </c>
      <c r="F9" s="1773">
        <f>COUNTA($B$66:$B$72)</f>
        <v>7</v>
      </c>
      <c r="G9" s="1773">
        <f>COUNTIFS($D$66:$D$72,"Filled")</f>
        <v>7</v>
      </c>
      <c r="H9" s="1773">
        <f>COUNTIFS($D$66:$D$72,"Vacant")</f>
        <v>0</v>
      </c>
      <c r="I9" s="1773">
        <f>COUNTIFS($D$66:$D$72,"Vacant",$E$66:$E$72,"Hire")</f>
        <v>0</v>
      </c>
      <c r="J9" s="1773">
        <f>COUNTIFS($E$66:$E$72,"Offshore")</f>
        <v>0</v>
      </c>
      <c r="K9" s="1773">
        <f>COUNTIFS($E$66:$E$72,"Hold")</f>
        <v>0</v>
      </c>
      <c r="L9" s="1773">
        <f>$F9-$K9</f>
        <v>7</v>
      </c>
      <c r="M9" s="1772">
        <f>IFERROR(IF(INDEX('1.9 Commercial Fuels'!$E$24:$E$41,MATCH($B9,'1.9 Commercial Fuels'!$B$24:$B$41,0))="Offshore",INDEX('0.3 Squad Archetypes'!$H$5:$H$23,MATCH($C9&amp;"|"&amp;$D9,'0.3 Squad Archetypes'!$A$5:$A$23,0)),INDEX('0.3 Squad Archetypes'!$G$5:$G$23,MATCH($C9&amp;"|"&amp;$D9,'0.3 Squad Archetypes'!$A$5:$A$23,0))),"-")</f>
        <v>0.68</v>
      </c>
      <c r="N9" s="1772">
        <f>SUMIFS('REVIEW - Complete Role Mapping'!$AA$2:$AA$528,'REVIEW - Complete Role Mapping'!$AJ$2:$AJ$528,$C$3,'REVIEW - Complete Role Mapping'!$AT$2:$AT$528,$B9)/1000000</f>
        <v>2.106168849</v>
      </c>
      <c r="O9" s="1772">
        <f>IFERROR(ROUND($N9-$M9,6),"-")</f>
        <v>1.426169</v>
      </c>
      <c r="P9" s="1772">
        <f>SUM($G$66:$G$72)/1000000</f>
        <v>2.106168849</v>
      </c>
      <c r="Q9" s="1772">
        <f>IFERROR(ROUND($P9-$M9,6),"-")</f>
        <v>1.426169</v>
      </c>
    </row>
    <row r="10">
      <c r="B10" s="1534" t="inlineStr">
        <is>
          <t>Squads priced by an archetype</t>
        </is>
      </c>
      <c r="C10" s="1534" t="n"/>
      <c r="D10" s="1534" t="n"/>
      <c r="E10" s="1783">
        <f>SUM(E7:E9)</f>
        <v>25.5</v>
      </c>
      <c r="F10" s="1775">
        <f>SUM(F7:F9)</f>
        <v>24</v>
      </c>
      <c r="G10" s="1775">
        <f>SUM(G7:G9)</f>
        <v>17</v>
      </c>
      <c r="H10" s="1775">
        <f>SUM(H7:H9)</f>
        <v>7</v>
      </c>
      <c r="I10" s="1775">
        <f>SUM(I7:I9)</f>
        <v>7</v>
      </c>
      <c r="J10" s="1775">
        <f>SUM(J7:J9)</f>
        <v>0</v>
      </c>
      <c r="K10" s="1775">
        <f>SUM(K7:K9)</f>
        <v>0</v>
      </c>
      <c r="L10" s="1775">
        <f>SUM(L7:L9)</f>
        <v>24</v>
      </c>
      <c r="M10" s="1774">
        <f>SUM(M7:M9)</f>
        <v>4.88</v>
      </c>
      <c r="N10" s="1774">
        <f>SUM(N7:N9)</f>
        <v>5.8445681607</v>
      </c>
      <c r="O10" s="1774">
        <f>SUM(O7:O9)</f>
        <v>0.964569</v>
      </c>
      <c r="P10" s="1774">
        <f>SUM(P7:P9)</f>
        <v>5.8445681607</v>
      </c>
      <c r="Q10" s="1774">
        <f>SUM(Q7:Q9)</f>
        <v>0.964569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CTRM</t>
        </is>
      </c>
      <c r="C14" s="1530" t="str">
        <f>IFERROR(INDEX('1.9 Commercial Fuels'!$C$24:$C$41,MATCH($B14,'1.9 Commercial Fuels'!$B$24:$B$41,0)),"Not on the 1.x tab")</f>
        <v>Strategic Programs</v>
      </c>
      <c r="D14" s="1530" t="str">
        <f>IFERROR(IF(INDEX('1.9 Commercial Fuels'!$D$24:$D$41,MATCH($B14,'1.9 Commercial Fuels'!$B$24:$B$41,0))="","-",INDEX('1.9 Commercial Fuels'!$D$24:$D$41,MATCH($B14,'1.9 Commercial Fuels'!$B$24:$B$41,0))),"-")</f>
        <v>-</v>
      </c>
      <c r="E14" s="1782" t="str">
        <f>"-"</f>
        <v>-</v>
      </c>
      <c r="F14" s="1773">
        <f>COUNTA($B$32:$B$45)</f>
        <v>14</v>
      </c>
      <c r="G14" s="1773">
        <f>COUNTIFS($D$32:$D$45,"Filled")</f>
        <v>14</v>
      </c>
      <c r="H14" s="1773">
        <f>COUNTIFS($D$32:$D$45,"Vacant")</f>
        <v>0</v>
      </c>
      <c r="I14" s="1773">
        <f>COUNTIFS($D$32:$D$45,"Vacant",$E$32:$E$45,"Hire")</f>
        <v>0</v>
      </c>
      <c r="J14" s="1773">
        <f>COUNTIFS($E$32:$E$45,"Offshore")</f>
        <v>0</v>
      </c>
      <c r="K14" s="1773">
        <f>COUNTIFS($E$32:$E$45,"Hold")</f>
        <v>0</v>
      </c>
      <c r="L14" s="1773">
        <f>$F14-$K14</f>
        <v>14</v>
      </c>
      <c r="M14" s="1772">
        <f>IFERROR(INDEX('1.9 Commercial Fuels'!$H$24:$H$41,MATCH($B14,'1.9 Commercial Fuels'!$B$24:$B$41,0)),"-")</f>
        <v>3.8</v>
      </c>
      <c r="N14" s="1772">
        <f>SUMIFS('REVIEW - Complete Role Mapping'!$AA$2:$AA$528,'REVIEW - Complete Role Mapping'!$AJ$2:$AJ$528,$C$3,'REVIEW - Complete Role Mapping'!$AT$2:$AT$528,$B14)/1000000</f>
        <v>3.221759232</v>
      </c>
      <c r="O14" s="1772">
        <f>IFERROR(ROUND($N14-$M14,6),"-")</f>
        <v>-0.578241</v>
      </c>
      <c r="P14" s="1772">
        <f>SUM($G$32:$G$45)/1000000</f>
        <v>3.221759232</v>
      </c>
      <c r="Q14" s="1772">
        <f>IFERROR(ROUND($P14-$M14,6),"-")</f>
        <v>-0.578241</v>
      </c>
    </row>
    <row r="15">
      <c r="B15" s="1534" t="inlineStr">
        <is>
          <t>Directly funded total</t>
        </is>
      </c>
      <c r="C15" s="1534" t="n"/>
      <c r="D15" s="1534" t="n"/>
      <c r="E15" s="1783">
        <f>SUM(E14:E14)</f>
        <v>0</v>
      </c>
      <c r="F15" s="1775">
        <f>SUM(F14:F14)</f>
        <v>14</v>
      </c>
      <c r="G15" s="1775">
        <f>SUM(G14:G14)</f>
        <v>14</v>
      </c>
      <c r="H15" s="1775">
        <f>SUM(H14:H14)</f>
        <v>0</v>
      </c>
      <c r="I15" s="1775">
        <f>SUM(I14:I14)</f>
        <v>0</v>
      </c>
      <c r="J15" s="1775">
        <f>SUM(J14:J14)</f>
        <v>0</v>
      </c>
      <c r="K15" s="1775">
        <f>SUM(K14:K14)</f>
        <v>0</v>
      </c>
      <c r="L15" s="1775">
        <f>SUM(L14:L14)</f>
        <v>14</v>
      </c>
      <c r="M15" s="1774">
        <f>SUM(M14:M14)</f>
        <v>3.8</v>
      </c>
      <c r="N15" s="1774">
        <f>SUM(N14:N14)</f>
        <v>3.221759232</v>
      </c>
      <c r="O15" s="1774">
        <f>SUM(O14:O14)</f>
        <v>-0.578241</v>
      </c>
      <c r="P15" s="1774">
        <f>SUM(P14:P14)</f>
        <v>3.221759232</v>
      </c>
      <c r="Q15" s="1774">
        <f>SUM(Q14:Q14)</f>
        <v>-0.578241</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COUNTA($B$74:$B$74)</f>
        <v>1</v>
      </c>
      <c r="G19" s="1773">
        <f>COUNTIFS($D$74:$D$74,"Filled")</f>
        <v>1</v>
      </c>
      <c r="H19" s="1773">
        <f>COUNTIFS($D$74:$D$74,"Vacant")</f>
        <v>0</v>
      </c>
      <c r="I19" s="1773">
        <f>COUNTIFS($D$74:$D$74,"Vacant",$E$74:$E$74,"Hire")</f>
        <v>0</v>
      </c>
      <c r="J19" s="1773">
        <f>COUNTIFS($E$74:$E$74,"Offshore")</f>
        <v>0</v>
      </c>
      <c r="K19" s="1773">
        <f>COUNTIFS($E$74:$E$74,"Hold")</f>
        <v>0</v>
      </c>
      <c r="L19" s="1773">
        <f>$F19-$K19</f>
        <v>1</v>
      </c>
      <c r="M19" s="1538" t="str">
        <f>"-"</f>
        <v>-</v>
      </c>
      <c r="N19" s="1772">
        <f>SUMIFS('REVIEW - Complete Role Mapping'!$AA$2:$AA$528,'REVIEW - Complete Role Mapping'!$AJ$2:$AJ$528,$C$3,'REVIEW - Complete Role Mapping'!$AT$2:$AT$528,$B19)/1000000</f>
        <v>0.292434736</v>
      </c>
      <c r="O19" s="1538" t="str">
        <f>"-"</f>
        <v>-</v>
      </c>
      <c r="P19" s="1772">
        <f>SUM($G$74:$G$74)/1000000</f>
        <v>0.292434736</v>
      </c>
      <c r="Q19" s="1538" t="str">
        <f>"-"</f>
        <v>-</v>
      </c>
    </row>
    <row r="20">
      <c r="B20" s="1530" t="inlineStr">
        <is>
          <t>Delivery Manager</t>
        </is>
      </c>
      <c r="C20" s="1530" t="str">
        <f>"-"</f>
        <v>-</v>
      </c>
      <c r="D20" s="1530" t="str">
        <f>"-"</f>
        <v>-</v>
      </c>
      <c r="E20" s="1538" t="str">
        <f>"-"</f>
        <v>-</v>
      </c>
      <c r="F20" s="1773">
        <f>COUNTA($B$76:$B$76)</f>
        <v>1</v>
      </c>
      <c r="G20" s="1773">
        <f>COUNTIFS($D$76:$D$76,"Filled")</f>
        <v>0</v>
      </c>
      <c r="H20" s="1773">
        <f>COUNTIFS($D$76:$D$76,"Vacant")</f>
        <v>1</v>
      </c>
      <c r="I20" s="1773">
        <f>COUNTIFS($D$76:$D$76,"Vacant",$E$76:$E$76,"Hire")</f>
        <v>1</v>
      </c>
      <c r="J20" s="1773">
        <f>COUNTIFS($E$76:$E$76,"Offshore")</f>
        <v>0</v>
      </c>
      <c r="K20" s="1773">
        <f>COUNTIFS($E$76:$E$76,"Hold")</f>
        <v>0</v>
      </c>
      <c r="L20" s="1773">
        <f>$F20-$K20</f>
        <v>1</v>
      </c>
      <c r="M20" s="1538" t="str">
        <f>"-"</f>
        <v>-</v>
      </c>
      <c r="N20" s="1772">
        <f>SUMIFS('REVIEW - Complete Role Mapping'!$AA$2:$AA$528,'REVIEW - Complete Role Mapping'!$AJ$2:$AJ$528,$C$3,'REVIEW - Complete Role Mapping'!$AT$2:$AT$528,$B20)/1000000</f>
        <v>0.27581025</v>
      </c>
      <c r="O20" s="1538" t="str">
        <f>"-"</f>
        <v>-</v>
      </c>
      <c r="P20" s="1772">
        <f>SUM($G$76:$G$76)/1000000</f>
        <v>0.27581025</v>
      </c>
      <c r="Q20" s="1538" t="str">
        <f>"-"</f>
        <v>-</v>
      </c>
    </row>
    <row r="21">
      <c r="B21" s="1530" t="inlineStr">
        <is>
          <t>Technology Manager</t>
        </is>
      </c>
      <c r="C21" s="1530" t="str">
        <f>"-"</f>
        <v>-</v>
      </c>
      <c r="D21" s="1530" t="str">
        <f>"-"</f>
        <v>-</v>
      </c>
      <c r="E21" s="1538" t="str">
        <f>"-"</f>
        <v>-</v>
      </c>
      <c r="F21" s="1773">
        <f>COUNTA($B$78:$B$79)</f>
        <v>2</v>
      </c>
      <c r="G21" s="1773">
        <f>COUNTIFS($D$78:$D$79,"Filled")</f>
        <v>1</v>
      </c>
      <c r="H21" s="1773">
        <f>COUNTIFS($D$78:$D$79,"Vacant")</f>
        <v>1</v>
      </c>
      <c r="I21" s="1773">
        <f>COUNTIFS($D$78:$D$79,"Vacant",$E$78:$E$79,"Hire")</f>
        <v>1</v>
      </c>
      <c r="J21" s="1773">
        <f>COUNTIFS($E$78:$E$79,"Offshore")</f>
        <v>0</v>
      </c>
      <c r="K21" s="1773">
        <f>COUNTIFS($E$78:$E$79,"Hold")</f>
        <v>0</v>
      </c>
      <c r="L21" s="1773">
        <f>$F21-$K21</f>
        <v>2</v>
      </c>
      <c r="M21" s="1538" t="str">
        <f>"-"</f>
        <v>-</v>
      </c>
      <c r="N21" s="1772">
        <f>SUMIFS('REVIEW - Complete Role Mapping'!$AA$2:$AA$528,'REVIEW - Complete Role Mapping'!$AJ$2:$AJ$528,$C$3,'REVIEW - Complete Role Mapping'!$AT$2:$AT$528,$B21)/1000000</f>
        <v>0.56309735</v>
      </c>
      <c r="O21" s="1538" t="str">
        <f>"-"</f>
        <v>-</v>
      </c>
      <c r="P21" s="1772">
        <f>SUM($G$78:$G$79)/1000000</f>
        <v>0.56309735</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1.131342336</v>
      </c>
      <c r="O22" s="1774">
        <f>SUM(O19:O21)</f>
        <v>0</v>
      </c>
      <c r="P22" s="1774">
        <f>SUM(P19:P21)</f>
        <v>1.131342336</v>
      </c>
      <c r="Q22" s="1774">
        <f>SUM(Q19:Q21)</f>
        <v>0</v>
      </c>
    </row>
    <row r="23"/>
    <row r="24">
      <c r="B24" s="1539" t="inlineStr">
        <is>
          <t>Total portfolio</t>
        </is>
      </c>
      <c r="C24" s="1539" t="n"/>
      <c r="D24" s="1539" t="n"/>
      <c r="E24" s="1784">
        <f>N(E10)+N(E15)+N(E22)</f>
        <v>25.5</v>
      </c>
      <c r="F24" s="1777">
        <f>N(F10)+N(F15)+N(F22)</f>
        <v>42</v>
      </c>
      <c r="G24" s="1777">
        <f>N(G10)+N(G15)+N(G22)</f>
        <v>33</v>
      </c>
      <c r="H24" s="1777">
        <f>N(H10)+N(H15)+N(H22)</f>
        <v>9</v>
      </c>
      <c r="I24" s="1777">
        <f>N(I10)+N(I15)+N(I22)</f>
        <v>9</v>
      </c>
      <c r="J24" s="1777">
        <f>N(J10)+N(J15)+N(J22)</f>
        <v>0</v>
      </c>
      <c r="K24" s="1777">
        <f>N(K10)+N(K15)+N(K22)</f>
        <v>0</v>
      </c>
      <c r="L24" s="1777">
        <f>N(L10)+N(L15)+N(L22)</f>
        <v>42</v>
      </c>
      <c r="M24" s="1776">
        <f>N(M10)+N(M15)+N(M22)</f>
        <v>8.68</v>
      </c>
      <c r="N24" s="1776">
        <f>N(N10)+N(N15)+N(N22)</f>
        <v>10.1976697287</v>
      </c>
      <c r="O24" s="1776">
        <f>N(O10)+N(O15)+N(O22)</f>
        <v>0.386328</v>
      </c>
      <c r="P24" s="1776">
        <f>N(P10)+N(P15)+N(P22)</f>
        <v>10.1976697287</v>
      </c>
      <c r="Q24" s="1776">
        <f>N(Q10)+N(Q15)+N(Q22)</f>
        <v>0.386328</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Commercial Fuels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CTRM</t>
        </is>
      </c>
      <c r="C31" s="1545" t="str">
        <f>COUNTA($B$32:$B$45)&amp;IF(COUNTA($B$32:$B$45)=1," role"," roles")</f>
        <v>14 roles</v>
      </c>
      <c r="D31" s="1545" t="n"/>
      <c r="E31" s="1545" t="n"/>
      <c r="F31" s="1785">
        <f>SUM(F32:F45)</f>
        <v>3221759.232</v>
      </c>
      <c r="G31" s="1785">
        <f>SUM(G32:G45)</f>
        <v>3221759.232</v>
      </c>
    </row>
    <row r="32">
      <c r="B32" s="1530" t="str">
        <f>INDEX('REVIEW - Complete Role Mapping'!$B:$B,338)</f>
        <v>Amanda Turnbull</v>
      </c>
      <c r="C32" s="1530" t="str">
        <f>INDEX('REVIEW - Complete Role Mapping'!$C:$C,338)</f>
        <v>Engineer Software</v>
      </c>
      <c r="D32" s="1530" t="str">
        <f>INDEX('REVIEW - Complete Role Mapping'!$AK:$AK,338)</f>
        <v>Filled</v>
      </c>
      <c r="E32" s="1547" t="inlineStr">
        <is>
          <t>Filled</t>
        </is>
      </c>
      <c r="F32" s="1773">
        <f>INDEX('REVIEW - Complete Role Mapping'!$AA:$AA,338)</f>
        <v>101439.056</v>
      </c>
      <c r="G32" s="1773">
        <f>$F32*IFERROR(INDEX(Lists!$AD:$AD,MATCH($E32,Lists!$AC:$AC,0)),1)</f>
        <v>101439.056</v>
      </c>
    </row>
    <row r="33">
      <c r="B33" s="1530" t="str">
        <f>INDEX('REVIEW - Complete Role Mapping'!$B:$B,350)</f>
        <v>Byron Leung</v>
      </c>
      <c r="C33" s="1530" t="str">
        <f>INDEX('REVIEW - Complete Role Mapping'!$C:$C,350)</f>
        <v>Solution Architect</v>
      </c>
      <c r="D33" s="1530" t="str">
        <f>INDEX('REVIEW - Complete Role Mapping'!$AK:$AK,350)</f>
        <v>Filled</v>
      </c>
      <c r="E33" s="1547" t="inlineStr">
        <is>
          <t>Filled</t>
        </is>
      </c>
      <c r="F33" s="1773">
        <f>INDEX('REVIEW - Complete Role Mapping'!$AA:$AA,350)</f>
        <v>276972.45</v>
      </c>
      <c r="G33" s="1773">
        <f>$F33*IFERROR(INDEX(Lists!$AD:$AD,MATCH($E33,Lists!$AC:$AC,0)),1)</f>
        <v>276972.45</v>
      </c>
    </row>
    <row r="34">
      <c r="B34" s="1530" t="str">
        <f>INDEX('REVIEW - Complete Role Mapping'!$B:$B,353)</f>
        <v>Carl Russo</v>
      </c>
      <c r="C34" s="1530" t="str">
        <f>INDEX('REVIEW - Complete Role Mapping'!$C:$C,353)</f>
        <v>Program Manager - CTRM</v>
      </c>
      <c r="D34" s="1530" t="str">
        <f>INDEX('REVIEW - Complete Role Mapping'!$AK:$AK,353)</f>
        <v>Filled</v>
      </c>
      <c r="E34" s="1547" t="inlineStr">
        <is>
          <t>Filled</t>
        </is>
      </c>
      <c r="F34" s="1773">
        <f>INDEX('REVIEW - Complete Role Mapping'!$AA:$AA,353)</f>
        <v>323695.95</v>
      </c>
      <c r="G34" s="1773">
        <f>$F34*IFERROR(INDEX(Lists!$AD:$AD,MATCH($E34,Lists!$AC:$AC,0)),1)</f>
        <v>323695.95</v>
      </c>
    </row>
    <row r="35">
      <c r="B35" s="1530" t="str">
        <f>INDEX('REVIEW - Complete Role Mapping'!$B:$B,354)</f>
        <v>Chantal Lynch</v>
      </c>
      <c r="C35" s="1530" t="str">
        <f>INDEX('REVIEW - Complete Role Mapping'!$C:$C,354)</f>
        <v>Lead Quality Assurance</v>
      </c>
      <c r="D35" s="1530" t="str">
        <f>INDEX('REVIEW - Complete Role Mapping'!$AK:$AK,354)</f>
        <v>Filled</v>
      </c>
      <c r="E35" s="1547" t="inlineStr">
        <is>
          <t>Filled</t>
        </is>
      </c>
      <c r="F35" s="1773">
        <f>INDEX('REVIEW - Complete Role Mapping'!$AA:$AA,354)</f>
        <v>180639.096</v>
      </c>
      <c r="G35" s="1773">
        <f>$F35*IFERROR(INDEX(Lists!$AD:$AD,MATCH($E35,Lists!$AC:$AC,0)),1)</f>
        <v>180639.096</v>
      </c>
    </row>
    <row r="36">
      <c r="B36" s="1530" t="str">
        <f>INDEX('REVIEW - Complete Role Mapping'!$B:$B,358)</f>
        <v>Deepa Kaur</v>
      </c>
      <c r="C36" s="1530" t="str">
        <f>INDEX('REVIEW - Complete Role Mapping'!$C:$C,358)</f>
        <v>Senior Engineer Automation Testing</v>
      </c>
      <c r="D36" s="1530" t="str">
        <f>INDEX('REVIEW - Complete Role Mapping'!$AK:$AK,358)</f>
        <v>Filled</v>
      </c>
      <c r="E36" s="1547" t="inlineStr">
        <is>
          <t>Filled</t>
        </is>
      </c>
      <c r="F36" s="1773">
        <f>INDEX('REVIEW - Complete Role Mapping'!$AA:$AA,358)</f>
        <v>194522.85</v>
      </c>
      <c r="G36" s="1773">
        <f>$F36*IFERROR(INDEX(Lists!$AD:$AD,MATCH($E36,Lists!$AC:$AC,0)),1)</f>
        <v>194522.85</v>
      </c>
    </row>
    <row r="37">
      <c r="B37" s="1530" t="str">
        <f>INDEX('REVIEW - Complete Role Mapping'!$B:$B,363)</f>
        <v>Fransiscus Setiawan</v>
      </c>
      <c r="C37" s="1530" t="str">
        <f>INDEX('REVIEW - Complete Role Mapping'!$C:$C,363)</f>
        <v>Integration Architect   </v>
      </c>
      <c r="D37" s="1530" t="str">
        <f>INDEX('REVIEW - Complete Role Mapping'!$AK:$AK,363)</f>
        <v>Filled</v>
      </c>
      <c r="E37" s="1547" t="inlineStr">
        <is>
          <t>Filled</t>
        </is>
      </c>
      <c r="F37" s="1773">
        <f>INDEX('REVIEW - Complete Role Mapping'!$AA:$AA,363)</f>
        <v>280350</v>
      </c>
      <c r="G37" s="1773">
        <f>$F37*IFERROR(INDEX(Lists!$AD:$AD,MATCH($E37,Lists!$AC:$AC,0)),1)</f>
        <v>280350</v>
      </c>
    </row>
    <row r="38">
      <c r="B38" s="1530" t="str">
        <f>INDEX('REVIEW - Complete Role Mapping'!$B:$B,369)</f>
        <v>Hayden Corney</v>
      </c>
      <c r="C38" s="1530" t="str">
        <f>INDEX('REVIEW - Complete Role Mapping'!$C:$C,369)</f>
        <v>Lead Engineer Software</v>
      </c>
      <c r="D38" s="1530" t="str">
        <f>INDEX('REVIEW - Complete Role Mapping'!$AK:$AK,369)</f>
        <v>Filled</v>
      </c>
      <c r="E38" s="1547" t="inlineStr">
        <is>
          <t>Filled</t>
        </is>
      </c>
      <c r="F38" s="1773">
        <f>INDEX('REVIEW - Complete Role Mapping'!$AA:$AA,369)</f>
        <v>197318.88</v>
      </c>
      <c r="G38" s="1773">
        <f>$F38*IFERROR(INDEX(Lists!$AD:$AD,MATCH($E38,Lists!$AC:$AC,0)),1)</f>
        <v>197318.88</v>
      </c>
    </row>
    <row r="39">
      <c r="B39" s="1530" t="str">
        <f>INDEX('REVIEW - Complete Role Mapping'!$B:$B,383)</f>
        <v>Laura Roberts</v>
      </c>
      <c r="C39" s="1530" t="str">
        <f>INDEX('REVIEW - Complete Role Mapping'!$C:$C,383)</f>
        <v>Senior Engineer Software</v>
      </c>
      <c r="D39" s="1530" t="str">
        <f>INDEX('REVIEW - Complete Role Mapping'!$AK:$AK,383)</f>
        <v>Filled</v>
      </c>
      <c r="E39" s="1547" t="inlineStr">
        <is>
          <t>Filled</t>
        </is>
      </c>
      <c r="F39" s="1773">
        <f>INDEX('REVIEW - Complete Role Mapping'!$AA:$AA,383)</f>
        <v>156490.752</v>
      </c>
      <c r="G39" s="1773">
        <f>$F39*IFERROR(INDEX(Lists!$AD:$AD,MATCH($E39,Lists!$AC:$AC,0)),1)</f>
        <v>156490.752</v>
      </c>
    </row>
    <row r="40">
      <c r="B40" s="1530" t="str">
        <f>INDEX('REVIEW - Complete Role Mapping'!$B:$B,393)</f>
        <v>Oliver Shanks</v>
      </c>
      <c r="C40" s="1530" t="str">
        <f>INDEX('REVIEW - Complete Role Mapping'!$C:$C,393)</f>
        <v>Associate Engineer Software</v>
      </c>
      <c r="D40" s="1530" t="str">
        <f>INDEX('REVIEW - Complete Role Mapping'!$AK:$AK,393)</f>
        <v>Filled</v>
      </c>
      <c r="E40" s="1547" t="inlineStr">
        <is>
          <t>Filled</t>
        </is>
      </c>
      <c r="F40" s="1773">
        <f>INDEX('REVIEW - Complete Role Mapping'!$AA:$AA,393)</f>
        <v>84514.552</v>
      </c>
      <c r="G40" s="1773">
        <f>$F40*IFERROR(INDEX(Lists!$AD:$AD,MATCH($E40,Lists!$AC:$AC,0)),1)</f>
        <v>84514.552</v>
      </c>
    </row>
    <row r="41">
      <c r="B41" s="1530" t="str">
        <f>INDEX('REVIEW - Complete Role Mapping'!$B:$B,394)</f>
        <v>Oz Shaaban</v>
      </c>
      <c r="C41" s="1530" t="str">
        <f>INDEX('REVIEW - Complete Role Mapping'!$C:$C,394)</f>
        <v>Delivery Lead</v>
      </c>
      <c r="D41" s="1530" t="str">
        <f>INDEX('REVIEW - Complete Role Mapping'!$AK:$AK,394)</f>
        <v>Filled</v>
      </c>
      <c r="E41" s="1547" t="inlineStr">
        <is>
          <t>Filled</t>
        </is>
      </c>
      <c r="F41" s="1773">
        <f>INDEX('REVIEW - Complete Role Mapping'!$AA:$AA,394)</f>
        <v>253997.1</v>
      </c>
      <c r="G41" s="1773">
        <f>$F41*IFERROR(INDEX(Lists!$AD:$AD,MATCH($E41,Lists!$AC:$AC,0)),1)</f>
        <v>253997.1</v>
      </c>
    </row>
    <row r="42">
      <c r="B42" s="1530" t="str">
        <f>INDEX('REVIEW - Complete Role Mapping'!$B:$B,398)</f>
        <v>Rick Abainza</v>
      </c>
      <c r="C42" s="1530" t="str">
        <f>INDEX('REVIEW - Complete Role Mapping'!$C:$C,398)</f>
        <v>Lead Business Analyst</v>
      </c>
      <c r="D42" s="1530" t="str">
        <f>INDEX('REVIEW - Complete Role Mapping'!$AK:$AK,398)</f>
        <v>Filled</v>
      </c>
      <c r="E42" s="1547" t="inlineStr">
        <is>
          <t>Filled</t>
        </is>
      </c>
      <c r="F42" s="1773">
        <f>INDEX('REVIEW - Complete Role Mapping'!$AA:$AA,398)</f>
        <v>366703.25</v>
      </c>
      <c r="G42" s="1773">
        <f>$F42*IFERROR(INDEX(Lists!$AD:$AD,MATCH($E42,Lists!$AC:$AC,0)),1)</f>
        <v>366703.25</v>
      </c>
    </row>
    <row r="43">
      <c r="B43" s="1530" t="str">
        <f>INDEX('REVIEW - Complete Role Mapping'!$B:$B,402)</f>
        <v>Sijin Zhu</v>
      </c>
      <c r="C43" s="1530" t="str">
        <f>INDEX('REVIEW - Complete Role Mapping'!$C:$C,402)</f>
        <v>Business Analyst</v>
      </c>
      <c r="D43" s="1530" t="str">
        <f>INDEX('REVIEW - Complete Role Mapping'!$AK:$AK,402)</f>
        <v>Filled</v>
      </c>
      <c r="E43" s="1547" t="inlineStr">
        <is>
          <t>Filled</t>
        </is>
      </c>
      <c r="F43" s="1773">
        <f>INDEX('REVIEW - Complete Role Mapping'!$AA:$AA,402)</f>
        <v>279205.246</v>
      </c>
      <c r="G43" s="1773">
        <f>$F43*IFERROR(INDEX(Lists!$AD:$AD,MATCH($E43,Lists!$AC:$AC,0)),1)</f>
        <v>279205.246</v>
      </c>
    </row>
    <row r="44">
      <c r="B44" s="1530" t="str">
        <f>INDEX('REVIEW - Complete Role Mapping'!$B:$B,410)</f>
        <v>Trung Truong</v>
      </c>
      <c r="C44" s="1530" t="str">
        <f>INDEX('REVIEW - Complete Role Mapping'!$C:$C,410)</f>
        <v>Engineer Applications</v>
      </c>
      <c r="D44" s="1530" t="str">
        <f>INDEX('REVIEW - Complete Role Mapping'!$AK:$AK,410)</f>
        <v>Filled</v>
      </c>
      <c r="E44" s="1547" t="inlineStr">
        <is>
          <t>Filled</t>
        </is>
      </c>
      <c r="F44" s="1773">
        <f>INDEX('REVIEW - Complete Role Mapping'!$AA:$AA,410)</f>
        <v>304660.5</v>
      </c>
      <c r="G44" s="1773">
        <f>$F44*IFERROR(INDEX(Lists!$AD:$AD,MATCH($E44,Lists!$AC:$AC,0)),1)</f>
        <v>304660.5</v>
      </c>
    </row>
    <row r="45">
      <c r="B45" s="1530" t="str">
        <f>INDEX('REVIEW - Complete Role Mapping'!$B:$B,444)</f>
        <v>Zhan Liu</v>
      </c>
      <c r="C45" s="1530" t="str">
        <f>INDEX('REVIEW - Complete Role Mapping'!$C:$C,444)</f>
        <v>Engineer Applications</v>
      </c>
      <c r="D45" s="1530" t="str">
        <f>INDEX('REVIEW - Complete Role Mapping'!$AK:$AK,444)</f>
        <v>Filled</v>
      </c>
      <c r="E45" s="1547" t="inlineStr">
        <is>
          <t>Filled</t>
        </is>
      </c>
      <c r="F45" s="1773">
        <f>INDEX('REVIEW - Complete Role Mapping'!$AA:$AA,444)</f>
        <v>221249.55</v>
      </c>
      <c r="G45" s="1773">
        <f>$F45*IFERROR(INDEX(Lists!$AD:$AD,MATCH($E45,Lists!$AC:$AC,0)),1)</f>
        <v>221249.55</v>
      </c>
    </row>
    <row r="46">
      <c r="B46" s="1545" t="inlineStr">
        <is>
          <t>Supply</t>
        </is>
      </c>
      <c r="C46" s="1545" t="str">
        <f>COUNTA($B$47:$B$51)&amp;IF(COUNTA($B$47:$B$51)=1," role"," roles")</f>
        <v>5 roles</v>
      </c>
      <c r="D46" s="1545" t="n"/>
      <c r="E46" s="1545" t="n"/>
      <c r="F46" s="1785">
        <f>SUM(F47:F51)</f>
        <v>1059255.75</v>
      </c>
      <c r="G46" s="1785">
        <f>SUM(G47:G51)</f>
        <v>1059255.75</v>
      </c>
    </row>
    <row r="47">
      <c r="B47" s="1530" t="str">
        <f>INDEX('REVIEW - Complete Role Mapping'!$B:$B,343)</f>
        <v>Ann Aquino</v>
      </c>
      <c r="C47" s="1530" t="str">
        <f>INDEX('REVIEW - Complete Role Mapping'!$C:$C,343)</f>
        <v>Senior Business Analyst</v>
      </c>
      <c r="D47" s="1530" t="str">
        <f>INDEX('REVIEW - Complete Role Mapping'!$AK:$AK,343)</f>
        <v>Filled</v>
      </c>
      <c r="E47" s="1547" t="inlineStr">
        <is>
          <t>Filled</t>
        </is>
      </c>
      <c r="F47" s="1773">
        <f>INDEX('REVIEW - Complete Role Mapping'!$AA:$AA,343)</f>
        <v>219006.75</v>
      </c>
      <c r="G47" s="1773">
        <f>$F47*IFERROR(INDEX(Lists!$AD:$AD,MATCH($E47,Lists!$AC:$AC,0)),1)</f>
        <v>219006.75</v>
      </c>
    </row>
    <row r="48">
      <c r="B48" s="1530" t="str">
        <f>INDEX('REVIEW - Complete Role Mapping'!$B:$B,419)</f>
        <v>Vacant</v>
      </c>
      <c r="C48" s="1530" t="str">
        <f>INDEX('REVIEW - Complete Role Mapping'!$C:$C,419)</f>
        <v>System Specialist</v>
      </c>
      <c r="D48" s="1530" t="str">
        <f>INDEX('REVIEW - Complete Role Mapping'!$AK:$AK,419)</f>
        <v>Vacant</v>
      </c>
      <c r="E48" s="1547" t="inlineStr">
        <is>
          <t>Hire</t>
        </is>
      </c>
      <c r="F48" s="1773">
        <f>INDEX('REVIEW - Complete Role Mapping'!$AA:$AA,419)</f>
        <v>202853.25</v>
      </c>
      <c r="G48" s="1773">
        <f>$F48*IFERROR(INDEX(Lists!$AD:$AD,MATCH($E48,Lists!$AC:$AC,0)),1)</f>
        <v>202853.25</v>
      </c>
    </row>
    <row r="49">
      <c r="B49" s="1530" t="str">
        <f>INDEX('REVIEW - Complete Role Mapping'!$B:$B,423)</f>
        <v>Vacant</v>
      </c>
      <c r="C49" s="1530" t="str">
        <f>INDEX('REVIEW - Complete Role Mapping'!$C:$C,423)</f>
        <v>Delivery Lead</v>
      </c>
      <c r="D49" s="1530" t="str">
        <f>INDEX('REVIEW - Complete Role Mapping'!$AK:$AK,423)</f>
        <v>Vacant</v>
      </c>
      <c r="E49" s="1547" t="inlineStr">
        <is>
          <t>Hire</t>
        </is>
      </c>
      <c r="F49" s="1773">
        <f>INDEX('REVIEW - Complete Role Mapping'!$AA:$AA,423)</f>
        <v>231689.25</v>
      </c>
      <c r="G49" s="1773">
        <f>$F49*IFERROR(INDEX(Lists!$AD:$AD,MATCH($E49,Lists!$AC:$AC,0)),1)</f>
        <v>231689.25</v>
      </c>
    </row>
    <row r="50">
      <c r="B50" s="1530" t="str">
        <f>INDEX('REVIEW - Complete Role Mapping'!$B:$B,440)</f>
        <v>Vacant</v>
      </c>
      <c r="C50" s="1530" t="str">
        <f>INDEX('REVIEW - Complete Role Mapping'!$C:$C,440)</f>
        <v>Engineer Software</v>
      </c>
      <c r="D50" s="1530" t="str">
        <f>INDEX('REVIEW - Complete Role Mapping'!$AK:$AK,440)</f>
        <v>Vacant</v>
      </c>
      <c r="E50" s="1547" t="inlineStr">
        <is>
          <t>Hire</t>
        </is>
      </c>
      <c r="F50" s="1773">
        <f>INDEX('REVIEW - Complete Role Mapping'!$AA:$AA,440)</f>
        <v>202853.25</v>
      </c>
      <c r="G50" s="1773">
        <f>$F50*IFERROR(INDEX(Lists!$AD:$AD,MATCH($E50,Lists!$AC:$AC,0)),1)</f>
        <v>202853.25</v>
      </c>
    </row>
    <row r="51">
      <c r="B51" s="1530" t="str">
        <f>INDEX('REVIEW - Complete Role Mapping'!$B:$B,441)</f>
        <v>Vacant</v>
      </c>
      <c r="C51" s="1530" t="str">
        <f>INDEX('REVIEW - Complete Role Mapping'!$C:$C,441)</f>
        <v>System Specialist</v>
      </c>
      <c r="D51" s="1530" t="str">
        <f>INDEX('REVIEW - Complete Role Mapping'!$AK:$AK,441)</f>
        <v>Vacant</v>
      </c>
      <c r="E51" s="1547" t="inlineStr">
        <is>
          <t>Hire</t>
        </is>
      </c>
      <c r="F51" s="1773">
        <f>INDEX('REVIEW - Complete Role Mapping'!$AA:$AA,441)</f>
        <v>202853.25</v>
      </c>
      <c r="G51" s="1773">
        <f>$F51*IFERROR(INDEX(Lists!$AD:$AD,MATCH($E51,Lists!$AC:$AC,0)),1)</f>
        <v>202853.25</v>
      </c>
    </row>
    <row r="52">
      <c r="B52" s="1545" t="inlineStr">
        <is>
          <t>Trading &amp; Shipping</t>
        </is>
      </c>
      <c r="C52" s="1545" t="str">
        <f>COUNTA($B$53:$B$64)&amp;IF(COUNTA($B$53:$B$64)=1," role"," roles")</f>
        <v>12 roles</v>
      </c>
      <c r="D52" s="1545" t="n"/>
      <c r="E52" s="1545" t="n"/>
      <c r="F52" s="1785">
        <f>SUM(F53:F64)</f>
        <v>2679143.5617</v>
      </c>
      <c r="G52" s="1785">
        <f>SUM(G53:G64)</f>
        <v>2679143.5617</v>
      </c>
    </row>
    <row r="53">
      <c r="B53" s="1530" t="str">
        <f>INDEX('REVIEW - Complete Role Mapping'!$B:$B,355)</f>
        <v>Chin Fang Kwek</v>
      </c>
      <c r="C53" s="1530" t="str">
        <f>INDEX('REVIEW - Complete Role Mapping'!$C:$C,355)</f>
        <v>System Analyst</v>
      </c>
      <c r="D53" s="1530" t="str">
        <f>INDEX('REVIEW - Complete Role Mapping'!$AK:$AK,355)</f>
        <v>Filled</v>
      </c>
      <c r="E53" s="1547" t="inlineStr">
        <is>
          <t>Filled</t>
        </is>
      </c>
      <c r="F53" s="1773">
        <f>INDEX('REVIEW - Complete Role Mapping'!$AA:$AA,355)</f>
        <v>346651.0332</v>
      </c>
      <c r="G53" s="1773">
        <f>$F53*IFERROR(INDEX(Lists!$AD:$AD,MATCH($E53,Lists!$AC:$AC,0)),1)</f>
        <v>346651.0332</v>
      </c>
    </row>
    <row r="54">
      <c r="B54" s="1530" t="str">
        <f>INDEX('REVIEW - Complete Role Mapping'!$B:$B,368)</f>
        <v>Hari Maneti</v>
      </c>
      <c r="C54" s="1530" t="str">
        <f>INDEX('REVIEW - Complete Role Mapping'!$C:$C,368)</f>
        <v>Systems Analyst</v>
      </c>
      <c r="D54" s="1530" t="str">
        <f>INDEX('REVIEW - Complete Role Mapping'!$AK:$AK,368)</f>
        <v>Filled</v>
      </c>
      <c r="E54" s="1547" t="inlineStr">
        <is>
          <t>Filled</t>
        </is>
      </c>
      <c r="F54" s="1773">
        <f>INDEX('REVIEW - Complete Role Mapping'!$AA:$AA,368)</f>
        <v>293634.617</v>
      </c>
      <c r="G54" s="1773">
        <f>$F54*IFERROR(INDEX(Lists!$AD:$AD,MATCH($E54,Lists!$AC:$AC,0)),1)</f>
        <v>293634.617</v>
      </c>
    </row>
    <row r="55">
      <c r="B55" s="1530" t="str">
        <f>INDEX('REVIEW - Complete Role Mapping'!$B:$B,370)</f>
        <v>Isha Riyat</v>
      </c>
      <c r="C55" s="1530" t="str">
        <f>INDEX('REVIEW - Complete Role Mapping'!$C:$C,370)</f>
        <v>Senior Business Analyst</v>
      </c>
      <c r="D55" s="1530" t="str">
        <f>INDEX('REVIEW - Complete Role Mapping'!$AK:$AK,370)</f>
        <v>Filled</v>
      </c>
      <c r="E55" s="1547" t="inlineStr">
        <is>
          <t>Filled</t>
        </is>
      </c>
      <c r="F55" s="1773">
        <f>INDEX('REVIEW - Complete Role Mapping'!$AA:$AA,370)</f>
        <v>226429.35</v>
      </c>
      <c r="G55" s="1773">
        <f>$F55*IFERROR(INDEX(Lists!$AD:$AD,MATCH($E55,Lists!$AC:$AC,0)),1)</f>
        <v>226429.35</v>
      </c>
    </row>
    <row r="56">
      <c r="B56" s="1530" t="str">
        <f>INDEX('REVIEW - Complete Role Mapping'!$B:$B,373)</f>
        <v>Jem Cruz</v>
      </c>
      <c r="C56" s="1530" t="str">
        <f>INDEX('REVIEW - Complete Role Mapping'!$C:$C,373)</f>
        <v>System Specialist</v>
      </c>
      <c r="D56" s="1530" t="str">
        <f>INDEX('REVIEW - Complete Role Mapping'!$AK:$AK,373)</f>
        <v>Filled</v>
      </c>
      <c r="E56" s="1547" t="inlineStr">
        <is>
          <t>Filled</t>
        </is>
      </c>
      <c r="F56" s="1773">
        <f>INDEX('REVIEW - Complete Role Mapping'!$AA:$AA,373)</f>
        <v>180010.35</v>
      </c>
      <c r="G56" s="1773">
        <f>$F56*IFERROR(INDEX(Lists!$AD:$AD,MATCH($E56,Lists!$AC:$AC,0)),1)</f>
        <v>180010.35</v>
      </c>
    </row>
    <row r="57">
      <c r="B57" s="1530" t="str">
        <f>INDEX('REVIEW - Complete Role Mapping'!$B:$B,378)</f>
        <v>JR Panganiban</v>
      </c>
      <c r="C57" s="1530" t="str">
        <f>INDEX('REVIEW - Complete Role Mapping'!$C:$C,378)</f>
        <v>Technology Support Engineer</v>
      </c>
      <c r="D57" s="1530" t="str">
        <f>INDEX('REVIEW - Complete Role Mapping'!$AK:$AK,378)</f>
        <v>Filled</v>
      </c>
      <c r="E57" s="1547" t="inlineStr">
        <is>
          <t>Filled</t>
        </is>
      </c>
      <c r="F57" s="1773">
        <f>INDEX('REVIEW - Complete Role Mapping'!$AA:$AA,378)</f>
        <v>146390.4</v>
      </c>
      <c r="G57" s="1773">
        <f>$F57*IFERROR(INDEX(Lists!$AD:$AD,MATCH($E57,Lists!$AC:$AC,0)),1)</f>
        <v>146390.4</v>
      </c>
    </row>
    <row r="58">
      <c r="B58" s="1530" t="str">
        <f>INDEX('REVIEW - Complete Role Mapping'!$B:$B,379)</f>
        <v>Kevin Li</v>
      </c>
      <c r="C58" s="1530" t="str">
        <f>INDEX('REVIEW - Complete Role Mapping'!$C:$C,379)</f>
        <v>System Specialist</v>
      </c>
      <c r="D58" s="1530" t="str">
        <f>INDEX('REVIEW - Complete Role Mapping'!$AK:$AK,379)</f>
        <v>Filled</v>
      </c>
      <c r="E58" s="1547" t="inlineStr">
        <is>
          <t>Filled</t>
        </is>
      </c>
      <c r="F58" s="1773">
        <f>INDEX('REVIEW - Complete Role Mapping'!$AA:$AA,379)</f>
        <v>179970.9</v>
      </c>
      <c r="G58" s="1773">
        <f>$F58*IFERROR(INDEX(Lists!$AD:$AD,MATCH($E58,Lists!$AC:$AC,0)),1)</f>
        <v>179970.9</v>
      </c>
    </row>
    <row r="59">
      <c r="B59" s="1530" t="str">
        <f>INDEX('REVIEW - Complete Role Mapping'!$B:$B,384)</f>
        <v>Leo Machin</v>
      </c>
      <c r="C59" s="1530" t="str">
        <f>INDEX('REVIEW - Complete Role Mapping'!$C:$C,384)</f>
        <v>Lead Engineer Applications</v>
      </c>
      <c r="D59" s="1530" t="str">
        <f>INDEX('REVIEW - Complete Role Mapping'!$AK:$AK,384)</f>
        <v>Filled</v>
      </c>
      <c r="E59" s="1547" t="inlineStr">
        <is>
          <t>Filled</t>
        </is>
      </c>
      <c r="F59" s="1773">
        <f>INDEX('REVIEW - Complete Role Mapping'!$AA:$AA,384)</f>
        <v>212558.7</v>
      </c>
      <c r="G59" s="1773">
        <f>$F59*IFERROR(INDEX(Lists!$AD:$AD,MATCH($E59,Lists!$AC:$AC,0)),1)</f>
        <v>212558.7</v>
      </c>
    </row>
    <row r="60">
      <c r="B60" s="1530" t="str">
        <f>INDEX('REVIEW - Complete Role Mapping'!$B:$B,395)</f>
        <v>Poch Fernandez</v>
      </c>
      <c r="C60" s="1530" t="str">
        <f>INDEX('REVIEW - Complete Role Mapping'!$C:$C,395)</f>
        <v>Lead Technology Support  </v>
      </c>
      <c r="D60" s="1530" t="str">
        <f>INDEX('REVIEW - Complete Role Mapping'!$AK:$AK,395)</f>
        <v>Filled</v>
      </c>
      <c r="E60" s="1547" t="inlineStr">
        <is>
          <t>Filled</t>
        </is>
      </c>
      <c r="F60" s="1773">
        <f>INDEX('REVIEW - Complete Role Mapping'!$AA:$AA,395)</f>
        <v>216633.121</v>
      </c>
      <c r="G60" s="1773">
        <f>$F60*IFERROR(INDEX(Lists!$AD:$AD,MATCH($E60,Lists!$AC:$AC,0)),1)</f>
        <v>216633.121</v>
      </c>
    </row>
    <row r="61">
      <c r="B61" s="1530" t="str">
        <f>INDEX('REVIEW - Complete Role Mapping'!$B:$B,408)</f>
        <v>Suja Sugathan</v>
      </c>
      <c r="C61" s="1530" t="str">
        <f>INDEX('REVIEW - Complete Role Mapping'!$C:$C,408)</f>
        <v>Senior Business Analyst</v>
      </c>
      <c r="D61" s="1530" t="str">
        <f>INDEX('REVIEW - Complete Role Mapping'!$AK:$AK,408)</f>
        <v>Filled</v>
      </c>
      <c r="E61" s="1547" t="inlineStr">
        <is>
          <t>Filled</t>
        </is>
      </c>
      <c r="F61" s="1773">
        <f>INDEX('REVIEW - Complete Role Mapping'!$AA:$AA,408)</f>
        <v>352114.3405</v>
      </c>
      <c r="G61" s="1773">
        <f>$F61*IFERROR(INDEX(Lists!$AD:$AD,MATCH($E61,Lists!$AC:$AC,0)),1)</f>
        <v>352114.3405</v>
      </c>
    </row>
    <row r="62">
      <c r="B62" s="1530" t="str">
        <f>INDEX('REVIEW - Complete Role Mapping'!$B:$B,420)</f>
        <v>Vacant</v>
      </c>
      <c r="C62" s="1530" t="str">
        <f>INDEX('REVIEW - Complete Role Mapping'!$C:$C,420)</f>
        <v>Tech Support Technician</v>
      </c>
      <c r="D62" s="1530" t="str">
        <f>INDEX('REVIEW - Complete Role Mapping'!$AK:$AK,420)</f>
        <v>Vacant</v>
      </c>
      <c r="E62" s="1547" t="inlineStr">
        <is>
          <t>Hire</t>
        </is>
      </c>
      <c r="F62" s="1773">
        <f>INDEX('REVIEW - Complete Role Mapping'!$AA:$AA,420)</f>
        <v>122571.75</v>
      </c>
      <c r="G62" s="1773">
        <f>$F62*IFERROR(INDEX(Lists!$AD:$AD,MATCH($E62,Lists!$AC:$AC,0)),1)</f>
        <v>122571.75</v>
      </c>
    </row>
    <row r="63">
      <c r="B63" s="1530" t="str">
        <f>INDEX('REVIEW - Complete Role Mapping'!$B:$B,424)</f>
        <v>Vacant</v>
      </c>
      <c r="C63" s="1530" t="str">
        <f>INDEX('REVIEW - Complete Role Mapping'!$C:$C,424)</f>
        <v>Delivery Lead</v>
      </c>
      <c r="D63" s="1530" t="str">
        <f>INDEX('REVIEW - Complete Role Mapping'!$AK:$AK,424)</f>
        <v>Vacant</v>
      </c>
      <c r="E63" s="1547" t="inlineStr">
        <is>
          <t>Hire</t>
        </is>
      </c>
      <c r="F63" s="1773">
        <f>INDEX('REVIEW - Complete Role Mapping'!$AA:$AA,424)</f>
        <v>231689.25</v>
      </c>
      <c r="G63" s="1773">
        <f>$F63*IFERROR(INDEX(Lists!$AD:$AD,MATCH($E63,Lists!$AC:$AC,0)),1)</f>
        <v>231689.25</v>
      </c>
    </row>
    <row r="64">
      <c r="B64" s="1530" t="str">
        <f>INDEX('REVIEW - Complete Role Mapping'!$B:$B,425)</f>
        <v>Vacant</v>
      </c>
      <c r="C64" s="1530" t="str">
        <f>INDEX('REVIEW - Complete Role Mapping'!$C:$C,425)</f>
        <v>Quality Assurance</v>
      </c>
      <c r="D64" s="1530" t="str">
        <f>INDEX('REVIEW - Complete Role Mapping'!$AK:$AK,425)</f>
        <v>Vacant</v>
      </c>
      <c r="E64" s="1547" t="inlineStr">
        <is>
          <t>Hire</t>
        </is>
      </c>
      <c r="F64" s="1773">
        <f>INDEX('REVIEW - Complete Role Mapping'!$AA:$AA,425)</f>
        <v>170489.75</v>
      </c>
      <c r="G64" s="1773">
        <f>$F64*IFERROR(INDEX(Lists!$AD:$AD,MATCH($E64,Lists!$AC:$AC,0)),1)</f>
        <v>170489.75</v>
      </c>
    </row>
    <row r="65">
      <c r="B65" s="1545" t="inlineStr">
        <is>
          <t>Trading &amp; Shipping Data</t>
        </is>
      </c>
      <c r="C65" s="1545" t="str">
        <f>COUNTA($B$66:$B$72)&amp;IF(COUNTA($B$66:$B$72)=1," role"," roles")</f>
        <v>7 roles</v>
      </c>
      <c r="D65" s="1545" t="n"/>
      <c r="E65" s="1545" t="n"/>
      <c r="F65" s="1785">
        <f>SUM(F66:F72)</f>
        <v>2106168.849</v>
      </c>
      <c r="G65" s="1785">
        <f>SUM(G66:G72)</f>
        <v>2106168.849</v>
      </c>
    </row>
    <row r="66">
      <c r="B66" s="1530" t="str">
        <f>INDEX('REVIEW - Complete Role Mapping'!$B:$B,344)</f>
        <v>Anusha Viswanatha</v>
      </c>
      <c r="C66" s="1530" t="str">
        <f>INDEX('REVIEW - Complete Role Mapping'!$C:$C,344)</f>
        <v>Delivery Lead</v>
      </c>
      <c r="D66" s="1530" t="str">
        <f>INDEX('REVIEW - Complete Role Mapping'!$AK:$AK,344)</f>
        <v>Filled</v>
      </c>
      <c r="E66" s="1547" t="inlineStr">
        <is>
          <t>Filled</t>
        </is>
      </c>
      <c r="F66" s="1773">
        <f>INDEX('REVIEW - Complete Role Mapping'!$AA:$AA,344)</f>
        <v>286934</v>
      </c>
      <c r="G66" s="1773">
        <f>$F66*IFERROR(INDEX(Lists!$AD:$AD,MATCH($E66,Lists!$AC:$AC,0)),1)</f>
        <v>286934</v>
      </c>
    </row>
    <row r="67">
      <c r="B67" s="1530" t="str">
        <f>INDEX('REVIEW - Complete Role Mapping'!$B:$B,346)</f>
        <v>Arun Prakash Jayaprakasam</v>
      </c>
      <c r="C67" s="1530" t="str">
        <f>INDEX('REVIEW - Complete Role Mapping'!$C:$C,346)</f>
        <v>Data Engineer Analyst</v>
      </c>
      <c r="D67" s="1530" t="str">
        <f>INDEX('REVIEW - Complete Role Mapping'!$AK:$AK,346)</f>
        <v>Filled</v>
      </c>
      <c r="E67" s="1547" t="inlineStr">
        <is>
          <t>Filled</t>
        </is>
      </c>
      <c r="F67" s="1773">
        <f>INDEX('REVIEW - Complete Role Mapping'!$AA:$AA,346)</f>
        <v>268285.722</v>
      </c>
      <c r="G67" s="1773">
        <f>$F67*IFERROR(INDEX(Lists!$AD:$AD,MATCH($E67,Lists!$AC:$AC,0)),1)</f>
        <v>268285.722</v>
      </c>
    </row>
    <row r="68">
      <c r="B68" s="1530" t="str">
        <f>INDEX('REVIEW - Complete Role Mapping'!$B:$B,347)</f>
        <v>Ayushi Agarwal</v>
      </c>
      <c r="C68" s="1530" t="str">
        <f>INDEX('REVIEW - Complete Role Mapping'!$C:$C,347)</f>
        <v>Engineer Data</v>
      </c>
      <c r="D68" s="1530" t="str">
        <f>INDEX('REVIEW - Complete Role Mapping'!$AK:$AK,347)</f>
        <v>Filled</v>
      </c>
      <c r="E68" s="1547" t="inlineStr">
        <is>
          <t>Filled</t>
        </is>
      </c>
      <c r="F68" s="1773">
        <f>INDEX('REVIEW - Complete Role Mapping'!$AA:$AA,347)</f>
        <v>260911.498</v>
      </c>
      <c r="G68" s="1773">
        <f>$F68*IFERROR(INDEX(Lists!$AD:$AD,MATCH($E68,Lists!$AC:$AC,0)),1)</f>
        <v>260911.498</v>
      </c>
    </row>
    <row r="69">
      <c r="B69" s="1530" t="str">
        <f>INDEX('REVIEW - Complete Role Mapping'!$B:$B,376)</f>
        <v>Jonathan Wong</v>
      </c>
      <c r="C69" s="1530" t="str">
        <f>INDEX('REVIEW - Complete Role Mapping'!$C:$C,376)</f>
        <v>Senior Business Analyst</v>
      </c>
      <c r="D69" s="1530" t="str">
        <f>INDEX('REVIEW - Complete Role Mapping'!$AK:$AK,376)</f>
        <v>Filled</v>
      </c>
      <c r="E69" s="1547" t="inlineStr">
        <is>
          <t>Filled</t>
        </is>
      </c>
      <c r="F69" s="1773">
        <f>INDEX('REVIEW - Complete Role Mapping'!$AA:$AA,376)</f>
        <v>322387</v>
      </c>
      <c r="G69" s="1773">
        <f>$F69*IFERROR(INDEX(Lists!$AD:$AD,MATCH($E69,Lists!$AC:$AC,0)),1)</f>
        <v>322387</v>
      </c>
    </row>
    <row r="70">
      <c r="B70" s="1530" t="str">
        <f>INDEX('REVIEW - Complete Role Mapping'!$B:$B,381)</f>
        <v>Kumar Siva</v>
      </c>
      <c r="C70" s="1530" t="str">
        <f>INDEX('REVIEW - Complete Role Mapping'!$C:$C,381)</f>
        <v>Lead engineer Data</v>
      </c>
      <c r="D70" s="1530" t="str">
        <f>INDEX('REVIEW - Complete Role Mapping'!$AK:$AK,381)</f>
        <v>Filled</v>
      </c>
      <c r="E70" s="1547" t="inlineStr">
        <is>
          <t>Filled</t>
        </is>
      </c>
      <c r="F70" s="1773">
        <f>INDEX('REVIEW - Complete Role Mapping'!$AA:$AA,381)</f>
        <v>375566.5</v>
      </c>
      <c r="G70" s="1773">
        <f>$F70*IFERROR(INDEX(Lists!$AD:$AD,MATCH($E70,Lists!$AC:$AC,0)),1)</f>
        <v>375566.5</v>
      </c>
    </row>
    <row r="71">
      <c r="B71" s="1530" t="str">
        <f>INDEX('REVIEW - Complete Role Mapping'!$B:$B,405)</f>
        <v>Soumya Choudhury</v>
      </c>
      <c r="C71" s="1530" t="str">
        <f>INDEX('REVIEW - Complete Role Mapping'!$C:$C,405)</f>
        <v>Data Application Specialist </v>
      </c>
      <c r="D71" s="1530" t="str">
        <f>INDEX('REVIEW - Complete Role Mapping'!$AK:$AK,405)</f>
        <v>Filled</v>
      </c>
      <c r="E71" s="1547" t="inlineStr">
        <is>
          <t>Filled</t>
        </is>
      </c>
      <c r="F71" s="1773">
        <f>INDEX('REVIEW - Complete Role Mapping'!$AA:$AA,405)</f>
        <v>325684.129</v>
      </c>
      <c r="G71" s="1773">
        <f>$F71*IFERROR(INDEX(Lists!$AD:$AD,MATCH($E71,Lists!$AC:$AC,0)),1)</f>
        <v>325684.129</v>
      </c>
    </row>
    <row r="72">
      <c r="B72" s="1530" t="str">
        <f>INDEX('REVIEW - Complete Role Mapping'!$B:$B,445)</f>
        <v>Zijie Zhang</v>
      </c>
      <c r="C72" s="1530" t="str">
        <f>INDEX('REVIEW - Complete Role Mapping'!$C:$C,445)</f>
        <v>Senior Data Analyst</v>
      </c>
      <c r="D72" s="1530" t="str">
        <f>INDEX('REVIEW - Complete Role Mapping'!$AK:$AK,445)</f>
        <v>Filled</v>
      </c>
      <c r="E72" s="1547" t="inlineStr">
        <is>
          <t>Filled</t>
        </is>
      </c>
      <c r="F72" s="1773">
        <f>INDEX('REVIEW - Complete Role Mapping'!$AA:$AA,445)</f>
        <v>266400</v>
      </c>
      <c r="G72" s="1773">
        <f>$F72*IFERROR(INDEX(Lists!$AD:$AD,MATCH($E72,Lists!$AC:$AC,0)),1)</f>
        <v>266400</v>
      </c>
    </row>
    <row r="73">
      <c r="B73" s="1545" t="inlineStr">
        <is>
          <t>Head of Technology</t>
        </is>
      </c>
      <c r="C73" s="1545" t="str">
        <f>COUNTA($B$74:$B$74)&amp;IF(COUNTA($B$74:$B$74)=1," role"," roles")</f>
        <v>1 role</v>
      </c>
      <c r="D73" s="1545" t="n"/>
      <c r="E73" s="1545" t="n"/>
      <c r="F73" s="1785">
        <f>SUM(F74:F74)</f>
        <v>292434.736</v>
      </c>
      <c r="G73" s="1785">
        <f>SUM(G74:G74)</f>
        <v>292434.736</v>
      </c>
    </row>
    <row r="74">
      <c r="B74" s="1530" t="str">
        <f>INDEX('REVIEW - Complete Role Mapping'!$B:$B,392)</f>
        <v>Nakul Bharade</v>
      </c>
      <c r="C74" s="1530" t="str">
        <f>INDEX('REVIEW - Complete Role Mapping'!$C:$C,392)</f>
        <v>Head of Technology, Commercial Fuels</v>
      </c>
      <c r="D74" s="1530" t="str">
        <f>INDEX('REVIEW - Complete Role Mapping'!$AK:$AK,392)</f>
        <v>Filled</v>
      </c>
      <c r="E74" s="1547" t="inlineStr">
        <is>
          <t>Filled</t>
        </is>
      </c>
      <c r="F74" s="1773">
        <f>INDEX('REVIEW - Complete Role Mapping'!$AA:$AA,392)</f>
        <v>292434.736</v>
      </c>
      <c r="G74" s="1773">
        <f>$F74*IFERROR(INDEX(Lists!$AD:$AD,MATCH($E74,Lists!$AC:$AC,0)),1)</f>
        <v>292434.736</v>
      </c>
    </row>
    <row r="75">
      <c r="B75" s="1545" t="inlineStr">
        <is>
          <t>Delivery Manager</t>
        </is>
      </c>
      <c r="C75" s="1545" t="str">
        <f>COUNTA($B$76:$B$76)&amp;IF(COUNTA($B$76:$B$76)=1," role"," roles")</f>
        <v>1 role</v>
      </c>
      <c r="D75" s="1545" t="n"/>
      <c r="E75" s="1545" t="n"/>
      <c r="F75" s="1785">
        <f>SUM(F76:F76)</f>
        <v>275810.25</v>
      </c>
      <c r="G75" s="1785">
        <f>SUM(G76:G76)</f>
        <v>275810.25</v>
      </c>
    </row>
    <row r="76">
      <c r="B76" s="1530" t="str">
        <f>INDEX('REVIEW - Complete Role Mapping'!$B:$B,421)</f>
        <v>Vacant</v>
      </c>
      <c r="C76" s="1530" t="str">
        <f>INDEX('REVIEW - Complete Role Mapping'!$C:$C,421)</f>
        <v>Delivery Manager</v>
      </c>
      <c r="D76" s="1530" t="str">
        <f>INDEX('REVIEW - Complete Role Mapping'!$AK:$AK,421)</f>
        <v>Vacant</v>
      </c>
      <c r="E76" s="1547" t="inlineStr">
        <is>
          <t>Hire</t>
        </is>
      </c>
      <c r="F76" s="1773">
        <f>INDEX('REVIEW - Complete Role Mapping'!$AA:$AA,421)</f>
        <v>275810.25</v>
      </c>
      <c r="G76" s="1773">
        <f>$F76*IFERROR(INDEX(Lists!$AD:$AD,MATCH($E76,Lists!$AC:$AC,0)),1)</f>
        <v>275810.25</v>
      </c>
    </row>
    <row r="77">
      <c r="B77" s="1545" t="inlineStr">
        <is>
          <t>Technology Manager</t>
        </is>
      </c>
      <c r="C77" s="1545" t="str">
        <f>COUNTA($B$78:$B$79)&amp;IF(COUNTA($B$78:$B$79)=1," role"," roles")</f>
        <v>2 roles</v>
      </c>
      <c r="D77" s="1545" t="n"/>
      <c r="E77" s="1545" t="n"/>
      <c r="F77" s="1785">
        <f>SUM(F78:F79)</f>
        <v>563097.35</v>
      </c>
      <c r="G77" s="1785">
        <f>SUM(G78:G79)</f>
        <v>563097.35</v>
      </c>
    </row>
    <row r="78">
      <c r="B78" s="1530" t="str">
        <f>INDEX('REVIEW - Complete Role Mapping'!$B:$B,336)</f>
        <v>Allan Francia</v>
      </c>
      <c r="C78" s="1530" t="str">
        <f>INDEX('REVIEW - Complete Role Mapping'!$C:$C,336)</f>
        <v>Technology Manager - T&amp;S</v>
      </c>
      <c r="D78" s="1530" t="str">
        <f>INDEX('REVIEW - Complete Role Mapping'!$AK:$AK,336)</f>
        <v>Filled</v>
      </c>
      <c r="E78" s="1547" t="inlineStr">
        <is>
          <t>Filled</t>
        </is>
      </c>
      <c r="F78" s="1773">
        <f>INDEX('REVIEW - Complete Role Mapping'!$AA:$AA,336)</f>
        <v>287287.1</v>
      </c>
      <c r="G78" s="1773">
        <f>$F78*IFERROR(INDEX(Lists!$AD:$AD,MATCH($E78,Lists!$AC:$AC,0)),1)</f>
        <v>287287.1</v>
      </c>
    </row>
    <row r="79">
      <c r="B79" s="1530" t="str">
        <f>INDEX('REVIEW - Complete Role Mapping'!$B:$B,422)</f>
        <v>Vacant</v>
      </c>
      <c r="C79" s="1530" t="str">
        <f>INDEX('REVIEW - Complete Role Mapping'!$C:$C,422)</f>
        <v>Technology Manager, Data</v>
      </c>
      <c r="D79" s="1530" t="str">
        <f>INDEX('REVIEW - Complete Role Mapping'!$AK:$AK,422)</f>
        <v>Vacant</v>
      </c>
      <c r="E79" s="1547" t="inlineStr">
        <is>
          <t>Hire</t>
        </is>
      </c>
      <c r="F79" s="1773">
        <f>INDEX('REVIEW - Complete Role Mapping'!$AA:$AA,422)</f>
        <v>275810.25</v>
      </c>
      <c r="G79" s="1773">
        <f>$F79*IFERROR(INDEX(Lists!$AD:$AD,MATCH($E79,Lists!$AC:$AC,0)),1)</f>
        <v>275810.25</v>
      </c>
    </row>
  </sheetData>
  <dataValidations count="1">
    <dataValidation sqref="E32 E33 E34 E35 E36 E37 E38 E39 E40 E41 E42 E43 E44 E45 E47 E48 E49 E50 E51 E53 E54 E55 E56 E57 E58 E59 E60 E61 E62 E63 E64 E66 E67 E68 E69 E70 E71 E72 E74 E76 E78 E7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Z Retail - working copy</t>
        </is>
      </c>
    </row>
    <row r="3">
      <c r="B3" s="1525" t="inlineStr">
        <is>
          <t>Portfolio</t>
        </is>
      </c>
      <c r="C3" s="1526" t="inlineStr">
        <is>
          <t>Z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NZ</t>
        </is>
      </c>
      <c r="C7" s="1530" t="str">
        <f>IFERROR(INDEX('1.10 Z Retail'!$C$24:$C$41,MATCH($B7,'1.10 Z Retail'!$B$24:$B$41,0)),"Not on the 1.x tab")</f>
        <v>Enterprise Data and Insights</v>
      </c>
      <c r="D7" s="1530" t="str">
        <f>IFERROR(IF(INDEX('1.10 Z Retail'!$D$24:$D$41,MATCH($B7,'1.10 Z Retail'!$B$24:$B$41,0))="","-",INDEX('1.10 Z Retail'!$D$24:$D$41,MATCH($B7,'1.10 Z Retail'!$B$24:$B$41,0))),"-")</f>
        <v>M</v>
      </c>
      <c r="E7" s="1782">
        <f>IFERROR(INDEX('0.3 Squad Archetypes'!$F$5:$F$23,MATCH($C7&amp;"|"&amp;$D7,'0.3 Squad Archetypes'!$A$5:$A$23,0)),"-")</f>
        <v>7.5</v>
      </c>
      <c r="F7" s="1773">
        <f>COUNTA($B$33:$B$39)</f>
        <v>7</v>
      </c>
      <c r="G7" s="1773">
        <f>COUNTIFS($D$33:$D$39,"Filled")</f>
        <v>5</v>
      </c>
      <c r="H7" s="1773">
        <f>COUNTIFS($D$33:$D$39,"Vacant")</f>
        <v>2</v>
      </c>
      <c r="I7" s="1773">
        <f>COUNTIFS($D$33:$D$39,"Vacant",$E$33:$E$39,"Hire")</f>
        <v>2</v>
      </c>
      <c r="J7" s="1773">
        <f>COUNTIFS($E$33:$E$39,"Offshore")</f>
        <v>0</v>
      </c>
      <c r="K7" s="1773">
        <f>COUNTIFS($E$33:$E$39,"Hold")</f>
        <v>0</v>
      </c>
      <c r="L7" s="1773">
        <f>$F7-$K7</f>
        <v>7</v>
      </c>
      <c r="M7" s="1772">
        <f>IFERROR(IF(INDEX('1.10 Z Retail'!$E$24:$E$41,MATCH($B7,'1.10 Z Retail'!$B$24:$B$41,0))="Offshore",INDEX('0.3 Squad Archetypes'!$H$5:$H$23,MATCH($C7&amp;"|"&amp;$D7,'0.3 Squad Archetypes'!$A$5:$A$23,0)),INDEX('0.3 Squad Archetypes'!$G$5:$G$23,MATCH($C7&amp;"|"&amp;$D7,'0.3 Squad Archetypes'!$A$5:$A$23,0))),"-")</f>
        <v>0.68</v>
      </c>
      <c r="N7" s="1772">
        <f>SUMIFS('REVIEW - Complete Role Mapping'!$AA$2:$AA$528,'REVIEW - Complete Role Mapping'!$AJ$2:$AJ$528,$C$3,'REVIEW - Complete Role Mapping'!$AT$2:$AT$528,$B7)/1000000</f>
        <v>1.223843362</v>
      </c>
      <c r="O7" s="1772">
        <f>IFERROR(ROUND($N7-$M7,6),"-")</f>
        <v>0.543843</v>
      </c>
      <c r="P7" s="1772">
        <f>SUM($G$33:$G$39)/1000000</f>
        <v>1.223843362</v>
      </c>
      <c r="Q7" s="1772">
        <f>IFERROR(ROUND($P7-$M7,6),"-")</f>
        <v>0.543843</v>
      </c>
    </row>
    <row r="8">
      <c r="B8" s="1530" t="inlineStr">
        <is>
          <t>Site Systems</t>
        </is>
      </c>
      <c r="C8" s="1530" t="str">
        <f>IFERROR(INDEX('1.10 Z Retail'!$C$24:$C$41,MATCH($B8,'1.10 Z Retail'!$B$24:$B$41,0)),"Not on the 1.x tab")</f>
        <v>Configuration / Integration</v>
      </c>
      <c r="D8" s="1530" t="str">
        <f>IFERROR(IF(INDEX('1.10 Z Retail'!$D$24:$D$41,MATCH($B8,'1.10 Z Retail'!$B$24:$B$41,0))="","-",INDEX('1.10 Z Retail'!$D$24:$D$41,MATCH($B8,'1.10 Z Retail'!$B$24:$B$41,0))),"-")</f>
        <v>M</v>
      </c>
      <c r="E8" s="1782">
        <f>IFERROR(INDEX('0.3 Squad Archetypes'!$F$5:$F$23,MATCH($C8&amp;"|"&amp;$D8,'0.3 Squad Archetypes'!$A$5:$A$23,0)),"-")</f>
        <v>9</v>
      </c>
      <c r="F8" s="1773">
        <f>COUNTA($B$41:$B$49)</f>
        <v>9</v>
      </c>
      <c r="G8" s="1773">
        <f>COUNTIFS($D$41:$D$49,"Filled")</f>
        <v>9</v>
      </c>
      <c r="H8" s="1773">
        <f>COUNTIFS($D$41:$D$49,"Vacant")</f>
        <v>0</v>
      </c>
      <c r="I8" s="1773">
        <f>COUNTIFS($D$41:$D$49,"Vacant",$E$41:$E$49,"Hire")</f>
        <v>0</v>
      </c>
      <c r="J8" s="1773">
        <f>COUNTIFS($E$41:$E$49,"Offshore")</f>
        <v>0</v>
      </c>
      <c r="K8" s="1773">
        <f>COUNTIFS($E$41:$E$49,"Hold")</f>
        <v>0</v>
      </c>
      <c r="L8" s="1773">
        <f>$F8-$K8</f>
        <v>9</v>
      </c>
      <c r="M8" s="1772">
        <f>IFERROR(IF(INDEX('1.10 Z Retail'!$E$24:$E$41,MATCH($B8,'1.10 Z Retail'!$B$24:$B$41,0))="Offshore",INDEX('0.3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1.374665758</v>
      </c>
      <c r="O8" s="1772">
        <f>IFERROR(ROUND($N8-$M8,6),"-")</f>
        <v>-0.725334</v>
      </c>
      <c r="P8" s="1772">
        <f>SUM($G$41:$G$49)/1000000</f>
        <v>1.374665758</v>
      </c>
      <c r="Q8" s="1772">
        <f>IFERROR(ROUND($P8-$M8,6),"-")</f>
        <v>-0.725334</v>
      </c>
    </row>
    <row r="9">
      <c r="B9" s="1530" t="inlineStr">
        <is>
          <t>Z Retail Backend</t>
        </is>
      </c>
      <c r="C9" s="1530" t="str">
        <f>IFERROR(INDEX('1.10 Z Retail'!$C$24:$C$41,MATCH($B9,'1.10 Z Retail'!$B$24:$B$41,0)),"Not on the 1.x tab")</f>
        <v>Build and Run</v>
      </c>
      <c r="D9" s="1530" t="str">
        <f>IFERROR(IF(INDEX('1.10 Z Retail'!$D$24:$D$41,MATCH($B9,'1.10 Z Retail'!$B$24:$B$41,0))="","-",INDEX('1.10 Z Retail'!$D$24:$D$41,MATCH($B9,'1.10 Z Retail'!$B$24:$B$41,0))),"-")</f>
        <v>M</v>
      </c>
      <c r="E9" s="1782">
        <f>IFERROR(INDEX('0.3 Squad Archetypes'!$F$5:$F$23,MATCH($C9&amp;"|"&amp;$D9,'0.3 Squad Archetypes'!$A$5:$A$23,0)),"-")</f>
        <v>9</v>
      </c>
      <c r="F9" s="1773">
        <f>COUNTA($B$51:$B$59)</f>
        <v>9</v>
      </c>
      <c r="G9" s="1773">
        <f>COUNTIFS($D$51:$D$59,"Filled")</f>
        <v>7</v>
      </c>
      <c r="H9" s="1773">
        <f>COUNTIFS($D$51:$D$59,"Vacant")</f>
        <v>2</v>
      </c>
      <c r="I9" s="1773">
        <f>COUNTIFS($D$51:$D$59,"Vacant",$E$51:$E$59,"Hire")</f>
        <v>2</v>
      </c>
      <c r="J9" s="1773">
        <f>COUNTIFS($E$51:$E$59,"Offshore")</f>
        <v>0</v>
      </c>
      <c r="K9" s="1773">
        <f>COUNTIFS($E$51:$E$59,"Hold")</f>
        <v>0</v>
      </c>
      <c r="L9" s="1773">
        <f>$F9-$K9</f>
        <v>9</v>
      </c>
      <c r="M9" s="1772">
        <f>IFERROR(IF(INDEX('1.10 Z Retail'!$E$24:$E$41,MATCH($B9,'1.10 Z Retail'!$B$24:$B$41,0))="Offshore",INDEX('0.3 Squad Archetypes'!$H$5:$H$23,MATCH($C9&amp;"|"&amp;$D9,'0.3 Squad Archetypes'!$A$5:$A$23,0)),INDEX('0.3 Squad Archetypes'!$G$5:$G$23,MATCH($C9&amp;"|"&amp;$D9,'0.3 Squad Archetypes'!$A$5:$A$23,0))),"-")</f>
        <v>2</v>
      </c>
      <c r="N9" s="1772">
        <f>SUMIFS('REVIEW - Complete Role Mapping'!$AA$2:$AA$528,'REVIEW - Complete Role Mapping'!$AJ$2:$AJ$528,$C$3,'REVIEW - Complete Role Mapping'!$AT$2:$AT$528,$B9)/1000000</f>
        <v>1.857667168</v>
      </c>
      <c r="O9" s="1772">
        <f>IFERROR(ROUND($N9-$M9,6),"-")</f>
        <v>-0.142333</v>
      </c>
      <c r="P9" s="1772">
        <f>SUM($G$51:$G$59)/1000000</f>
        <v>1.857667168</v>
      </c>
      <c r="Q9" s="1772">
        <f>IFERROR(ROUND($P9-$M9,6),"-")</f>
        <v>-0.142333</v>
      </c>
    </row>
    <row r="10">
      <c r="B10" s="1530" t="inlineStr">
        <is>
          <t>Z Supply</t>
        </is>
      </c>
      <c r="C10" s="1530" t="str">
        <f>IFERROR(INDEX('1.10 Z Retail'!$C$24:$C$41,MATCH($B10,'1.10 Z Retail'!$B$24:$B$41,0)),"Not on the 1.x tab")</f>
        <v>Build and Run</v>
      </c>
      <c r="D10" s="1530" t="str">
        <f>IFERROR(IF(INDEX('1.10 Z Retail'!$D$24:$D$41,MATCH($B10,'1.10 Z Retail'!$B$24:$B$41,0))="","-",INDEX('1.10 Z Retail'!$D$24:$D$41,MATCH($B10,'1.10 Z Retail'!$B$24:$B$41,0))),"-")</f>
        <v>M</v>
      </c>
      <c r="E10" s="1782">
        <f>IFERROR(INDEX('0.3 Squad Archetypes'!$F$5:$F$23,MATCH($C10&amp;"|"&amp;$D10,'0.3 Squad Archetypes'!$A$5:$A$23,0)),"-")</f>
        <v>9</v>
      </c>
      <c r="F10" s="1773">
        <f>COUNTA($B$61:$B$69)</f>
        <v>9</v>
      </c>
      <c r="G10" s="1773">
        <f>COUNTIFS($D$61:$D$69,"Filled")</f>
        <v>8</v>
      </c>
      <c r="H10" s="1773">
        <f>COUNTIFS($D$61:$D$69,"Vacant")</f>
        <v>1</v>
      </c>
      <c r="I10" s="1773">
        <f>COUNTIFS($D$61:$D$69,"Vacant",$E$61:$E$69,"Hire")</f>
        <v>1</v>
      </c>
      <c r="J10" s="1773">
        <f>COUNTIFS($E$61:$E$69,"Offshore")</f>
        <v>0</v>
      </c>
      <c r="K10" s="1773">
        <f>COUNTIFS($E$61:$E$69,"Hold")</f>
        <v>0</v>
      </c>
      <c r="L10" s="1773">
        <f>$F10-$K10</f>
        <v>9</v>
      </c>
      <c r="M10" s="1772">
        <f>IFERROR(IF(INDEX('1.10 Z Retail'!$E$24:$E$41,MATCH($B10,'1.10 Z Retail'!$B$24:$B$41,0))="Offshore",INDEX('0.3 Squad Archetypes'!$H$5:$H$23,MATCH($C10&amp;"|"&amp;$D10,'0.3 Squad Archetypes'!$A$5:$A$23,0)),INDEX('0.3 Squad Archetypes'!$G$5:$G$23,MATCH($C10&amp;"|"&amp;$D10,'0.3 Squad Archetypes'!$A$5:$A$23,0))),"-")</f>
        <v>2</v>
      </c>
      <c r="N10" s="1772">
        <f>SUMIFS('REVIEW - Complete Role Mapping'!$AA$2:$AA$528,'REVIEW - Complete Role Mapping'!$AJ$2:$AJ$528,$C$3,'REVIEW - Complete Role Mapping'!$AT$2:$AT$528,$B10)/1000000</f>
        <v>1.663774396</v>
      </c>
      <c r="O10" s="1772">
        <f>IFERROR(ROUND($N10-$M10,6),"-")</f>
        <v>-0.336226</v>
      </c>
      <c r="P10" s="1772">
        <f>SUM($G$61:$G$69)/1000000</f>
        <v>1.663774396</v>
      </c>
      <c r="Q10" s="1772">
        <f>IFERROR(ROUND($P10-$M10,6),"-")</f>
        <v>-0.336226</v>
      </c>
    </row>
    <row r="11">
      <c r="B11" s="1534" t="inlineStr">
        <is>
          <t>Squads priced by an archetype</t>
        </is>
      </c>
      <c r="C11" s="1534" t="n"/>
      <c r="D11" s="1534" t="n"/>
      <c r="E11" s="1783">
        <f>SUM(E7:E10)</f>
        <v>34.5</v>
      </c>
      <c r="F11" s="1775">
        <f>SUM(F7:F10)</f>
        <v>34</v>
      </c>
      <c r="G11" s="1775">
        <f>SUM(G7:G10)</f>
        <v>29</v>
      </c>
      <c r="H11" s="1775">
        <f>SUM(H7:H10)</f>
        <v>5</v>
      </c>
      <c r="I11" s="1775">
        <f>SUM(I7:I10)</f>
        <v>5</v>
      </c>
      <c r="J11" s="1775">
        <f>SUM(J7:J10)</f>
        <v>0</v>
      </c>
      <c r="K11" s="1775">
        <f>SUM(K7:K10)</f>
        <v>0</v>
      </c>
      <c r="L11" s="1775">
        <f>SUM(L7:L10)</f>
        <v>34</v>
      </c>
      <c r="M11" s="1774">
        <f>SUM(M7:M10)</f>
        <v>6.78</v>
      </c>
      <c r="N11" s="1774">
        <f>SUM(N7:N10)</f>
        <v>6.119950684</v>
      </c>
      <c r="O11" s="1774">
        <f>SUM(O7:O10)</f>
        <v>-0.66005</v>
      </c>
      <c r="P11" s="1774">
        <f>SUM(P7:P10)</f>
        <v>6.119950684</v>
      </c>
      <c r="Q11" s="1774">
        <f>SUM(Q7:Q10)</f>
        <v>-0.66005</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None</t>
        </is>
      </c>
      <c r="C15" s="1530" t="inlineStr">
        <is>
          <t>Every squad here is priced by an archetype</t>
        </is>
      </c>
      <c r="D15" s="1548" t="str">
        <f>"-"</f>
        <v>-</v>
      </c>
      <c r="E15" s="1548" t="str">
        <f>"-"</f>
        <v>-</v>
      </c>
      <c r="F15" s="1548" t="str">
        <f>"-"</f>
        <v>-</v>
      </c>
      <c r="G15" s="1548" t="str">
        <f>"-"</f>
        <v>-</v>
      </c>
      <c r="H15" s="1548" t="str">
        <f>"-"</f>
        <v>-</v>
      </c>
      <c r="I15" s="1548" t="str">
        <f>"-"</f>
        <v>-</v>
      </c>
      <c r="J15" s="1548" t="str">
        <f>"-"</f>
        <v>-</v>
      </c>
      <c r="K15" s="1548" t="str">
        <f>"-"</f>
        <v>-</v>
      </c>
      <c r="L15" s="1548" t="str">
        <f>"-"</f>
        <v>-</v>
      </c>
      <c r="M15" s="1548" t="str">
        <f>"-"</f>
        <v>-</v>
      </c>
      <c r="N15" s="1548" t="str">
        <f>"-"</f>
        <v>-</v>
      </c>
      <c r="O15" s="1548" t="str">
        <f>"-"</f>
        <v>-</v>
      </c>
      <c r="P15" s="1548" t="str">
        <f>"-"</f>
        <v>-</v>
      </c>
      <c r="Q15" s="1548" t="str">
        <f>"-"</f>
        <v>-</v>
      </c>
    </row>
    <row r="16">
      <c r="B16" s="1534" t="inlineStr">
        <is>
          <t>Directly funded total</t>
        </is>
      </c>
      <c r="C16" s="1534" t="n"/>
      <c r="D16" s="1534" t="n"/>
      <c r="E16" s="1783">
        <f>SUM(E15:E15)</f>
        <v>0</v>
      </c>
      <c r="F16" s="1775">
        <f>SUM(F15:F15)</f>
        <v>0</v>
      </c>
      <c r="G16" s="1775">
        <f>SUM(G15:G15)</f>
        <v>0</v>
      </c>
      <c r="H16" s="1775">
        <f>SUM(H15:H15)</f>
        <v>0</v>
      </c>
      <c r="I16" s="1775">
        <f>SUM(I15:I15)</f>
        <v>0</v>
      </c>
      <c r="J16" s="1775">
        <f>SUM(J15:J15)</f>
        <v>0</v>
      </c>
      <c r="K16" s="1775">
        <f>SUM(K15:K15)</f>
        <v>0</v>
      </c>
      <c r="L16" s="1775">
        <f>SUM(L15:L15)</f>
        <v>0</v>
      </c>
      <c r="M16" s="1774">
        <f>SUM(M15:M15)</f>
        <v>0</v>
      </c>
      <c r="N16" s="1774">
        <f>SUM(N15:N15)</f>
        <v>0</v>
      </c>
      <c r="O16" s="1774">
        <f>SUM(O15:O15)</f>
        <v>0</v>
      </c>
      <c r="P16" s="1774">
        <f>SUM(P15:P15)</f>
        <v>0</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COUNTA($B$71:$B$71)</f>
        <v>1</v>
      </c>
      <c r="G20" s="1773">
        <f>COUNTIFS($D$71:$D$71,"Filled")</f>
        <v>0</v>
      </c>
      <c r="H20" s="1773">
        <f>COUNTIFS($D$71:$D$71,"Vacant")</f>
        <v>1</v>
      </c>
      <c r="I20" s="1773">
        <f>COUNTIFS($D$71:$D$71,"Vacant",$E$71:$E$71,"Hire")</f>
        <v>1</v>
      </c>
      <c r="J20" s="1773">
        <f>COUNTIFS($E$71:$E$71,"Offshore")</f>
        <v>0</v>
      </c>
      <c r="K20" s="1773">
        <f>COUNTIFS($E$71:$E$71,"Hold")</f>
        <v>0</v>
      </c>
      <c r="L20" s="1773">
        <f>$F20-$K20</f>
        <v>1</v>
      </c>
      <c r="M20" s="1538" t="str">
        <f>"-"</f>
        <v>-</v>
      </c>
      <c r="N20" s="1772">
        <f>SUMIFS('REVIEW - Complete Role Mapping'!$AA$2:$AA$528,'REVIEW - Complete Role Mapping'!$AJ$2:$AJ$528,$C$3,'REVIEW - Complete Role Mapping'!$AT$2:$AT$528,$B20)/1000000</f>
        <v>0.291422</v>
      </c>
      <c r="O20" s="1538" t="str">
        <f>"-"</f>
        <v>-</v>
      </c>
      <c r="P20" s="1772">
        <f>SUM($G$71:$G$71)/1000000</f>
        <v>0.291422</v>
      </c>
      <c r="Q20" s="1538" t="str">
        <f>"-"</f>
        <v>-</v>
      </c>
    </row>
    <row r="21">
      <c r="B21" s="1530" t="inlineStr">
        <is>
          <t>Delivery Manager</t>
        </is>
      </c>
      <c r="C21" s="1530" t="str">
        <f>"-"</f>
        <v>-</v>
      </c>
      <c r="D21" s="1530" t="str">
        <f>"-"</f>
        <v>-</v>
      </c>
      <c r="E21" s="1538" t="str">
        <f>"-"</f>
        <v>-</v>
      </c>
      <c r="F21" s="1773">
        <f>COUNTA($B$73:$B$73)</f>
        <v>1</v>
      </c>
      <c r="G21" s="1773">
        <f>COUNTIFS($D$73:$D$73,"Filled")</f>
        <v>0</v>
      </c>
      <c r="H21" s="1773">
        <f>COUNTIFS($D$73:$D$73,"Vacant")</f>
        <v>1</v>
      </c>
      <c r="I21" s="1773">
        <f>COUNTIFS($D$73:$D$73,"Vacant",$E$73:$E$73,"Hire")</f>
        <v>1</v>
      </c>
      <c r="J21" s="1773">
        <f>COUNTIFS($E$73:$E$73,"Offshore")</f>
        <v>0</v>
      </c>
      <c r="K21" s="1773">
        <f>COUNTIFS($E$73:$E$73,"Hold")</f>
        <v>0</v>
      </c>
      <c r="L21" s="1773">
        <f>$F21-$K21</f>
        <v>1</v>
      </c>
      <c r="M21" s="1538" t="str">
        <f>"-"</f>
        <v>-</v>
      </c>
      <c r="N21" s="1772">
        <f>SUMIFS('REVIEW - Complete Role Mapping'!$AA$2:$AA$528,'REVIEW - Complete Role Mapping'!$AJ$2:$AJ$528,$C$3,'REVIEW - Complete Role Mapping'!$AT$2:$AT$528,$B21)/1000000</f>
        <v>0.20285325</v>
      </c>
      <c r="O21" s="1538" t="str">
        <f>"-"</f>
        <v>-</v>
      </c>
      <c r="P21" s="1772">
        <f>SUM($G$73:$G$73)/1000000</f>
        <v>0.20285325</v>
      </c>
      <c r="Q21" s="1538" t="str">
        <f>"-"</f>
        <v>-</v>
      </c>
    </row>
    <row r="22">
      <c r="B22" s="1530" t="inlineStr">
        <is>
          <t>Technology Manager</t>
        </is>
      </c>
      <c r="C22" s="1530" t="str">
        <f>"-"</f>
        <v>-</v>
      </c>
      <c r="D22" s="1530" t="str">
        <f>"-"</f>
        <v>-</v>
      </c>
      <c r="E22" s="1538" t="str">
        <f>"-"</f>
        <v>-</v>
      </c>
      <c r="F22" s="1773">
        <f>COUNTA($B$75:$B$77)</f>
        <v>3</v>
      </c>
      <c r="G22" s="1773">
        <f>COUNTIFS($D$75:$D$77,"Filled")</f>
        <v>3</v>
      </c>
      <c r="H22" s="1773">
        <f>COUNTIFS($D$75:$D$77,"Vacant")</f>
        <v>0</v>
      </c>
      <c r="I22" s="1773">
        <f>COUNTIFS($D$75:$D$77,"Vacant",$E$75:$E$77,"Hire")</f>
        <v>0</v>
      </c>
      <c r="J22" s="1773">
        <f>COUNTIFS($E$75:$E$77,"Offshore")</f>
        <v>0</v>
      </c>
      <c r="K22" s="1773">
        <f>COUNTIFS($E$75:$E$77,"Hold")</f>
        <v>0</v>
      </c>
      <c r="L22" s="1773">
        <f>$F22-$K22</f>
        <v>3</v>
      </c>
      <c r="M22" s="1538" t="str">
        <f>"-"</f>
        <v>-</v>
      </c>
      <c r="N22" s="1772">
        <f>SUMIFS('REVIEW - Complete Role Mapping'!$AA$2:$AA$528,'REVIEW - Complete Role Mapping'!$AJ$2:$AJ$528,$C$3,'REVIEW - Complete Role Mapping'!$AT$2:$AT$528,$B22)/1000000</f>
        <v>0.723068418</v>
      </c>
      <c r="O22" s="1538" t="str">
        <f>"-"</f>
        <v>-</v>
      </c>
      <c r="P22" s="1772">
        <f>SUM($G$75:$G$77)/1000000</f>
        <v>0.723068418</v>
      </c>
      <c r="Q22" s="1538" t="str">
        <f>"-"</f>
        <v>-</v>
      </c>
    </row>
    <row r="23">
      <c r="B23" s="1534" t="inlineStr">
        <is>
          <t>Overhead roles total</t>
        </is>
      </c>
      <c r="C23" s="1534" t="n"/>
      <c r="D23" s="1534" t="n"/>
      <c r="E23" s="1783">
        <f>SUM(E20:E22)</f>
        <v>0</v>
      </c>
      <c r="F23" s="1775">
        <f>SUM(F20:F22)</f>
        <v>5</v>
      </c>
      <c r="G23" s="1775">
        <f>SUM(G20:G22)</f>
        <v>3</v>
      </c>
      <c r="H23" s="1775">
        <f>SUM(H20:H22)</f>
        <v>2</v>
      </c>
      <c r="I23" s="1775">
        <f>SUM(I20:I22)</f>
        <v>2</v>
      </c>
      <c r="J23" s="1775">
        <f>SUM(J20:J22)</f>
        <v>0</v>
      </c>
      <c r="K23" s="1775">
        <f>SUM(K20:K22)</f>
        <v>0</v>
      </c>
      <c r="L23" s="1775">
        <f>SUM(L20:L22)</f>
        <v>5</v>
      </c>
      <c r="M23" s="1774">
        <f>SUM(M20:M22)</f>
        <v>0</v>
      </c>
      <c r="N23" s="1774">
        <f>SUM(N20:N22)</f>
        <v>1.217343668</v>
      </c>
      <c r="O23" s="1774">
        <f>SUM(O20:O22)</f>
        <v>0</v>
      </c>
      <c r="P23" s="1774">
        <f>SUM(P20:P22)</f>
        <v>1.217343668</v>
      </c>
      <c r="Q23" s="1774">
        <f>SUM(Q20:Q22)</f>
        <v>0</v>
      </c>
    </row>
    <row r="24"/>
    <row r="25">
      <c r="B25" s="1539" t="inlineStr">
        <is>
          <t>Total portfolio</t>
        </is>
      </c>
      <c r="C25" s="1539" t="n"/>
      <c r="D25" s="1539" t="n"/>
      <c r="E25" s="1784">
        <f>N(E11)+N(E16)+N(E23)</f>
        <v>34.5</v>
      </c>
      <c r="F25" s="1777">
        <f>N(F11)+N(F16)+N(F23)</f>
        <v>39</v>
      </c>
      <c r="G25" s="1777">
        <f>N(G11)+N(G16)+N(G23)</f>
        <v>32</v>
      </c>
      <c r="H25" s="1777">
        <f>N(H11)+N(H16)+N(H23)</f>
        <v>7</v>
      </c>
      <c r="I25" s="1777">
        <f>N(I11)+N(I16)+N(I23)</f>
        <v>7</v>
      </c>
      <c r="J25" s="1777">
        <f>N(J11)+N(J16)+N(J23)</f>
        <v>0</v>
      </c>
      <c r="K25" s="1777">
        <f>N(K11)+N(K16)+N(K23)</f>
        <v>0</v>
      </c>
      <c r="L25" s="1777">
        <f>N(L11)+N(L16)+N(L23)</f>
        <v>39</v>
      </c>
      <c r="M25" s="1776">
        <f>N(M11)+N(M16)+N(M23)</f>
        <v>6.78</v>
      </c>
      <c r="N25" s="1776">
        <f>N(N11)+N(N16)+N(N23)</f>
        <v>7.337294352</v>
      </c>
      <c r="O25" s="1776">
        <f>N(O11)+N(O16)+N(O23)</f>
        <v>-0.66005</v>
      </c>
      <c r="P25" s="1776">
        <f>N(P11)+N(P16)+N(P23)</f>
        <v>7.337294352</v>
      </c>
      <c r="Q25" s="1776">
        <f>N(Q11)+N(Q16)+N(Q23)</f>
        <v>-0.66005</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Z Retail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NZ</t>
        </is>
      </c>
      <c r="C32" s="1545" t="str">
        <f>COUNTA($B$33:$B$39)&amp;IF(COUNTA($B$33:$B$39)=1," role"," roles")</f>
        <v>7 roles</v>
      </c>
      <c r="D32" s="1545" t="n"/>
      <c r="E32" s="1545" t="n"/>
      <c r="F32" s="1785">
        <f>SUM(F33:F39)</f>
        <v>1223843.362</v>
      </c>
      <c r="G32" s="1785">
        <f>SUM(G33:G39)</f>
        <v>1223843.362</v>
      </c>
    </row>
    <row r="33">
      <c r="B33" s="1530" t="str">
        <f>INDEX('REVIEW - Complete Role Mapping'!$B:$B,12)</f>
        <v>Ash Muthumala</v>
      </c>
      <c r="C33" s="1530" t="str">
        <f>INDEX('REVIEW - Complete Role Mapping'!$C:$C,12)</f>
        <v>Senior QA Analyst</v>
      </c>
      <c r="D33" s="1530" t="str">
        <f>INDEX('REVIEW - Complete Role Mapping'!$AK:$AK,12)</f>
        <v>Filled</v>
      </c>
      <c r="E33" s="1547" t="inlineStr">
        <is>
          <t>Filled</t>
        </is>
      </c>
      <c r="F33" s="1773">
        <f>INDEX('REVIEW - Complete Role Mapping'!$AA:$AA,12)</f>
        <v>140772.828</v>
      </c>
      <c r="G33" s="1773">
        <f>$F33*IFERROR(INDEX(Lists!$AD:$AD,MATCH($E33,Lists!$AC:$AC,0)),1)</f>
        <v>140772.828</v>
      </c>
    </row>
    <row r="34">
      <c r="B34" s="1530" t="str">
        <f>INDEX('REVIEW - Complete Role Mapping'!$B:$B,17)</f>
        <v>Brian Lai</v>
      </c>
      <c r="C34" s="1530" t="str">
        <f>INDEX('REVIEW - Complete Role Mapping'!$C:$C,17)</f>
        <v>Engineer - Data</v>
      </c>
      <c r="D34" s="1530" t="str">
        <f>INDEX('REVIEW - Complete Role Mapping'!$AK:$AK,17)</f>
        <v>Filled</v>
      </c>
      <c r="E34" s="1547" t="inlineStr">
        <is>
          <t>Filled</t>
        </is>
      </c>
      <c r="F34" s="1773">
        <f>INDEX('REVIEW - Complete Role Mapping'!$AA:$AA,17)</f>
        <v>155676</v>
      </c>
      <c r="G34" s="1773">
        <f>$F34*IFERROR(INDEX(Lists!$AD:$AD,MATCH($E34,Lists!$AC:$AC,0)),1)</f>
        <v>155676</v>
      </c>
    </row>
    <row r="35">
      <c r="B35" s="1530" t="str">
        <f>INDEX('REVIEW - Complete Role Mapping'!$B:$B,33)</f>
        <v>Jodie Marquez</v>
      </c>
      <c r="C35" s="1530" t="str">
        <f>INDEX('REVIEW - Complete Role Mapping'!$C:$C,33)</f>
        <v>Data Analyst</v>
      </c>
      <c r="D35" s="1530" t="str">
        <f>INDEX('REVIEW - Complete Role Mapping'!$AK:$AK,33)</f>
        <v>Filled</v>
      </c>
      <c r="E35" s="1547" t="inlineStr">
        <is>
          <t>Filled</t>
        </is>
      </c>
      <c r="F35" s="1773">
        <f>INDEX('REVIEW - Complete Role Mapping'!$AA:$AA,33)</f>
        <v>144642.9</v>
      </c>
      <c r="G35" s="1773">
        <f>$F35*IFERROR(INDEX(Lists!$AD:$AD,MATCH($E35,Lists!$AC:$AC,0)),1)</f>
        <v>144642.9</v>
      </c>
    </row>
    <row r="36">
      <c r="B36" s="1530" t="str">
        <f>INDEX('REVIEW - Complete Role Mapping'!$B:$B,49)</f>
        <v>McKenzie Tournquist</v>
      </c>
      <c r="C36" s="1530" t="str">
        <f>INDEX('REVIEW - Complete Role Mapping'!$C:$C,49)</f>
        <v>Data Analyst</v>
      </c>
      <c r="D36" s="1530" t="str">
        <f>INDEX('REVIEW - Complete Role Mapping'!$AK:$AK,49)</f>
        <v>Filled</v>
      </c>
      <c r="E36" s="1547" t="inlineStr">
        <is>
          <t>Filled</t>
        </is>
      </c>
      <c r="F36" s="1773">
        <f>INDEX('REVIEW - Complete Role Mapping'!$AA:$AA,49)</f>
        <v>91809.784</v>
      </c>
      <c r="G36" s="1773">
        <f>$F36*IFERROR(INDEX(Lists!$AD:$AD,MATCH($E36,Lists!$AC:$AC,0)),1)</f>
        <v>91809.784</v>
      </c>
    </row>
    <row r="37">
      <c r="B37" s="1530" t="str">
        <f>INDEX('REVIEW - Complete Role Mapping'!$B:$B,50)</f>
        <v>Michael Dasan</v>
      </c>
      <c r="C37" s="1530" t="str">
        <f>INDEX('REVIEW - Complete Role Mapping'!$C:$C,50)</f>
        <v>Engineer - Data</v>
      </c>
      <c r="D37" s="1530" t="str">
        <f>INDEX('REVIEW - Complete Role Mapping'!$AK:$AK,50)</f>
        <v>Filled</v>
      </c>
      <c r="E37" s="1547" t="inlineStr">
        <is>
          <t>Filled</t>
        </is>
      </c>
      <c r="F37" s="1773">
        <f>INDEX('REVIEW - Complete Role Mapping'!$AA:$AA,50)</f>
        <v>212278.35</v>
      </c>
      <c r="G37" s="1773">
        <f>$F37*IFERROR(INDEX(Lists!$AD:$AD,MATCH($E37,Lists!$AC:$AC,0)),1)</f>
        <v>212278.35</v>
      </c>
    </row>
    <row r="38">
      <c r="B38" s="1530" t="str">
        <f>INDEX('REVIEW - Complete Role Mapping'!$B:$B,73)</f>
        <v>Vacant</v>
      </c>
      <c r="C38" s="1530" t="str">
        <f>INDEX('REVIEW - Complete Role Mapping'!$C:$C,73)</f>
        <v>Delivery Lead</v>
      </c>
      <c r="D38" s="1530" t="str">
        <f>INDEX('REVIEW - Complete Role Mapping'!$AK:$AK,73)</f>
        <v>Vacant</v>
      </c>
      <c r="E38" s="1547" t="inlineStr">
        <is>
          <t>Hire</t>
        </is>
      </c>
      <c r="F38" s="1773">
        <f>INDEX('REVIEW - Complete Role Mapping'!$AA:$AA,73)</f>
        <v>275810.25</v>
      </c>
      <c r="G38" s="1773">
        <f>$F38*IFERROR(INDEX(Lists!$AD:$AD,MATCH($E38,Lists!$AC:$AC,0)),1)</f>
        <v>275810.25</v>
      </c>
    </row>
    <row r="39">
      <c r="B39" s="1530" t="str">
        <f>INDEX('REVIEW - Complete Role Mapping'!$B:$B,78)</f>
        <v>Vacant</v>
      </c>
      <c r="C39" s="1530" t="str">
        <f>INDEX('REVIEW - Complete Role Mapping'!$C:$C,78)</f>
        <v>Engineer - Data</v>
      </c>
      <c r="D39" s="1530" t="str">
        <f>INDEX('REVIEW - Complete Role Mapping'!$AK:$AK,78)</f>
        <v>Vacant</v>
      </c>
      <c r="E39" s="1547" t="inlineStr">
        <is>
          <t>Hire</t>
        </is>
      </c>
      <c r="F39" s="1773">
        <f>INDEX('REVIEW - Complete Role Mapping'!$AA:$AA,78)</f>
        <v>202853.25</v>
      </c>
      <c r="G39" s="1773">
        <f>$F39*IFERROR(INDEX(Lists!$AD:$AD,MATCH($E39,Lists!$AC:$AC,0)),1)</f>
        <v>202853.25</v>
      </c>
    </row>
    <row r="40">
      <c r="B40" s="1545" t="inlineStr">
        <is>
          <t>Site Systems</t>
        </is>
      </c>
      <c r="C40" s="1545" t="str">
        <f>COUNTA($B$41:$B$49)&amp;IF(COUNTA($B$41:$B$49)=1," role"," roles")</f>
        <v>9 roles</v>
      </c>
      <c r="D40" s="1545" t="n"/>
      <c r="E40" s="1545" t="n"/>
      <c r="F40" s="1785">
        <f>SUM(F41:F49)</f>
        <v>1374665.758</v>
      </c>
      <c r="G40" s="1785">
        <f>SUM(G41:G49)</f>
        <v>1374665.758</v>
      </c>
    </row>
    <row r="41">
      <c r="B41" s="1530" t="str">
        <f>INDEX('REVIEW - Complete Role Mapping'!$B:$B,5)</f>
        <v>Alex Sutherland</v>
      </c>
      <c r="C41" s="1530" t="str">
        <f>INDEX('REVIEW - Complete Role Mapping'!$C:$C,5)</f>
        <v>Site Systems Analyst</v>
      </c>
      <c r="D41" s="1530" t="str">
        <f>INDEX('REVIEW - Complete Role Mapping'!$AK:$AK,5)</f>
        <v>Filled</v>
      </c>
      <c r="E41" s="1547" t="inlineStr">
        <is>
          <t>Filled</t>
        </is>
      </c>
      <c r="F41" s="1773">
        <f>INDEX('REVIEW - Complete Role Mapping'!$AA:$AA,5)</f>
        <v>96857.824</v>
      </c>
      <c r="G41" s="1773">
        <f>$F41*IFERROR(INDEX(Lists!$AD:$AD,MATCH($E41,Lists!$AC:$AC,0)),1)</f>
        <v>96857.824</v>
      </c>
    </row>
    <row r="42">
      <c r="B42" s="1530" t="str">
        <f>INDEX('REVIEW - Complete Role Mapping'!$B:$B,16)</f>
        <v>Bradley Cunningham</v>
      </c>
      <c r="C42" s="1530" t="str">
        <f>INDEX('REVIEW - Complete Role Mapping'!$C:$C,16)</f>
        <v>Site Systems Analyst</v>
      </c>
      <c r="D42" s="1530" t="str">
        <f>INDEX('REVIEW - Complete Role Mapping'!$AK:$AK,16)</f>
        <v>Filled</v>
      </c>
      <c r="E42" s="1547" t="inlineStr">
        <is>
          <t>Filled</t>
        </is>
      </c>
      <c r="F42" s="1773">
        <f>INDEX('REVIEW - Complete Role Mapping'!$AA:$AA,16)</f>
        <v>107247.016</v>
      </c>
      <c r="G42" s="1773">
        <f>$F42*IFERROR(INDEX(Lists!$AD:$AD,MATCH($E42,Lists!$AC:$AC,0)),1)</f>
        <v>107247.016</v>
      </c>
    </row>
    <row r="43">
      <c r="B43" s="1530" t="str">
        <f>INDEX('REVIEW - Complete Role Mapping'!$B:$B,19)</f>
        <v>Chris Mitchell</v>
      </c>
      <c r="C43" s="1530" t="str">
        <f>INDEX('REVIEW - Complete Role Mapping'!$C:$C,19)</f>
        <v>Deployment Lead</v>
      </c>
      <c r="D43" s="1530" t="str">
        <f>INDEX('REVIEW - Complete Role Mapping'!$AK:$AK,19)</f>
        <v>Filled</v>
      </c>
      <c r="E43" s="1547" t="inlineStr">
        <is>
          <t>Filled</t>
        </is>
      </c>
      <c r="F43" s="1773">
        <f>INDEX('REVIEW - Complete Role Mapping'!$AA:$AA,19)</f>
        <v>136438.8</v>
      </c>
      <c r="G43" s="1773">
        <f>$F43*IFERROR(INDEX(Lists!$AD:$AD,MATCH($E43,Lists!$AC:$AC,0)),1)</f>
        <v>136438.8</v>
      </c>
    </row>
    <row r="44">
      <c r="B44" s="1530" t="str">
        <f>INDEX('REVIEW - Complete Role Mapping'!$B:$B,20)</f>
        <v>Chris Wilson</v>
      </c>
      <c r="C44" s="1530" t="str">
        <f>INDEX('REVIEW - Complete Role Mapping'!$C:$C,20)</f>
        <v>Solution Architect</v>
      </c>
      <c r="D44" s="1530" t="str">
        <f>INDEX('REVIEW - Complete Role Mapping'!$AK:$AK,20)</f>
        <v>Filled</v>
      </c>
      <c r="E44" s="1547" t="inlineStr">
        <is>
          <t>Filled</t>
        </is>
      </c>
      <c r="F44" s="1773">
        <f>INDEX('REVIEW - Complete Role Mapping'!$AA:$AA,20)</f>
        <v>186217.884</v>
      </c>
      <c r="G44" s="1773">
        <f>$F44*IFERROR(INDEX(Lists!$AD:$AD,MATCH($E44,Lists!$AC:$AC,0)),1)</f>
        <v>186217.884</v>
      </c>
    </row>
    <row r="45">
      <c r="B45" s="1530" t="str">
        <f>INDEX('REVIEW - Complete Role Mapping'!$B:$B,40)</f>
        <v>Kelly Russell</v>
      </c>
      <c r="C45" s="1530" t="str">
        <f>INDEX('REVIEW - Complete Role Mapping'!$C:$C,40)</f>
        <v>Lead Quality Assurance</v>
      </c>
      <c r="D45" s="1530" t="str">
        <f>INDEX('REVIEW - Complete Role Mapping'!$AK:$AK,40)</f>
        <v>Filled</v>
      </c>
      <c r="E45" s="1547" t="inlineStr">
        <is>
          <t>Filled</t>
        </is>
      </c>
      <c r="F45" s="1773">
        <f>INDEX('REVIEW - Complete Role Mapping'!$AA:$AA,40)</f>
        <v>81073.2</v>
      </c>
      <c r="G45" s="1773">
        <f>$F45*IFERROR(INDEX(Lists!$AD:$AD,MATCH($E45,Lists!$AC:$AC,0)),1)</f>
        <v>81073.2</v>
      </c>
    </row>
    <row r="46">
      <c r="B46" s="1530" t="str">
        <f>INDEX('REVIEW - Complete Role Mapping'!$B:$B,56)</f>
        <v>Sakshi Sachdeva</v>
      </c>
      <c r="C46" s="1530" t="str">
        <f>INDEX('REVIEW - Complete Role Mapping'!$C:$C,56)</f>
        <v>Senior Quality Assurance </v>
      </c>
      <c r="D46" s="1530" t="str">
        <f>INDEX('REVIEW - Complete Role Mapping'!$AK:$AK,56)</f>
        <v>Filled</v>
      </c>
      <c r="E46" s="1547" t="inlineStr">
        <is>
          <t>Filled</t>
        </is>
      </c>
      <c r="F46" s="1773">
        <f>INDEX('REVIEW - Complete Role Mapping'!$AA:$AA,56)</f>
        <v>175039.65</v>
      </c>
      <c r="G46" s="1773">
        <f>$F46*IFERROR(INDEX(Lists!$AD:$AD,MATCH($E46,Lists!$AC:$AC,0)),1)</f>
        <v>175039.65</v>
      </c>
    </row>
    <row r="47">
      <c r="B47" s="1530" t="str">
        <f>INDEX('REVIEW - Complete Role Mapping'!$B:$B,63)</f>
        <v>Tim Gurnsey</v>
      </c>
      <c r="C47" s="1530" t="str">
        <f>INDEX('REVIEW - Complete Role Mapping'!$C:$C,63)</f>
        <v>Delivery Lead</v>
      </c>
      <c r="D47" s="1530" t="str">
        <f>INDEX('REVIEW - Complete Role Mapping'!$AK:$AK,63)</f>
        <v>Filled</v>
      </c>
      <c r="E47" s="1547" t="inlineStr">
        <is>
          <t>Filled</t>
        </is>
      </c>
      <c r="F47" s="1773">
        <f>INDEX('REVIEW - Complete Role Mapping'!$AA:$AA,63)</f>
        <v>256913.42</v>
      </c>
      <c r="G47" s="1773">
        <f>$F47*IFERROR(INDEX(Lists!$AD:$AD,MATCH($E47,Lists!$AC:$AC,0)),1)</f>
        <v>256913.42</v>
      </c>
    </row>
    <row r="48">
      <c r="B48" s="1530" t="str">
        <f>INDEX('REVIEW - Complete Role Mapping'!$B:$B,98)</f>
        <v>Vanessa King</v>
      </c>
      <c r="C48" s="1530" t="str">
        <f>INDEX('REVIEW - Complete Role Mapping'!$C:$C,98)</f>
        <v>Lead Quality Assurance</v>
      </c>
      <c r="D48" s="1530" t="str">
        <f>INDEX('REVIEW - Complete Role Mapping'!$AK:$AK,98)</f>
        <v>Filled</v>
      </c>
      <c r="E48" s="1547" t="inlineStr">
        <is>
          <t>Filled</t>
        </is>
      </c>
      <c r="F48" s="1773">
        <f>INDEX('REVIEW - Complete Role Mapping'!$AA:$AA,98)</f>
        <v>199898.928</v>
      </c>
      <c r="G48" s="1773">
        <f>$F48*IFERROR(INDEX(Lists!$AD:$AD,MATCH($E48,Lists!$AC:$AC,0)),1)</f>
        <v>199898.928</v>
      </c>
    </row>
    <row r="49">
      <c r="B49" s="1530" t="str">
        <f>INDEX('REVIEW - Complete Role Mapping'!$B:$B,105)</f>
        <v>Warren Grieve</v>
      </c>
      <c r="C49" s="1530" t="str">
        <f>INDEX('REVIEW - Complete Role Mapping'!$C:$C,105)</f>
        <v>Senior Site Systems Analyst</v>
      </c>
      <c r="D49" s="1530" t="str">
        <f>INDEX('REVIEW - Complete Role Mapping'!$AK:$AK,105)</f>
        <v>Filled</v>
      </c>
      <c r="E49" s="1547" t="inlineStr">
        <is>
          <t>Filled</t>
        </is>
      </c>
      <c r="F49" s="1773">
        <f>INDEX('REVIEW - Complete Role Mapping'!$AA:$AA,105)</f>
        <v>134979.036</v>
      </c>
      <c r="G49" s="1773">
        <f>$F49*IFERROR(INDEX(Lists!$AD:$AD,MATCH($E49,Lists!$AC:$AC,0)),1)</f>
        <v>134979.036</v>
      </c>
    </row>
    <row r="50">
      <c r="B50" s="1545" t="inlineStr">
        <is>
          <t>Z Retail Backend</t>
        </is>
      </c>
      <c r="C50" s="1545" t="str">
        <f>COUNTA($B$51:$B$59)&amp;IF(COUNTA($B$51:$B$59)=1," role"," roles")</f>
        <v>9 roles</v>
      </c>
      <c r="D50" s="1545" t="n"/>
      <c r="E50" s="1545" t="n"/>
      <c r="F50" s="1785">
        <f>SUM(F51:F59)</f>
        <v>1857667.168</v>
      </c>
      <c r="G50" s="1785">
        <f>SUM(G51:G59)</f>
        <v>1857667.168</v>
      </c>
    </row>
    <row r="51">
      <c r="B51" s="1530" t="str">
        <f>INDEX('REVIEW - Complete Role Mapping'!$B:$B,2)</f>
        <v>Adrian Alcance</v>
      </c>
      <c r="C51" s="1530" t="str">
        <f>INDEX('REVIEW - Complete Role Mapping'!$C:$C,2)</f>
        <v>Senior Engineer - DevOps</v>
      </c>
      <c r="D51" s="1530" t="str">
        <f>INDEX('REVIEW - Complete Role Mapping'!$AK:$AK,2)</f>
        <v>Filled</v>
      </c>
      <c r="E51" s="1547" t="inlineStr">
        <is>
          <t>Filled</t>
        </is>
      </c>
      <c r="F51" s="1773">
        <f>INDEX('REVIEW - Complete Role Mapping'!$AA:$AA,2)</f>
        <v>142900.236</v>
      </c>
      <c r="G51" s="1773">
        <f>$F51*IFERROR(INDEX(Lists!$AD:$AD,MATCH($E51,Lists!$AC:$AC,0)),1)</f>
        <v>142900.236</v>
      </c>
    </row>
    <row r="52">
      <c r="B52" s="1530" t="str">
        <f>INDEX('REVIEW - Complete Role Mapping'!$B:$B,6)</f>
        <v>Allana Arbuckle</v>
      </c>
      <c r="C52" s="1530" t="str">
        <f>INDEX('REVIEW - Complete Role Mapping'!$C:$C,6)</f>
        <v>Business Analyst</v>
      </c>
      <c r="D52" s="1530" t="str">
        <f>INDEX('REVIEW - Complete Role Mapping'!$AK:$AK,6)</f>
        <v>Filled</v>
      </c>
      <c r="E52" s="1547" t="inlineStr">
        <is>
          <t>Filled</t>
        </is>
      </c>
      <c r="F52" s="1773">
        <f>INDEX('REVIEW - Complete Role Mapping'!$AA:$AA,6)</f>
        <v>112447.04</v>
      </c>
      <c r="G52" s="1773">
        <f>$F52*IFERROR(INDEX(Lists!$AD:$AD,MATCH($E52,Lists!$AC:$AC,0)),1)</f>
        <v>112447.04</v>
      </c>
    </row>
    <row r="53">
      <c r="B53" s="1530" t="str">
        <f>INDEX('REVIEW - Complete Role Mapping'!$B:$B,21)</f>
        <v>Christian Guo</v>
      </c>
      <c r="C53" s="1530" t="str">
        <f>INDEX('REVIEW - Complete Role Mapping'!$C:$C,21)</f>
        <v>Solution Architect</v>
      </c>
      <c r="D53" s="1530" t="str">
        <f>INDEX('REVIEW - Complete Role Mapping'!$AK:$AK,21)</f>
        <v>Filled</v>
      </c>
      <c r="E53" s="1547" t="inlineStr">
        <is>
          <t>Filled</t>
        </is>
      </c>
      <c r="F53" s="1773">
        <f>INDEX('REVIEW - Complete Role Mapping'!$AA:$AA,21)</f>
        <v>206598</v>
      </c>
      <c r="G53" s="1773">
        <f>$F53*IFERROR(INDEX(Lists!$AD:$AD,MATCH($E53,Lists!$AC:$AC,0)),1)</f>
        <v>206598</v>
      </c>
    </row>
    <row r="54">
      <c r="B54" s="1530" t="str">
        <f>INDEX('REVIEW - Complete Role Mapping'!$B:$B,41)</f>
        <v>Lauren Lancaster</v>
      </c>
      <c r="C54" s="1530" t="str">
        <f>INDEX('REVIEW - Complete Role Mapping'!$C:$C,41)</f>
        <v>Associate Engineer - Software</v>
      </c>
      <c r="D54" s="1530" t="str">
        <f>INDEX('REVIEW - Complete Role Mapping'!$AK:$AK,41)</f>
        <v>Filled</v>
      </c>
      <c r="E54" s="1547" t="inlineStr">
        <is>
          <t>Filled</t>
        </is>
      </c>
      <c r="F54" s="1773">
        <f>INDEX('REVIEW - Complete Role Mapping'!$AA:$AA,41)</f>
        <v>438650</v>
      </c>
      <c r="G54" s="1773">
        <f>$F54*IFERROR(INDEX(Lists!$AD:$AD,MATCH($E54,Lists!$AC:$AC,0)),1)</f>
        <v>438650</v>
      </c>
    </row>
    <row r="55">
      <c r="B55" s="1530" t="str">
        <f>INDEX('REVIEW - Complete Role Mapping'!$B:$B,44)</f>
        <v>Malachi Ah Hoi</v>
      </c>
      <c r="C55" s="1530" t="str">
        <f>INDEX('REVIEW - Complete Role Mapping'!$C:$C,44)</f>
        <v>Senior Quality Assurance</v>
      </c>
      <c r="D55" s="1530" t="str">
        <f>INDEX('REVIEW - Complete Role Mapping'!$AK:$AK,44)</f>
        <v>Filled</v>
      </c>
      <c r="E55" s="1547" t="inlineStr">
        <is>
          <t>Filled</t>
        </is>
      </c>
      <c r="F55" s="1773">
        <f>INDEX('REVIEW - Complete Role Mapping'!$AA:$AA,44)</f>
        <v>199378.392</v>
      </c>
      <c r="G55" s="1773">
        <f>$F55*IFERROR(INDEX(Lists!$AD:$AD,MATCH($E55,Lists!$AC:$AC,0)),1)</f>
        <v>199378.392</v>
      </c>
    </row>
    <row r="56">
      <c r="B56" s="1530" t="str">
        <f>INDEX('REVIEW - Complete Role Mapping'!$B:$B,46)</f>
        <v>Mark Dickson</v>
      </c>
      <c r="C56" s="1530" t="str">
        <f>INDEX('REVIEW - Complete Role Mapping'!$C:$C,46)</f>
        <v>Delivery Lead</v>
      </c>
      <c r="D56" s="1530" t="str">
        <f>INDEX('REVIEW - Complete Role Mapping'!$AK:$AK,46)</f>
        <v>Filled</v>
      </c>
      <c r="E56" s="1547" t="inlineStr">
        <is>
          <t>Filled</t>
        </is>
      </c>
      <c r="F56" s="1773">
        <f>INDEX('REVIEW - Complete Role Mapping'!$AA:$AA,46)</f>
        <v>180225</v>
      </c>
      <c r="G56" s="1773">
        <f>$F56*IFERROR(INDEX(Lists!$AD:$AD,MATCH($E56,Lists!$AC:$AC,0)),1)</f>
        <v>180225</v>
      </c>
    </row>
    <row r="57">
      <c r="B57" s="1530" t="str">
        <f>INDEX('REVIEW - Complete Role Mapping'!$B:$B,65)</f>
        <v>Trevor Weaver</v>
      </c>
      <c r="C57" s="1530" t="str">
        <f>INDEX('REVIEW - Complete Role Mapping'!$C:$C,65)</f>
        <v>Lead  Engineer - Software</v>
      </c>
      <c r="D57" s="1530" t="str">
        <f>INDEX('REVIEW - Complete Role Mapping'!$AK:$AK,65)</f>
        <v>Filled</v>
      </c>
      <c r="E57" s="1547" t="inlineStr">
        <is>
          <t>Filled</t>
        </is>
      </c>
      <c r="F57" s="1773">
        <f>INDEX('REVIEW - Complete Role Mapping'!$AA:$AA,65)</f>
        <v>175289.5</v>
      </c>
      <c r="G57" s="1773">
        <f>$F57*IFERROR(INDEX(Lists!$AD:$AD,MATCH($E57,Lists!$AC:$AC,0)),1)</f>
        <v>175289.5</v>
      </c>
    </row>
    <row r="58">
      <c r="B58" s="1530" t="str">
        <f>INDEX('REVIEW - Complete Role Mapping'!$B:$B,80)</f>
        <v>Vacant</v>
      </c>
      <c r="C58" s="1530" t="str">
        <f>INDEX('REVIEW - Complete Role Mapping'!$C:$C,80)</f>
        <v>Engineer - Software</v>
      </c>
      <c r="D58" s="1530" t="str">
        <f>INDEX('REVIEW - Complete Role Mapping'!$AK:$AK,80)</f>
        <v>Vacant</v>
      </c>
      <c r="E58" s="1547" t="inlineStr">
        <is>
          <t>Hire</t>
        </is>
      </c>
      <c r="F58" s="1773">
        <f>INDEX('REVIEW - Complete Role Mapping'!$AA:$AA,80)</f>
        <v>231689.25</v>
      </c>
      <c r="G58" s="1773">
        <f>$F58*IFERROR(INDEX(Lists!$AD:$AD,MATCH($E58,Lists!$AC:$AC,0)),1)</f>
        <v>231689.25</v>
      </c>
    </row>
    <row r="59">
      <c r="B59" s="1530" t="str">
        <f>INDEX('REVIEW - Complete Role Mapping'!$B:$B,84)</f>
        <v>Vacant</v>
      </c>
      <c r="C59" s="1530" t="str">
        <f>INDEX('REVIEW - Complete Role Mapping'!$C:$C,84)</f>
        <v>Lead Quality Assurance</v>
      </c>
      <c r="D59" s="1530" t="str">
        <f>INDEX('REVIEW - Complete Role Mapping'!$AK:$AK,84)</f>
        <v>Vacant</v>
      </c>
      <c r="E59" s="1547" t="inlineStr">
        <is>
          <t>Hire</t>
        </is>
      </c>
      <c r="F59" s="1773">
        <f>INDEX('REVIEW - Complete Role Mapping'!$AA:$AA,84)</f>
        <v>170489.75</v>
      </c>
      <c r="G59" s="1773">
        <f>$F59*IFERROR(INDEX(Lists!$AD:$AD,MATCH($E59,Lists!$AC:$AC,0)),1)</f>
        <v>170489.75</v>
      </c>
    </row>
    <row r="60">
      <c r="B60" s="1545" t="inlineStr">
        <is>
          <t>Z Supply</t>
        </is>
      </c>
      <c r="C60" s="1545" t="str">
        <f>COUNTA($B$61:$B$69)&amp;IF(COUNTA($B$61:$B$69)=1," role"," roles")</f>
        <v>9 roles</v>
      </c>
      <c r="D60" s="1545" t="n"/>
      <c r="E60" s="1545" t="n"/>
      <c r="F60" s="1785">
        <f>SUM(F61:F69)</f>
        <v>1663774.396</v>
      </c>
      <c r="G60" s="1785">
        <f>SUM(G61:G69)</f>
        <v>1663774.396</v>
      </c>
    </row>
    <row r="61">
      <c r="B61" s="1530" t="str">
        <f>INDEX('REVIEW - Complete Role Mapping'!$B:$B,9)</f>
        <v>Anna Koot</v>
      </c>
      <c r="C61" s="1530" t="str">
        <f>INDEX('REVIEW - Complete Role Mapping'!$C:$C,9)</f>
        <v>Senior Business Analyst</v>
      </c>
      <c r="D61" s="1530" t="str">
        <f>INDEX('REVIEW - Complete Role Mapping'!$AK:$AK,9)</f>
        <v>Filled</v>
      </c>
      <c r="E61" s="1547" t="inlineStr">
        <is>
          <t>Filled</t>
        </is>
      </c>
      <c r="F61" s="1773">
        <f>INDEX('REVIEW - Complete Role Mapping'!$AA:$AA,9)</f>
        <v>153774.912</v>
      </c>
      <c r="G61" s="1773">
        <f>$F61*IFERROR(INDEX(Lists!$AD:$AD,MATCH($E61,Lists!$AC:$AC,0)),1)</f>
        <v>153774.912</v>
      </c>
    </row>
    <row r="62">
      <c r="B62" s="1530" t="str">
        <f>INDEX('REVIEW - Complete Role Mapping'!$B:$B,15)</f>
        <v>Benjamin Sheffield</v>
      </c>
      <c r="C62" s="1530" t="str">
        <f>INDEX('REVIEW - Complete Role Mapping'!$C:$C,15)</f>
        <v>Lead Engineer - Software</v>
      </c>
      <c r="D62" s="1530" t="str">
        <f>INDEX('REVIEW - Complete Role Mapping'!$AK:$AK,15)</f>
        <v>Filled</v>
      </c>
      <c r="E62" s="1547" t="inlineStr">
        <is>
          <t>Filled</t>
        </is>
      </c>
      <c r="F62" s="1773">
        <f>INDEX('REVIEW - Complete Role Mapping'!$AA:$AA,15)</f>
        <v>184248.9</v>
      </c>
      <c r="G62" s="1773">
        <f>$F62*IFERROR(INDEX(Lists!$AD:$AD,MATCH($E62,Lists!$AC:$AC,0)),1)</f>
        <v>184248.9</v>
      </c>
    </row>
    <row r="63">
      <c r="B63" s="1530" t="str">
        <f>INDEX('REVIEW - Complete Role Mapping'!$B:$B,25)</f>
        <v>Eugene Yeo</v>
      </c>
      <c r="C63" s="1530" t="str">
        <f>INDEX('REVIEW - Complete Role Mapping'!$C:$C,25)</f>
        <v>Engineer - DevOps</v>
      </c>
      <c r="D63" s="1530" t="str">
        <f>INDEX('REVIEW - Complete Role Mapping'!$AK:$AK,25)</f>
        <v>Filled</v>
      </c>
      <c r="E63" s="1547" t="inlineStr">
        <is>
          <t>Filled</t>
        </is>
      </c>
      <c r="F63" s="1773">
        <f>INDEX('REVIEW - Complete Role Mapping'!$AA:$AA,25)</f>
        <v>116898</v>
      </c>
      <c r="G63" s="1773">
        <f>$F63*IFERROR(INDEX(Lists!$AD:$AD,MATCH($E63,Lists!$AC:$AC,0)),1)</f>
        <v>116898</v>
      </c>
    </row>
    <row r="64">
      <c r="B64" s="1530" t="str">
        <f>INDEX('REVIEW - Complete Role Mapping'!$B:$B,26)</f>
        <v>Gayan Liyana Arachchige</v>
      </c>
      <c r="C64" s="1530" t="str">
        <f>INDEX('REVIEW - Complete Role Mapping'!$C:$C,26)</f>
        <v>Engineer - DevOps</v>
      </c>
      <c r="D64" s="1530" t="str">
        <f>INDEX('REVIEW - Complete Role Mapping'!$AK:$AK,26)</f>
        <v>Filled</v>
      </c>
      <c r="E64" s="1547" t="inlineStr">
        <is>
          <t>Filled</t>
        </is>
      </c>
      <c r="F64" s="1773">
        <f>INDEX('REVIEW - Complete Role Mapping'!$AA:$AA,26)</f>
        <v>174513.65</v>
      </c>
      <c r="G64" s="1773">
        <f>$F64*IFERROR(INDEX(Lists!$AD:$AD,MATCH($E64,Lists!$AC:$AC,0)),1)</f>
        <v>174513.65</v>
      </c>
    </row>
    <row r="65">
      <c r="B65" s="1530" t="str">
        <f>INDEX('REVIEW - Complete Role Mapping'!$B:$B,29)</f>
        <v>Helen Jones</v>
      </c>
      <c r="C65" s="1530" t="str">
        <f>INDEX('REVIEW - Complete Role Mapping'!$C:$C,29)</f>
        <v>Delivery Lead</v>
      </c>
      <c r="D65" s="1530" t="str">
        <f>INDEX('REVIEW - Complete Role Mapping'!$AK:$AK,29)</f>
        <v>Filled</v>
      </c>
      <c r="E65" s="1547" t="inlineStr">
        <is>
          <t>Filled</t>
        </is>
      </c>
      <c r="F65" s="1773">
        <f>INDEX('REVIEW - Complete Role Mapping'!$AA:$AA,29)</f>
        <v>239418.9</v>
      </c>
      <c r="G65" s="1773">
        <f>$F65*IFERROR(INDEX(Lists!$AD:$AD,MATCH($E65,Lists!$AC:$AC,0)),1)</f>
        <v>239418.9</v>
      </c>
    </row>
    <row r="66">
      <c r="B66" s="1530" t="str">
        <f>INDEX('REVIEW - Complete Role Mapping'!$B:$B,31)</f>
        <v>Isuru Herath</v>
      </c>
      <c r="C66" s="1530" t="str">
        <f>INDEX('REVIEW - Complete Role Mapping'!$C:$C,31)</f>
        <v>Senior Engineer - Software</v>
      </c>
      <c r="D66" s="1530" t="str">
        <f>INDEX('REVIEW - Complete Role Mapping'!$AK:$AK,31)</f>
        <v>Filled</v>
      </c>
      <c r="E66" s="1547" t="inlineStr">
        <is>
          <t>Filled</t>
        </is>
      </c>
      <c r="F66" s="1773">
        <f>INDEX('REVIEW - Complete Role Mapping'!$AA:$AA,31)</f>
        <v>224493.6</v>
      </c>
      <c r="G66" s="1773">
        <f>$F66*IFERROR(INDEX(Lists!$AD:$AD,MATCH($E66,Lists!$AC:$AC,0)),1)</f>
        <v>224493.6</v>
      </c>
    </row>
    <row r="67">
      <c r="B67" s="1530" t="str">
        <f>INDEX('REVIEW - Complete Role Mapping'!$B:$B,34)</f>
        <v>Joe Kuttikkatt</v>
      </c>
      <c r="C67" s="1530" t="str">
        <f>INDEX('REVIEW - Complete Role Mapping'!$C:$C,34)</f>
        <v>Senior Quality Assurance</v>
      </c>
      <c r="D67" s="1530" t="str">
        <f>INDEX('REVIEW - Complete Role Mapping'!$AK:$AK,34)</f>
        <v>Filled</v>
      </c>
      <c r="E67" s="1547" t="inlineStr">
        <is>
          <t>Filled</t>
        </is>
      </c>
      <c r="F67" s="1773">
        <f>INDEX('REVIEW - Complete Role Mapping'!$AA:$AA,34)</f>
        <v>104565.584</v>
      </c>
      <c r="G67" s="1773">
        <f>$F67*IFERROR(INDEX(Lists!$AD:$AD,MATCH($E67,Lists!$AC:$AC,0)),1)</f>
        <v>104565.584</v>
      </c>
    </row>
    <row r="68">
      <c r="B68" s="1530" t="str">
        <f>INDEX('REVIEW - Complete Role Mapping'!$B:$B,35)</f>
        <v>Johanah Gloria</v>
      </c>
      <c r="C68" s="1530" t="str">
        <f>INDEX('REVIEW - Complete Role Mapping'!$C:$C,35)</f>
        <v>Engineer - Software</v>
      </c>
      <c r="D68" s="1530" t="str">
        <f>INDEX('REVIEW - Complete Role Mapping'!$AK:$AK,35)</f>
        <v>Filled</v>
      </c>
      <c r="E68" s="1547" t="inlineStr">
        <is>
          <t>Filled</t>
        </is>
      </c>
      <c r="F68" s="1773">
        <f>INDEX('REVIEW - Complete Role Mapping'!$AA:$AA,35)</f>
        <v>190050.6</v>
      </c>
      <c r="G68" s="1773">
        <f>$F68*IFERROR(INDEX(Lists!$AD:$AD,MATCH($E68,Lists!$AC:$AC,0)),1)</f>
        <v>190050.6</v>
      </c>
    </row>
    <row r="69">
      <c r="B69" s="1530" t="str">
        <f>INDEX('REVIEW - Complete Role Mapping'!$B:$B,89)</f>
        <v>Vacant</v>
      </c>
      <c r="C69" s="1530" t="str">
        <f>INDEX('REVIEW - Complete Role Mapping'!$C:$C,89)</f>
        <v>Quality Assurance</v>
      </c>
      <c r="D69" s="1530" t="str">
        <f>INDEX('REVIEW - Complete Role Mapping'!$AK:$AK,89)</f>
        <v>Vacant</v>
      </c>
      <c r="E69" s="1547" t="inlineStr">
        <is>
          <t>Hire</t>
        </is>
      </c>
      <c r="F69" s="1773">
        <f>INDEX('REVIEW - Complete Role Mapping'!$AA:$AA,89)</f>
        <v>275810.25</v>
      </c>
      <c r="G69" s="1773">
        <f>$F69*IFERROR(INDEX(Lists!$AD:$AD,MATCH($E69,Lists!$AC:$AC,0)),1)</f>
        <v>275810.25</v>
      </c>
    </row>
    <row r="70">
      <c r="B70" s="1545" t="inlineStr">
        <is>
          <t>Head of Technology</t>
        </is>
      </c>
      <c r="C70" s="1545" t="str">
        <f>COUNTA($B$71:$B$71)&amp;IF(COUNTA($B$71:$B$71)=1," role"," roles")</f>
        <v>1 role</v>
      </c>
      <c r="D70" s="1545" t="n"/>
      <c r="E70" s="1545" t="n"/>
      <c r="F70" s="1785">
        <f>SUM(F71:F71)</f>
        <v>291422</v>
      </c>
      <c r="G70" s="1785">
        <f>SUM(G71:G71)</f>
        <v>291422</v>
      </c>
    </row>
    <row r="71">
      <c r="B71" s="1530" t="str">
        <f>INDEX('REVIEW - Complete Role Mapping'!$B:$B,82)</f>
        <v>Vacant</v>
      </c>
      <c r="C71" s="1530" t="str">
        <f>INDEX('REVIEW - Complete Role Mapping'!$C:$C,82)</f>
        <v>Head of Technology, Z and Group Retail Platforms</v>
      </c>
      <c r="D71" s="1530" t="str">
        <f>INDEX('REVIEW - Complete Role Mapping'!$AK:$AK,82)</f>
        <v>Vacant</v>
      </c>
      <c r="E71" s="1547" t="inlineStr">
        <is>
          <t>Hire</t>
        </is>
      </c>
      <c r="F71" s="1773">
        <f>INDEX('REVIEW - Complete Role Mapping'!$AA:$AA,82)</f>
        <v>291422</v>
      </c>
      <c r="G71" s="1773">
        <f>$F71*IFERROR(INDEX(Lists!$AD:$AD,MATCH($E71,Lists!$AC:$AC,0)),1)</f>
        <v>291422</v>
      </c>
    </row>
    <row r="72">
      <c r="B72" s="1545" t="inlineStr">
        <is>
          <t>Delivery Manager</t>
        </is>
      </c>
      <c r="C72" s="1545" t="str">
        <f>COUNTA($B$73:$B$73)&amp;IF(COUNTA($B$73:$B$73)=1," role"," roles")</f>
        <v>1 role</v>
      </c>
      <c r="D72" s="1545" t="n"/>
      <c r="E72" s="1545" t="n"/>
      <c r="F72" s="1785">
        <f>SUM(F73:F73)</f>
        <v>202853.25</v>
      </c>
      <c r="G72" s="1785">
        <f>SUM(G73:G73)</f>
        <v>202853.25</v>
      </c>
    </row>
    <row r="73">
      <c r="B73" s="1530" t="str">
        <f>INDEX('REVIEW - Complete Role Mapping'!$B:$B,74)</f>
        <v>Vacant</v>
      </c>
      <c r="C73" s="1530" t="str">
        <f>INDEX('REVIEW - Complete Role Mapping'!$C:$C,74)</f>
        <v>Delivery Manager</v>
      </c>
      <c r="D73" s="1530" t="str">
        <f>INDEX('REVIEW - Complete Role Mapping'!$AK:$AK,74)</f>
        <v>Vacant</v>
      </c>
      <c r="E73" s="1547" t="inlineStr">
        <is>
          <t>Hire</t>
        </is>
      </c>
      <c r="F73" s="1773">
        <f>INDEX('REVIEW - Complete Role Mapping'!$AA:$AA,74)</f>
        <v>202853.25</v>
      </c>
      <c r="G73" s="1773">
        <f>$F73*IFERROR(INDEX(Lists!$AD:$AD,MATCH($E73,Lists!$AC:$AC,0)),1)</f>
        <v>202853.25</v>
      </c>
    </row>
    <row r="74">
      <c r="B74" s="1545" t="inlineStr">
        <is>
          <t>Technology Manager</t>
        </is>
      </c>
      <c r="C74" s="1545" t="str">
        <f>COUNTA($B$75:$B$77)&amp;IF(COUNTA($B$75:$B$77)=1," role"," roles")</f>
        <v>3 roles</v>
      </c>
      <c r="D74" s="1545" t="n"/>
      <c r="E74" s="1545" t="n"/>
      <c r="F74" s="1785">
        <f>SUM(F75:F77)</f>
        <v>723068.418</v>
      </c>
      <c r="G74" s="1785">
        <f>SUM(G75:G77)</f>
        <v>723068.418</v>
      </c>
    </row>
    <row r="75">
      <c r="B75" s="1530" t="str">
        <f>INDEX('REVIEW - Complete Role Mapping'!$B:$B,18)</f>
        <v>Callan McLaughlin</v>
      </c>
      <c r="C75" s="1530" t="str">
        <f>INDEX('REVIEW - Complete Role Mapping'!$C:$C,18)</f>
        <v>Technology Manager, Site Systems</v>
      </c>
      <c r="D75" s="1530" t="str">
        <f>INDEX('REVIEW - Complete Role Mapping'!$AK:$AK,18)</f>
        <v>Filled</v>
      </c>
      <c r="E75" s="1547" t="inlineStr">
        <is>
          <t>Filled</t>
        </is>
      </c>
      <c r="F75" s="1773">
        <f>INDEX('REVIEW - Complete Role Mapping'!$AA:$AA,18)</f>
        <v>210535.968</v>
      </c>
      <c r="G75" s="1773">
        <f>$F75*IFERROR(INDEX(Lists!$AD:$AD,MATCH($E75,Lists!$AC:$AC,0)),1)</f>
        <v>210535.968</v>
      </c>
    </row>
    <row r="76">
      <c r="B76" s="1530" t="str">
        <f>INDEX('REVIEW - Complete Role Mapping'!$B:$B,23)</f>
        <v>Emma Natoli</v>
      </c>
      <c r="C76" s="1530" t="str">
        <f>INDEX('REVIEW - Complete Role Mapping'!$C:$C,23)</f>
        <v>Technology Manager, Engineering</v>
      </c>
      <c r="D76" s="1530" t="str">
        <f>INDEX('REVIEW - Complete Role Mapping'!$AK:$AK,23)</f>
        <v>Filled</v>
      </c>
      <c r="E76" s="1547" t="inlineStr">
        <is>
          <t>Filled</t>
        </is>
      </c>
      <c r="F76" s="1773">
        <f>INDEX('REVIEW - Complete Role Mapping'!$AA:$AA,23)</f>
        <v>236722.2</v>
      </c>
      <c r="G76" s="1773">
        <f>$F76*IFERROR(INDEX(Lists!$AD:$AD,MATCH($E76,Lists!$AC:$AC,0)),1)</f>
        <v>236722.2</v>
      </c>
    </row>
    <row r="77">
      <c r="B77" s="1530" t="str">
        <f>INDEX('REVIEW - Complete Role Mapping'!$B:$B,45)</f>
        <v>Manjot Kaur Malli</v>
      </c>
      <c r="C77" s="1530" t="str">
        <f>INDEX('REVIEW - Complete Role Mapping'!$C:$C,45)</f>
        <v>Technology Manager, Data</v>
      </c>
      <c r="D77" s="1530" t="str">
        <f>INDEX('REVIEW - Complete Role Mapping'!$AK:$AK,45)</f>
        <v>Filled</v>
      </c>
      <c r="E77" s="1547" t="inlineStr">
        <is>
          <t>Filled</t>
        </is>
      </c>
      <c r="F77" s="1773">
        <f>INDEX('REVIEW - Complete Role Mapping'!$AA:$AA,45)</f>
        <v>275810.25</v>
      </c>
      <c r="G77" s="1773">
        <f>$F77*IFERROR(INDEX(Lists!$AD:$AD,MATCH($E77,Lists!$AC:$AC,0)),1)</f>
        <v>275810.25</v>
      </c>
    </row>
  </sheetData>
  <dataValidations count="1">
    <dataValidation sqref="E33 E34 E35 E36 E37 E38 E39 E41 E42 E43 E44 E45 E46 E47 E48 E49 E51 E52 E53 E54 E55 E56 E57 E58 E59 E61 E62 E63 E64 E65 E66 E67 E68 E69 E71 E73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Cyber GRC</t>
        </is>
      </c>
      <c r="C12" s="1530" t="str">
        <f>"-"</f>
        <v>-</v>
      </c>
      <c r="D12" s="1530" t="str">
        <f>"-"</f>
        <v>-</v>
      </c>
      <c r="E12" s="1538" t="str">
        <f>"-"</f>
        <v>-</v>
      </c>
      <c r="F12" s="1773">
        <f>COUNTA($B$32:$B$36)</f>
        <v>5</v>
      </c>
      <c r="G12" s="1773">
        <f>COUNTIFS($D$32:$D$36,"Filled")</f>
        <v>5</v>
      </c>
      <c r="H12" s="1773">
        <f>COUNTIFS($D$32:$D$36,"Vacant")</f>
        <v>0</v>
      </c>
      <c r="I12" s="1773">
        <f>COUNTIFS($D$32:$D$36,"Vacant",$E$32:$E$36,"Hire")</f>
        <v>0</v>
      </c>
      <c r="J12" s="1773">
        <f>COUNTIFS($E$32:$E$36,"Offshore")</f>
        <v>0</v>
      </c>
      <c r="K12" s="1773">
        <f>COUNTIFS($E$32:$E$36,"Hold")</f>
        <v>0</v>
      </c>
      <c r="L12" s="1773">
        <f>$F12-$K12</f>
        <v>5</v>
      </c>
      <c r="M12" s="1772">
        <f>$N12</f>
        <v>1.071477788</v>
      </c>
      <c r="N12" s="1772">
        <f>SUMIFS('REVIEW - Complete Role Mapping'!$AA$2:$AA$528,'REVIEW - Complete Role Mapping'!$AJ$2:$AJ$528,$C$3,'REVIEW - Complete Role Mapping'!$AT$2:$AT$528,$B12)/1000000</f>
        <v>1.071477788</v>
      </c>
      <c r="O12" s="1772">
        <f>ROUND($N12-$M12,6)</f>
        <v>0</v>
      </c>
      <c r="P12" s="1772">
        <f>SUM($G$32:$G$36)/1000000</f>
        <v>1.071477788</v>
      </c>
      <c r="Q12" s="1772">
        <f>ROUND($P12-$M12,6)</f>
        <v>0</v>
      </c>
    </row>
    <row r="13">
      <c r="B13" s="1530" t="inlineStr">
        <is>
          <t>Cyber Risk</t>
        </is>
      </c>
      <c r="C13" s="1530" t="str">
        <f>"-"</f>
        <v>-</v>
      </c>
      <c r="D13" s="1530" t="str">
        <f>"-"</f>
        <v>-</v>
      </c>
      <c r="E13" s="1538" t="str">
        <f>"-"</f>
        <v>-</v>
      </c>
      <c r="F13" s="1773">
        <f>COUNTA($B$38:$B$39)</f>
        <v>2</v>
      </c>
      <c r="G13" s="1773">
        <f>COUNTIFS($D$38:$D$39,"Filled")</f>
        <v>2</v>
      </c>
      <c r="H13" s="1773">
        <f>COUNTIFS($D$38:$D$39,"Vacant")</f>
        <v>0</v>
      </c>
      <c r="I13" s="1773">
        <f>COUNTIFS($D$38:$D$39,"Vacant",$E$38:$E$39,"Hire")</f>
        <v>0</v>
      </c>
      <c r="J13" s="1773">
        <f>COUNTIFS($E$38:$E$39,"Offshore")</f>
        <v>0</v>
      </c>
      <c r="K13" s="1773">
        <f>COUNTIFS($E$38:$E$39,"Hold")</f>
        <v>0</v>
      </c>
      <c r="L13" s="1773">
        <f>$F13-$K13</f>
        <v>2</v>
      </c>
      <c r="M13" s="1772">
        <f>$N13</f>
        <v>0.475558232</v>
      </c>
      <c r="N13" s="1772">
        <f>SUMIFS('REVIEW - Complete Role Mapping'!$AA$2:$AA$528,'REVIEW - Complete Role Mapping'!$AJ$2:$AJ$528,$C$3,'REVIEW - Complete Role Mapping'!$AT$2:$AT$528,$B13)/1000000</f>
        <v>0.475558232</v>
      </c>
      <c r="O13" s="1772">
        <f>ROUND($N13-$M13,6)</f>
        <v>0</v>
      </c>
      <c r="P13" s="1772">
        <f>SUM($G$38:$G$39)/1000000</f>
        <v>0.475558232</v>
      </c>
      <c r="Q13" s="1772">
        <f>ROUND($P13-$M13,6)</f>
        <v>0</v>
      </c>
    </row>
    <row r="14">
      <c r="B14" s="1530" t="inlineStr">
        <is>
          <t>Cyber Sec Ops</t>
        </is>
      </c>
      <c r="C14" s="1530" t="str">
        <f>"-"</f>
        <v>-</v>
      </c>
      <c r="D14" s="1530" t="str">
        <f>"-"</f>
        <v>-</v>
      </c>
      <c r="E14" s="1538" t="str">
        <f>"-"</f>
        <v>-</v>
      </c>
      <c r="F14" s="1773">
        <f>COUNTA($B$41:$B$45)</f>
        <v>5</v>
      </c>
      <c r="G14" s="1773">
        <f>COUNTIFS($D$41:$D$45,"Filled")</f>
        <v>5</v>
      </c>
      <c r="H14" s="1773">
        <f>COUNTIFS($D$41:$D$45,"Vacant")</f>
        <v>0</v>
      </c>
      <c r="I14" s="1773">
        <f>COUNTIFS($D$41:$D$45,"Vacant",$E$41:$E$45,"Hire")</f>
        <v>0</v>
      </c>
      <c r="J14" s="1773">
        <f>COUNTIFS($E$41:$E$45,"Offshore")</f>
        <v>0</v>
      </c>
      <c r="K14" s="1773">
        <f>COUNTIFS($E$41:$E$45,"Hold")</f>
        <v>0</v>
      </c>
      <c r="L14" s="1773">
        <f>$F14-$K14</f>
        <v>5</v>
      </c>
      <c r="M14" s="1772">
        <f>$N14</f>
        <v>1.111589344</v>
      </c>
      <c r="N14" s="1772">
        <f>SUMIFS('REVIEW - Complete Role Mapping'!$AA$2:$AA$528,'REVIEW - Complete Role Mapping'!$AJ$2:$AJ$528,$C$3,'REVIEW - Complete Role Mapping'!$AT$2:$AT$528,$B14)/1000000</f>
        <v>1.111589344</v>
      </c>
      <c r="O14" s="1772">
        <f>ROUND($N14-$M14,6)</f>
        <v>0</v>
      </c>
      <c r="P14" s="1772">
        <f>SUM($G$41:$G$45)/1000000</f>
        <v>1.111589344</v>
      </c>
      <c r="Q14" s="1772">
        <f>ROUND($P14-$M14,6)</f>
        <v>0</v>
      </c>
    </row>
    <row r="15">
      <c r="B15" s="1530" t="inlineStr">
        <is>
          <t>Cyber Strat &amp; Tech</t>
        </is>
      </c>
      <c r="C15" s="1530" t="str">
        <f>"-"</f>
        <v>-</v>
      </c>
      <c r="D15" s="1530" t="str">
        <f>"-"</f>
        <v>-</v>
      </c>
      <c r="E15" s="1538" t="str">
        <f>"-"</f>
        <v>-</v>
      </c>
      <c r="F15" s="1773">
        <f>COUNTA($B$47:$B$59)</f>
        <v>13</v>
      </c>
      <c r="G15" s="1773">
        <f>COUNTIFS($D$47:$D$59,"Filled")</f>
        <v>13</v>
      </c>
      <c r="H15" s="1773">
        <f>COUNTIFS($D$47:$D$59,"Vacant")</f>
        <v>0</v>
      </c>
      <c r="I15" s="1773">
        <f>COUNTIFS($D$47:$D$59,"Vacant",$E$47:$E$59,"Hire")</f>
        <v>0</v>
      </c>
      <c r="J15" s="1773">
        <f>COUNTIFS($E$47:$E$59,"Offshore")</f>
        <v>0</v>
      </c>
      <c r="K15" s="1773">
        <f>COUNTIFS($E$47:$E$59,"Hold")</f>
        <v>0</v>
      </c>
      <c r="L15" s="1773">
        <f>$F15-$K15</f>
        <v>13</v>
      </c>
      <c r="M15" s="1772">
        <f>$N15</f>
        <v>3.31576355</v>
      </c>
      <c r="N15" s="1772">
        <f>SUMIFS('REVIEW - Complete Role Mapping'!$AA$2:$AA$528,'REVIEW - Complete Role Mapping'!$AJ$2:$AJ$528,$C$3,'REVIEW - Complete Role Mapping'!$AT$2:$AT$528,$B15)/1000000</f>
        <v>3.31576355</v>
      </c>
      <c r="O15" s="1772">
        <f>ROUND($N15-$M15,6)</f>
        <v>0</v>
      </c>
      <c r="P15" s="1772">
        <f>SUM($G$47:$G$59)/1000000</f>
        <v>3.31576355</v>
      </c>
      <c r="Q15" s="1772">
        <f>ROUND($P15-$M15,6)</f>
        <v>0</v>
      </c>
    </row>
    <row r="16">
      <c r="B16" s="1530" t="inlineStr">
        <is>
          <t>Service Op &amp; Assurance</t>
        </is>
      </c>
      <c r="C16" s="1530" t="str">
        <f>"-"</f>
        <v>-</v>
      </c>
      <c r="D16" s="1530" t="str">
        <f>"-"</f>
        <v>-</v>
      </c>
      <c r="E16" s="1538" t="str">
        <f>"-"</f>
        <v>-</v>
      </c>
      <c r="F16" s="1773">
        <f>COUNTA($B$61:$B$81)</f>
        <v>21</v>
      </c>
      <c r="G16" s="1773">
        <f>COUNTIFS($D$61:$D$81,"Filled")</f>
        <v>17</v>
      </c>
      <c r="H16" s="1773">
        <f>COUNTIFS($D$61:$D$81,"Vacant")</f>
        <v>4</v>
      </c>
      <c r="I16" s="1773">
        <f>COUNTIFS($D$61:$D$81,"Vacant",$E$61:$E$81,"Hire")</f>
        <v>4</v>
      </c>
      <c r="J16" s="1773">
        <f>COUNTIFS($E$61:$E$81,"Offshore")</f>
        <v>0</v>
      </c>
      <c r="K16" s="1773">
        <f>COUNTIFS($E$61:$E$81,"Hold")</f>
        <v>0</v>
      </c>
      <c r="L16" s="1773">
        <f>$F16-$K16</f>
        <v>21</v>
      </c>
      <c r="M16" s="1772">
        <f>$N16</f>
        <v>3.92346938</v>
      </c>
      <c r="N16" s="1772">
        <f>SUMIFS('REVIEW - Complete Role Mapping'!$AA$2:$AA$528,'REVIEW - Complete Role Mapping'!$AJ$2:$AJ$528,$C$3,'REVIEW - Complete Role Mapping'!$AT$2:$AT$528,$B16)/1000000</f>
        <v>3.92346938</v>
      </c>
      <c r="O16" s="1772">
        <f>ROUND($N16-$M16,6)</f>
        <v>0</v>
      </c>
      <c r="P16" s="1772">
        <f>SUM($G$61:$G$81)/1000000</f>
        <v>3.92346938</v>
      </c>
      <c r="Q16" s="1772">
        <f>ROUND($P16-$M16,6)</f>
        <v>0</v>
      </c>
    </row>
    <row r="17">
      <c r="B17" s="1534" t="inlineStr">
        <is>
          <t>Directly funded total</t>
        </is>
      </c>
      <c r="C17" s="1534" t="n"/>
      <c r="D17" s="1534" t="n"/>
      <c r="E17" s="1783">
        <f>SUM(E12:E16)</f>
        <v>0</v>
      </c>
      <c r="F17" s="1775">
        <f>SUM(F12:F16)</f>
        <v>46</v>
      </c>
      <c r="G17" s="1775">
        <f>SUM(G12:G16)</f>
        <v>42</v>
      </c>
      <c r="H17" s="1775">
        <f>SUM(H12:H16)</f>
        <v>4</v>
      </c>
      <c r="I17" s="1775">
        <f>SUM(I12:I16)</f>
        <v>4</v>
      </c>
      <c r="J17" s="1775">
        <f>SUM(J12:J16)</f>
        <v>0</v>
      </c>
      <c r="K17" s="1775">
        <f>SUM(K12:K16)</f>
        <v>0</v>
      </c>
      <c r="L17" s="1775">
        <f>SUM(L12:L16)</f>
        <v>46</v>
      </c>
      <c r="M17" s="1774">
        <f>SUM(M12:M16)</f>
        <v>9.897858294</v>
      </c>
      <c r="N17" s="1774">
        <f>SUM(N12:N16)</f>
        <v>9.897858294</v>
      </c>
      <c r="O17" s="1774">
        <f>SUM(O12:O16)</f>
        <v>0</v>
      </c>
      <c r="P17" s="1774">
        <f>SUM(P12:P16)</f>
        <v>9.897858294</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46</v>
      </c>
      <c r="G24" s="1777">
        <f>N(G8)+N(G17)+N(G22)</f>
        <v>42</v>
      </c>
      <c r="H24" s="1777">
        <f>N(H8)+N(H17)+N(H22)</f>
        <v>4</v>
      </c>
      <c r="I24" s="1777">
        <f>N(I8)+N(I17)+N(I22)</f>
        <v>4</v>
      </c>
      <c r="J24" s="1777">
        <f>N(J8)+N(J17)+N(J22)</f>
        <v>0</v>
      </c>
      <c r="K24" s="1777">
        <f>N(K8)+N(K17)+N(K22)</f>
        <v>0</v>
      </c>
      <c r="L24" s="1777">
        <f>N(L8)+N(L17)+N(L22)</f>
        <v>46</v>
      </c>
      <c r="M24" s="1776">
        <f>N(M8)+N(M17)+N(M22)</f>
        <v>9.897858294</v>
      </c>
      <c r="N24" s="1776">
        <f>N(N8)+N(N17)+N(N22)</f>
        <v>9.897858294</v>
      </c>
      <c r="O24" s="1776">
        <f>N(O8)+N(O17)+N(O22)</f>
        <v>0</v>
      </c>
      <c r="P24" s="1776">
        <f>N(P8)+N(P17)+N(P22)</f>
        <v>9.897858294</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Cyber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Cyber GRC</t>
        </is>
      </c>
      <c r="C31" s="1545" t="str">
        <f>COUNTA($B$32:$B$36)&amp;IF(COUNTA($B$32:$B$36)=1," role"," roles")</f>
        <v>5 roles</v>
      </c>
      <c r="D31" s="1545" t="n"/>
      <c r="E31" s="1545" t="n"/>
      <c r="F31" s="1785">
        <f>SUM(F32:F36)</f>
        <v>1071477.788</v>
      </c>
      <c r="G31" s="1785">
        <f>SUM(G32:G36)</f>
        <v>1071477.788</v>
      </c>
    </row>
    <row r="32">
      <c r="B32" s="1530" t="str">
        <f>INDEX('REVIEW - Complete Role Mapping'!$B:$B,204)</f>
        <v>Diya Thomas</v>
      </c>
      <c r="C32" s="1530" t="str">
        <f>INDEX('REVIEW - Complete Role Mapping'!$C:$C,204)</f>
        <v>Manager Cyber Security GRC</v>
      </c>
      <c r="D32" s="1530" t="str">
        <f>INDEX('REVIEW - Complete Role Mapping'!$AK:$AK,204)</f>
        <v>Filled</v>
      </c>
      <c r="E32" s="1547" t="inlineStr">
        <is>
          <t>Filled</t>
        </is>
      </c>
      <c r="F32" s="1773">
        <f>INDEX('REVIEW - Complete Role Mapping'!$AA:$AA,204)</f>
        <v>287043.2</v>
      </c>
      <c r="G32" s="1773">
        <f>$F32*IFERROR(INDEX(Lists!$AD:$AD,MATCH($E32,Lists!$AC:$AC,0)),1)</f>
        <v>287043.2</v>
      </c>
    </row>
    <row r="33">
      <c r="B33" s="1530" t="str">
        <f>INDEX('REVIEW - Complete Role Mapping'!$B:$B,219)</f>
        <v>Pooja Kuperkar</v>
      </c>
      <c r="C33" s="1530" t="str">
        <f>INDEX('REVIEW - Complete Role Mapping'!$C:$C,219)</f>
        <v>Cyber GRC Analyst</v>
      </c>
      <c r="D33" s="1530" t="str">
        <f>INDEX('REVIEW - Complete Role Mapping'!$AK:$AK,219)</f>
        <v>Filled</v>
      </c>
      <c r="E33" s="1547" t="inlineStr">
        <is>
          <t>Filled</t>
        </is>
      </c>
      <c r="F33" s="1773">
        <f>INDEX('REVIEW - Complete Role Mapping'!$AA:$AA,219)</f>
        <v>203440.65</v>
      </c>
      <c r="G33" s="1773">
        <f>$F33*IFERROR(INDEX(Lists!$AD:$AD,MATCH($E33,Lists!$AC:$AC,0)),1)</f>
        <v>203440.65</v>
      </c>
    </row>
    <row r="34">
      <c r="B34" s="1530" t="str">
        <f>INDEX('REVIEW - Complete Role Mapping'!$B:$B,220)</f>
        <v>Prashanth Chandran</v>
      </c>
      <c r="C34" s="1530" t="str">
        <f>INDEX('REVIEW - Complete Role Mapping'!$C:$C,220)</f>
        <v>Senior Cyber GRC Specialist</v>
      </c>
      <c r="D34" s="1530" t="str">
        <f>INDEX('REVIEW - Complete Role Mapping'!$AK:$AK,220)</f>
        <v>Filled</v>
      </c>
      <c r="E34" s="1547" t="inlineStr">
        <is>
          <t>Filled</t>
        </is>
      </c>
      <c r="F34" s="1773">
        <f>INDEX('REVIEW - Complete Role Mapping'!$AA:$AA,220)</f>
        <v>220275</v>
      </c>
      <c r="G34" s="1773">
        <f>$F34*IFERROR(INDEX(Lists!$AD:$AD,MATCH($E34,Lists!$AC:$AC,0)),1)</f>
        <v>220275</v>
      </c>
    </row>
    <row r="35">
      <c r="B35" s="1530" t="str">
        <f>INDEX('REVIEW - Complete Role Mapping'!$B:$B,228)</f>
        <v>Shruti Manchanda</v>
      </c>
      <c r="C35" s="1530" t="str">
        <f>INDEX('REVIEW - Complete Role Mapping'!$C:$C,228)</f>
        <v>Cyber GRC Analyst</v>
      </c>
      <c r="D35" s="1530" t="str">
        <f>INDEX('REVIEW - Complete Role Mapping'!$AK:$AK,228)</f>
        <v>Filled</v>
      </c>
      <c r="E35" s="1547" t="inlineStr">
        <is>
          <t>Filled</t>
        </is>
      </c>
      <c r="F35" s="1773">
        <f>INDEX('REVIEW - Complete Role Mapping'!$AA:$AA,228)</f>
        <v>228885.75</v>
      </c>
      <c r="G35" s="1773">
        <f>$F35*IFERROR(INDEX(Lists!$AD:$AD,MATCH($E35,Lists!$AC:$AC,0)),1)</f>
        <v>228885.75</v>
      </c>
    </row>
    <row r="36">
      <c r="B36" s="1530" t="str">
        <f>INDEX('REVIEW - Complete Role Mapping'!$B:$B,237)</f>
        <v>Vanessa Castro</v>
      </c>
      <c r="C36" s="1530" t="str">
        <f>INDEX('REVIEW - Complete Role Mapping'!$C:$C,237)</f>
        <v>Cyber GRC Analyst</v>
      </c>
      <c r="D36" s="1530" t="str">
        <f>INDEX('REVIEW - Complete Role Mapping'!$AK:$AK,237)</f>
        <v>Filled</v>
      </c>
      <c r="E36" s="1547" t="inlineStr">
        <is>
          <t>Filled</t>
        </is>
      </c>
      <c r="F36" s="1773">
        <f>INDEX('REVIEW - Complete Role Mapping'!$AA:$AA,237)</f>
        <v>131833.188</v>
      </c>
      <c r="G36" s="1773">
        <f>$F36*IFERROR(INDEX(Lists!$AD:$AD,MATCH($E36,Lists!$AC:$AC,0)),1)</f>
        <v>131833.188</v>
      </c>
    </row>
    <row r="37">
      <c r="B37" s="1545" t="inlineStr">
        <is>
          <t>Cyber Risk</t>
        </is>
      </c>
      <c r="C37" s="1545" t="str">
        <f>COUNTA($B$38:$B$39)&amp;IF(COUNTA($B$38:$B$39)=1," role"," roles")</f>
        <v>2 roles</v>
      </c>
      <c r="D37" s="1545" t="n"/>
      <c r="E37" s="1545" t="n"/>
      <c r="F37" s="1785">
        <f>SUM(F38:F39)</f>
        <v>475558.232</v>
      </c>
      <c r="G37" s="1785">
        <f>SUM(G38:G39)</f>
        <v>475558.232</v>
      </c>
    </row>
    <row r="38">
      <c r="B38" s="1530" t="str">
        <f>INDEX('REVIEW - Complete Role Mapping'!$B:$B,195)</f>
        <v>Brian Gates</v>
      </c>
      <c r="C38" s="1530" t="str">
        <f>INDEX('REVIEW - Complete Role Mapping'!$C:$C,195)</f>
        <v>Manager Risk &amp; Resilience</v>
      </c>
      <c r="D38" s="1530" t="str">
        <f>INDEX('REVIEW - Complete Role Mapping'!$AK:$AK,195)</f>
        <v>Filled</v>
      </c>
      <c r="E38" s="1547" t="inlineStr">
        <is>
          <t>Filled</t>
        </is>
      </c>
      <c r="F38" s="1773">
        <f>INDEX('REVIEW - Complete Role Mapping'!$AA:$AA,195)</f>
        <v>287043.2</v>
      </c>
      <c r="G38" s="1773">
        <f>$F38*IFERROR(INDEX(Lists!$AD:$AD,MATCH($E38,Lists!$AC:$AC,0)),1)</f>
        <v>287043.2</v>
      </c>
    </row>
    <row r="39">
      <c r="B39" s="1530" t="str">
        <f>INDEX('REVIEW - Complete Role Mapping'!$B:$B,227)</f>
        <v>Shomiya Shayal</v>
      </c>
      <c r="C39" s="1530" t="str">
        <f>INDEX('REVIEW - Complete Role Mapping'!$C:$C,227)</f>
        <v>Risk &amp; Resilience Lead</v>
      </c>
      <c r="D39" s="1530" t="str">
        <f>INDEX('REVIEW - Complete Role Mapping'!$AK:$AK,227)</f>
        <v>Filled</v>
      </c>
      <c r="E39" s="1547" t="inlineStr">
        <is>
          <t>Filled</t>
        </is>
      </c>
      <c r="F39" s="1773">
        <f>INDEX('REVIEW - Complete Role Mapping'!$AA:$AA,227)</f>
        <v>188515.032</v>
      </c>
      <c r="G39" s="1773">
        <f>$F39*IFERROR(INDEX(Lists!$AD:$AD,MATCH($E39,Lists!$AC:$AC,0)),1)</f>
        <v>188515.032</v>
      </c>
    </row>
    <row r="40">
      <c r="B40" s="1545" t="inlineStr">
        <is>
          <t>Cyber Sec Ops</t>
        </is>
      </c>
      <c r="C40" s="1545" t="str">
        <f>COUNTA($B$41:$B$45)&amp;IF(COUNTA($B$41:$B$45)=1," role"," roles")</f>
        <v>5 roles</v>
      </c>
      <c r="D40" s="1545" t="n"/>
      <c r="E40" s="1545" t="n"/>
      <c r="F40" s="1785">
        <f>SUM(F41:F45)</f>
        <v>1111589.344</v>
      </c>
      <c r="G40" s="1785">
        <f>SUM(G41:G45)</f>
        <v>1111589.344</v>
      </c>
    </row>
    <row r="41">
      <c r="B41" s="1530" t="str">
        <f>INDEX('REVIEW - Complete Role Mapping'!$B:$B,213)</f>
        <v>Lisa Ng</v>
      </c>
      <c r="C41" s="1530" t="str">
        <f>INDEX('REVIEW - Complete Role Mapping'!$C:$C,213)</f>
        <v>Cyber Security Analyst</v>
      </c>
      <c r="D41" s="1530" t="str">
        <f>INDEX('REVIEW - Complete Role Mapping'!$AK:$AK,213)</f>
        <v>Filled</v>
      </c>
      <c r="E41" s="1547" t="inlineStr">
        <is>
          <t>Filled</t>
        </is>
      </c>
      <c r="F41" s="1773">
        <f>INDEX('REVIEW - Complete Role Mapping'!$AA:$AA,213)</f>
        <v>147800.064</v>
      </c>
      <c r="G41" s="1773">
        <f>$F41*IFERROR(INDEX(Lists!$AD:$AD,MATCH($E41,Lists!$AC:$AC,0)),1)</f>
        <v>147800.064</v>
      </c>
    </row>
    <row r="42">
      <c r="B42" s="1530" t="str">
        <f>INDEX('REVIEW - Complete Role Mapping'!$B:$B,218)</f>
        <v>Nischal Bhusal</v>
      </c>
      <c r="C42" s="1530" t="str">
        <f>INDEX('REVIEW - Complete Role Mapping'!$C:$C,218)</f>
        <v>Cyber Security Analyst</v>
      </c>
      <c r="D42" s="1530" t="str">
        <f>INDEX('REVIEW - Complete Role Mapping'!$AK:$AK,218)</f>
        <v>Filled</v>
      </c>
      <c r="E42" s="1547" t="inlineStr">
        <is>
          <t>Filled</t>
        </is>
      </c>
      <c r="F42" s="1773">
        <f>INDEX('REVIEW - Complete Role Mapping'!$AA:$AA,218)</f>
        <v>215629.2</v>
      </c>
      <c r="G42" s="1773">
        <f>$F42*IFERROR(INDEX(Lists!$AD:$AD,MATCH($E42,Lists!$AC:$AC,0)),1)</f>
        <v>215629.2</v>
      </c>
    </row>
    <row r="43">
      <c r="B43" s="1530" t="str">
        <f>INDEX('REVIEW - Complete Role Mapping'!$B:$B,226)</f>
        <v>Sameer Pattanaik</v>
      </c>
      <c r="C43" s="1530" t="str">
        <f>INDEX('REVIEW - Complete Role Mapping'!$C:$C,226)</f>
        <v>Cyber Security Operations Lead</v>
      </c>
      <c r="D43" s="1530" t="str">
        <f>INDEX('REVIEW - Complete Role Mapping'!$AK:$AK,226)</f>
        <v>Filled</v>
      </c>
      <c r="E43" s="1547" t="inlineStr">
        <is>
          <t>Filled</t>
        </is>
      </c>
      <c r="F43" s="1773">
        <f>INDEX('REVIEW - Complete Role Mapping'!$AA:$AA,226)</f>
        <v>212878.38</v>
      </c>
      <c r="G43" s="1773">
        <f>$F43*IFERROR(INDEX(Lists!$AD:$AD,MATCH($E43,Lists!$AC:$AC,0)),1)</f>
        <v>212878.38</v>
      </c>
    </row>
    <row r="44">
      <c r="B44" s="1530" t="str">
        <f>INDEX('REVIEW - Complete Role Mapping'!$B:$B,230)</f>
        <v>Stafford Dowling</v>
      </c>
      <c r="C44" s="1530" t="str">
        <f>INDEX('REVIEW - Complete Role Mapping'!$C:$C,230)</f>
        <v>Cyber Security Analyst</v>
      </c>
      <c r="D44" s="1530" t="str">
        <f>INDEX('REVIEW - Complete Role Mapping'!$AK:$AK,230)</f>
        <v>Filled</v>
      </c>
      <c r="E44" s="1547" t="inlineStr">
        <is>
          <t>Filled</t>
        </is>
      </c>
      <c r="F44" s="1773">
        <f>INDEX('REVIEW - Complete Role Mapping'!$AA:$AA,230)</f>
        <v>218713.05</v>
      </c>
      <c r="G44" s="1773">
        <f>$F44*IFERROR(INDEX(Lists!$AD:$AD,MATCH($E44,Lists!$AC:$AC,0)),1)</f>
        <v>218713.05</v>
      </c>
    </row>
    <row r="45">
      <c r="B45" s="1530" t="str">
        <f>INDEX('REVIEW - Complete Role Mapping'!$B:$B,231)</f>
        <v>Steven Atcheson</v>
      </c>
      <c r="C45" s="1530" t="str">
        <f>INDEX('REVIEW - Complete Role Mapping'!$C:$C,231)</f>
        <v>Manager Cyber Security Operations</v>
      </c>
      <c r="D45" s="1530" t="str">
        <f>INDEX('REVIEW - Complete Role Mapping'!$AK:$AK,231)</f>
        <v>Filled</v>
      </c>
      <c r="E45" s="1547" t="inlineStr">
        <is>
          <t>Filled</t>
        </is>
      </c>
      <c r="F45" s="1773">
        <f>INDEX('REVIEW - Complete Role Mapping'!$AA:$AA,231)</f>
        <v>316568.65</v>
      </c>
      <c r="G45" s="1773">
        <f>$F45*IFERROR(INDEX(Lists!$AD:$AD,MATCH($E45,Lists!$AC:$AC,0)),1)</f>
        <v>316568.65</v>
      </c>
    </row>
    <row r="46">
      <c r="B46" s="1545" t="inlineStr">
        <is>
          <t>Cyber Strat &amp; Tech</t>
        </is>
      </c>
      <c r="C46" s="1545" t="str">
        <f>COUNTA($B$47:$B$59)&amp;IF(COUNTA($B$47:$B$59)=1," role"," roles")</f>
        <v>13 roles</v>
      </c>
      <c r="D46" s="1545" t="n"/>
      <c r="E46" s="1545" t="n"/>
      <c r="F46" s="1785">
        <f>SUM(F47:F59)</f>
        <v>3315763.55</v>
      </c>
      <c r="G46" s="1785">
        <f>SUM(G47:G59)</f>
        <v>3315763.55</v>
      </c>
    </row>
    <row r="47">
      <c r="B47" s="1530" t="str">
        <f>INDEX('REVIEW - Complete Role Mapping'!$B:$B,196)</f>
        <v>Cameron Watman</v>
      </c>
      <c r="C47" s="1530" t="str">
        <f>INDEX('REVIEW - Complete Role Mapping'!$C:$C,196)</f>
        <v>Engineer - IDAM</v>
      </c>
      <c r="D47" s="1530" t="str">
        <f>INDEX('REVIEW - Complete Role Mapping'!$AK:$AK,196)</f>
        <v>Filled</v>
      </c>
      <c r="E47" s="1547" t="inlineStr">
        <is>
          <t>Filled</t>
        </is>
      </c>
      <c r="F47" s="1773">
        <f>INDEX('REVIEW - Complete Role Mapping'!$AA:$AA,196)</f>
        <v>173132.9</v>
      </c>
      <c r="G47" s="1773">
        <f>$F47*IFERROR(INDEX(Lists!$AD:$AD,MATCH($E47,Lists!$AC:$AC,0)),1)</f>
        <v>173132.9</v>
      </c>
    </row>
    <row r="48">
      <c r="B48" s="1530" t="str">
        <f>INDEX('REVIEW - Complete Role Mapping'!$B:$B,197)</f>
        <v>Catherine Gire</v>
      </c>
      <c r="C48" s="1530" t="str">
        <f>INDEX('REVIEW - Complete Role Mapping'!$C:$C,197)</f>
        <v>Cyber Technical Business Analyst</v>
      </c>
      <c r="D48" s="1530" t="str">
        <f>INDEX('REVIEW - Complete Role Mapping'!$AK:$AK,197)</f>
        <v>Filled</v>
      </c>
      <c r="E48" s="1547" t="inlineStr">
        <is>
          <t>Filled</t>
        </is>
      </c>
      <c r="F48" s="1773">
        <f>INDEX('REVIEW - Complete Role Mapping'!$AA:$AA,197)</f>
        <v>227163.6</v>
      </c>
      <c r="G48" s="1773">
        <f>$F48*IFERROR(INDEX(Lists!$AD:$AD,MATCH($E48,Lists!$AC:$AC,0)),1)</f>
        <v>227163.6</v>
      </c>
    </row>
    <row r="49">
      <c r="B49" s="1530" t="str">
        <f>INDEX('REVIEW - Complete Role Mapping'!$B:$B,198)</f>
        <v>Chris Lyons</v>
      </c>
      <c r="C49" s="1530" t="str">
        <f>INDEX('REVIEW - Complete Role Mapping'!$C:$C,198)</f>
        <v>Cyber Security Architect</v>
      </c>
      <c r="D49" s="1530" t="str">
        <f>INDEX('REVIEW - Complete Role Mapping'!$AK:$AK,198)</f>
        <v>Filled</v>
      </c>
      <c r="E49" s="1547" t="inlineStr">
        <is>
          <t>Filled</t>
        </is>
      </c>
      <c r="F49" s="1773">
        <f>INDEX('REVIEW - Complete Role Mapping'!$AA:$AA,198)</f>
        <v>283353.75</v>
      </c>
      <c r="G49" s="1773">
        <f>$F49*IFERROR(INDEX(Lists!$AD:$AD,MATCH($E49,Lists!$AC:$AC,0)),1)</f>
        <v>283353.75</v>
      </c>
    </row>
    <row r="50">
      <c r="B50" s="1530" t="str">
        <f>INDEX('REVIEW - Complete Role Mapping'!$B:$B,200)</f>
        <v>Dan Balsamo</v>
      </c>
      <c r="C50" s="1530" t="str">
        <f>INDEX('REVIEW - Complete Role Mapping'!$C:$C,200)</f>
        <v>Senior Cyber Project Manager</v>
      </c>
      <c r="D50" s="1530" t="str">
        <f>INDEX('REVIEW - Complete Role Mapping'!$AK:$AK,200)</f>
        <v>Filled</v>
      </c>
      <c r="E50" s="1547" t="inlineStr">
        <is>
          <t>Filled</t>
        </is>
      </c>
      <c r="F50" s="1773">
        <f>INDEX('REVIEW - Complete Role Mapping'!$AA:$AA,200)</f>
        <v>258576.15</v>
      </c>
      <c r="G50" s="1773">
        <f>$F50*IFERROR(INDEX(Lists!$AD:$AD,MATCH($E50,Lists!$AC:$AC,0)),1)</f>
        <v>258576.15</v>
      </c>
    </row>
    <row r="51">
      <c r="B51" s="1530" t="str">
        <f>INDEX('REVIEW - Complete Role Mapping'!$B:$B,203)</f>
        <v>Darshan Suvama</v>
      </c>
      <c r="C51" s="1530" t="str">
        <f>INDEX('REVIEW - Complete Role Mapping'!$C:$C,203)</f>
        <v>Cyber Offensive Security Lead</v>
      </c>
      <c r="D51" s="1530" t="str">
        <f>INDEX('REVIEW - Complete Role Mapping'!$AK:$AK,203)</f>
        <v>Filled</v>
      </c>
      <c r="E51" s="1547" t="inlineStr">
        <is>
          <t>Filled</t>
        </is>
      </c>
      <c r="F51" s="1773">
        <f>INDEX('REVIEW - Complete Role Mapping'!$AA:$AA,203)</f>
        <v>285342.9</v>
      </c>
      <c r="G51" s="1773">
        <f>$F51*IFERROR(INDEX(Lists!$AD:$AD,MATCH($E51,Lists!$AC:$AC,0)),1)</f>
        <v>285342.9</v>
      </c>
    </row>
    <row r="52">
      <c r="B52" s="1530" t="str">
        <f>INDEX('REVIEW - Complete Role Mapping'!$B:$B,206)</f>
        <v>Iwan Wibisono</v>
      </c>
      <c r="C52" s="1530" t="str">
        <f>INDEX('REVIEW - Complete Role Mapping'!$C:$C,206)</f>
        <v>Engineer - IDAM</v>
      </c>
      <c r="D52" s="1530" t="str">
        <f>INDEX('REVIEW - Complete Role Mapping'!$AK:$AK,206)</f>
        <v>Filled</v>
      </c>
      <c r="E52" s="1547" t="inlineStr">
        <is>
          <t>Filled</t>
        </is>
      </c>
      <c r="F52" s="1773">
        <f>INDEX('REVIEW - Complete Role Mapping'!$AA:$AA,206)</f>
        <v>215682.6</v>
      </c>
      <c r="G52" s="1773">
        <f>$F52*IFERROR(INDEX(Lists!$AD:$AD,MATCH($E52,Lists!$AC:$AC,0)),1)</f>
        <v>215682.6</v>
      </c>
    </row>
    <row r="53">
      <c r="B53" s="1530" t="str">
        <f>INDEX('REVIEW - Complete Role Mapping'!$B:$B,208)</f>
        <v>James Byrne</v>
      </c>
      <c r="C53" s="1530" t="str">
        <f>INDEX('REVIEW - Complete Role Mapping'!$C:$C,208)</f>
        <v>Head of Cyber Strategy &amp; Technology</v>
      </c>
      <c r="D53" s="1530" t="str">
        <f>INDEX('REVIEW - Complete Role Mapping'!$AK:$AK,208)</f>
        <v>Filled</v>
      </c>
      <c r="E53" s="1547" t="inlineStr">
        <is>
          <t>Filled</t>
        </is>
      </c>
      <c r="F53" s="1773">
        <f>INDEX('REVIEW - Complete Role Mapping'!$AA:$AA,208)</f>
        <v>382587.7</v>
      </c>
      <c r="G53" s="1773">
        <f>$F53*IFERROR(INDEX(Lists!$AD:$AD,MATCH($E53,Lists!$AC:$AC,0)),1)</f>
        <v>382587.7</v>
      </c>
    </row>
    <row r="54">
      <c r="B54" s="1530" t="str">
        <f>INDEX('REVIEW - Complete Role Mapping'!$B:$B,210)</f>
        <v>Joe Nahma</v>
      </c>
      <c r="C54" s="1530" t="str">
        <f>INDEX('REVIEW - Complete Role Mapping'!$C:$C,210)</f>
        <v>Manager Identity &amp; Access Management</v>
      </c>
      <c r="D54" s="1530" t="str">
        <f>INDEX('REVIEW - Complete Role Mapping'!$AK:$AK,210)</f>
        <v>Filled</v>
      </c>
      <c r="E54" s="1547" t="inlineStr">
        <is>
          <t>Filled</t>
        </is>
      </c>
      <c r="F54" s="1773">
        <f>INDEX('REVIEW - Complete Role Mapping'!$AA:$AA,210)</f>
        <v>258709.65</v>
      </c>
      <c r="G54" s="1773">
        <f>$F54*IFERROR(INDEX(Lists!$AD:$AD,MATCH($E54,Lists!$AC:$AC,0)),1)</f>
        <v>258709.65</v>
      </c>
    </row>
    <row r="55">
      <c r="B55" s="1530" t="str">
        <f>INDEX('REVIEW - Complete Role Mapping'!$B:$B,212)</f>
        <v>Kevin Sheerin</v>
      </c>
      <c r="C55" s="1530" t="str">
        <f>INDEX('REVIEW - Complete Role Mapping'!$C:$C,212)</f>
        <v>Cyber Architecture Lead</v>
      </c>
      <c r="D55" s="1530" t="str">
        <f>INDEX('REVIEW - Complete Role Mapping'!$AK:$AK,212)</f>
        <v>Filled</v>
      </c>
      <c r="E55" s="1547" t="inlineStr">
        <is>
          <t>Filled</t>
        </is>
      </c>
      <c r="F55" s="1773">
        <f>INDEX('REVIEW - Complete Role Mapping'!$AA:$AA,212)</f>
        <v>284982.45</v>
      </c>
      <c r="G55" s="1773">
        <f>$F55*IFERROR(INDEX(Lists!$AD:$AD,MATCH($E55,Lists!$AC:$AC,0)),1)</f>
        <v>284982.45</v>
      </c>
    </row>
    <row r="56">
      <c r="B56" s="1530" t="str">
        <f>INDEX('REVIEW - Complete Role Mapping'!$B:$B,221)</f>
        <v>Rahul Sahni</v>
      </c>
      <c r="C56" s="1530" t="str">
        <f>INDEX('REVIEW - Complete Role Mapping'!$C:$C,221)</f>
        <v>Cyber Security Architect</v>
      </c>
      <c r="D56" s="1530" t="str">
        <f>INDEX('REVIEW - Complete Role Mapping'!$AK:$AK,221)</f>
        <v>Filled</v>
      </c>
      <c r="E56" s="1547" t="inlineStr">
        <is>
          <t>Filled</t>
        </is>
      </c>
      <c r="F56" s="1773">
        <f>INDEX('REVIEW - Complete Role Mapping'!$AA:$AA,221)</f>
        <v>226282.5</v>
      </c>
      <c r="G56" s="1773">
        <f>$F56*IFERROR(INDEX(Lists!$AD:$AD,MATCH($E56,Lists!$AC:$AC,0)),1)</f>
        <v>226282.5</v>
      </c>
    </row>
    <row r="57">
      <c r="B57" s="1530" t="str">
        <f>INDEX('REVIEW - Complete Role Mapping'!$B:$B,223)</f>
        <v>Raymond Cheung</v>
      </c>
      <c r="C57" s="1530" t="str">
        <f>INDEX('REVIEW - Complete Role Mapping'!$C:$C,223)</f>
        <v>Engineer - IDAM</v>
      </c>
      <c r="D57" s="1530" t="str">
        <f>INDEX('REVIEW - Complete Role Mapping'!$AK:$AK,223)</f>
        <v>Filled</v>
      </c>
      <c r="E57" s="1547" t="inlineStr">
        <is>
          <t>Filled</t>
        </is>
      </c>
      <c r="F57" s="1773">
        <f>INDEX('REVIEW - Complete Role Mapping'!$AA:$AA,223)</f>
        <v>190675</v>
      </c>
      <c r="G57" s="1773">
        <f>$F57*IFERROR(INDEX(Lists!$AD:$AD,MATCH($E57,Lists!$AC:$AC,0)),1)</f>
        <v>190675</v>
      </c>
    </row>
    <row r="58">
      <c r="B58" s="1530" t="str">
        <f>INDEX('REVIEW - Complete Role Mapping'!$B:$B,232)</f>
        <v>Tony Keeler</v>
      </c>
      <c r="C58" s="1530" t="str">
        <f>INDEX('REVIEW - Complete Role Mapping'!$C:$C,232)</f>
        <v>Cyber Business Analyst</v>
      </c>
      <c r="D58" s="1530" t="str">
        <f>INDEX('REVIEW - Complete Role Mapping'!$AK:$AK,232)</f>
        <v>Filled</v>
      </c>
      <c r="E58" s="1547" t="inlineStr">
        <is>
          <t>Filled</t>
        </is>
      </c>
      <c r="F58" s="1773">
        <f>INDEX('REVIEW - Complete Role Mapping'!$AA:$AA,232)</f>
        <v>213600</v>
      </c>
      <c r="G58" s="1773">
        <f>$F58*IFERROR(INDEX(Lists!$AD:$AD,MATCH($E58,Lists!$AC:$AC,0)),1)</f>
        <v>213600</v>
      </c>
    </row>
    <row r="59">
      <c r="B59" s="1530" t="str">
        <f>INDEX('REVIEW - Complete Role Mapping'!$B:$B,238)</f>
        <v>Vivienne Vasak</v>
      </c>
      <c r="C59" s="1530" t="str">
        <f>INDEX('REVIEW - Complete Role Mapping'!$C:$C,238)</f>
        <v>Portfolio Manager Cyber Security</v>
      </c>
      <c r="D59" s="1530" t="str">
        <f>INDEX('REVIEW - Complete Role Mapping'!$AK:$AK,238)</f>
        <v>Filled</v>
      </c>
      <c r="E59" s="1547" t="inlineStr">
        <is>
          <t>Filled</t>
        </is>
      </c>
      <c r="F59" s="1773">
        <f>INDEX('REVIEW - Complete Role Mapping'!$AA:$AA,238)</f>
        <v>315674.35</v>
      </c>
      <c r="G59" s="1773">
        <f>$F59*IFERROR(INDEX(Lists!$AD:$AD,MATCH($E59,Lists!$AC:$AC,0)),1)</f>
        <v>315674.35</v>
      </c>
    </row>
    <row r="60">
      <c r="B60" s="1545" t="inlineStr">
        <is>
          <t>Service Op &amp; Assurance</t>
        </is>
      </c>
      <c r="C60" s="1545" t="str">
        <f>COUNTA($B$61:$B$81)&amp;IF(COUNTA($B$61:$B$81)=1," role"," roles")</f>
        <v>21 roles</v>
      </c>
      <c r="D60" s="1545" t="n"/>
      <c r="E60" s="1545" t="n"/>
      <c r="F60" s="1785">
        <f>SUM(F61:F81)</f>
        <v>3923469.38</v>
      </c>
      <c r="G60" s="1785">
        <f>SUM(G61:G81)</f>
        <v>3923469.38</v>
      </c>
    </row>
    <row r="61">
      <c r="B61" s="1530" t="str">
        <f>INDEX('REVIEW - Complete Role Mapping'!$B:$B,193)</f>
        <v>Ashley Mueller</v>
      </c>
      <c r="C61" s="1530" t="str">
        <f>INDEX('REVIEW - Complete Role Mapping'!$C:$C,193)</f>
        <v>Lead - Service Assurance</v>
      </c>
      <c r="D61" s="1530" t="str">
        <f>INDEX('REVIEW - Complete Role Mapping'!$AK:$AK,193)</f>
        <v>Filled</v>
      </c>
      <c r="E61" s="1547" t="inlineStr">
        <is>
          <t>Filled</t>
        </is>
      </c>
      <c r="F61" s="1773">
        <f>INDEX('REVIEW - Complete Role Mapping'!$AA:$AA,193)</f>
        <v>189974.796</v>
      </c>
      <c r="G61" s="1773">
        <f>$F61*IFERROR(INDEX(Lists!$AD:$AD,MATCH($E61,Lists!$AC:$AC,0)),1)</f>
        <v>189974.796</v>
      </c>
    </row>
    <row r="62">
      <c r="B62" s="1530" t="str">
        <f>INDEX('REVIEW - Complete Role Mapping'!$B:$B,194)</f>
        <v>Belinda Hoskens</v>
      </c>
      <c r="C62" s="1530" t="str">
        <f>INDEX('REVIEW - Complete Role Mapping'!$C:$C,194)</f>
        <v>Technology Support Engineer</v>
      </c>
      <c r="D62" s="1530" t="str">
        <f>INDEX('REVIEW - Complete Role Mapping'!$AK:$AK,194)</f>
        <v>Filled</v>
      </c>
      <c r="E62" s="1547" t="inlineStr">
        <is>
          <t>Filled</t>
        </is>
      </c>
      <c r="F62" s="1773">
        <f>INDEX('REVIEW - Complete Role Mapping'!$AA:$AA,194)</f>
        <v>162139.5</v>
      </c>
      <c r="G62" s="1773">
        <f>$F62*IFERROR(INDEX(Lists!$AD:$AD,MATCH($E62,Lists!$AC:$AC,0)),1)</f>
        <v>162139.5</v>
      </c>
    </row>
    <row r="63">
      <c r="B63" s="1530" t="str">
        <f>INDEX('REVIEW - Complete Role Mapping'!$B:$B,199)</f>
        <v>Chris Rojas</v>
      </c>
      <c r="C63" s="1530" t="str">
        <f>INDEX('REVIEW - Complete Role Mapping'!$C:$C,199)</f>
        <v>Manager, Customer Support Operations</v>
      </c>
      <c r="D63" s="1530" t="str">
        <f>INDEX('REVIEW - Complete Role Mapping'!$AK:$AK,199)</f>
        <v>Filled</v>
      </c>
      <c r="E63" s="1547" t="inlineStr">
        <is>
          <t>Filled</t>
        </is>
      </c>
      <c r="F63" s="1773">
        <f>INDEX('REVIEW - Complete Role Mapping'!$AA:$AA,199)</f>
        <v>243303.75</v>
      </c>
      <c r="G63" s="1773">
        <f>$F63*IFERROR(INDEX(Lists!$AD:$AD,MATCH($E63,Lists!$AC:$AC,0)),1)</f>
        <v>243303.75</v>
      </c>
    </row>
    <row r="64">
      <c r="B64" s="1530" t="str">
        <f>INDEX('REVIEW - Complete Role Mapping'!$B:$B,201)</f>
        <v>Daniel Jolley</v>
      </c>
      <c r="C64" s="1530" t="str">
        <f>INDEX('REVIEW - Complete Role Mapping'!$C:$C,201)</f>
        <v>Tech Support Technician</v>
      </c>
      <c r="D64" s="1530" t="str">
        <f>INDEX('REVIEW - Complete Role Mapping'!$AK:$AK,201)</f>
        <v>Filled</v>
      </c>
      <c r="E64" s="1547" t="inlineStr">
        <is>
          <t>Filled</t>
        </is>
      </c>
      <c r="F64" s="1773">
        <f>INDEX('REVIEW - Complete Role Mapping'!$AA:$AA,201)</f>
        <v>115851.5</v>
      </c>
      <c r="G64" s="1773">
        <f>$F64*IFERROR(INDEX(Lists!$AD:$AD,MATCH($E64,Lists!$AC:$AC,0)),1)</f>
        <v>115851.5</v>
      </c>
    </row>
    <row r="65">
      <c r="B65" s="1530" t="str">
        <f>INDEX('REVIEW - Complete Role Mapping'!$B:$B,202)</f>
        <v>Darren Koller</v>
      </c>
      <c r="C65" s="1530" t="str">
        <f>INDEX('REVIEW - Complete Role Mapping'!$C:$C,202)</f>
        <v>Manager, Service Management &amp; Major Incident Mgmt Lead</v>
      </c>
      <c r="D65" s="1530" t="str">
        <f>INDEX('REVIEW - Complete Role Mapping'!$AK:$AK,202)</f>
        <v>Filled</v>
      </c>
      <c r="E65" s="1547" t="inlineStr">
        <is>
          <t>Filled</t>
        </is>
      </c>
      <c r="F65" s="1773">
        <f>INDEX('REVIEW - Complete Role Mapping'!$AA:$AA,202)</f>
        <v>274943.25</v>
      </c>
      <c r="G65" s="1773">
        <f>$F65*IFERROR(INDEX(Lists!$AD:$AD,MATCH($E65,Lists!$AC:$AC,0)),1)</f>
        <v>274943.25</v>
      </c>
    </row>
    <row r="66">
      <c r="B66" s="1530" t="str">
        <f>INDEX('REVIEW - Complete Role Mapping'!$B:$B,205)</f>
        <v>Ethan Lamhert (FT)</v>
      </c>
      <c r="C66" s="1530" t="str">
        <f>INDEX('REVIEW - Complete Role Mapping'!$C:$C,205)</f>
        <v>Tech Support Technician</v>
      </c>
      <c r="D66" s="1530" t="str">
        <f>INDEX('REVIEW - Complete Role Mapping'!$AK:$AK,205)</f>
        <v>Filled</v>
      </c>
      <c r="E66" s="1547" t="inlineStr">
        <is>
          <t>Filled</t>
        </is>
      </c>
      <c r="F66" s="1773">
        <f>INDEX('REVIEW - Complete Role Mapping'!$AA:$AA,205)</f>
        <v>89758</v>
      </c>
      <c r="G66" s="1773">
        <f>$F66*IFERROR(INDEX(Lists!$AD:$AD,MATCH($E66,Lists!$AC:$AC,0)),1)</f>
        <v>89758</v>
      </c>
    </row>
    <row r="67">
      <c r="B67" s="1530" t="str">
        <f>INDEX('REVIEW - Complete Role Mapping'!$B:$B,207)</f>
        <v>Jack Jenkins</v>
      </c>
      <c r="C67" s="1530" t="str">
        <f>INDEX('REVIEW - Complete Role Mapping'!$C:$C,207)</f>
        <v>Asset Analyst</v>
      </c>
      <c r="D67" s="1530" t="str">
        <f>INDEX('REVIEW - Complete Role Mapping'!$AK:$AK,207)</f>
        <v>Filled</v>
      </c>
      <c r="E67" s="1547" t="inlineStr">
        <is>
          <t>Filled</t>
        </is>
      </c>
      <c r="F67" s="1773">
        <f>INDEX('REVIEW - Complete Role Mapping'!$AA:$AA,207)</f>
        <v>139008.65</v>
      </c>
      <c r="G67" s="1773">
        <f>$F67*IFERROR(INDEX(Lists!$AD:$AD,MATCH($E67,Lists!$AC:$AC,0)),1)</f>
        <v>139008.65</v>
      </c>
    </row>
    <row r="68">
      <c r="B68" s="1530" t="str">
        <f>INDEX('REVIEW - Complete Role Mapping'!$B:$B,209)</f>
        <v>Jas Mann</v>
      </c>
      <c r="C68" s="1530" t="str">
        <f>INDEX('REVIEW - Complete Role Mapping'!$C:$C,209)</f>
        <v>Technology Support Engineer</v>
      </c>
      <c r="D68" s="1530" t="str">
        <f>INDEX('REVIEW - Complete Role Mapping'!$AK:$AK,209)</f>
        <v>Filled</v>
      </c>
      <c r="E68" s="1547" t="inlineStr">
        <is>
          <t>Filled</t>
        </is>
      </c>
      <c r="F68" s="1773">
        <f>INDEX('REVIEW - Complete Role Mapping'!$AA:$AA,209)</f>
        <v>146885.5</v>
      </c>
      <c r="G68" s="1773">
        <f>$F68*IFERROR(INDEX(Lists!$AD:$AD,MATCH($E68,Lists!$AC:$AC,0)),1)</f>
        <v>146885.5</v>
      </c>
    </row>
    <row r="69">
      <c r="B69" s="1530" t="str">
        <f>INDEX('REVIEW - Complete Role Mapping'!$B:$B,211)</f>
        <v>Kaaviya Salai Manimudian</v>
      </c>
      <c r="C69" s="1530" t="str">
        <f>INDEX('REVIEW - Complete Role Mapping'!$C:$C,211)</f>
        <v>Graduate</v>
      </c>
      <c r="D69" s="1530" t="str">
        <f>INDEX('REVIEW - Complete Role Mapping'!$AK:$AK,211)</f>
        <v>Filled</v>
      </c>
      <c r="E69" s="1547" t="inlineStr">
        <is>
          <t>Filled</t>
        </is>
      </c>
      <c r="F69" s="1773">
        <f>INDEX('REVIEW - Complete Role Mapping'!$AA:$AA,211)</f>
        <v>110075</v>
      </c>
      <c r="G69" s="1773">
        <f>$F69*IFERROR(INDEX(Lists!$AD:$AD,MATCH($E69,Lists!$AC:$AC,0)),1)</f>
        <v>110075</v>
      </c>
    </row>
    <row r="70">
      <c r="B70" s="1530" t="str">
        <f>INDEX('REVIEW - Complete Role Mapping'!$B:$B,214)</f>
        <v>Lynda Niewidok</v>
      </c>
      <c r="C70" s="1530" t="str">
        <f>INDEX('REVIEW - Complete Role Mapping'!$C:$C,214)</f>
        <v>Lead - Service Desk</v>
      </c>
      <c r="D70" s="1530" t="str">
        <f>INDEX('REVIEW - Complete Role Mapping'!$AK:$AK,214)</f>
        <v>Filled</v>
      </c>
      <c r="E70" s="1547" t="inlineStr">
        <is>
          <t>Filled</t>
        </is>
      </c>
      <c r="F70" s="1773">
        <f>INDEX('REVIEW - Complete Role Mapping'!$AA:$AA,214)</f>
        <v>203988</v>
      </c>
      <c r="G70" s="1773">
        <f>$F70*IFERROR(INDEX(Lists!$AD:$AD,MATCH($E70,Lists!$AC:$AC,0)),1)</f>
        <v>203988</v>
      </c>
    </row>
    <row r="71">
      <c r="B71" s="1530" t="str">
        <f>INDEX('REVIEW - Complete Role Mapping'!$B:$B,215)</f>
        <v>Mark Pearson</v>
      </c>
      <c r="C71" s="1530" t="str">
        <f>INDEX('REVIEW - Complete Role Mapping'!$C:$C,215)</f>
        <v>Lead - Technology Support</v>
      </c>
      <c r="D71" s="1530" t="str">
        <f>INDEX('REVIEW - Complete Role Mapping'!$AK:$AK,215)</f>
        <v>Filled</v>
      </c>
      <c r="E71" s="1547" t="inlineStr">
        <is>
          <t>Filled</t>
        </is>
      </c>
      <c r="F71" s="1773">
        <f>INDEX('REVIEW - Complete Role Mapping'!$AA:$AA,215)</f>
        <v>203841.15</v>
      </c>
      <c r="G71" s="1773">
        <f>$F71*IFERROR(INDEX(Lists!$AD:$AD,MATCH($E71,Lists!$AC:$AC,0)),1)</f>
        <v>203841.15</v>
      </c>
    </row>
    <row r="72">
      <c r="B72" s="1530" t="str">
        <f>INDEX('REVIEW - Complete Role Mapping'!$B:$B,216)</f>
        <v>Mary-Grace Rivera</v>
      </c>
      <c r="C72" s="1530" t="str">
        <f>INDEX('REVIEW - Complete Role Mapping'!$C:$C,216)</f>
        <v>Lead, Service Management</v>
      </c>
      <c r="D72" s="1530" t="str">
        <f>INDEX('REVIEW - Complete Role Mapping'!$AK:$AK,216)</f>
        <v>Filled</v>
      </c>
      <c r="E72" s="1547" t="inlineStr">
        <is>
          <t>Filled</t>
        </is>
      </c>
      <c r="F72" s="1773">
        <f>INDEX('REVIEW - Complete Role Mapping'!$AA:$AA,216)</f>
        <v>180970.3</v>
      </c>
      <c r="G72" s="1773">
        <f>$F72*IFERROR(INDEX(Lists!$AD:$AD,MATCH($E72,Lists!$AC:$AC,0)),1)</f>
        <v>180970.3</v>
      </c>
    </row>
    <row r="73">
      <c r="B73" s="1530" t="str">
        <f>INDEX('REVIEW - Complete Role Mapping'!$B:$B,217)</f>
        <v>Mick Collins</v>
      </c>
      <c r="C73" s="1530" t="str">
        <f>INDEX('REVIEW - Complete Role Mapping'!$C:$C,217)</f>
        <v>Manager, Service Performance &amp; Assurance</v>
      </c>
      <c r="D73" s="1530" t="str">
        <f>INDEX('REVIEW - Complete Role Mapping'!$AK:$AK,217)</f>
        <v>Filled</v>
      </c>
      <c r="E73" s="1547" t="inlineStr">
        <is>
          <t>Filled</t>
        </is>
      </c>
      <c r="F73" s="1773">
        <f>INDEX('REVIEW - Complete Role Mapping'!$AA:$AA,217)</f>
        <v>272070.45</v>
      </c>
      <c r="G73" s="1773">
        <f>$F73*IFERROR(INDEX(Lists!$AD:$AD,MATCH($E73,Lists!$AC:$AC,0)),1)</f>
        <v>272070.45</v>
      </c>
    </row>
    <row r="74">
      <c r="B74" s="1530" t="str">
        <f>INDEX('REVIEW - Complete Role Mapping'!$B:$B,222)</f>
        <v>Rajini Onteddu Reddy</v>
      </c>
      <c r="C74" s="1530" t="str">
        <f>INDEX('REVIEW - Complete Role Mapping'!$C:$C,222)</f>
        <v>Head of Service Operations &amp; Assurance</v>
      </c>
      <c r="D74" s="1530" t="str">
        <f>INDEX('REVIEW - Complete Role Mapping'!$AK:$AK,222)</f>
        <v>Filled</v>
      </c>
      <c r="E74" s="1547" t="inlineStr">
        <is>
          <t>Filled</t>
        </is>
      </c>
      <c r="F74" s="1773">
        <f>INDEX('REVIEW - Complete Role Mapping'!$AA:$AA,222)</f>
        <v>400671.4</v>
      </c>
      <c r="G74" s="1773">
        <f>$F74*IFERROR(INDEX(Lists!$AD:$AD,MATCH($E74,Lists!$AC:$AC,0)),1)</f>
        <v>400671.4</v>
      </c>
    </row>
    <row r="75">
      <c r="B75" s="1530" t="str">
        <f>INDEX('REVIEW - Complete Role Mapping'!$B:$B,224)</f>
        <v>Remya Pookat</v>
      </c>
      <c r="C75" s="1530" t="str">
        <f>INDEX('REVIEW - Complete Role Mapping'!$C:$C,224)</f>
        <v>Lead - Change &amp; Release Management</v>
      </c>
      <c r="D75" s="1530" t="str">
        <f>INDEX('REVIEW - Complete Role Mapping'!$AK:$AK,224)</f>
        <v>Filled</v>
      </c>
      <c r="E75" s="1547" t="inlineStr">
        <is>
          <t>Filled</t>
        </is>
      </c>
      <c r="F75" s="1773">
        <f>INDEX('REVIEW - Complete Role Mapping'!$AA:$AA,224)</f>
        <v>220875.75</v>
      </c>
      <c r="G75" s="1773">
        <f>$F75*IFERROR(INDEX(Lists!$AD:$AD,MATCH($E75,Lists!$AC:$AC,0)),1)</f>
        <v>220875.75</v>
      </c>
    </row>
    <row r="76">
      <c r="B76" s="1530" t="str">
        <f>INDEX('REVIEW - Complete Role Mapping'!$B:$B,225)</f>
        <v>Ritika Salaria</v>
      </c>
      <c r="C76" s="1530" t="str">
        <f>INDEX('REVIEW - Complete Role Mapping'!$C:$C,225)</f>
        <v>Configuration Analyst</v>
      </c>
      <c r="D76" s="1530" t="str">
        <f>INDEX('REVIEW - Complete Role Mapping'!$AK:$AK,225)</f>
        <v>Filled</v>
      </c>
      <c r="E76" s="1547" t="inlineStr">
        <is>
          <t>Filled</t>
        </is>
      </c>
      <c r="F76" s="1773">
        <f>INDEX('REVIEW - Complete Role Mapping'!$AA:$AA,225)</f>
        <v>173106.6</v>
      </c>
      <c r="G76" s="1773">
        <f>$F76*IFERROR(INDEX(Lists!$AD:$AD,MATCH($E76,Lists!$AC:$AC,0)),1)</f>
        <v>173106.6</v>
      </c>
    </row>
    <row r="77">
      <c r="B77" s="1530" t="str">
        <f>INDEX('REVIEW - Complete Role Mapping'!$B:$B,229)</f>
        <v>Spoilagi Bhutwala</v>
      </c>
      <c r="C77" s="1530" t="str">
        <f>INDEX('REVIEW - Complete Role Mapping'!$C:$C,229)</f>
        <v>Tech Support Technician</v>
      </c>
      <c r="D77" s="1530" t="str">
        <f>INDEX('REVIEW - Complete Role Mapping'!$AK:$AK,229)</f>
        <v>Filled</v>
      </c>
      <c r="E77" s="1547" t="inlineStr">
        <is>
          <t>Filled</t>
        </is>
      </c>
      <c r="F77" s="1773">
        <f>INDEX('REVIEW - Complete Role Mapping'!$AA:$AA,229)</f>
        <v>97237.784</v>
      </c>
      <c r="G77" s="1773">
        <f>$F77*IFERROR(INDEX(Lists!$AD:$AD,MATCH($E77,Lists!$AC:$AC,0)),1)</f>
        <v>97237.784</v>
      </c>
    </row>
    <row r="78">
      <c r="B78" s="1530" t="str">
        <f>INDEX('REVIEW - Complete Role Mapping'!$B:$B,233)</f>
        <v>Vacant</v>
      </c>
      <c r="C78" s="1530" t="str">
        <f>INDEX('REVIEW - Complete Role Mapping'!$C:$C,233)</f>
        <v>Lead - Problem Management</v>
      </c>
      <c r="D78" s="1530" t="str">
        <f>INDEX('REVIEW - Complete Role Mapping'!$AK:$AK,233)</f>
        <v>Vacant</v>
      </c>
      <c r="E78" s="1547" t="inlineStr">
        <is>
          <t>Hire</t>
        </is>
      </c>
      <c r="F78" s="1773">
        <f>INDEX('REVIEW - Complete Role Mapping'!$AA:$AA,233)</f>
        <v>170489.75</v>
      </c>
      <c r="G78" s="1773">
        <f>$F78*IFERROR(INDEX(Lists!$AD:$AD,MATCH($E78,Lists!$AC:$AC,0)),1)</f>
        <v>170489.75</v>
      </c>
    </row>
    <row r="79">
      <c r="B79" s="1530" t="str">
        <f>INDEX('REVIEW - Complete Role Mapping'!$B:$B,234)</f>
        <v>Vacant</v>
      </c>
      <c r="C79" s="1530" t="str">
        <f>INDEX('REVIEW - Complete Role Mapping'!$C:$C,234)</f>
        <v>Lead - Asset &amp; Configuration</v>
      </c>
      <c r="D79" s="1530" t="str">
        <f>INDEX('REVIEW - Complete Role Mapping'!$AK:$AK,234)</f>
        <v>Vacant</v>
      </c>
      <c r="E79" s="1547" t="inlineStr">
        <is>
          <t>Hire</t>
        </is>
      </c>
      <c r="F79" s="1773">
        <f>INDEX('REVIEW - Complete Role Mapping'!$AA:$AA,234)</f>
        <v>202853.25</v>
      </c>
      <c r="G79" s="1773">
        <f>$F79*IFERROR(INDEX(Lists!$AD:$AD,MATCH($E79,Lists!$AC:$AC,0)),1)</f>
        <v>202853.25</v>
      </c>
    </row>
    <row r="80">
      <c r="B80" s="1530" t="str">
        <f>INDEX('REVIEW - Complete Role Mapping'!$B:$B,235)</f>
        <v>Vacant</v>
      </c>
      <c r="C80" s="1530" t="str">
        <f>INDEX('REVIEW - Complete Role Mapping'!$C:$C,235)</f>
        <v>Lead - Service Performance &amp; Insights</v>
      </c>
      <c r="D80" s="1530" t="str">
        <f>INDEX('REVIEW - Complete Role Mapping'!$AK:$AK,235)</f>
        <v>Vacant</v>
      </c>
      <c r="E80" s="1547" t="inlineStr">
        <is>
          <t>Hire</t>
        </is>
      </c>
      <c r="F80" s="1773">
        <f>INDEX('REVIEW - Complete Role Mapping'!$AA:$AA,235)</f>
        <v>202853.25</v>
      </c>
      <c r="G80" s="1773">
        <f>$F80*IFERROR(INDEX(Lists!$AD:$AD,MATCH($E80,Lists!$AC:$AC,0)),1)</f>
        <v>202853.25</v>
      </c>
    </row>
    <row r="81">
      <c r="B81" s="1530" t="str">
        <f>INDEX('REVIEW - Complete Role Mapping'!$B:$B,236)</f>
        <v>Vacant</v>
      </c>
      <c r="C81" s="1530" t="str">
        <f>INDEX('REVIEW - Complete Role Mapping'!$C:$C,236)</f>
        <v>Tech Support Technician</v>
      </c>
      <c r="D81" s="1530" t="str">
        <f>INDEX('REVIEW - Complete Role Mapping'!$AK:$AK,236)</f>
        <v>Vacant</v>
      </c>
      <c r="E81" s="1547" t="inlineStr">
        <is>
          <t>Hire</t>
        </is>
      </c>
      <c r="F81" s="1773">
        <f>INDEX('REVIEW - Complete Role Mapping'!$AA:$AA,236)</f>
        <v>122571.75</v>
      </c>
      <c r="G81" s="1773">
        <f>$F81*IFERROR(INDEX(Lists!$AD:$AD,MATCH($E81,Lists!$AC:$AC,0)),1)</f>
        <v>122571.75</v>
      </c>
    </row>
  </sheetData>
  <dataValidations count="1">
    <dataValidation sqref="E32 E33 E34 E35 E36 E38 E39 E41 E42 E43 E44 E45 E47 E48 E49 E50 E51 E52 E53 E54 E55 E56 E57 E58 E59 E61 E62 E63 E64 E65 E66 E67 E68 E69 E70 E71 E72 E73 E74 E75 E76 E77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Commercial</t>
        </is>
      </c>
      <c r="C12" s="1530" t="str">
        <f>"-"</f>
        <v>-</v>
      </c>
      <c r="D12" s="1530" t="str">
        <f>"-"</f>
        <v>-</v>
      </c>
      <c r="E12" s="1538" t="str">
        <f>"-"</f>
        <v>-</v>
      </c>
      <c r="F12" s="1773">
        <f>COUNTA($B$30:$B$33)</f>
        <v>4</v>
      </c>
      <c r="G12" s="1773">
        <f>COUNTIFS($D$30:$D$33,"Filled")</f>
        <v>3</v>
      </c>
      <c r="H12" s="1773">
        <f>COUNTIFS($D$30:$D$33,"Vacant")</f>
        <v>1</v>
      </c>
      <c r="I12" s="1773">
        <f>COUNTIFS($D$30:$D$33,"Vacant",$E$30:$E$33,"Hire")</f>
        <v>1</v>
      </c>
      <c r="J12" s="1773">
        <f>COUNTIFS($E$30:$E$33,"Offshore")</f>
        <v>0</v>
      </c>
      <c r="K12" s="1773">
        <f>COUNTIFS($E$30:$E$33,"Hold")</f>
        <v>0</v>
      </c>
      <c r="L12" s="1773">
        <f>$F12-$K12</f>
        <v>4</v>
      </c>
      <c r="M12" s="1772">
        <f>$N12</f>
        <v>0.979014192</v>
      </c>
      <c r="N12" s="1772">
        <f>SUMIFS('REVIEW - Complete Role Mapping'!$AA$2:$AA$528,'REVIEW - Complete Role Mapping'!$AJ$2:$AJ$528,$C$3,'REVIEW - Complete Role Mapping'!$AT$2:$AT$528,$B12)/1000000</f>
        <v>0.979014192</v>
      </c>
      <c r="O12" s="1772">
        <f>ROUND($N12-$M12,6)</f>
        <v>0</v>
      </c>
      <c r="P12" s="1772">
        <f>SUM($G$30:$G$33)/1000000</f>
        <v>0.979014192</v>
      </c>
      <c r="Q12" s="1772">
        <f>ROUND($P12-$M12,6)</f>
        <v>0</v>
      </c>
    </row>
    <row r="13">
      <c r="B13" s="1530" t="inlineStr">
        <is>
          <t>TDD Business Partner</t>
        </is>
      </c>
      <c r="C13" s="1530" t="str">
        <f>"-"</f>
        <v>-</v>
      </c>
      <c r="D13" s="1530" t="str">
        <f>"-"</f>
        <v>-</v>
      </c>
      <c r="E13" s="1538" t="str">
        <f>"-"</f>
        <v>-</v>
      </c>
      <c r="F13" s="1773">
        <f>COUNTA($B$35:$B$40)</f>
        <v>6</v>
      </c>
      <c r="G13" s="1773">
        <f>COUNTIFS($D$35:$D$40,"Filled")</f>
        <v>6</v>
      </c>
      <c r="H13" s="1773">
        <f>COUNTIFS($D$35:$D$40,"Vacant")</f>
        <v>0</v>
      </c>
      <c r="I13" s="1773">
        <f>COUNTIFS($D$35:$D$40,"Vacant",$E$35:$E$40,"Hire")</f>
        <v>0</v>
      </c>
      <c r="J13" s="1773">
        <f>COUNTIFS($E$35:$E$40,"Offshore")</f>
        <v>0</v>
      </c>
      <c r="K13" s="1773">
        <f>COUNTIFS($E$35:$E$40,"Hold")</f>
        <v>0</v>
      </c>
      <c r="L13" s="1773">
        <f>$F13-$K13</f>
        <v>6</v>
      </c>
      <c r="M13" s="1772">
        <f>$N13</f>
        <v>2.3135484</v>
      </c>
      <c r="N13" s="1772">
        <f>SUMIFS('REVIEW - Complete Role Mapping'!$AA$2:$AA$528,'REVIEW - Complete Role Mapping'!$AJ$2:$AJ$528,$C$3,'REVIEW - Complete Role Mapping'!$AT$2:$AT$528,$B13)/1000000</f>
        <v>2.3135484</v>
      </c>
      <c r="O13" s="1772">
        <f>ROUND($N13-$M13,6)</f>
        <v>0</v>
      </c>
      <c r="P13" s="1772">
        <f>SUM($G$35:$G$40)/1000000</f>
        <v>2.3135484</v>
      </c>
      <c r="Q13" s="1772">
        <f>ROUND($P13-$M13,6)</f>
        <v>0</v>
      </c>
    </row>
    <row r="14">
      <c r="B14" s="1530" t="inlineStr">
        <is>
          <t>Transformation</t>
        </is>
      </c>
      <c r="C14" s="1530" t="str">
        <f>"-"</f>
        <v>-</v>
      </c>
      <c r="D14" s="1530" t="str">
        <f>"-"</f>
        <v>-</v>
      </c>
      <c r="E14" s="1538" t="str">
        <f>"-"</f>
        <v>-</v>
      </c>
      <c r="F14" s="1773">
        <f>COUNTA($B$42:$B$55)</f>
        <v>14</v>
      </c>
      <c r="G14" s="1773">
        <f>COUNTIFS($D$42:$D$55,"Filled")</f>
        <v>6</v>
      </c>
      <c r="H14" s="1773">
        <f>COUNTIFS($D$42:$D$55,"Vacant")</f>
        <v>8</v>
      </c>
      <c r="I14" s="1773">
        <f>COUNTIFS($D$42:$D$55,"Vacant",$E$42:$E$55,"Hire")</f>
        <v>8</v>
      </c>
      <c r="J14" s="1773">
        <f>COUNTIFS($E$42:$E$55,"Offshore")</f>
        <v>0</v>
      </c>
      <c r="K14" s="1773">
        <f>COUNTIFS($E$42:$E$55,"Hold")</f>
        <v>0</v>
      </c>
      <c r="L14" s="1773">
        <f>$F14-$K14</f>
        <v>14</v>
      </c>
      <c r="M14" s="1772">
        <f>$N14</f>
        <v>3.10799923</v>
      </c>
      <c r="N14" s="1772">
        <f>SUMIFS('REVIEW - Complete Role Mapping'!$AA$2:$AA$528,'REVIEW - Complete Role Mapping'!$AJ$2:$AJ$528,$C$3,'REVIEW - Complete Role Mapping'!$AT$2:$AT$528,$B14)/1000000</f>
        <v>3.10799923</v>
      </c>
      <c r="O14" s="1772">
        <f>ROUND($N14-$M14,6)</f>
        <v>0</v>
      </c>
      <c r="P14" s="1772">
        <f>SUM($G$42:$G$55)/1000000</f>
        <v>3.10799923</v>
      </c>
      <c r="Q14" s="1772">
        <f>ROUND($P14-$M14,6)</f>
        <v>0</v>
      </c>
    </row>
    <row r="15">
      <c r="B15" s="1534" t="inlineStr">
        <is>
          <t>Directly funded total</t>
        </is>
      </c>
      <c r="C15" s="1534" t="n"/>
      <c r="D15" s="1534" t="n"/>
      <c r="E15" s="1783">
        <f>SUM(E12:E14)</f>
        <v>0</v>
      </c>
      <c r="F15" s="1775">
        <f>SUM(F12:F14)</f>
        <v>24</v>
      </c>
      <c r="G15" s="1775">
        <f>SUM(G12:G14)</f>
        <v>15</v>
      </c>
      <c r="H15" s="1775">
        <f>SUM(H12:H14)</f>
        <v>9</v>
      </c>
      <c r="I15" s="1775">
        <f>SUM(I12:I14)</f>
        <v>9</v>
      </c>
      <c r="J15" s="1775">
        <f>SUM(J12:J14)</f>
        <v>0</v>
      </c>
      <c r="K15" s="1775">
        <f>SUM(K12:K14)</f>
        <v>0</v>
      </c>
      <c r="L15" s="1775">
        <f>SUM(L12:L14)</f>
        <v>24</v>
      </c>
      <c r="M15" s="1774">
        <f>SUM(M12:M14)</f>
        <v>6.400561822</v>
      </c>
      <c r="N15" s="1774">
        <f>SUM(N12:N14)</f>
        <v>6.400561822</v>
      </c>
      <c r="O15" s="1774">
        <f>SUM(O12:O14)</f>
        <v>0</v>
      </c>
      <c r="P15" s="1774">
        <f>SUM(P12:P14)</f>
        <v>6.400561822</v>
      </c>
      <c r="Q15" s="1774">
        <f>SUM(Q12:Q14)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None</t>
        </is>
      </c>
      <c r="C19" s="1530" t="inlineStr">
        <is>
          <t>The COEs carry no overhead</t>
        </is>
      </c>
      <c r="D19" s="1548" t="str">
        <f>"-"</f>
        <v>-</v>
      </c>
      <c r="E19" s="1548" t="str">
        <f>"-"</f>
        <v>-</v>
      </c>
      <c r="F19" s="1548" t="str">
        <f>"-"</f>
        <v>-</v>
      </c>
      <c r="G19" s="1548" t="str">
        <f>"-"</f>
        <v>-</v>
      </c>
      <c r="H19" s="1548" t="str">
        <f>"-"</f>
        <v>-</v>
      </c>
      <c r="I19" s="1548" t="str">
        <f>"-"</f>
        <v>-</v>
      </c>
      <c r="J19" s="1548" t="str">
        <f>"-"</f>
        <v>-</v>
      </c>
      <c r="K19" s="1548" t="str">
        <f>"-"</f>
        <v>-</v>
      </c>
      <c r="L19" s="1548" t="str">
        <f>"-"</f>
        <v>-</v>
      </c>
      <c r="M19" s="1548" t="str">
        <f>"-"</f>
        <v>-</v>
      </c>
      <c r="N19" s="1548" t="str">
        <f>"-"</f>
        <v>-</v>
      </c>
      <c r="O19" s="1548" t="str">
        <f>"-"</f>
        <v>-</v>
      </c>
      <c r="P19" s="1548" t="str">
        <f>"-"</f>
        <v>-</v>
      </c>
      <c r="Q19" s="1548" t="str">
        <f>"-"</f>
        <v>-</v>
      </c>
    </row>
    <row r="20">
      <c r="B20" s="1534" t="inlineStr">
        <is>
          <t>Overhead roles total</t>
        </is>
      </c>
      <c r="C20" s="1534" t="n"/>
      <c r="D20" s="1534" t="n"/>
      <c r="E20" s="1783">
        <f>SUM(E19:E19)</f>
        <v>0</v>
      </c>
      <c r="F20" s="1775">
        <f>SUM(F19:F19)</f>
        <v>0</v>
      </c>
      <c r="G20" s="1775">
        <f>SUM(G19:G19)</f>
        <v>0</v>
      </c>
      <c r="H20" s="1775">
        <f>SUM(H19:H19)</f>
        <v>0</v>
      </c>
      <c r="I20" s="1775">
        <f>SUM(I19:I19)</f>
        <v>0</v>
      </c>
      <c r="J20" s="1775">
        <f>SUM(J19:J19)</f>
        <v>0</v>
      </c>
      <c r="K20" s="1775">
        <f>SUM(K19:K19)</f>
        <v>0</v>
      </c>
      <c r="L20" s="1775">
        <f>SUM(L19:L19)</f>
        <v>0</v>
      </c>
      <c r="M20" s="1774">
        <f>SUM(M19:M19)</f>
        <v>0</v>
      </c>
      <c r="N20" s="1774">
        <f>SUM(N19:N19)</f>
        <v>0</v>
      </c>
      <c r="O20" s="1774">
        <f>SUM(O19:O19)</f>
        <v>0</v>
      </c>
      <c r="P20" s="1774">
        <f>SUM(P19:P19)</f>
        <v>0</v>
      </c>
      <c r="Q20" s="1774">
        <f>SUM(Q19:Q19)</f>
        <v>0</v>
      </c>
    </row>
    <row r="21"/>
    <row r="22">
      <c r="B22" s="1539" t="inlineStr">
        <is>
          <t>Total portfolio</t>
        </is>
      </c>
      <c r="C22" s="1539" t="n"/>
      <c r="D22" s="1539" t="n"/>
      <c r="E22" s="1784">
        <f>N(E8)+N(E15)+N(E20)</f>
        <v>0</v>
      </c>
      <c r="F22" s="1777">
        <f>N(F8)+N(F15)+N(F20)</f>
        <v>24</v>
      </c>
      <c r="G22" s="1777">
        <f>N(G8)+N(G15)+N(G20)</f>
        <v>15</v>
      </c>
      <c r="H22" s="1777">
        <f>N(H8)+N(H15)+N(H20)</f>
        <v>9</v>
      </c>
      <c r="I22" s="1777">
        <f>N(I8)+N(I15)+N(I20)</f>
        <v>9</v>
      </c>
      <c r="J22" s="1777">
        <f>N(J8)+N(J15)+N(J20)</f>
        <v>0</v>
      </c>
      <c r="K22" s="1777">
        <f>N(K8)+N(K15)+N(K20)</f>
        <v>0</v>
      </c>
      <c r="L22" s="1777">
        <f>N(L8)+N(L15)+N(L20)</f>
        <v>24</v>
      </c>
      <c r="M22" s="1776">
        <f>N(M8)+N(M15)+N(M20)</f>
        <v>6.400561822</v>
      </c>
      <c r="N22" s="1776">
        <f>N(N8)+N(N15)+N(N20)</f>
        <v>6.400561822</v>
      </c>
      <c r="O22" s="1776">
        <f>N(O8)+N(O15)+N(O20)</f>
        <v>0</v>
      </c>
      <c r="P22" s="1776">
        <f>N(P8)+N(P15)+N(P20)</f>
        <v>6.400561822</v>
      </c>
      <c r="Q22" s="1776">
        <f>N(Q8)+N(Q15)+N(Q20)</f>
        <v>0</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COE BP&amp;T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45" t="inlineStr">
        <is>
          <t>Commercial</t>
        </is>
      </c>
      <c r="C29" s="1545" t="str">
        <f>COUNTA($B$30:$B$33)&amp;IF(COUNTA($B$30:$B$33)=1," role"," roles")</f>
        <v>4 roles</v>
      </c>
      <c r="D29" s="1545" t="n"/>
      <c r="E29" s="1545" t="n"/>
      <c r="F29" s="1785">
        <f>SUM(F30:F33)</f>
        <v>979014.192</v>
      </c>
      <c r="G29" s="1785">
        <f>SUM(G30:G33)</f>
        <v>979014.192</v>
      </c>
    </row>
    <row r="30">
      <c r="B30" s="1530" t="str">
        <f>INDEX('REVIEW - Complete Role Mapping'!$B:$B,255)</f>
        <v>Briony Scott</v>
      </c>
      <c r="C30" s="1530" t="str">
        <f>INDEX('REVIEW - Complete Role Mapping'!$C:$C,255)</f>
        <v>Service &amp; Contract Specialist AU</v>
      </c>
      <c r="D30" s="1530" t="str">
        <f>INDEX('REVIEW - Complete Role Mapping'!$AK:$AK,255)</f>
        <v>Filled</v>
      </c>
      <c r="E30" s="1547" t="inlineStr">
        <is>
          <t>Filled</t>
        </is>
      </c>
      <c r="F30" s="1773">
        <f>INDEX('REVIEW - Complete Role Mapping'!$AA:$AA,255)</f>
        <v>205056</v>
      </c>
      <c r="G30" s="1773">
        <f>$F30*IFERROR(INDEX(Lists!$AD:$AD,MATCH($E30,Lists!$AC:$AC,0)),1)</f>
        <v>205056</v>
      </c>
    </row>
    <row r="31">
      <c r="B31" s="1530" t="str">
        <f>INDEX('REVIEW - Complete Role Mapping'!$B:$B,257)</f>
        <v>Helen Ngu</v>
      </c>
      <c r="C31" s="1530" t="str">
        <f>INDEX('REVIEW - Complete Role Mapping'!$C:$C,257)</f>
        <v>Service &amp; Contract Specialist NZ</v>
      </c>
      <c r="D31" s="1530" t="str">
        <f>INDEX('REVIEW - Complete Role Mapping'!$AK:$AK,257)</f>
        <v>Filled</v>
      </c>
      <c r="E31" s="1547" t="inlineStr">
        <is>
          <t>Filled</t>
        </is>
      </c>
      <c r="F31" s="1773">
        <f>INDEX('REVIEW - Complete Role Mapping'!$AA:$AA,257)</f>
        <v>151002.492</v>
      </c>
      <c r="G31" s="1773">
        <f>$F31*IFERROR(INDEX(Lists!$AD:$AD,MATCH($E31,Lists!$AC:$AC,0)),1)</f>
        <v>151002.492</v>
      </c>
    </row>
    <row r="32">
      <c r="B32" s="1530" t="str">
        <f>INDEX('REVIEW - Complete Role Mapping'!$B:$B,258)</f>
        <v>Jane Esclandra</v>
      </c>
      <c r="C32" s="1530" t="str">
        <f>INDEX('REVIEW - Complete Role Mapping'!$C:$C,258)</f>
        <v>Software Asset Specialist</v>
      </c>
      <c r="D32" s="1530" t="str">
        <f>INDEX('REVIEW - Complete Role Mapping'!$AK:$AK,258)</f>
        <v>Filled</v>
      </c>
      <c r="E32" s="1547" t="inlineStr">
        <is>
          <t>Filled</t>
        </is>
      </c>
      <c r="F32" s="1773">
        <f>INDEX('REVIEW - Complete Role Mapping'!$AA:$AA,258)</f>
        <v>183455.7</v>
      </c>
      <c r="G32" s="1773">
        <f>$F32*IFERROR(INDEX(Lists!$AD:$AD,MATCH($E32,Lists!$AC:$AC,0)),1)</f>
        <v>183455.7</v>
      </c>
    </row>
    <row r="33">
      <c r="B33" s="1530" t="str">
        <f>INDEX('REVIEW - Complete Role Mapping'!$B:$B,269)</f>
        <v>Vacant</v>
      </c>
      <c r="C33" s="1530" t="str">
        <f>INDEX('REVIEW - Complete Role Mapping'!$C:$C,269)</f>
        <v>Commercial Director</v>
      </c>
      <c r="D33" s="1530" t="str">
        <f>INDEX('REVIEW - Complete Role Mapping'!$AK:$AK,269)</f>
        <v>Vacant</v>
      </c>
      <c r="E33" s="1547" t="inlineStr">
        <is>
          <t>Hire</t>
        </is>
      </c>
      <c r="F33" s="1773">
        <f>INDEX('REVIEW - Complete Role Mapping'!$AA:$AA,269)</f>
        <v>439500</v>
      </c>
      <c r="G33" s="1773">
        <f>$F33*IFERROR(INDEX(Lists!$AD:$AD,MATCH($E33,Lists!$AC:$AC,0)),1)</f>
        <v>439500</v>
      </c>
    </row>
    <row r="34">
      <c r="B34" s="1545" t="inlineStr">
        <is>
          <t>TDD Business Partner</t>
        </is>
      </c>
      <c r="C34" s="1545" t="str">
        <f>COUNTA($B$35:$B$40)&amp;IF(COUNTA($B$35:$B$40)=1," role"," roles")</f>
        <v>6 roles</v>
      </c>
      <c r="D34" s="1545" t="n"/>
      <c r="E34" s="1545" t="n"/>
      <c r="F34" s="1785">
        <f>SUM(F35:F40)</f>
        <v>2313548.4</v>
      </c>
      <c r="G34" s="1785">
        <f>SUM(G35:G40)</f>
        <v>2313548.4</v>
      </c>
    </row>
    <row r="35">
      <c r="B35" s="1530" t="str">
        <f>INDEX('REVIEW - Complete Role Mapping'!$B:$B,256)</f>
        <v>Conli Mills</v>
      </c>
      <c r="C35" s="1530" t="str">
        <f>INDEX('REVIEW - Complete Role Mapping'!$C:$C,256)</f>
        <v>TDD BP - Infrastructure</v>
      </c>
      <c r="D35" s="1530" t="str">
        <f>INDEX('REVIEW - Complete Role Mapping'!$AK:$AK,256)</f>
        <v>Filled</v>
      </c>
      <c r="E35" s="1547" t="inlineStr">
        <is>
          <t>Filled</t>
        </is>
      </c>
      <c r="F35" s="1773">
        <f>INDEX('REVIEW - Complete Role Mapping'!$AA:$AA,256)</f>
        <v>297150</v>
      </c>
      <c r="G35" s="1773">
        <f>$F35*IFERROR(INDEX(Lists!$AD:$AD,MATCH($E35,Lists!$AC:$AC,0)),1)</f>
        <v>297150</v>
      </c>
    </row>
    <row r="36">
      <c r="B36" s="1530" t="str">
        <f>INDEX('REVIEW - Complete Role Mapping'!$B:$B,261)</f>
        <v>Malcolm Deare</v>
      </c>
      <c r="C36" s="1530" t="str">
        <f>INDEX('REVIEW - Complete Role Mapping'!$C:$C,261)</f>
        <v>TDD BP, Group Functions</v>
      </c>
      <c r="D36" s="1530" t="str">
        <f>INDEX('REVIEW - Complete Role Mapping'!$AK:$AK,261)</f>
        <v>Filled</v>
      </c>
      <c r="E36" s="1547" t="inlineStr">
        <is>
          <t>Filled</t>
        </is>
      </c>
      <c r="F36" s="1773">
        <f>INDEX('REVIEW - Complete Role Mapping'!$AA:$AA,261)</f>
        <v>298100</v>
      </c>
      <c r="G36" s="1773">
        <f>$F36*IFERROR(INDEX(Lists!$AD:$AD,MATCH($E36,Lists!$AC:$AC,0)),1)</f>
        <v>298100</v>
      </c>
    </row>
    <row r="37">
      <c r="B37" s="1530" t="str">
        <f>INDEX('REVIEW - Complete Role Mapping'!$B:$B,264)</f>
        <v>Neil Reilly</v>
      </c>
      <c r="C37" s="1530" t="str">
        <f>INDEX('REVIEW - Complete Role Mapping'!$C:$C,264)</f>
        <v>TDD BP - T&amp;S</v>
      </c>
      <c r="D37" s="1530" t="str">
        <f>INDEX('REVIEW - Complete Role Mapping'!$AK:$AK,264)</f>
        <v>Filled</v>
      </c>
      <c r="E37" s="1547" t="inlineStr">
        <is>
          <t>Filled</t>
        </is>
      </c>
      <c r="F37" s="1773">
        <f>INDEX('REVIEW - Complete Role Mapping'!$AA:$AA,264)</f>
        <v>666087.5</v>
      </c>
      <c r="G37" s="1773">
        <f>$F37*IFERROR(INDEX(Lists!$AD:$AD,MATCH($E37,Lists!$AC:$AC,0)),1)</f>
        <v>666087.5</v>
      </c>
    </row>
    <row r="38">
      <c r="B38" s="1530" t="str">
        <f>INDEX('REVIEW - Complete Role Mapping'!$B:$B,267)</f>
        <v>Shelley Crawford</v>
      </c>
      <c r="C38" s="1530" t="str">
        <f>INDEX('REVIEW - Complete Role Mapping'!$C:$C,267)</f>
        <v>TDD BP - Z</v>
      </c>
      <c r="D38" s="1530" t="str">
        <f>INDEX('REVIEW - Complete Role Mapping'!$AK:$AK,267)</f>
        <v>Filled</v>
      </c>
      <c r="E38" s="1547" t="inlineStr">
        <is>
          <t>Filled</t>
        </is>
      </c>
      <c r="F38" s="1773">
        <f>INDEX('REVIEW - Complete Role Mapping'!$AA:$AA,267)</f>
        <v>291422</v>
      </c>
      <c r="G38" s="1773">
        <f>$F38*IFERROR(INDEX(Lists!$AD:$AD,MATCH($E38,Lists!$AC:$AC,0)),1)</f>
        <v>291422</v>
      </c>
    </row>
    <row r="39">
      <c r="B39" s="1530" t="str">
        <f>INDEX('REVIEW - Complete Role Mapping'!$B:$B,268)</f>
        <v>Thomas Reid</v>
      </c>
      <c r="C39" s="1530" t="str">
        <f>INDEX('REVIEW - Complete Role Mapping'!$C:$C,268)</f>
        <v>TDD BP - Retail &amp; Customer - Store Digital</v>
      </c>
      <c r="D39" s="1530" t="str">
        <f>INDEX('REVIEW - Complete Role Mapping'!$AK:$AK,268)</f>
        <v>Filled</v>
      </c>
      <c r="E39" s="1547" t="inlineStr">
        <is>
          <t>Filled</t>
        </is>
      </c>
      <c r="F39" s="1773">
        <f>INDEX('REVIEW - Complete Role Mapping'!$AA:$AA,268)</f>
        <v>417425</v>
      </c>
      <c r="G39" s="1773">
        <f>$F39*IFERROR(INDEX(Lists!$AD:$AD,MATCH($E39,Lists!$AC:$AC,0)),1)</f>
        <v>417425</v>
      </c>
    </row>
    <row r="40">
      <c r="B40" s="1530" t="str">
        <f>INDEX('REVIEW - Complete Role Mapping'!$B:$B,278)</f>
        <v>Vaughn Scott</v>
      </c>
      <c r="C40" s="1530" t="str">
        <f>INDEX('REVIEW - Complete Role Mapping'!$C:$C,278)</f>
        <v>TDD BP - ES</v>
      </c>
      <c r="D40" s="1530" t="str">
        <f>INDEX('REVIEW - Complete Role Mapping'!$AK:$AK,278)</f>
        <v>Filled</v>
      </c>
      <c r="E40" s="1547" t="inlineStr">
        <is>
          <t>Filled</t>
        </is>
      </c>
      <c r="F40" s="1773">
        <f>INDEX('REVIEW - Complete Role Mapping'!$AA:$AA,278)</f>
        <v>343363.9</v>
      </c>
      <c r="G40" s="1773">
        <f>$F40*IFERROR(INDEX(Lists!$AD:$AD,MATCH($E40,Lists!$AC:$AC,0)),1)</f>
        <v>343363.9</v>
      </c>
    </row>
    <row r="41">
      <c r="B41" s="1545" t="inlineStr">
        <is>
          <t>Transformation</t>
        </is>
      </c>
      <c r="C41" s="1545" t="str">
        <f>COUNTA($B$42:$B$55)&amp;IF(COUNTA($B$42:$B$55)=1," role"," roles")</f>
        <v>14 roles</v>
      </c>
      <c r="D41" s="1545" t="n"/>
      <c r="E41" s="1545" t="n"/>
      <c r="F41" s="1785">
        <f>SUM(F42:F55)</f>
        <v>3107999.23</v>
      </c>
      <c r="G41" s="1785">
        <f>SUM(G42:G55)</f>
        <v>3107999.23</v>
      </c>
    </row>
    <row r="42">
      <c r="B42" s="1530" t="str">
        <f>INDEX('REVIEW - Complete Role Mapping'!$B:$B,259)</f>
        <v>Jeannie Chu</v>
      </c>
      <c r="C42" s="1530" t="str">
        <f>INDEX('REVIEW - Complete Role Mapping'!$C:$C,259)</f>
        <v>Snr Finance Support Administrator</v>
      </c>
      <c r="D42" s="1530" t="str">
        <f>INDEX('REVIEW - Complete Role Mapping'!$AK:$AK,259)</f>
        <v>Filled</v>
      </c>
      <c r="E42" s="1547" t="inlineStr">
        <is>
          <t>Filled</t>
        </is>
      </c>
      <c r="F42" s="1773">
        <f>INDEX('REVIEW - Complete Role Mapping'!$AA:$AA,259)</f>
        <v>147687.65</v>
      </c>
      <c r="G42" s="1773">
        <f>$F42*IFERROR(INDEX(Lists!$AD:$AD,MATCH($E42,Lists!$AC:$AC,0)),1)</f>
        <v>147687.65</v>
      </c>
    </row>
    <row r="43">
      <c r="B43" s="1530" t="str">
        <f>INDEX('REVIEW - Complete Role Mapping'!$B:$B,260)</f>
        <v>Jenny Chan</v>
      </c>
      <c r="C43" s="1530" t="str">
        <f>INDEX('REVIEW - Complete Role Mapping'!$C:$C,260)</f>
        <v>Project Finance Lead</v>
      </c>
      <c r="D43" s="1530" t="str">
        <f>INDEX('REVIEW - Complete Role Mapping'!$AK:$AK,260)</f>
        <v>Filled</v>
      </c>
      <c r="E43" s="1547" t="inlineStr">
        <is>
          <t>Filled</t>
        </is>
      </c>
      <c r="F43" s="1773">
        <f>INDEX('REVIEW - Complete Role Mapping'!$AA:$AA,260)</f>
        <v>206124</v>
      </c>
      <c r="G43" s="1773">
        <f>$F43*IFERROR(INDEX(Lists!$AD:$AD,MATCH($E43,Lists!$AC:$AC,0)),1)</f>
        <v>206124</v>
      </c>
    </row>
    <row r="44">
      <c r="B44" s="1530" t="str">
        <f>INDEX('REVIEW - Complete Role Mapping'!$B:$B,262)</f>
        <v>Maria Somera</v>
      </c>
      <c r="C44" s="1530" t="str">
        <f>INDEX('REVIEW - Complete Role Mapping'!$C:$C,262)</f>
        <v>Technology Finance Analyst</v>
      </c>
      <c r="D44" s="1530" t="str">
        <f>INDEX('REVIEW - Complete Role Mapping'!$AK:$AK,262)</f>
        <v>Filled</v>
      </c>
      <c r="E44" s="1547" t="inlineStr">
        <is>
          <t>Filled</t>
        </is>
      </c>
      <c r="F44" s="1773">
        <f>INDEX('REVIEW - Complete Role Mapping'!$AA:$AA,262)</f>
        <v>179313.4</v>
      </c>
      <c r="G44" s="1773">
        <f>$F44*IFERROR(INDEX(Lists!$AD:$AD,MATCH($E44,Lists!$AC:$AC,0)),1)</f>
        <v>179313.4</v>
      </c>
    </row>
    <row r="45">
      <c r="B45" s="1530" t="str">
        <f>INDEX('REVIEW - Complete Role Mapping'!$B:$B,263)</f>
        <v>Matt Saunders</v>
      </c>
      <c r="C45" s="1530" t="str">
        <f>INDEX('REVIEW - Complete Role Mapping'!$C:$C,263)</f>
        <v>Scrum Master</v>
      </c>
      <c r="D45" s="1530" t="str">
        <f>INDEX('REVIEW - Complete Role Mapping'!$AK:$AK,263)</f>
        <v>Filled</v>
      </c>
      <c r="E45" s="1547" t="inlineStr">
        <is>
          <t>Filled</t>
        </is>
      </c>
      <c r="F45" s="1773">
        <f>INDEX('REVIEW - Complete Role Mapping'!$AA:$AA,263)</f>
        <v>147754.8</v>
      </c>
      <c r="G45" s="1773">
        <f>$F45*IFERROR(INDEX(Lists!$AD:$AD,MATCH($E45,Lists!$AC:$AC,0)),1)</f>
        <v>147754.8</v>
      </c>
    </row>
    <row r="46">
      <c r="B46" s="1530" t="str">
        <f>INDEX('REVIEW - Complete Role Mapping'!$B:$B,265)</f>
        <v>Ruth Chou</v>
      </c>
      <c r="C46" s="1530" t="str">
        <f>INDEX('REVIEW - Complete Role Mapping'!$C:$C,265)</f>
        <v>Portfolio Reporting Manager</v>
      </c>
      <c r="D46" s="1530" t="str">
        <f>INDEX('REVIEW - Complete Role Mapping'!$AK:$AK,265)</f>
        <v>Filled</v>
      </c>
      <c r="E46" s="1547" t="inlineStr">
        <is>
          <t>Filled</t>
        </is>
      </c>
      <c r="F46" s="1773">
        <f>INDEX('REVIEW - Complete Role Mapping'!$AA:$AA,265)</f>
        <v>293316.85</v>
      </c>
      <c r="G46" s="1773">
        <f>$F46*IFERROR(INDEX(Lists!$AD:$AD,MATCH($E46,Lists!$AC:$AC,0)),1)</f>
        <v>293316.85</v>
      </c>
    </row>
    <row r="47">
      <c r="B47" s="1530" t="str">
        <f>INDEX('REVIEW - Complete Role Mapping'!$B:$B,266)</f>
        <v>Sam Chan</v>
      </c>
      <c r="C47" s="1530" t="str">
        <f>INDEX('REVIEW - Complete Role Mapping'!$C:$C,266)</f>
        <v>FinOps Manager</v>
      </c>
      <c r="D47" s="1530" t="str">
        <f>INDEX('REVIEW - Complete Role Mapping'!$AK:$AK,266)</f>
        <v>Filled</v>
      </c>
      <c r="E47" s="1547" t="inlineStr">
        <is>
          <t>Filled</t>
        </is>
      </c>
      <c r="F47" s="1773">
        <f>INDEX('REVIEW - Complete Role Mapping'!$AA:$AA,266)</f>
        <v>225788.55</v>
      </c>
      <c r="G47" s="1773">
        <f>$F47*IFERROR(INDEX(Lists!$AD:$AD,MATCH($E47,Lists!$AC:$AC,0)),1)</f>
        <v>225788.55</v>
      </c>
    </row>
    <row r="48">
      <c r="B48" s="1530" t="str">
        <f>INDEX('REVIEW - Complete Role Mapping'!$B:$B,270)</f>
        <v>Vacant</v>
      </c>
      <c r="C48" s="1530" t="str">
        <f>INDEX('REVIEW - Complete Role Mapping'!$C:$C,270)</f>
        <v>Head of Transformation</v>
      </c>
      <c r="D48" s="1530" t="str">
        <f>INDEX('REVIEW - Complete Role Mapping'!$AK:$AK,270)</f>
        <v>Vacant</v>
      </c>
      <c r="E48" s="1547" t="inlineStr">
        <is>
          <t>Hire</t>
        </is>
      </c>
      <c r="F48" s="1773">
        <f>INDEX('REVIEW - Complete Role Mapping'!$AA:$AA,270)</f>
        <v>367900</v>
      </c>
      <c r="G48" s="1773">
        <f>$F48*IFERROR(INDEX(Lists!$AD:$AD,MATCH($E48,Lists!$AC:$AC,0)),1)</f>
        <v>367900</v>
      </c>
    </row>
    <row r="49">
      <c r="B49" s="1530" t="str">
        <f>INDEX('REVIEW - Complete Role Mapping'!$B:$B,271)</f>
        <v>Vacant</v>
      </c>
      <c r="C49" s="1530" t="str">
        <f>INDEX('REVIEW - Complete Role Mapping'!$C:$C,271)</f>
        <v>Delivery Systems Analyst</v>
      </c>
      <c r="D49" s="1530" t="str">
        <f>INDEX('REVIEW - Complete Role Mapping'!$AK:$AK,271)</f>
        <v>Vacant</v>
      </c>
      <c r="E49" s="1547" t="inlineStr">
        <is>
          <t>Hire</t>
        </is>
      </c>
      <c r="F49" s="1773">
        <f>INDEX('REVIEW - Complete Role Mapping'!$AA:$AA,271)</f>
        <v>202853.25</v>
      </c>
      <c r="G49" s="1773">
        <f>$F49*IFERROR(INDEX(Lists!$AD:$AD,MATCH($E49,Lists!$AC:$AC,0)),1)</f>
        <v>202853.25</v>
      </c>
    </row>
    <row r="50">
      <c r="B50" s="1530" t="str">
        <f>INDEX('REVIEW - Complete Role Mapping'!$B:$B,272)</f>
        <v>Vacant</v>
      </c>
      <c r="C50" s="1530" t="str">
        <f>INDEX('REVIEW - Complete Role Mapping'!$C:$C,272)</f>
        <v>Business Analysis Practice Lead</v>
      </c>
      <c r="D50" s="1530" t="str">
        <f>INDEX('REVIEW - Complete Role Mapping'!$AK:$AK,272)</f>
        <v>Vacant</v>
      </c>
      <c r="E50" s="1547" t="inlineStr">
        <is>
          <t>Hire</t>
        </is>
      </c>
      <c r="F50" s="1773">
        <f>INDEX('REVIEW - Complete Role Mapping'!$AA:$AA,272)</f>
        <v>231689.25</v>
      </c>
      <c r="G50" s="1773">
        <f>$F50*IFERROR(INDEX(Lists!$AD:$AD,MATCH($E50,Lists!$AC:$AC,0)),1)</f>
        <v>231689.25</v>
      </c>
    </row>
    <row r="51">
      <c r="B51" s="1530" t="str">
        <f>INDEX('REVIEW - Complete Role Mapping'!$B:$B,273)</f>
        <v>Vacant</v>
      </c>
      <c r="C51" s="1530" t="str">
        <f>INDEX('REVIEW - Complete Role Mapping'!$C:$C,273)</f>
        <v>Delivery Assurance Manager</v>
      </c>
      <c r="D51" s="1530" t="str">
        <f>INDEX('REVIEW - Complete Role Mapping'!$AK:$AK,273)</f>
        <v>Vacant</v>
      </c>
      <c r="E51" s="1547" t="inlineStr">
        <is>
          <t>Hire</t>
        </is>
      </c>
      <c r="F51" s="1773">
        <f>INDEX('REVIEW - Complete Role Mapping'!$AA:$AA,273)</f>
        <v>275810.25</v>
      </c>
      <c r="G51" s="1773">
        <f>$F51*IFERROR(INDEX(Lists!$AD:$AD,MATCH($E51,Lists!$AC:$AC,0)),1)</f>
        <v>275810.25</v>
      </c>
    </row>
    <row r="52">
      <c r="B52" s="1530" t="str">
        <f>INDEX('REVIEW - Complete Role Mapping'!$B:$B,274)</f>
        <v>Vacant</v>
      </c>
      <c r="C52" s="1530" t="str">
        <f>INDEX('REVIEW - Complete Role Mapping'!$C:$C,274)</f>
        <v>Delivery Capacity &amp; Assurance Lead</v>
      </c>
      <c r="D52" s="1530" t="str">
        <f>INDEX('REVIEW - Complete Role Mapping'!$AK:$AK,274)</f>
        <v>Vacant</v>
      </c>
      <c r="E52" s="1547" t="inlineStr">
        <is>
          <t>Hire</t>
        </is>
      </c>
      <c r="F52" s="1773">
        <f>INDEX('REVIEW - Complete Role Mapping'!$AA:$AA,274)</f>
        <v>231689.25</v>
      </c>
      <c r="G52" s="1773">
        <f>$F52*IFERROR(INDEX(Lists!$AD:$AD,MATCH($E52,Lists!$AC:$AC,0)),1)</f>
        <v>231689.25</v>
      </c>
    </row>
    <row r="53">
      <c r="B53" s="1530" t="str">
        <f>INDEX('REVIEW - Complete Role Mapping'!$B:$B,275)</f>
        <v>Vacant</v>
      </c>
      <c r="C53" s="1530" t="str">
        <f>INDEX('REVIEW - Complete Role Mapping'!$C:$C,275)</f>
        <v>Delivery Excellence Manager</v>
      </c>
      <c r="D53" s="1530" t="str">
        <f>INDEX('REVIEW - Complete Role Mapping'!$AK:$AK,275)</f>
        <v>Vacant</v>
      </c>
      <c r="E53" s="1547" t="inlineStr">
        <is>
          <t>Hire</t>
        </is>
      </c>
      <c r="F53" s="1773">
        <f>INDEX('REVIEW - Complete Role Mapping'!$AA:$AA,275)</f>
        <v>275810.25</v>
      </c>
      <c r="G53" s="1773">
        <f>$F53*IFERROR(INDEX(Lists!$AD:$AD,MATCH($E53,Lists!$AC:$AC,0)),1)</f>
        <v>275810.25</v>
      </c>
    </row>
    <row r="54">
      <c r="B54" s="1530" t="str">
        <f>INDEX('REVIEW - Complete Role Mapping'!$B:$B,276)</f>
        <v>Vacant</v>
      </c>
      <c r="C54" s="1530" t="str">
        <f>INDEX('REVIEW - Complete Role Mapping'!$C:$C,276)</f>
        <v>Scrum Master</v>
      </c>
      <c r="D54" s="1530" t="str">
        <f>INDEX('REVIEW - Complete Role Mapping'!$AK:$AK,276)</f>
        <v>Vacant</v>
      </c>
      <c r="E54" s="1547" t="inlineStr">
        <is>
          <t>Hire</t>
        </is>
      </c>
      <c r="F54" s="1773">
        <f>INDEX('REVIEW - Complete Role Mapping'!$AA:$AA,276)</f>
        <v>151771.98</v>
      </c>
      <c r="G54" s="1773">
        <f>$F54*IFERROR(INDEX(Lists!$AD:$AD,MATCH($E54,Lists!$AC:$AC,0)),1)</f>
        <v>151771.98</v>
      </c>
    </row>
    <row r="55">
      <c r="B55" s="1530" t="str">
        <f>INDEX('REVIEW - Complete Role Mapping'!$B:$B,277)</f>
        <v>Vacant</v>
      </c>
      <c r="C55" s="1530" t="str">
        <f>INDEX('REVIEW - Complete Role Mapping'!$C:$C,277)</f>
        <v>Portfolio Analyst</v>
      </c>
      <c r="D55" s="1530" t="str">
        <f>INDEX('REVIEW - Complete Role Mapping'!$AK:$AK,277)</f>
        <v>Vacant</v>
      </c>
      <c r="E55" s="1547" t="inlineStr">
        <is>
          <t>Hire</t>
        </is>
      </c>
      <c r="F55" s="1773">
        <f>INDEX('REVIEW - Complete Role Mapping'!$AA:$AA,277)</f>
        <v>170489.75</v>
      </c>
      <c r="G55" s="1773">
        <f>$F55*IFERROR(INDEX(Lists!$AD:$AD,MATCH($E55,Lists!$AC:$AC,0)),1)</f>
        <v>170489.75</v>
      </c>
    </row>
  </sheetData>
  <dataValidations count="1">
    <dataValidation sqref="E30 E31 E32 E33 E35 E36 E37 E38 E39 E40 E42 E43 E44 E45 E46 E47 E48 E49 E50 E51 E52 E53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61"/>
  <sheetViews>
    <sheetView showFormulas="0" showGridLines="0" showRowColHeaders="1" showZeros="1" rightToLeft="0" tabSelected="0" showOutlineSymbols="1" defaultGridColor="1" view="normal" topLeftCell="A1" colorId="64" zoomScale="60" zoomScaleNormal="6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Architecture</t>
        </is>
      </c>
      <c r="C12" s="1530" t="str">
        <f>"-"</f>
        <v>-</v>
      </c>
      <c r="D12" s="1530" t="str">
        <f>"-"</f>
        <v>-</v>
      </c>
      <c r="E12" s="1538" t="str">
        <f>"-"</f>
        <v>-</v>
      </c>
      <c r="F12" s="1773">
        <f>COUNTA($B$32:$B$38)</f>
        <v>7</v>
      </c>
      <c r="G12" s="1773">
        <f>COUNTIFS($D$32:$D$38,"Filled")</f>
        <v>7</v>
      </c>
      <c r="H12" s="1773">
        <f>COUNTIFS($D$32:$D$38,"Vacant")</f>
        <v>0</v>
      </c>
      <c r="I12" s="1773">
        <f>COUNTIFS($D$32:$D$38,"Vacant",$E$32:$E$38,"Hire")</f>
        <v>0</v>
      </c>
      <c r="J12" s="1773">
        <f>COUNTIFS($E$32:$E$38,"Offshore")</f>
        <v>0</v>
      </c>
      <c r="K12" s="1773">
        <f>COUNTIFS($E$32:$E$38,"Hold")</f>
        <v>0</v>
      </c>
      <c r="L12" s="1773">
        <f>$F12-$K12</f>
        <v>7</v>
      </c>
      <c r="M12" s="1772">
        <f>$N12</f>
        <v>1.664746536</v>
      </c>
      <c r="N12" s="1772">
        <f>SUMIFS('REVIEW - Complete Role Mapping'!$AA$2:$AA$528,'REVIEW - Complete Role Mapping'!$AJ$2:$AJ$528,$C$3,'REVIEW - Complete Role Mapping'!$AT$2:$AT$528,$B12)/1000000</f>
        <v>1.664746536</v>
      </c>
      <c r="O12" s="1772">
        <f>ROUND($N12-$M12,6)</f>
        <v>0</v>
      </c>
      <c r="P12" s="1772">
        <f>SUM($G$32:$G$38)/1000000</f>
        <v>1.664746536</v>
      </c>
      <c r="Q12" s="1772">
        <f>ROUND($P12-$M12,6)</f>
        <v>0</v>
      </c>
    </row>
    <row r="13">
      <c r="B13" s="1530" t="inlineStr">
        <is>
          <t>Data Platforms</t>
        </is>
      </c>
      <c r="C13" s="1530" t="str">
        <f>"-"</f>
        <v>-</v>
      </c>
      <c r="D13" s="1530" t="str">
        <f>"-"</f>
        <v>-</v>
      </c>
      <c r="E13" s="1538" t="str">
        <f>"-"</f>
        <v>-</v>
      </c>
      <c r="F13" s="1773">
        <f>COUNTA($B$40:$B$40)</f>
        <v>1</v>
      </c>
      <c r="G13" s="1773">
        <f>COUNTIFS($D$40:$D$40,"Filled")</f>
        <v>1</v>
      </c>
      <c r="H13" s="1773">
        <f>COUNTIFS($D$40:$D$40,"Vacant")</f>
        <v>0</v>
      </c>
      <c r="I13" s="1773">
        <f>COUNTIFS($D$40:$D$40,"Vacant",$E$40:$E$40,"Hire")</f>
        <v>0</v>
      </c>
      <c r="J13" s="1773">
        <f>COUNTIFS($E$40:$E$40,"Offshore")</f>
        <v>0</v>
      </c>
      <c r="K13" s="1773">
        <f>COUNTIFS($E$40:$E$40,"Hold")</f>
        <v>0</v>
      </c>
      <c r="L13" s="1773">
        <f>$F13-$K13</f>
        <v>1</v>
      </c>
      <c r="M13" s="1772">
        <f>$N13</f>
        <v>0.2655849</v>
      </c>
      <c r="N13" s="1772">
        <f>SUMIFS('REVIEW - Complete Role Mapping'!$AA$2:$AA$528,'REVIEW - Complete Role Mapping'!$AJ$2:$AJ$528,$C$3,'REVIEW - Complete Role Mapping'!$AT$2:$AT$528,$B13)/1000000</f>
        <v>0.2655849</v>
      </c>
      <c r="O13" s="1772">
        <f>ROUND($N13-$M13,6)</f>
        <v>0</v>
      </c>
      <c r="P13" s="1772">
        <f>SUM($G$40:$G$40)/1000000</f>
        <v>0.2655849</v>
      </c>
      <c r="Q13" s="1772">
        <f>ROUND($P13-$M13,6)</f>
        <v>0</v>
      </c>
    </row>
    <row r="14">
      <c r="B14" s="1530" t="inlineStr">
        <is>
          <t>Group Data</t>
        </is>
      </c>
      <c r="C14" s="1530" t="str">
        <f>"-"</f>
        <v>-</v>
      </c>
      <c r="D14" s="1530" t="str">
        <f>"-"</f>
        <v>-</v>
      </c>
      <c r="E14" s="1538" t="str">
        <f>"-"</f>
        <v>-</v>
      </c>
      <c r="F14" s="1773">
        <f>COUNTA($B$42:$B$50)</f>
        <v>9</v>
      </c>
      <c r="G14" s="1773">
        <f>COUNTIFS($D$42:$D$50,"Filled")</f>
        <v>7</v>
      </c>
      <c r="H14" s="1773">
        <f>COUNTIFS($D$42:$D$50,"Vacant")</f>
        <v>2</v>
      </c>
      <c r="I14" s="1773">
        <f>COUNTIFS($D$42:$D$50,"Vacant",$E$42:$E$50,"Hire")</f>
        <v>2</v>
      </c>
      <c r="J14" s="1773">
        <f>COUNTIFS($E$42:$E$50,"Offshore")</f>
        <v>0</v>
      </c>
      <c r="K14" s="1773">
        <f>COUNTIFS($E$42:$E$50,"Hold")</f>
        <v>0</v>
      </c>
      <c r="L14" s="1773">
        <f>$F14-$K14</f>
        <v>9</v>
      </c>
      <c r="M14" s="1772">
        <f>$N14</f>
        <v>2.305292066</v>
      </c>
      <c r="N14" s="1772">
        <f>SUMIFS('REVIEW - Complete Role Mapping'!$AA$2:$AA$528,'REVIEW - Complete Role Mapping'!$AJ$2:$AJ$528,$C$3,'REVIEW - Complete Role Mapping'!$AT$2:$AT$528,$B14)/1000000</f>
        <v>2.305292066</v>
      </c>
      <c r="O14" s="1772">
        <f>ROUND($N14-$M14,6)</f>
        <v>0</v>
      </c>
      <c r="P14" s="1772">
        <f>SUM($G$42:$G$50)/1000000</f>
        <v>2.305292066</v>
      </c>
      <c r="Q14" s="1772">
        <f>ROUND($P14-$M14,6)</f>
        <v>0</v>
      </c>
    </row>
    <row r="15">
      <c r="B15" s="1530" t="inlineStr">
        <is>
          <t>Leadership</t>
        </is>
      </c>
      <c r="C15" s="1530" t="str">
        <f>"-"</f>
        <v>-</v>
      </c>
      <c r="D15" s="1530" t="str">
        <f>"-"</f>
        <v>-</v>
      </c>
      <c r="E15" s="1538" t="str">
        <f>"-"</f>
        <v>-</v>
      </c>
      <c r="F15" s="1773">
        <f>COUNTA($B$52:$B$55)</f>
        <v>4</v>
      </c>
      <c r="G15" s="1773">
        <f>COUNTIFS($D$52:$D$55,"Filled")</f>
        <v>1</v>
      </c>
      <c r="H15" s="1773">
        <f>COUNTIFS($D$52:$D$55,"Vacant")</f>
        <v>3</v>
      </c>
      <c r="I15" s="1773">
        <f>COUNTIFS($D$52:$D$55,"Vacant",$E$52:$E$55,"Hire")</f>
        <v>3</v>
      </c>
      <c r="J15" s="1773">
        <f>COUNTIFS($E$52:$E$55,"Offshore")</f>
        <v>0</v>
      </c>
      <c r="K15" s="1773">
        <f>COUNTIFS($E$52:$E$55,"Hold")</f>
        <v>0</v>
      </c>
      <c r="L15" s="1773">
        <f>$F15-$K15</f>
        <v>4</v>
      </c>
      <c r="M15" s="1772">
        <f>$N15</f>
        <v>1.2239818</v>
      </c>
      <c r="N15" s="1772">
        <f>SUMIFS('REVIEW - Complete Role Mapping'!$AA$2:$AA$528,'REVIEW - Complete Role Mapping'!$AJ$2:$AJ$528,$C$3,'REVIEW - Complete Role Mapping'!$AT$2:$AT$528,$B15)/1000000</f>
        <v>1.2239818</v>
      </c>
      <c r="O15" s="1772">
        <f>ROUND($N15-$M15,6)</f>
        <v>0</v>
      </c>
      <c r="P15" s="1772">
        <f>SUM($G$52:$G$55)/1000000</f>
        <v>1.2239818</v>
      </c>
      <c r="Q15" s="1772">
        <f>ROUND($P15-$M15,6)</f>
        <v>0</v>
      </c>
    </row>
    <row r="16">
      <c r="B16" s="1530" t="inlineStr">
        <is>
          <t>Technology Strategy &amp; AI Capability</t>
        </is>
      </c>
      <c r="C16" s="1530" t="str">
        <f>"-"</f>
        <v>-</v>
      </c>
      <c r="D16" s="1530" t="str">
        <f>"-"</f>
        <v>-</v>
      </c>
      <c r="E16" s="1538" t="str">
        <f>"-"</f>
        <v>-</v>
      </c>
      <c r="F16" s="1773">
        <f>COUNTA($B$57:$B$61)</f>
        <v>5</v>
      </c>
      <c r="G16" s="1773">
        <f>COUNTIFS($D$57:$D$61,"Filled")</f>
        <v>1</v>
      </c>
      <c r="H16" s="1773">
        <f>COUNTIFS($D$57:$D$61,"Vacant")</f>
        <v>4</v>
      </c>
      <c r="I16" s="1773">
        <f>COUNTIFS($D$57:$D$61,"Vacant",$E$57:$E$61,"Hire")</f>
        <v>4</v>
      </c>
      <c r="J16" s="1773">
        <f>COUNTIFS($E$57:$E$61,"Offshore")</f>
        <v>0</v>
      </c>
      <c r="K16" s="1773">
        <f>COUNTIFS($E$57:$E$61,"Hold")</f>
        <v>0</v>
      </c>
      <c r="L16" s="1773">
        <f>$F16-$K16</f>
        <v>5</v>
      </c>
      <c r="M16" s="1772">
        <f>$N16</f>
        <v>1.06988875</v>
      </c>
      <c r="N16" s="1772">
        <f>SUMIFS('REVIEW - Complete Role Mapping'!$AA$2:$AA$528,'REVIEW - Complete Role Mapping'!$AJ$2:$AJ$528,$C$3,'REVIEW - Complete Role Mapping'!$AT$2:$AT$528,$B16)/1000000</f>
        <v>1.06988875</v>
      </c>
      <c r="O16" s="1772">
        <f>ROUND($N16-$M16,6)</f>
        <v>0</v>
      </c>
      <c r="P16" s="1772">
        <f>SUM($G$57:$G$61)/1000000</f>
        <v>1.06988875</v>
      </c>
      <c r="Q16" s="1772">
        <f>ROUND($P16-$M16,6)</f>
        <v>0</v>
      </c>
    </row>
    <row r="17">
      <c r="B17" s="1534" t="inlineStr">
        <is>
          <t>Directly funded total</t>
        </is>
      </c>
      <c r="C17" s="1534" t="n"/>
      <c r="D17" s="1534" t="n"/>
      <c r="E17" s="1783">
        <f>SUM(E12:E16)</f>
        <v>0</v>
      </c>
      <c r="F17" s="1775">
        <f>SUM(F12:F16)</f>
        <v>26</v>
      </c>
      <c r="G17" s="1775">
        <f>SUM(G12:G16)</f>
        <v>17</v>
      </c>
      <c r="H17" s="1775">
        <f>SUM(H12:H16)</f>
        <v>9</v>
      </c>
      <c r="I17" s="1775">
        <f>SUM(I12:I16)</f>
        <v>9</v>
      </c>
      <c r="J17" s="1775">
        <f>SUM(J12:J16)</f>
        <v>0</v>
      </c>
      <c r="K17" s="1775">
        <f>SUM(K12:K16)</f>
        <v>0</v>
      </c>
      <c r="L17" s="1775">
        <f>SUM(L12:L16)</f>
        <v>26</v>
      </c>
      <c r="M17" s="1774">
        <f>SUM(M12:M16)</f>
        <v>6.529494052</v>
      </c>
      <c r="N17" s="1774">
        <f>SUM(N12:N16)</f>
        <v>6.529494052</v>
      </c>
      <c r="O17" s="1774">
        <f>SUM(O12:O16)</f>
        <v>0</v>
      </c>
      <c r="P17" s="1774">
        <f>SUM(P12:P16)</f>
        <v>6.529494052</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26</v>
      </c>
      <c r="G24" s="1777">
        <f>N(G8)+N(G17)+N(G22)</f>
        <v>17</v>
      </c>
      <c r="H24" s="1777">
        <f>N(H8)+N(H17)+N(H22)</f>
        <v>9</v>
      </c>
      <c r="I24" s="1777">
        <f>N(I8)+N(I17)+N(I22)</f>
        <v>9</v>
      </c>
      <c r="J24" s="1777">
        <f>N(J8)+N(J17)+N(J22)</f>
        <v>0</v>
      </c>
      <c r="K24" s="1777">
        <f>N(K8)+N(K17)+N(K22)</f>
        <v>0</v>
      </c>
      <c r="L24" s="1777">
        <f>N(L8)+N(L17)+N(L22)</f>
        <v>26</v>
      </c>
      <c r="M24" s="1776">
        <f>N(M8)+N(M17)+N(M22)</f>
        <v>6.529494052</v>
      </c>
      <c r="N24" s="1776">
        <f>N(N8)+N(N17)+N(N22)</f>
        <v>6.529494052</v>
      </c>
      <c r="O24" s="1776">
        <f>N(O8)+N(O17)+N(O22)</f>
        <v>0</v>
      </c>
      <c r="P24" s="1776">
        <f>N(P8)+N(P17)+N(P22)</f>
        <v>6.529494052</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SA&amp;D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Architecture</t>
        </is>
      </c>
      <c r="C31" s="1545" t="str">
        <f>COUNTA($B$32:$B$38)&amp;IF(COUNTA($B$32:$B$38)=1," role"," roles")</f>
        <v>7 roles</v>
      </c>
      <c r="D31" s="1545" t="n"/>
      <c r="E31" s="1545" t="n"/>
      <c r="F31" s="1785">
        <f>SUM(F32:F38)</f>
        <v>1664746.536</v>
      </c>
      <c r="G31" s="1785">
        <f>SUM(G32:G38)</f>
        <v>1664746.536</v>
      </c>
    </row>
    <row r="32">
      <c r="B32" s="1530" t="str">
        <f>INDEX('REVIEW - Complete Role Mapping'!$B:$B,282)</f>
        <v>Craig Ambrose</v>
      </c>
      <c r="C32" s="1530" t="str">
        <f>INDEX('REVIEW - Complete Role Mapping'!$C:$C,282)</f>
        <v>Domain Architect - Group Functions</v>
      </c>
      <c r="D32" s="1530" t="str">
        <f>INDEX('REVIEW - Complete Role Mapping'!$AK:$AK,282)</f>
        <v>Filled</v>
      </c>
      <c r="E32" s="1547" t="inlineStr">
        <is>
          <t>Filled</t>
        </is>
      </c>
      <c r="F32" s="1773">
        <f>INDEX('REVIEW - Complete Role Mapping'!$AA:$AA,282)</f>
        <v>242741.304</v>
      </c>
      <c r="G32" s="1773">
        <f>$F32*IFERROR(INDEX(Lists!$AD:$AD,MATCH($E32,Lists!$AC:$AC,0)),1)</f>
        <v>242741.304</v>
      </c>
    </row>
    <row r="33">
      <c r="B33" s="1530" t="str">
        <f>INDEX('REVIEW - Complete Role Mapping'!$B:$B,288)</f>
        <v>John Forde</v>
      </c>
      <c r="C33" s="1530" t="str">
        <f>INDEX('REVIEW - Complete Role Mapping'!$C:$C,288)</f>
        <v>Enterprise Architect</v>
      </c>
      <c r="D33" s="1530" t="str">
        <f>INDEX('REVIEW - Complete Role Mapping'!$AK:$AK,288)</f>
        <v>Filled</v>
      </c>
      <c r="E33" s="1547" t="inlineStr">
        <is>
          <t>Filled</t>
        </is>
      </c>
      <c r="F33" s="1773">
        <f>INDEX('REVIEW - Complete Role Mapping'!$AA:$AA,288)</f>
        <v>214270.248</v>
      </c>
      <c r="G33" s="1773">
        <f>$F33*IFERROR(INDEX(Lists!$AD:$AD,MATCH($E33,Lists!$AC:$AC,0)),1)</f>
        <v>214270.248</v>
      </c>
    </row>
    <row r="34">
      <c r="B34" s="1530" t="str">
        <f>INDEX('REVIEW - Complete Role Mapping'!$B:$B,292)</f>
        <v>Mike Gilbert</v>
      </c>
      <c r="C34" s="1530" t="str">
        <f>INDEX('REVIEW - Complete Role Mapping'!$C:$C,292)</f>
        <v>Domain Architect - CFE &amp; Infrastructure </v>
      </c>
      <c r="D34" s="1530" t="str">
        <f>INDEX('REVIEW - Complete Role Mapping'!$AK:$AK,292)</f>
        <v>Filled</v>
      </c>
      <c r="E34" s="1547" t="inlineStr">
        <is>
          <t>Filled</t>
        </is>
      </c>
      <c r="F34" s="1773">
        <f>INDEX('REVIEW - Complete Role Mapping'!$AA:$AA,292)</f>
        <v>236856.984</v>
      </c>
      <c r="G34" s="1773">
        <f>$F34*IFERROR(INDEX(Lists!$AD:$AD,MATCH($E34,Lists!$AC:$AC,0)),1)</f>
        <v>236856.984</v>
      </c>
    </row>
    <row r="35">
      <c r="B35" s="1530" t="str">
        <f>INDEX('REVIEW - Complete Role Mapping'!$B:$B,302)</f>
        <v>ring fenced</v>
      </c>
      <c r="C35" s="1530" t="str">
        <f>INDEX('REVIEW - Complete Role Mapping'!$C:$C,302)</f>
        <v>Enterprise Architect</v>
      </c>
      <c r="D35" s="1530" t="str">
        <f>INDEX('REVIEW - Complete Role Mapping'!$AK:$AK,302)</f>
        <v>Filled</v>
      </c>
      <c r="E35" s="1547" t="inlineStr">
        <is>
          <t>Filled</t>
        </is>
      </c>
      <c r="F35" s="1773">
        <f>INDEX('REVIEW - Complete Role Mapping'!$AA:$AA,302)</f>
        <v>275810.25</v>
      </c>
      <c r="G35" s="1773">
        <f>$F35*IFERROR(INDEX(Lists!$AD:$AD,MATCH($E35,Lists!$AC:$AC,0)),1)</f>
        <v>275810.25</v>
      </c>
    </row>
    <row r="36">
      <c r="B36" s="1530" t="str">
        <f>INDEX('REVIEW - Complete Role Mapping'!$B:$B,303)</f>
        <v>ring fenced</v>
      </c>
      <c r="C36" s="1530" t="str">
        <f>INDEX('REVIEW - Complete Role Mapping'!$C:$C,303)</f>
        <v>Domain Architect - Customer &amp; Digital Tech</v>
      </c>
      <c r="D36" s="1530" t="str">
        <f>INDEX('REVIEW - Complete Role Mapping'!$AK:$AK,303)</f>
        <v>Filled</v>
      </c>
      <c r="E36" s="1547" t="inlineStr">
        <is>
          <t>Filled</t>
        </is>
      </c>
      <c r="F36" s="1773">
        <f>INDEX('REVIEW - Complete Role Mapping'!$AA:$AA,303)</f>
        <v>231689.25</v>
      </c>
      <c r="G36" s="1773">
        <f>$F36*IFERROR(INDEX(Lists!$AD:$AD,MATCH($E36,Lists!$AC:$AC,0)),1)</f>
        <v>231689.25</v>
      </c>
    </row>
    <row r="37">
      <c r="B37" s="1530" t="str">
        <f>INDEX('REVIEW - Complete Role Mapping'!$B:$B,304)</f>
        <v>ring fenced</v>
      </c>
      <c r="C37" s="1530" t="str">
        <f>INDEX('REVIEW - Complete Role Mapping'!$C:$C,304)</f>
        <v>Domain Architect - Retail &amp; Z</v>
      </c>
      <c r="D37" s="1530" t="str">
        <f>INDEX('REVIEW - Complete Role Mapping'!$AK:$AK,304)</f>
        <v>Filled</v>
      </c>
      <c r="E37" s="1547" t="inlineStr">
        <is>
          <t>Filled</t>
        </is>
      </c>
      <c r="F37" s="1773">
        <f>INDEX('REVIEW - Complete Role Mapping'!$AA:$AA,304)</f>
        <v>231689.25</v>
      </c>
      <c r="G37" s="1773">
        <f>$F37*IFERROR(INDEX(Lists!$AD:$AD,MATCH($E37,Lists!$AC:$AC,0)),1)</f>
        <v>231689.25</v>
      </c>
    </row>
    <row r="38">
      <c r="B38" s="1530" t="str">
        <f>INDEX('REVIEW - Complete Role Mapping'!$B:$B,305)</f>
        <v>ring fenced</v>
      </c>
      <c r="C38" s="1530" t="str">
        <f>INDEX('REVIEW - Complete Role Mapping'!$C:$C,305)</f>
        <v>Domain Architect - TDD</v>
      </c>
      <c r="D38" s="1530" t="str">
        <f>INDEX('REVIEW - Complete Role Mapping'!$AK:$AK,305)</f>
        <v>Filled</v>
      </c>
      <c r="E38" s="1547" t="inlineStr">
        <is>
          <t>Filled</t>
        </is>
      </c>
      <c r="F38" s="1773">
        <f>INDEX('REVIEW - Complete Role Mapping'!$AA:$AA,305)</f>
        <v>231689.25</v>
      </c>
      <c r="G38" s="1773">
        <f>$F38*IFERROR(INDEX(Lists!$AD:$AD,MATCH($E38,Lists!$AC:$AC,0)),1)</f>
        <v>231689.25</v>
      </c>
    </row>
    <row r="39">
      <c r="B39" s="1545" t="inlineStr">
        <is>
          <t>Data Platforms</t>
        </is>
      </c>
      <c r="C39" s="1545" t="str">
        <f>COUNTA($B$40:$B$40)&amp;IF(COUNTA($B$40:$B$40)=1," role"," roles")</f>
        <v>1 role</v>
      </c>
      <c r="D39" s="1545" t="n"/>
      <c r="E39" s="1545" t="n"/>
      <c r="F39" s="1785">
        <f>SUM(F40:F40)</f>
        <v>265584.9</v>
      </c>
      <c r="G39" s="1785">
        <f>SUM(G40:G40)</f>
        <v>265584.9</v>
      </c>
    </row>
    <row r="40">
      <c r="B40" s="1530" t="str">
        <f>INDEX('REVIEW - Complete Role Mapping'!$B:$B,293)</f>
        <v>Milan Patel</v>
      </c>
      <c r="C40" s="1530" t="str">
        <f>INDEX('REVIEW - Complete Role Mapping'!$C:$C,293)</f>
        <v>Platform Architect</v>
      </c>
      <c r="D40" s="1530" t="str">
        <f>INDEX('REVIEW - Complete Role Mapping'!$AK:$AK,293)</f>
        <v>Filled</v>
      </c>
      <c r="E40" s="1547" t="inlineStr">
        <is>
          <t>Filled</t>
        </is>
      </c>
      <c r="F40" s="1773">
        <f>INDEX('REVIEW - Complete Role Mapping'!$AA:$AA,293)</f>
        <v>265584.9</v>
      </c>
      <c r="G40" s="1773">
        <f>$F40*IFERROR(INDEX(Lists!$AD:$AD,MATCH($E40,Lists!$AC:$AC,0)),1)</f>
        <v>265584.9</v>
      </c>
    </row>
    <row r="41">
      <c r="B41" s="1545" t="inlineStr">
        <is>
          <t>Group Data</t>
        </is>
      </c>
      <c r="C41" s="1545" t="str">
        <f>COUNTA($B$42:$B$50)&amp;IF(COUNTA($B$42:$B$50)=1," role"," roles")</f>
        <v>9 roles</v>
      </c>
      <c r="D41" s="1545" t="n"/>
      <c r="E41" s="1545" t="n"/>
      <c r="F41" s="1785">
        <f>SUM(F42:F50)</f>
        <v>2305292.066</v>
      </c>
      <c r="G41" s="1785">
        <f>SUM(G42:G50)</f>
        <v>2305292.066</v>
      </c>
    </row>
    <row r="42">
      <c r="B42" s="1530" t="str">
        <f>INDEX('REVIEW - Complete Role Mapping'!$B:$B,283)</f>
        <v>Deepali Mahajan</v>
      </c>
      <c r="C42" s="1530" t="str">
        <f>INDEX('REVIEW - Complete Role Mapping'!$C:$C,283)</f>
        <v>Data Operations Manager</v>
      </c>
      <c r="D42" s="1530" t="str">
        <f>INDEX('REVIEW - Complete Role Mapping'!$AK:$AK,283)</f>
        <v>Filled</v>
      </c>
      <c r="E42" s="1547" t="inlineStr">
        <is>
          <t>Filled</t>
        </is>
      </c>
      <c r="F42" s="1773">
        <f>INDEX('REVIEW - Complete Role Mapping'!$AA:$AA,283)</f>
        <v>295918.45</v>
      </c>
      <c r="G42" s="1773">
        <f>$F42*IFERROR(INDEX(Lists!$AD:$AD,MATCH($E42,Lists!$AC:$AC,0)),1)</f>
        <v>295918.45</v>
      </c>
    </row>
    <row r="43">
      <c r="B43" s="1530" t="str">
        <f>INDEX('REVIEW - Complete Role Mapping'!$B:$B,291)</f>
        <v>Lynn Yiew</v>
      </c>
      <c r="C43" s="1530" t="str">
        <f>INDEX('REVIEW - Complete Role Mapping'!$C:$C,291)</f>
        <v>Data Governance Specialist</v>
      </c>
      <c r="D43" s="1530" t="str">
        <f>INDEX('REVIEW - Complete Role Mapping'!$AK:$AK,291)</f>
        <v>Filled</v>
      </c>
      <c r="E43" s="1547" t="inlineStr">
        <is>
          <t>Filled</t>
        </is>
      </c>
      <c r="F43" s="1773">
        <f>INDEX('REVIEW - Complete Role Mapping'!$AA:$AA,291)</f>
        <v>149746.416</v>
      </c>
      <c r="G43" s="1773">
        <f>$F43*IFERROR(INDEX(Lists!$AD:$AD,MATCH($E43,Lists!$AC:$AC,0)),1)</f>
        <v>149746.416</v>
      </c>
    </row>
    <row r="44">
      <c r="B44" s="1530" t="str">
        <f>INDEX('REVIEW - Complete Role Mapping'!$B:$B,294)</f>
        <v>Mitchell Clarke</v>
      </c>
      <c r="C44" s="1530" t="str">
        <f>INDEX('REVIEW - Complete Role Mapping'!$C:$C,294)</f>
        <v>Snr Data Governance Specialist</v>
      </c>
      <c r="D44" s="1530" t="str">
        <f>INDEX('REVIEW - Complete Role Mapping'!$AK:$AK,294)</f>
        <v>Filled</v>
      </c>
      <c r="E44" s="1547" t="inlineStr">
        <is>
          <t>Filled</t>
        </is>
      </c>
      <c r="F44" s="1773">
        <f>INDEX('REVIEW - Complete Role Mapping'!$AA:$AA,294)</f>
        <v>225988.8</v>
      </c>
      <c r="G44" s="1773">
        <f>$F44*IFERROR(INDEX(Lists!$AD:$AD,MATCH($E44,Lists!$AC:$AC,0)),1)</f>
        <v>225988.8</v>
      </c>
    </row>
    <row r="45">
      <c r="B45" s="1530" t="str">
        <f>INDEX('REVIEW - Complete Role Mapping'!$B:$B,299)</f>
        <v>Raymond Bai</v>
      </c>
      <c r="C45" s="1530" t="str">
        <f>INDEX('REVIEW - Complete Role Mapping'!$C:$C,299)</f>
        <v>Data Adoption Specialist</v>
      </c>
      <c r="D45" s="1530" t="str">
        <f>INDEX('REVIEW - Complete Role Mapping'!$AK:$AK,299)</f>
        <v>Filled</v>
      </c>
      <c r="E45" s="1547" t="inlineStr">
        <is>
          <t>Filled</t>
        </is>
      </c>
      <c r="F45" s="1773">
        <f>INDEX('REVIEW - Complete Role Mapping'!$AA:$AA,299)</f>
        <v>175872.9</v>
      </c>
      <c r="G45" s="1773">
        <f>$F45*IFERROR(INDEX(Lists!$AD:$AD,MATCH($E45,Lists!$AC:$AC,0)),1)</f>
        <v>175872.9</v>
      </c>
    </row>
    <row r="46">
      <c r="B46" s="1530" t="str">
        <f>INDEX('REVIEW - Complete Role Mapping'!$B:$B,300)</f>
        <v>Renosh Matthew Thomas</v>
      </c>
      <c r="C46" s="1530" t="str">
        <f>INDEX('REVIEW - Complete Role Mapping'!$C:$C,300)</f>
        <v>Data Enablement Lead</v>
      </c>
      <c r="D46" s="1530" t="str">
        <f>INDEX('REVIEW - Complete Role Mapping'!$AK:$AK,300)</f>
        <v>Filled</v>
      </c>
      <c r="E46" s="1547" t="inlineStr">
        <is>
          <t>Filled</t>
        </is>
      </c>
      <c r="F46" s="1773">
        <f>INDEX('REVIEW - Complete Role Mapping'!$AA:$AA,300)</f>
        <v>227056.8</v>
      </c>
      <c r="G46" s="1773">
        <f>$F46*IFERROR(INDEX(Lists!$AD:$AD,MATCH($E46,Lists!$AC:$AC,0)),1)</f>
        <v>227056.8</v>
      </c>
    </row>
    <row r="47">
      <c r="B47" s="1530" t="str">
        <f>INDEX('REVIEW - Complete Role Mapping'!$B:$B,301)</f>
        <v>Rihan Schalkwyk</v>
      </c>
      <c r="C47" s="1530" t="str">
        <f>INDEX('REVIEW - Complete Role Mapping'!$C:$C,301)</f>
        <v>Senior Business Analyst</v>
      </c>
      <c r="D47" s="1530" t="str">
        <f>INDEX('REVIEW - Complete Role Mapping'!$AK:$AK,301)</f>
        <v>Filled</v>
      </c>
      <c r="E47" s="1547" t="inlineStr">
        <is>
          <t>Filled</t>
        </is>
      </c>
      <c r="F47" s="1773">
        <f>INDEX('REVIEW - Complete Role Mapping'!$AA:$AA,301)</f>
        <v>249124.35</v>
      </c>
      <c r="G47" s="1773">
        <f>$F47*IFERROR(INDEX(Lists!$AD:$AD,MATCH($E47,Lists!$AC:$AC,0)),1)</f>
        <v>249124.35</v>
      </c>
    </row>
    <row r="48">
      <c r="B48" s="1530" t="str">
        <f>INDEX('REVIEW - Complete Role Mapping'!$B:$B,309)</f>
        <v>Sanjay Tikoo</v>
      </c>
      <c r="C48" s="1530" t="str">
        <f>INDEX('REVIEW - Complete Role Mapping'!$C:$C,309)</f>
        <v>Principal, Data Architecture &amp; Governance</v>
      </c>
      <c r="D48" s="1530" t="str">
        <f>INDEX('REVIEW - Complete Role Mapping'!$AK:$AK,309)</f>
        <v>Filled</v>
      </c>
      <c r="E48" s="1547" t="inlineStr">
        <is>
          <t>Filled</t>
        </is>
      </c>
      <c r="F48" s="1773">
        <f>INDEX('REVIEW - Complete Role Mapping'!$AA:$AA,309)</f>
        <v>389125</v>
      </c>
      <c r="G48" s="1773">
        <f>$F48*IFERROR(INDEX(Lists!$AD:$AD,MATCH($E48,Lists!$AC:$AC,0)),1)</f>
        <v>389125</v>
      </c>
    </row>
    <row r="49">
      <c r="B49" s="1530" t="str">
        <f>INDEX('REVIEW - Complete Role Mapping'!$B:$B,313)</f>
        <v>Vacant</v>
      </c>
      <c r="C49" s="1530" t="str">
        <f>INDEX('REVIEW - Complete Role Mapping'!$C:$C,313)</f>
        <v>Service Transition Lead</v>
      </c>
      <c r="D49" s="1530" t="str">
        <f>INDEX('REVIEW - Complete Role Mapping'!$AK:$AK,313)</f>
        <v>Vacant</v>
      </c>
      <c r="E49" s="1547" t="inlineStr">
        <is>
          <t>Hire</t>
        </is>
      </c>
      <c r="F49" s="1773">
        <f>INDEX('REVIEW - Complete Role Mapping'!$AA:$AA,313)</f>
        <v>202853.25</v>
      </c>
      <c r="G49" s="1773">
        <f>$F49*IFERROR(INDEX(Lists!$AD:$AD,MATCH($E49,Lists!$AC:$AC,0)),1)</f>
        <v>202853.25</v>
      </c>
    </row>
    <row r="50">
      <c r="B50" s="1530" t="str">
        <f>INDEX('REVIEW - Complete Role Mapping'!$B:$B,321)</f>
        <v>Vacant</v>
      </c>
      <c r="C50" s="1530" t="str">
        <f>INDEX('REVIEW - Complete Role Mapping'!$C:$C,321)</f>
        <v>Data Governance Lead</v>
      </c>
      <c r="D50" s="1530" t="str">
        <f>INDEX('REVIEW - Complete Role Mapping'!$AK:$AK,321)</f>
        <v>Vacant</v>
      </c>
      <c r="E50" s="1547" t="inlineStr">
        <is>
          <t>Hire</t>
        </is>
      </c>
      <c r="F50" s="1773">
        <f>INDEX('REVIEW - Complete Role Mapping'!$AA:$AA,321)</f>
        <v>389606.1</v>
      </c>
      <c r="G50" s="1773">
        <f>$F50*IFERROR(INDEX(Lists!$AD:$AD,MATCH($E50,Lists!$AC:$AC,0)),1)</f>
        <v>389606.1</v>
      </c>
    </row>
    <row r="51">
      <c r="B51" s="1545" t="inlineStr">
        <is>
          <t>Leadership</t>
        </is>
      </c>
      <c r="C51" s="1545" t="str">
        <f>COUNTA($B$52:$B$55)&amp;IF(COUNTA($B$52:$B$55)=1," role"," roles")</f>
        <v>4 roles</v>
      </c>
      <c r="D51" s="1545" t="n"/>
      <c r="E51" s="1545" t="n"/>
      <c r="F51" s="1785">
        <f>SUM(F52:F55)</f>
        <v>1223981.8</v>
      </c>
      <c r="G51" s="1785">
        <f>SUM(G52:G55)</f>
        <v>1223981.8</v>
      </c>
    </row>
    <row r="52">
      <c r="B52" s="1530" t="str">
        <f>INDEX('REVIEW - Complete Role Mapping'!$B:$B,287)</f>
        <v>Joel Vijayakumar</v>
      </c>
      <c r="C52" s="1530" t="str">
        <f>INDEX('REVIEW - Complete Role Mapping'!$C:$C,287)</f>
        <v>Delivery Manager, Strategy, Architecture &amp; Data</v>
      </c>
      <c r="D52" s="1530" t="str">
        <f>INDEX('REVIEW - Complete Role Mapping'!$AK:$AK,287)</f>
        <v>Filled</v>
      </c>
      <c r="E52" s="1547" t="inlineStr">
        <is>
          <t>Filled</t>
        </is>
      </c>
      <c r="F52" s="1773">
        <f>INDEX('REVIEW - Complete Role Mapping'!$AA:$AA,287)</f>
        <v>369088.6</v>
      </c>
      <c r="G52" s="1773">
        <f>$F52*IFERROR(INDEX(Lists!$AD:$AD,MATCH($E52,Lists!$AC:$AC,0)),1)</f>
        <v>369088.6</v>
      </c>
    </row>
    <row r="53">
      <c r="B53" s="1530" t="str">
        <f>INDEX('REVIEW - Complete Role Mapping'!$B:$B,322)</f>
        <v>Vacant</v>
      </c>
      <c r="C53" s="1530" t="str">
        <f>INDEX('REVIEW - Complete Role Mapping'!$C:$C,322)</f>
        <v>Head of Architecture</v>
      </c>
      <c r="D53" s="1530" t="str">
        <f>INDEX('REVIEW - Complete Role Mapping'!$AK:$AK,322)</f>
        <v>Vacant</v>
      </c>
      <c r="E53" s="1547" t="inlineStr">
        <is>
          <t>Hire</t>
        </is>
      </c>
      <c r="F53" s="1773">
        <f>INDEX('REVIEW - Complete Role Mapping'!$AA:$AA,322)</f>
        <v>334972.95</v>
      </c>
      <c r="G53" s="1773">
        <f>$F53*IFERROR(INDEX(Lists!$AD:$AD,MATCH($E53,Lists!$AC:$AC,0)),1)</f>
        <v>334972.95</v>
      </c>
    </row>
    <row r="54">
      <c r="B54" s="1530" t="str">
        <f>INDEX('REVIEW - Complete Role Mapping'!$B:$B,323)</f>
        <v>Vacant</v>
      </c>
      <c r="C54" s="1530" t="str">
        <f>INDEX('REVIEW - Complete Role Mapping'!$C:$C,323)</f>
        <v>Head of Technology Strategy &amp; AI Capability</v>
      </c>
      <c r="D54" s="1530" t="str">
        <f>INDEX('REVIEW - Complete Role Mapping'!$AK:$AK,323)</f>
        <v>Vacant</v>
      </c>
      <c r="E54" s="1547" t="inlineStr">
        <is>
          <t>Hire</t>
        </is>
      </c>
      <c r="F54" s="1773">
        <f>INDEX('REVIEW - Complete Role Mapping'!$AA:$AA,323)</f>
        <v>333020.25</v>
      </c>
      <c r="G54" s="1773">
        <f>$F54*IFERROR(INDEX(Lists!$AD:$AD,MATCH($E54,Lists!$AC:$AC,0)),1)</f>
        <v>333020.25</v>
      </c>
    </row>
    <row r="55">
      <c r="B55" s="1530" t="str">
        <f>INDEX('REVIEW - Complete Role Mapping'!$B:$B,324)</f>
        <v>Vacant</v>
      </c>
      <c r="C55" s="1530" t="str">
        <f>INDEX('REVIEW - Complete Role Mapping'!$C:$C,324)</f>
        <v>Senior Communications Advisor</v>
      </c>
      <c r="D55" s="1530" t="str">
        <f>INDEX('REVIEW - Complete Role Mapping'!$AK:$AK,324)</f>
        <v>Vacant</v>
      </c>
      <c r="E55" s="1547" t="inlineStr">
        <is>
          <t>Hire</t>
        </is>
      </c>
      <c r="F55" s="1773">
        <f>INDEX('REVIEW - Complete Role Mapping'!$AA:$AA,324)</f>
        <v>186900</v>
      </c>
      <c r="G55" s="1773">
        <f>$F55*IFERROR(INDEX(Lists!$AD:$AD,MATCH($E55,Lists!$AC:$AC,0)),1)</f>
        <v>186900</v>
      </c>
    </row>
    <row r="56">
      <c r="B56" s="1545" t="inlineStr">
        <is>
          <t>Technology Strategy &amp; AI Capability</t>
        </is>
      </c>
      <c r="C56" s="1545" t="str">
        <f>COUNTA($B$57:$B$61)&amp;IF(COUNTA($B$57:$B$61)=1," role"," roles")</f>
        <v>5 roles</v>
      </c>
      <c r="D56" s="1545" t="n"/>
      <c r="E56" s="1545" t="n"/>
      <c r="F56" s="1785">
        <f>SUM(F57:F61)</f>
        <v>1069888.75</v>
      </c>
      <c r="G56" s="1785">
        <f>SUM(G57:G61)</f>
        <v>1069888.75</v>
      </c>
    </row>
    <row r="57">
      <c r="B57" s="1530" t="str">
        <f>INDEX('REVIEW - Complete Role Mapping'!$B:$B,306)</f>
        <v>Roger Blazey</v>
      </c>
      <c r="C57" s="1530" t="str">
        <f>INDEX('REVIEW - Complete Role Mapping'!$C:$C,306)</f>
        <v>Architect (AI Innovation)</v>
      </c>
      <c r="D57" s="1530" t="str">
        <f>INDEX('REVIEW - Complete Role Mapping'!$AK:$AK,306)</f>
        <v>Filled</v>
      </c>
      <c r="E57" s="1547" t="inlineStr">
        <is>
          <t>Filled</t>
        </is>
      </c>
      <c r="F57" s="1773">
        <f>INDEX('REVIEW - Complete Role Mapping'!$AA:$AA,306)</f>
        <v>250245.75</v>
      </c>
      <c r="G57" s="1773">
        <f>$F57*IFERROR(INDEX(Lists!$AD:$AD,MATCH($E57,Lists!$AC:$AC,0)),1)</f>
        <v>250245.75</v>
      </c>
    </row>
    <row r="58">
      <c r="B58" s="1530" t="str">
        <f>INDEX('REVIEW - Complete Role Mapping'!$B:$B,325)</f>
        <v>Vacant</v>
      </c>
      <c r="C58" s="1530" t="str">
        <f>INDEX('REVIEW - Complete Role Mapping'!$C:$C,325)</f>
        <v>AI Capability Lead</v>
      </c>
      <c r="D58" s="1530" t="str">
        <f>INDEX('REVIEW - Complete Role Mapping'!$AK:$AK,325)</f>
        <v>Vacant</v>
      </c>
      <c r="E58" s="1547" t="inlineStr">
        <is>
          <t>Hire</t>
        </is>
      </c>
      <c r="F58" s="1773">
        <f>INDEX('REVIEW - Complete Role Mapping'!$AA:$AA,325)</f>
        <v>275810.25</v>
      </c>
      <c r="G58" s="1773">
        <f>$F58*IFERROR(INDEX(Lists!$AD:$AD,MATCH($E58,Lists!$AC:$AC,0)),1)</f>
        <v>275810.25</v>
      </c>
    </row>
    <row r="59">
      <c r="B59" s="1530" t="str">
        <f>INDEX('REVIEW - Complete Role Mapping'!$B:$B,326)</f>
        <v>Vacant</v>
      </c>
      <c r="C59" s="1530" t="str">
        <f>INDEX('REVIEW - Complete Role Mapping'!$C:$C,326)</f>
        <v>Enterprise Process Lead</v>
      </c>
      <c r="D59" s="1530" t="str">
        <f>INDEX('REVIEW - Complete Role Mapping'!$AK:$AK,326)</f>
        <v>Vacant</v>
      </c>
      <c r="E59" s="1547" t="inlineStr">
        <is>
          <t>Hire</t>
        </is>
      </c>
      <c r="F59" s="1773">
        <f>INDEX('REVIEW - Complete Role Mapping'!$AA:$AA,326)</f>
        <v>202853.25</v>
      </c>
      <c r="G59" s="1773">
        <f>$F59*IFERROR(INDEX(Lists!$AD:$AD,MATCH($E59,Lists!$AC:$AC,0)),1)</f>
        <v>202853.25</v>
      </c>
    </row>
    <row r="60">
      <c r="B60" s="1530" t="str">
        <f>INDEX('REVIEW - Complete Role Mapping'!$B:$B,327)</f>
        <v>Vacant</v>
      </c>
      <c r="C60" s="1530" t="str">
        <f>INDEX('REVIEW - Complete Role Mapping'!$C:$C,327)</f>
        <v>EnterpriseProcess Analyst</v>
      </c>
      <c r="D60" s="1530" t="str">
        <f>INDEX('REVIEW - Complete Role Mapping'!$AK:$AK,327)</f>
        <v>Vacant</v>
      </c>
      <c r="E60" s="1547" t="inlineStr">
        <is>
          <t>Hire</t>
        </is>
      </c>
      <c r="F60" s="1773">
        <f>INDEX('REVIEW - Complete Role Mapping'!$AA:$AA,327)</f>
        <v>170489.75</v>
      </c>
      <c r="G60" s="1773">
        <f>$F60*IFERROR(INDEX(Lists!$AD:$AD,MATCH($E60,Lists!$AC:$AC,0)),1)</f>
        <v>170489.75</v>
      </c>
    </row>
    <row r="61">
      <c r="B61" s="1530" t="str">
        <f>INDEX('REVIEW - Complete Role Mapping'!$B:$B,328)</f>
        <v>Vacant</v>
      </c>
      <c r="C61" s="1530" t="str">
        <f>INDEX('REVIEW - Complete Role Mapping'!$C:$C,328)</f>
        <v>Strategy Analyst</v>
      </c>
      <c r="D61" s="1530" t="str">
        <f>INDEX('REVIEW - Complete Role Mapping'!$AK:$AK,328)</f>
        <v>Vacant</v>
      </c>
      <c r="E61" s="1547" t="inlineStr">
        <is>
          <t>Hire</t>
        </is>
      </c>
      <c r="F61" s="1773">
        <f>INDEX('REVIEW - Complete Role Mapping'!$AA:$AA,328)</f>
        <v>170489.75</v>
      </c>
      <c r="G61" s="1773">
        <f>$F61*IFERROR(INDEX(Lists!$AD:$AD,MATCH($E61,Lists!$AC:$AC,0)),1)</f>
        <v>170489.75</v>
      </c>
    </row>
  </sheetData>
  <dataValidations count="1">
    <dataValidation sqref="E32 E33 E34 E35 E36 E37 E38 E40 E42 E43 E44 E45 E46 E47 E48 E49 E50 E52 E53 E54 E55 E57 E58 E59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EGI - working copy</t>
        </is>
      </c>
    </row>
    <row r="3">
      <c r="B3" s="1525" t="inlineStr">
        <is>
          <t>Portfolio</t>
        </is>
      </c>
      <c r="C3" s="1526" t="inlineStr">
        <is>
          <t>EGI</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EGI</t>
        </is>
      </c>
      <c r="C12" s="1530" t="str">
        <f>"-"</f>
        <v>-</v>
      </c>
      <c r="D12" s="1530" t="str">
        <f>"-"</f>
        <v>-</v>
      </c>
      <c r="E12" s="1538" t="str">
        <f>"-"</f>
        <v>-</v>
      </c>
      <c r="F12" s="1773">
        <f>COUNTA($B$28:$B$44)</f>
        <v>17</v>
      </c>
      <c r="G12" s="1773">
        <f>COUNTIFS($D$28:$D$44,"Filled")</f>
        <v>17</v>
      </c>
      <c r="H12" s="1773">
        <f>COUNTIFS($D$28:$D$44,"Vacant")</f>
        <v>0</v>
      </c>
      <c r="I12" s="1773">
        <f>COUNTIFS($D$28:$D$44,"Vacant",$E$28:$E$44,"Hire")</f>
        <v>0</v>
      </c>
      <c r="J12" s="1773">
        <f>COUNTIFS($E$28:$E$44,"Offshore")</f>
        <v>0</v>
      </c>
      <c r="K12" s="1773">
        <f>COUNTIFS($E$28:$E$44,"Hold")</f>
        <v>0</v>
      </c>
      <c r="L12" s="1773">
        <f>$F12-$K12</f>
        <v>17</v>
      </c>
      <c r="M12" s="1772">
        <f>$N12</f>
        <v>4.94341935</v>
      </c>
      <c r="N12" s="1772">
        <f>SUMIFS('REVIEW - Complete Role Mapping'!$AA$2:$AA$528,'REVIEW - Complete Role Mapping'!$AJ$2:$AJ$528,$C$3,'REVIEW - Complete Role Mapping'!$AT$2:$AT$528,$B12)/1000000</f>
        <v>4.94341935</v>
      </c>
      <c r="O12" s="1772">
        <f>ROUND($N12-$M12,6)</f>
        <v>0</v>
      </c>
      <c r="P12" s="1772">
        <f>SUM($G$28:$G$44)/1000000</f>
        <v>4.94341935</v>
      </c>
      <c r="Q12" s="1772">
        <f>ROUND($P12-$M12,6)</f>
        <v>0</v>
      </c>
    </row>
    <row r="13">
      <c r="B13" s="1534" t="inlineStr">
        <is>
          <t>Directly funded total</t>
        </is>
      </c>
      <c r="C13" s="1534" t="n"/>
      <c r="D13" s="1534" t="n"/>
      <c r="E13" s="1783">
        <f>SUM(E12:E12)</f>
        <v>0</v>
      </c>
      <c r="F13" s="1775">
        <f>SUM(F12:F12)</f>
        <v>17</v>
      </c>
      <c r="G13" s="1775">
        <f>SUM(G12:G12)</f>
        <v>17</v>
      </c>
      <c r="H13" s="1775">
        <f>SUM(H12:H12)</f>
        <v>0</v>
      </c>
      <c r="I13" s="1775">
        <f>SUM(I12:I12)</f>
        <v>0</v>
      </c>
      <c r="J13" s="1775">
        <f>SUM(J12:J12)</f>
        <v>0</v>
      </c>
      <c r="K13" s="1775">
        <f>SUM(K12:K12)</f>
        <v>0</v>
      </c>
      <c r="L13" s="1775">
        <f>SUM(L12:L12)</f>
        <v>17</v>
      </c>
      <c r="M13" s="1774">
        <f>SUM(M12:M12)</f>
        <v>4.94341935</v>
      </c>
      <c r="N13" s="1774">
        <f>SUM(N12:N12)</f>
        <v>4.94341935</v>
      </c>
      <c r="O13" s="1774">
        <f>SUM(O12:O12)</f>
        <v>0</v>
      </c>
      <c r="P13" s="1774">
        <f>SUM(P12:P12)</f>
        <v>4.94341935</v>
      </c>
      <c r="Q13" s="1774">
        <f>SUM(Q12:Q12)</f>
        <v>0</v>
      </c>
    </row>
    <row r="14"/>
    <row r="15" ht="19" customHeight="1" s="866">
      <c r="B15" s="1527" t="inlineStr">
        <is>
          <t>Overhead roles - against the allowance on 3.2</t>
        </is>
      </c>
      <c r="C15" s="1528" t="n"/>
      <c r="D15" s="1528" t="n"/>
      <c r="E15" s="1528" t="n"/>
      <c r="F15" s="1528" t="n"/>
      <c r="G15" s="1528" t="n"/>
      <c r="H15" s="1528" t="n"/>
      <c r="I15" s="1528" t="n"/>
      <c r="J15" s="1528" t="n"/>
      <c r="K15" s="1528" t="n"/>
      <c r="L15" s="1528" t="n"/>
      <c r="M15" s="1528" t="n"/>
      <c r="N15" s="1528" t="n"/>
      <c r="O15" s="1528" t="n"/>
      <c r="P15" s="1528" t="n"/>
      <c r="Q15" s="1528" t="n"/>
    </row>
    <row r="16" ht="48" customHeight="1" s="866">
      <c r="B16" s="1529" t="inlineStr">
        <is>
          <t>Squad</t>
        </is>
      </c>
      <c r="C16" s="1529" t="inlineStr">
        <is>
          <t>Archetype Type</t>
        </is>
      </c>
      <c r="D16" s="1529" t="inlineStr">
        <is>
          <t>Size</t>
        </is>
      </c>
      <c r="E16" s="1529" t="inlineStr">
        <is>
          <t>Archetype roles</t>
        </is>
      </c>
      <c r="F16" s="1529" t="inlineStr">
        <is>
          <t>Roles</t>
        </is>
      </c>
      <c r="G16" s="1529" t="inlineStr">
        <is>
          <t>Filled</t>
        </is>
      </c>
      <c r="H16" s="1529" t="inlineStr">
        <is>
          <t>Vacant</t>
        </is>
      </c>
      <c r="I16" s="1529" t="inlineStr">
        <is>
          <t>To hire</t>
        </is>
      </c>
      <c r="J16" s="1529" t="inlineStr">
        <is>
          <t>To offshore</t>
        </is>
      </c>
      <c r="K16" s="1529" t="inlineStr">
        <is>
          <t>On hold</t>
        </is>
      </c>
      <c r="L16" s="1529" t="inlineStr">
        <is>
          <t>Roles after decisions</t>
        </is>
      </c>
      <c r="M16" s="1529" t="inlineStr">
        <is>
          <t>Allowance - stated on 3.2</t>
        </is>
      </c>
      <c r="N16" s="1529" t="inlineStr">
        <is>
          <t>Actual cost ($m)</t>
        </is>
      </c>
      <c r="O16" s="1529" t="inlineStr">
        <is>
          <t>Variance</t>
        </is>
      </c>
      <c r="P16" s="1529" t="inlineStr">
        <is>
          <t>Cost after vacancy decisions ($m)</t>
        </is>
      </c>
      <c r="Q16" s="1529" t="inlineStr">
        <is>
          <t>New variance</t>
        </is>
      </c>
    </row>
    <row r="17">
      <c r="B17" s="1530" t="inlineStr">
        <is>
          <t>None</t>
        </is>
      </c>
      <c r="C17" s="1530" t="inlineStr">
        <is>
          <t>The COEs carry no overhead</t>
        </is>
      </c>
      <c r="D17" s="1548" t="str">
        <f>"-"</f>
        <v>-</v>
      </c>
      <c r="E17" s="1548" t="str">
        <f>"-"</f>
        <v>-</v>
      </c>
      <c r="F17" s="1548" t="str">
        <f>"-"</f>
        <v>-</v>
      </c>
      <c r="G17" s="1548" t="str">
        <f>"-"</f>
        <v>-</v>
      </c>
      <c r="H17" s="1548" t="str">
        <f>"-"</f>
        <v>-</v>
      </c>
      <c r="I17" s="1548" t="str">
        <f>"-"</f>
        <v>-</v>
      </c>
      <c r="J17" s="1548" t="str">
        <f>"-"</f>
        <v>-</v>
      </c>
      <c r="K17" s="1548" t="str">
        <f>"-"</f>
        <v>-</v>
      </c>
      <c r="L17" s="1548" t="str">
        <f>"-"</f>
        <v>-</v>
      </c>
      <c r="M17" s="1548" t="str">
        <f>"-"</f>
        <v>-</v>
      </c>
      <c r="N17" s="1548" t="str">
        <f>"-"</f>
        <v>-</v>
      </c>
      <c r="O17" s="1548" t="str">
        <f>"-"</f>
        <v>-</v>
      </c>
      <c r="P17" s="1548" t="str">
        <f>"-"</f>
        <v>-</v>
      </c>
      <c r="Q17" s="1548" t="str">
        <f>"-"</f>
        <v>-</v>
      </c>
    </row>
    <row r="18">
      <c r="B18" s="1534" t="inlineStr">
        <is>
          <t>Overhead roles total</t>
        </is>
      </c>
      <c r="C18" s="1534" t="n"/>
      <c r="D18" s="1534" t="n"/>
      <c r="E18" s="1783">
        <f>SUM(E17:E17)</f>
        <v>0</v>
      </c>
      <c r="F18" s="1775">
        <f>SUM(F17:F17)</f>
        <v>0</v>
      </c>
      <c r="G18" s="1775">
        <f>SUM(G17:G17)</f>
        <v>0</v>
      </c>
      <c r="H18" s="1775">
        <f>SUM(H17:H17)</f>
        <v>0</v>
      </c>
      <c r="I18" s="1775">
        <f>SUM(I17:I17)</f>
        <v>0</v>
      </c>
      <c r="J18" s="1775">
        <f>SUM(J17:J17)</f>
        <v>0</v>
      </c>
      <c r="K18" s="1775">
        <f>SUM(K17:K17)</f>
        <v>0</v>
      </c>
      <c r="L18" s="1775">
        <f>SUM(L17:L17)</f>
        <v>0</v>
      </c>
      <c r="M18" s="1774">
        <f>SUM(M17:M17)</f>
        <v>0</v>
      </c>
      <c r="N18" s="1774">
        <f>SUM(N17:N17)</f>
        <v>0</v>
      </c>
      <c r="O18" s="1774">
        <f>SUM(O17:O17)</f>
        <v>0</v>
      </c>
      <c r="P18" s="1774">
        <f>SUM(P17:P17)</f>
        <v>0</v>
      </c>
      <c r="Q18" s="1774">
        <f>SUM(Q17:Q17)</f>
        <v>0</v>
      </c>
    </row>
    <row r="19"/>
    <row r="20">
      <c r="B20" s="1539" t="inlineStr">
        <is>
          <t>Total portfolio</t>
        </is>
      </c>
      <c r="C20" s="1539" t="n"/>
      <c r="D20" s="1539" t="n"/>
      <c r="E20" s="1784">
        <f>N(E8)+N(E13)+N(E18)</f>
        <v>0</v>
      </c>
      <c r="F20" s="1777">
        <f>N(F8)+N(F13)+N(F18)</f>
        <v>17</v>
      </c>
      <c r="G20" s="1777">
        <f>N(G8)+N(G13)+N(G18)</f>
        <v>17</v>
      </c>
      <c r="H20" s="1777">
        <f>N(H8)+N(H13)+N(H18)</f>
        <v>0</v>
      </c>
      <c r="I20" s="1777">
        <f>N(I8)+N(I13)+N(I18)</f>
        <v>0</v>
      </c>
      <c r="J20" s="1777">
        <f>N(J8)+N(J13)+N(J18)</f>
        <v>0</v>
      </c>
      <c r="K20" s="1777">
        <f>N(K8)+N(K13)+N(K18)</f>
        <v>0</v>
      </c>
      <c r="L20" s="1777">
        <f>N(L8)+N(L13)+N(L18)</f>
        <v>17</v>
      </c>
      <c r="M20" s="1776">
        <f>N(M8)+N(M13)+N(M18)</f>
        <v>4.94341935</v>
      </c>
      <c r="N20" s="1776">
        <f>N(N8)+N(N13)+N(N18)</f>
        <v>4.94341935</v>
      </c>
      <c r="O20" s="1776">
        <f>N(O8)+N(O13)+N(O18)</f>
        <v>0</v>
      </c>
      <c r="P20" s="1776">
        <f>N(P8)+N(P13)+N(P18)</f>
        <v>4.94341935</v>
      </c>
      <c r="Q20" s="1776">
        <f>N(Q8)+N(Q13)+N(Q18)</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EGI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45" t="inlineStr">
        <is>
          <t>EGI</t>
        </is>
      </c>
      <c r="C27" s="1545" t="str">
        <f>COUNTA($B$28:$B$44)&amp;IF(COUNTA($B$28:$B$44)=1," role"," roles")</f>
        <v>17 roles</v>
      </c>
      <c r="D27" s="1545" t="n"/>
      <c r="E27" s="1545" t="n"/>
      <c r="F27" s="1785">
        <f>SUM(F28:F44)</f>
        <v>4943419.35</v>
      </c>
      <c r="G27" s="1785">
        <f>SUM(G28:G44)</f>
        <v>4943419.35</v>
      </c>
    </row>
    <row r="28">
      <c r="B28" s="1530" t="str">
        <f>INDEX('REVIEW - Complete Role Mapping'!$B:$B,239)</f>
        <v>Ahmed Yehya</v>
      </c>
      <c r="C28" s="1530" t="str">
        <f>INDEX('REVIEW - Complete Role Mapping'!$C:$C,239)</f>
        <v>TDD Strategic Delivery</v>
      </c>
      <c r="D28" s="1530" t="str">
        <f>INDEX('REVIEW - Complete Role Mapping'!$AK:$AK,239)</f>
        <v>Filled</v>
      </c>
      <c r="E28" s="1547" t="inlineStr">
        <is>
          <t>Filled</t>
        </is>
      </c>
      <c r="F28" s="1773">
        <f>INDEX('REVIEW - Complete Role Mapping'!$AA:$AA,239)</f>
        <v>277500</v>
      </c>
      <c r="G28" s="1773">
        <f>$F28*IFERROR(INDEX(Lists!$AD:$AD,MATCH($E28,Lists!$AC:$AC,0)),1)</f>
        <v>277500</v>
      </c>
    </row>
    <row r="29">
      <c r="B29" s="1530" t="str">
        <f>INDEX('REVIEW - Complete Role Mapping'!$B:$B,240)</f>
        <v>Anthony Huynh</v>
      </c>
      <c r="C29" s="1530" t="str">
        <f>INDEX('REVIEW - Complete Role Mapping'!$C:$C,240)</f>
        <v>Strategic Delivery Consultant</v>
      </c>
      <c r="D29" s="1530" t="str">
        <f>INDEX('REVIEW - Complete Role Mapping'!$AK:$AK,240)</f>
        <v>Filled</v>
      </c>
      <c r="E29" s="1547" t="inlineStr">
        <is>
          <t>Filled</t>
        </is>
      </c>
      <c r="F29" s="1773">
        <f>INDEX('REVIEW - Complete Role Mapping'!$AA:$AA,240)</f>
        <v>301254</v>
      </c>
      <c r="G29" s="1773">
        <f>$F29*IFERROR(INDEX(Lists!$AD:$AD,MATCH($E29,Lists!$AC:$AC,0)),1)</f>
        <v>301254</v>
      </c>
    </row>
    <row r="30">
      <c r="B30" s="1530" t="str">
        <f>INDEX('REVIEW - Complete Role Mapping'!$B:$B,241)</f>
        <v>Areum Kim Lee</v>
      </c>
      <c r="C30" s="1530" t="str">
        <f>INDEX('REVIEW - Complete Role Mapping'!$C:$C,241)</f>
        <v>Program Manager (PEP13-EGI-UKG)</v>
      </c>
      <c r="D30" s="1530" t="str">
        <f>INDEX('REVIEW - Complete Role Mapping'!$AK:$AK,241)</f>
        <v>Filled</v>
      </c>
      <c r="E30" s="1547" t="inlineStr">
        <is>
          <t>Filled</t>
        </is>
      </c>
      <c r="F30" s="1773">
        <f>INDEX('REVIEW - Complete Role Mapping'!$AA:$AA,241)</f>
        <v>343158.72</v>
      </c>
      <c r="G30" s="1773">
        <f>$F30*IFERROR(INDEX(Lists!$AD:$AD,MATCH($E30,Lists!$AC:$AC,0)),1)</f>
        <v>343158.72</v>
      </c>
    </row>
    <row r="31">
      <c r="B31" s="1530" t="str">
        <f>INDEX('REVIEW - Complete Role Mapping'!$B:$B,242)</f>
        <v>Ernesto Pereira</v>
      </c>
      <c r="C31" s="1530" t="str">
        <f>INDEX('REVIEW - Complete Role Mapping'!$C:$C,242)</f>
        <v>Project Manger</v>
      </c>
      <c r="D31" s="1530" t="str">
        <f>INDEX('REVIEW - Complete Role Mapping'!$AK:$AK,242)</f>
        <v>Filled</v>
      </c>
      <c r="E31" s="1547" t="inlineStr">
        <is>
          <t>Filled</t>
        </is>
      </c>
      <c r="F31" s="1773">
        <f>INDEX('REVIEW - Complete Role Mapping'!$AA:$AA,242)</f>
        <v>222000</v>
      </c>
      <c r="G31" s="1773">
        <f>$F31*IFERROR(INDEX(Lists!$AD:$AD,MATCH($E31,Lists!$AC:$AC,0)),1)</f>
        <v>222000</v>
      </c>
    </row>
    <row r="32">
      <c r="B32" s="1530" t="str">
        <f>INDEX('REVIEW - Complete Role Mapping'!$B:$B,243)</f>
        <v>Harish Dasari</v>
      </c>
      <c r="C32" s="1530" t="str">
        <f>INDEX('REVIEW - Complete Role Mapping'!$C:$C,243)</f>
        <v>Business Analyst (SAP Payroll)</v>
      </c>
      <c r="D32" s="1530" t="str">
        <f>INDEX('REVIEW - Complete Role Mapping'!$AK:$AK,243)</f>
        <v>Filled</v>
      </c>
      <c r="E32" s="1547" t="inlineStr">
        <is>
          <t>Filled</t>
        </is>
      </c>
      <c r="F32" s="1773">
        <f>INDEX('REVIEW - Complete Role Mapping'!$AA:$AA,243)</f>
        <v>244200</v>
      </c>
      <c r="G32" s="1773">
        <f>$F32*IFERROR(INDEX(Lists!$AD:$AD,MATCH($E32,Lists!$AC:$AC,0)),1)</f>
        <v>244200</v>
      </c>
    </row>
    <row r="33">
      <c r="B33" s="1530" t="str">
        <f>INDEX('REVIEW - Complete Role Mapping'!$B:$B,244)</f>
        <v>James Munt</v>
      </c>
      <c r="C33" s="1530" t="str">
        <f>INDEX('REVIEW - Complete Role Mapping'!$C:$C,244)</f>
        <v>Program Manager Tech &amp; P&amp;C</v>
      </c>
      <c r="D33" s="1530" t="str">
        <f>INDEX('REVIEW - Complete Role Mapping'!$AK:$AK,244)</f>
        <v>Filled</v>
      </c>
      <c r="E33" s="1547" t="inlineStr">
        <is>
          <t>Filled</t>
        </is>
      </c>
      <c r="F33" s="1773">
        <f>INDEX('REVIEW - Complete Role Mapping'!$AA:$AA,244)</f>
        <v>266400</v>
      </c>
      <c r="G33" s="1773">
        <f>$F33*IFERROR(INDEX(Lists!$AD:$AD,MATCH($E33,Lists!$AC:$AC,0)),1)</f>
        <v>266400</v>
      </c>
    </row>
    <row r="34">
      <c r="B34" s="1530" t="str">
        <f>INDEX('REVIEW - Complete Role Mapping'!$B:$B,245)</f>
        <v>Jason McNamara</v>
      </c>
      <c r="C34" s="1530" t="str">
        <f>INDEX('REVIEW - Complete Role Mapping'!$C:$C,245)</f>
        <v>Project Manager Retail</v>
      </c>
      <c r="D34" s="1530" t="str">
        <f>INDEX('REVIEW - Complete Role Mapping'!$AK:$AK,245)</f>
        <v>Filled</v>
      </c>
      <c r="E34" s="1547" t="inlineStr">
        <is>
          <t>Filled</t>
        </is>
      </c>
      <c r="F34" s="1773">
        <f>INDEX('REVIEW - Complete Role Mapping'!$AA:$AA,245)</f>
        <v>488400</v>
      </c>
      <c r="G34" s="1773">
        <f>$F34*IFERROR(INDEX(Lists!$AD:$AD,MATCH($E34,Lists!$AC:$AC,0)),1)</f>
        <v>488400</v>
      </c>
    </row>
    <row r="35">
      <c r="B35" s="1530" t="str">
        <f>INDEX('REVIEW - Complete Role Mapping'!$B:$B,246)</f>
        <v>Jason Sipkovic</v>
      </c>
      <c r="C35" s="1530" t="str">
        <f>INDEX('REVIEW - Complete Role Mapping'!$C:$C,246)</f>
        <v>strategic program architect</v>
      </c>
      <c r="D35" s="1530" t="str">
        <f>INDEX('REVIEW - Complete Role Mapping'!$AK:$AK,246)</f>
        <v>Filled</v>
      </c>
      <c r="E35" s="1547" t="inlineStr">
        <is>
          <t>Filled</t>
        </is>
      </c>
      <c r="F35" s="1773">
        <f>INDEX('REVIEW - Complete Role Mapping'!$AA:$AA,246)</f>
        <v>333000</v>
      </c>
      <c r="G35" s="1773">
        <f>$F35*IFERROR(INDEX(Lists!$AD:$AD,MATCH($E35,Lists!$AC:$AC,0)),1)</f>
        <v>333000</v>
      </c>
    </row>
    <row r="36">
      <c r="B36" s="1530" t="str">
        <f>INDEX('REVIEW - Complete Role Mapping'!$B:$B,247)</f>
        <v>Kanika Narula</v>
      </c>
      <c r="C36" s="1530" t="str">
        <f>INDEX('REVIEW - Complete Role Mapping'!$C:$C,247)</f>
        <v>Business Analyst Digital</v>
      </c>
      <c r="D36" s="1530" t="str">
        <f>INDEX('REVIEW - Complete Role Mapping'!$AK:$AK,247)</f>
        <v>Filled</v>
      </c>
      <c r="E36" s="1547" t="inlineStr">
        <is>
          <t>Filled</t>
        </is>
      </c>
      <c r="F36" s="1773">
        <f>INDEX('REVIEW - Complete Role Mapping'!$AA:$AA,247)</f>
        <v>239502.48</v>
      </c>
      <c r="G36" s="1773">
        <f>$F36*IFERROR(INDEX(Lists!$AD:$AD,MATCH($E36,Lists!$AC:$AC,0)),1)</f>
        <v>239502.48</v>
      </c>
    </row>
    <row r="37">
      <c r="B37" s="1530" t="str">
        <f>INDEX('REVIEW - Complete Role Mapping'!$B:$B,248)</f>
        <v>Karl Reyneke</v>
      </c>
      <c r="C37" s="1530" t="str">
        <f>INDEX('REVIEW - Complete Role Mapping'!$C:$C,248)</f>
        <v>Strategic Delivery Consultant</v>
      </c>
      <c r="D37" s="1530" t="str">
        <f>INDEX('REVIEW - Complete Role Mapping'!$AK:$AK,248)</f>
        <v>Filled</v>
      </c>
      <c r="E37" s="1547" t="inlineStr">
        <is>
          <t>Filled</t>
        </is>
      </c>
      <c r="F37" s="1773">
        <f>INDEX('REVIEW - Complete Role Mapping'!$AA:$AA,248)</f>
        <v>299700</v>
      </c>
      <c r="G37" s="1773">
        <f>$F37*IFERROR(INDEX(Lists!$AD:$AD,MATCH($E37,Lists!$AC:$AC,0)),1)</f>
        <v>299700</v>
      </c>
    </row>
    <row r="38">
      <c r="B38" s="1530" t="str">
        <f>INDEX('REVIEW - Complete Role Mapping'!$B:$B,249)</f>
        <v>michelle Siegman</v>
      </c>
      <c r="C38" s="1530" t="str">
        <f>INDEX('REVIEW - Complete Role Mapping'!$C:$C,249)</f>
        <v>Strategic Delivery Consultant</v>
      </c>
      <c r="D38" s="1530" t="str">
        <f>INDEX('REVIEW - Complete Role Mapping'!$AK:$AK,249)</f>
        <v>Filled</v>
      </c>
      <c r="E38" s="1547" t="inlineStr">
        <is>
          <t>Filled</t>
        </is>
      </c>
      <c r="F38" s="1773">
        <f>INDEX('REVIEW - Complete Role Mapping'!$AA:$AA,249)</f>
        <v>230436</v>
      </c>
      <c r="G38" s="1773">
        <f>$F38*IFERROR(INDEX(Lists!$AD:$AD,MATCH($E38,Lists!$AC:$AC,0)),1)</f>
        <v>230436</v>
      </c>
    </row>
    <row r="39">
      <c r="B39" s="1530" t="str">
        <f>INDEX('REVIEW - Complete Role Mapping'!$B:$B,250)</f>
        <v>Moitri Pal</v>
      </c>
      <c r="C39" s="1530" t="str">
        <f>INDEX('REVIEW - Complete Role Mapping'!$C:$C,250)</f>
        <v>Portfolio Mnager</v>
      </c>
      <c r="D39" s="1530" t="str">
        <f>INDEX('REVIEW - Complete Role Mapping'!$AK:$AK,250)</f>
        <v>Filled</v>
      </c>
      <c r="E39" s="1547" t="inlineStr">
        <is>
          <t>Filled</t>
        </is>
      </c>
      <c r="F39" s="1773">
        <f>INDEX('REVIEW - Complete Role Mapping'!$AA:$AA,250)</f>
        <v>325464.15</v>
      </c>
      <c r="G39" s="1773">
        <f>$F39*IFERROR(INDEX(Lists!$AD:$AD,MATCH($E39,Lists!$AC:$AC,0)),1)</f>
        <v>325464.15</v>
      </c>
    </row>
    <row r="40">
      <c r="B40" s="1530" t="str">
        <f>INDEX('REVIEW - Complete Role Mapping'!$B:$B,251)</f>
        <v>Niall Greene</v>
      </c>
      <c r="C40" s="1530" t="str">
        <f>INDEX('REVIEW - Complete Role Mapping'!$C:$C,251)</f>
        <v>Project Manager (PEP13-EGI-UKG)</v>
      </c>
      <c r="D40" s="1530" t="str">
        <f>INDEX('REVIEW - Complete Role Mapping'!$AK:$AK,251)</f>
        <v>Filled</v>
      </c>
      <c r="E40" s="1547" t="inlineStr">
        <is>
          <t>Filled</t>
        </is>
      </c>
      <c r="F40" s="1773">
        <f>INDEX('REVIEW - Complete Role Mapping'!$AA:$AA,251)</f>
        <v>244200</v>
      </c>
      <c r="G40" s="1773">
        <f>$F40*IFERROR(INDEX(Lists!$AD:$AD,MATCH($E40,Lists!$AC:$AC,0)),1)</f>
        <v>244200</v>
      </c>
    </row>
    <row r="41">
      <c r="B41" s="1530" t="str">
        <f>INDEX('REVIEW - Complete Role Mapping'!$B:$B,252)</f>
        <v>Paul Hassey</v>
      </c>
      <c r="C41" s="1530" t="str">
        <f>INDEX('REVIEW - Complete Role Mapping'!$C:$C,252)</f>
        <v>Program Architect</v>
      </c>
      <c r="D41" s="1530" t="str">
        <f>INDEX('REVIEW - Complete Role Mapping'!$AK:$AK,252)</f>
        <v>Filled</v>
      </c>
      <c r="E41" s="1547" t="inlineStr">
        <is>
          <t>Filled</t>
        </is>
      </c>
      <c r="F41" s="1773">
        <f>INDEX('REVIEW - Complete Role Mapping'!$AA:$AA,252)</f>
        <v>310800</v>
      </c>
      <c r="G41" s="1773">
        <f>$F41*IFERROR(INDEX(Lists!$AD:$AD,MATCH($E41,Lists!$AC:$AC,0)),1)</f>
        <v>310800</v>
      </c>
    </row>
    <row r="42">
      <c r="B42" s="1530" t="str">
        <f>INDEX('REVIEW - Complete Role Mapping'!$B:$B,253)</f>
        <v>vijay Solanki</v>
      </c>
      <c r="C42" s="1530" t="str">
        <f>INDEX('REVIEW - Complete Role Mapping'!$C:$C,253)</f>
        <v>Project Manager Deployment</v>
      </c>
      <c r="D42" s="1530" t="str">
        <f>INDEX('REVIEW - Complete Role Mapping'!$AK:$AK,253)</f>
        <v>Filled</v>
      </c>
      <c r="E42" s="1547" t="inlineStr">
        <is>
          <t>Filled</t>
        </is>
      </c>
      <c r="F42" s="1773">
        <f>INDEX('REVIEW - Complete Role Mapping'!$AA:$AA,253)</f>
        <v>266400</v>
      </c>
      <c r="G42" s="1773">
        <f>$F42*IFERROR(INDEX(Lists!$AD:$AD,MATCH($E42,Lists!$AC:$AC,0)),1)</f>
        <v>266400</v>
      </c>
    </row>
    <row r="43">
      <c r="B43" s="1530" t="str">
        <f>INDEX('REVIEW - Complete Role Mapping'!$B:$B,254)</f>
        <v>Winnie Fernandes</v>
      </c>
      <c r="C43" s="1530" t="str">
        <f>INDEX('REVIEW - Complete Role Mapping'!$C:$C,254)</f>
        <v>Delivery Lead - Integration</v>
      </c>
      <c r="D43" s="1530" t="str">
        <f>INDEX('REVIEW - Complete Role Mapping'!$AK:$AK,254)</f>
        <v>Filled</v>
      </c>
      <c r="E43" s="1547" t="inlineStr">
        <is>
          <t>Filled</t>
        </is>
      </c>
      <c r="F43" s="1773">
        <f>INDEX('REVIEW - Complete Role Mapping'!$AA:$AA,254)</f>
        <v>273504</v>
      </c>
      <c r="G43" s="1773">
        <f>$F43*IFERROR(INDEX(Lists!$AD:$AD,MATCH($E43,Lists!$AC:$AC,0)),1)</f>
        <v>273504</v>
      </c>
    </row>
    <row r="44">
      <c r="B44" s="1530" t="str">
        <f>INDEX('REVIEW - Complete Role Mapping'!$B:$B,446)</f>
        <v>Ashish Gupte</v>
      </c>
      <c r="C44" s="1530" t="str">
        <f>INDEX('REVIEW - Complete Role Mapping'!$C:$C,446)</f>
        <v>DeveloperSAP ECC</v>
      </c>
      <c r="D44" s="1530" t="str">
        <f>INDEX('REVIEW - Complete Role Mapping'!$AK:$AK,446)</f>
        <v>Filled</v>
      </c>
      <c r="E44" s="1547" t="inlineStr">
        <is>
          <t>Filled</t>
        </is>
      </c>
      <c r="F44" s="1773">
        <f>INDEX('REVIEW - Complete Role Mapping'!$AA:$AA,446)</f>
        <v>277500</v>
      </c>
      <c r="G44" s="1773">
        <f>$F44*IFERROR(INDEX(Lists!$AD:$AD,MATCH($E44,Lists!$AC:$AC,0)),1)</f>
        <v>277500</v>
      </c>
    </row>
  </sheetData>
  <dataValidations count="1">
    <dataValidation sqref="E28 E29 E30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1"/>
  <sheetViews>
    <sheetView showFormulas="0" showGridLines="0" showRowColHeaders="1" showZeros="1" rightToLeft="0" tabSelected="0" showOutlineSymbols="1" defaultGridColor="1" view="normal" topLeftCell="A1" colorId="64" zoomScale="110" zoomScaleNormal="110" zoomScalePageLayoutView="100" workbookViewId="0">
      <pane xSplit="2" ySplit="8" topLeftCell="C9"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8" customWidth="1" style="866" min="2" max="2"/>
    <col width="15" customWidth="1" style="866" min="3" max="3"/>
    <col width="14" customWidth="1" style="866" min="4" max="4"/>
    <col width="17" customWidth="1" style="866" min="5" max="5"/>
    <col width="19" customWidth="1" style="866" min="6" max="6"/>
    <col width="8" customWidth="1" style="866" min="7" max="7"/>
    <col width="8" customWidth="1" style="866" min="8" max="8"/>
    <col width="8" customWidth="1" style="866" min="9" max="9"/>
    <col width="13" customWidth="1" style="866" min="10" max="10"/>
  </cols>
  <sheetData>
    <row r="1"/>
    <row r="2">
      <c r="B2" s="1524" t="inlineStr">
        <is>
          <t>TDD Summary - all portfolios</t>
        </is>
      </c>
    </row>
    <row r="3"/>
    <row r="4" ht="48" customHeight="1" s="866">
      <c r="B4" s="1769" t="inlineStr">
        <is>
          <t>Group position</t>
        </is>
      </c>
      <c r="C4" s="1529" t="inlineStr">
        <is>
          <t>Archetype cost ($m)</t>
        </is>
      </c>
      <c r="D4" s="1529" t="inlineStr">
        <is>
          <t>Actual cost ($m)</t>
        </is>
      </c>
      <c r="E4" s="1529" t="inlineStr">
        <is>
          <t>Over/(under) archetype ($m)</t>
        </is>
      </c>
      <c r="F4" s="1529" t="inlineStr">
        <is>
          <t>Cost after vacancy decisions ($m)</t>
        </is>
      </c>
      <c r="G4" s="1529" t="inlineStr">
        <is>
          <t>Roles</t>
        </is>
      </c>
      <c r="H4" s="1529" t="inlineStr">
        <is>
          <t>Filled</t>
        </is>
      </c>
      <c r="I4" s="1529" t="inlineStr">
        <is>
          <t>Vacant</t>
        </is>
      </c>
      <c r="J4" s="1529" t="inlineStr">
        <is>
          <t>Roles after decisions</t>
        </is>
      </c>
    </row>
    <row r="5" ht="30" customHeight="1" s="866">
      <c r="C5" s="1770">
        <f>$C$38</f>
        <v>108.7351574</v>
      </c>
      <c r="D5" s="1770">
        <f>$D$38</f>
        <v>115.1132622681</v>
      </c>
      <c r="E5" s="1770">
        <f>$E$38</f>
        <v>6.3781048681</v>
      </c>
      <c r="F5" s="1770">
        <f>$F$38</f>
        <v>115.1132622681</v>
      </c>
      <c r="G5" s="1771">
        <f>$G$38</f>
        <v>525</v>
      </c>
      <c r="H5" s="1771">
        <f>$H$38</f>
        <v>390</v>
      </c>
      <c r="I5" s="1771">
        <f>$I$38</f>
        <v>135</v>
      </c>
      <c r="J5" s="1771">
        <f>$J$38</f>
        <v>525</v>
      </c>
    </row>
    <row r="6"/>
    <row r="7" ht="19" customHeight="1" s="866">
      <c r="B7" s="1527" t="inlineStr">
        <is>
          <t>Archetype cost against actual cost</t>
        </is>
      </c>
      <c r="C7" s="1528" t="n"/>
      <c r="D7" s="1528" t="n"/>
      <c r="E7" s="1528" t="n"/>
      <c r="F7" s="1528" t="n"/>
      <c r="G7" s="1528" t="n"/>
      <c r="H7" s="1528" t="n"/>
      <c r="I7" s="1528" t="n"/>
      <c r="J7" s="1528" t="n"/>
    </row>
    <row r="8" ht="48" customHeight="1" s="866">
      <c r="B8" s="1529" t="inlineStr">
        <is>
          <t>Portfolio</t>
        </is>
      </c>
      <c r="C8" s="1529" t="inlineStr">
        <is>
          <t>Archetype cost ($m)</t>
        </is>
      </c>
      <c r="D8" s="1529" t="inlineStr">
        <is>
          <t>Actual cost ($m)</t>
        </is>
      </c>
      <c r="E8" s="1529" t="inlineStr">
        <is>
          <t>Over/(under) archetype ($m)</t>
        </is>
      </c>
      <c r="F8" s="1529" t="inlineStr">
        <is>
          <t>Cost after vacancy decisions ($m)</t>
        </is>
      </c>
      <c r="G8" s="1529" t="inlineStr">
        <is>
          <t>Roles</t>
        </is>
      </c>
      <c r="H8" s="1529" t="inlineStr">
        <is>
          <t>Filled</t>
        </is>
      </c>
      <c r="I8" s="1529" t="inlineStr">
        <is>
          <t>Vacant</t>
        </is>
      </c>
      <c r="J8" s="1529" t="inlineStr">
        <is>
          <t>Roles after decisions</t>
        </is>
      </c>
    </row>
    <row r="9">
      <c r="B9" s="1545" t="inlineStr">
        <is>
          <t>Squads priced by an archetype</t>
        </is>
      </c>
      <c r="C9" s="1545" t="n"/>
      <c r="D9" s="1545" t="n"/>
      <c r="E9" s="1545" t="n"/>
      <c r="F9" s="1545" t="n"/>
      <c r="G9" s="1545" t="n"/>
      <c r="H9" s="1545" t="n"/>
      <c r="I9" s="1545" t="n"/>
      <c r="J9" s="1545" t="n"/>
    </row>
    <row r="10">
      <c r="B10" s="1530" t="inlineStr">
        <is>
          <t>Ampol Retail</t>
        </is>
      </c>
      <c r="C10" s="1772">
        <f>'2.1 Ampol Retail'!$M$14</f>
        <v>9.88</v>
      </c>
      <c r="D10" s="1772">
        <f>'2.1 Ampol Retail'!$N$14</f>
        <v>9.113524162</v>
      </c>
      <c r="E10" s="1772">
        <f>IFERROR($D10-$C10,"-")</f>
        <v>-0.766475838000002</v>
      </c>
      <c r="F10" s="1772">
        <f>'2.1 Ampol Retail'!$P$14</f>
        <v>9.113524162</v>
      </c>
      <c r="G10" s="1773">
        <f>'2.1 Ampol Retail'!$F$14</f>
        <v>48</v>
      </c>
      <c r="H10" s="1773">
        <f>'2.1 Ampol Retail'!$G$14</f>
        <v>26</v>
      </c>
      <c r="I10" s="1773">
        <f>'2.1 Ampol Retail'!$H$14</f>
        <v>22</v>
      </c>
      <c r="J10" s="1773">
        <f>'2.1 Ampol Retail'!$L$14</f>
        <v>48</v>
      </c>
    </row>
    <row r="11">
      <c r="B11" s="1530" t="inlineStr">
        <is>
          <t>Customer</t>
        </is>
      </c>
      <c r="C11" s="1772">
        <f>'2.2 Customer'!$M$14</f>
        <v>12.06</v>
      </c>
      <c r="D11" s="1772">
        <f>'2.2 Customer'!$N$14</f>
        <v>12.097508946</v>
      </c>
      <c r="E11" s="1772">
        <f>IFERROR($D11-$C11,"-")</f>
        <v>0.0375089460000027</v>
      </c>
      <c r="F11" s="1772">
        <f>'2.2 Customer'!$P$14</f>
        <v>12.097508946</v>
      </c>
      <c r="G11" s="1773">
        <f>'2.2 Customer'!$F$14</f>
        <v>60</v>
      </c>
      <c r="H11" s="1773">
        <f>'2.2 Customer'!$G$14</f>
        <v>49</v>
      </c>
      <c r="I11" s="1773">
        <f>'2.2 Customer'!$H$14</f>
        <v>11</v>
      </c>
      <c r="J11" s="1773">
        <f>'2.2 Customer'!$L$14</f>
        <v>60</v>
      </c>
    </row>
    <row r="12">
      <c r="B12" s="1530" t="inlineStr">
        <is>
          <t>Enterprise Data</t>
        </is>
      </c>
      <c r="C12" s="1772">
        <f>'2.3 Enterprise Data'!$M$10</f>
        <v>4.3</v>
      </c>
      <c r="D12" s="1772">
        <f>'2.3 Enterprise Data'!$N$10</f>
        <v>5.357369326</v>
      </c>
      <c r="E12" s="1772">
        <f>IFERROR($D12-$C12,"-")</f>
        <v>1.057369326</v>
      </c>
      <c r="F12" s="1772">
        <f>'2.3 Enterprise Data'!$P$10</f>
        <v>5.357369326</v>
      </c>
      <c r="G12" s="1773">
        <f>'2.3 Enterprise Data'!$F$10</f>
        <v>25</v>
      </c>
      <c r="H12" s="1773">
        <f>'2.3 Enterprise Data'!$G$10</f>
        <v>16</v>
      </c>
      <c r="I12" s="1773">
        <f>'2.3 Enterprise Data'!$H$10</f>
        <v>9</v>
      </c>
      <c r="J12" s="1773">
        <f>'2.3 Enterprise Data'!$L$10</f>
        <v>25</v>
      </c>
    </row>
    <row r="13">
      <c r="B13" s="1530" t="inlineStr">
        <is>
          <t>TDD Group Functions</t>
        </is>
      </c>
      <c r="C13" s="1772">
        <f>'2.4 TDD Group Functions'!$M$11</f>
        <v>5.7</v>
      </c>
      <c r="D13" s="1772">
        <f>'2.4 TDD Group Functions'!$N$11</f>
        <v>7.3408897224</v>
      </c>
      <c r="E13" s="1772">
        <f>IFERROR($D13-$C13,"-")</f>
        <v>1.6408897224</v>
      </c>
      <c r="F13" s="1772">
        <f>'2.4 TDD Group Functions'!$P$11</f>
        <v>7.3408897224</v>
      </c>
      <c r="G13" s="1773">
        <f>'2.4 TDD Group Functions'!$F$11</f>
        <v>36</v>
      </c>
      <c r="H13" s="1773">
        <f>'2.4 TDD Group Functions'!$G$11</f>
        <v>27</v>
      </c>
      <c r="I13" s="1773">
        <f>'2.4 TDD Group Functions'!$H$11</f>
        <v>9</v>
      </c>
      <c r="J13" s="1773">
        <f>'2.4 TDD Group Functions'!$L$11</f>
        <v>36</v>
      </c>
    </row>
    <row r="14">
      <c r="B14" s="1530" t="inlineStr">
        <is>
          <t>P&amp;C</t>
        </is>
      </c>
      <c r="C14" s="1772">
        <f>'2.5 P&amp;C'!$M$9</f>
        <v>3.5</v>
      </c>
      <c r="D14" s="1772">
        <f>'2.5 P&amp;C'!$N$9</f>
        <v>3.02960608</v>
      </c>
      <c r="E14" s="1772">
        <f>IFERROR($D14-$C14,"-")</f>
        <v>-0.47039392</v>
      </c>
      <c r="F14" s="1772">
        <f>'2.5 P&amp;C'!$P$9</f>
        <v>3.02960608</v>
      </c>
      <c r="G14" s="1773">
        <f>'2.5 P&amp;C'!$F$9</f>
        <v>14</v>
      </c>
      <c r="H14" s="1773">
        <f>'2.5 P&amp;C'!$G$9</f>
        <v>6</v>
      </c>
      <c r="I14" s="1773">
        <f>'2.5 P&amp;C'!$H$9</f>
        <v>8</v>
      </c>
      <c r="J14" s="1773">
        <f>'2.5 P&amp;C'!$L$9</f>
        <v>14</v>
      </c>
    </row>
    <row r="15">
      <c r="B15" s="1530" t="inlineStr">
        <is>
          <t>Finance</t>
        </is>
      </c>
      <c r="C15" s="1772">
        <f>'2.6 Finance'!$M$9</f>
        <v>2.8</v>
      </c>
      <c r="D15" s="1772">
        <f>'2.6 Finance'!$N$9</f>
        <v>3.279327216</v>
      </c>
      <c r="E15" s="1772">
        <f>IFERROR($D15-$C15,"-")</f>
        <v>0.479327216</v>
      </c>
      <c r="F15" s="1772">
        <f>'2.6 Finance'!$P$9</f>
        <v>3.279327216</v>
      </c>
      <c r="G15" s="1773">
        <f>'2.6 Finance'!$F$9</f>
        <v>15</v>
      </c>
      <c r="H15" s="1773">
        <f>'2.6 Finance'!$G$9</f>
        <v>7</v>
      </c>
      <c r="I15" s="1773">
        <f>'2.6 Finance'!$H$9</f>
        <v>8</v>
      </c>
      <c r="J15" s="1773">
        <f>'2.6 Finance'!$L$9</f>
        <v>15</v>
      </c>
    </row>
    <row r="16">
      <c r="B16" s="1530" t="inlineStr">
        <is>
          <t>Infrastructure</t>
        </is>
      </c>
      <c r="C16" s="1772">
        <f>'2.7 Infrastructure'!$M$11</f>
        <v>6.4</v>
      </c>
      <c r="D16" s="1772">
        <f>'2.7 Infrastructure'!$N$11</f>
        <v>6.30063899</v>
      </c>
      <c r="E16" s="1772">
        <f>IFERROR($D16-$C16,"-")</f>
        <v>-0.09936101</v>
      </c>
      <c r="F16" s="1772">
        <f>'2.7 Infrastructure'!$P$11</f>
        <v>6.30063899</v>
      </c>
      <c r="G16" s="1773">
        <f>'2.7 Infrastructure'!$F$11</f>
        <v>31</v>
      </c>
      <c r="H16" s="1773">
        <f>'2.7 Infrastructure'!$G$11</f>
        <v>22</v>
      </c>
      <c r="I16" s="1773">
        <f>'2.7 Infrastructure'!$H$11</f>
        <v>9</v>
      </c>
      <c r="J16" s="1773">
        <f>'2.7 Infrastructure'!$L$11</f>
        <v>31</v>
      </c>
    </row>
    <row r="17">
      <c r="B17" s="1530" t="inlineStr">
        <is>
          <t>Energy Solutions &amp; B2B</t>
        </is>
      </c>
      <c r="C17" s="1772">
        <f>'2.8 Energy Solutions &amp; B2B'!$M$10</f>
        <v>7.9</v>
      </c>
      <c r="D17" s="1772">
        <f>'2.8 Energy Solutions &amp; B2B'!$N$10</f>
        <v>5.327874328</v>
      </c>
      <c r="E17" s="1772">
        <f>IFERROR($D17-$C17,"-")</f>
        <v>-2.572125672</v>
      </c>
      <c r="F17" s="1772">
        <f>'2.8 Energy Solutions &amp; B2B'!$P$10</f>
        <v>5.327874328</v>
      </c>
      <c r="G17" s="1773">
        <f>'2.8 Energy Solutions &amp; B2B'!$F$10</f>
        <v>29</v>
      </c>
      <c r="H17" s="1773">
        <f>'2.8 Energy Solutions &amp; B2B'!$G$10</f>
        <v>22</v>
      </c>
      <c r="I17" s="1773">
        <f>'2.8 Energy Solutions &amp; B2B'!$H$10</f>
        <v>7</v>
      </c>
      <c r="J17" s="1773">
        <f>'2.8 Energy Solutions &amp; B2B'!$L$10</f>
        <v>29</v>
      </c>
    </row>
    <row r="18">
      <c r="B18" s="1530" t="inlineStr">
        <is>
          <t>Commercial Fuels</t>
        </is>
      </c>
      <c r="C18" s="1772">
        <f>'2.9 Commercial Fuels'!$M$10</f>
        <v>4.88</v>
      </c>
      <c r="D18" s="1772">
        <f>'2.9 Commercial Fuels'!$N$10</f>
        <v>5.8445681607</v>
      </c>
      <c r="E18" s="1772">
        <f>IFERROR($D18-$C18,"-")</f>
        <v>0.9645681607</v>
      </c>
      <c r="F18" s="1772">
        <f>'2.9 Commercial Fuels'!$P$10</f>
        <v>5.8445681607</v>
      </c>
      <c r="G18" s="1773">
        <f>'2.9 Commercial Fuels'!$F$10</f>
        <v>24</v>
      </c>
      <c r="H18" s="1773">
        <f>'2.9 Commercial Fuels'!$G$10</f>
        <v>17</v>
      </c>
      <c r="I18" s="1773">
        <f>'2.9 Commercial Fuels'!$H$10</f>
        <v>7</v>
      </c>
      <c r="J18" s="1773">
        <f>'2.9 Commercial Fuels'!$L$10</f>
        <v>24</v>
      </c>
    </row>
    <row r="19">
      <c r="B19" s="1530" t="inlineStr">
        <is>
          <t>Z Retail</t>
        </is>
      </c>
      <c r="C19" s="1772">
        <f>'2.10 Z Retail'!$M$11</f>
        <v>6.78</v>
      </c>
      <c r="D19" s="1772">
        <f>'2.10 Z Retail'!$N$11</f>
        <v>6.119950684</v>
      </c>
      <c r="E19" s="1772">
        <f>IFERROR($D19-$C19,"-")</f>
        <v>-0.660049316</v>
      </c>
      <c r="F19" s="1772">
        <f>'2.10 Z Retail'!$P$11</f>
        <v>6.119950684</v>
      </c>
      <c r="G19" s="1773">
        <f>'2.10 Z Retail'!$F$11</f>
        <v>34</v>
      </c>
      <c r="H19" s="1773">
        <f>'2.10 Z Retail'!$G$11</f>
        <v>29</v>
      </c>
      <c r="I19" s="1773">
        <f>'2.10 Z Retail'!$H$11</f>
        <v>5</v>
      </c>
      <c r="J19" s="1773">
        <f>'2.10 Z Retail'!$L$11</f>
        <v>34</v>
      </c>
    </row>
    <row r="20">
      <c r="B20" s="1534" t="inlineStr">
        <is>
          <t>Priced by an archetype</t>
        </is>
      </c>
      <c r="C20" s="1774">
        <f>SUM(C10:C19)</f>
        <v>64.2</v>
      </c>
      <c r="D20" s="1774">
        <f>SUM(D10:D19)</f>
        <v>63.8112576151</v>
      </c>
      <c r="E20" s="1774">
        <f>SUM(E10:E19)</f>
        <v>-0.388742384899999</v>
      </c>
      <c r="F20" s="1774">
        <f>SUM(F10:F19)</f>
        <v>63.8112576151</v>
      </c>
      <c r="G20" s="1775">
        <f>SUM(G10:G19)</f>
        <v>316</v>
      </c>
      <c r="H20" s="1775">
        <f>SUM(H10:H19)</f>
        <v>221</v>
      </c>
      <c r="I20" s="1775">
        <f>SUM(I10:I19)</f>
        <v>95</v>
      </c>
      <c r="J20" s="1775">
        <f>SUM(J10:J19)</f>
        <v>316</v>
      </c>
    </row>
    <row r="21">
      <c r="B21" s="1545" t="inlineStr">
        <is>
          <t>Directly funded programmes and platforms - funded on the 1.x tab</t>
        </is>
      </c>
      <c r="C21" s="1545" t="n"/>
      <c r="D21" s="1545" t="n"/>
      <c r="E21" s="1545" t="n"/>
      <c r="F21" s="1545" t="n"/>
      <c r="G21" s="1545" t="n"/>
      <c r="H21" s="1545" t="n"/>
      <c r="I21" s="1545" t="n"/>
      <c r="J21" s="1545" t="n"/>
    </row>
    <row r="22">
      <c r="B22" s="1530" t="inlineStr">
        <is>
          <t>Ampol Retail</t>
        </is>
      </c>
      <c r="C22" s="1772">
        <f>'2.1 Ampol Retail'!$M$21</f>
        <v>2.925146614</v>
      </c>
      <c r="D22" s="1772">
        <f>'2.1 Ampol Retail'!$N$21</f>
        <v>3.636087332</v>
      </c>
      <c r="E22" s="1772">
        <f>IFERROR($D22-$C22,"-")</f>
        <v>0.710940718</v>
      </c>
      <c r="F22" s="1772">
        <f>'2.1 Ampol Retail'!$P$21</f>
        <v>3.636087332</v>
      </c>
      <c r="G22" s="1773">
        <f>'2.1 Ampol Retail'!$F$21</f>
        <v>17</v>
      </c>
      <c r="H22" s="1773">
        <f>'2.1 Ampol Retail'!$G$21</f>
        <v>17</v>
      </c>
      <c r="I22" s="1773">
        <f>'2.1 Ampol Retail'!$H$21</f>
        <v>0</v>
      </c>
      <c r="J22" s="1773">
        <f>'2.1 Ampol Retail'!$L$21</f>
        <v>17</v>
      </c>
    </row>
    <row r="23">
      <c r="B23" s="1530" t="inlineStr">
        <is>
          <t>Customer</t>
        </is>
      </c>
      <c r="C23" s="1772">
        <f>'2.2 Customer'!$M$20</f>
        <v>2.208135308</v>
      </c>
      <c r="D23" s="1772">
        <f>'2.2 Customer'!$N$20</f>
        <v>3.256385356</v>
      </c>
      <c r="E23" s="1772">
        <f>IFERROR($D23-$C23,"-")</f>
        <v>1.048250048</v>
      </c>
      <c r="F23" s="1772">
        <f>'2.2 Customer'!$P$20</f>
        <v>3.256385356</v>
      </c>
      <c r="G23" s="1773">
        <f>'2.2 Customer'!$F$20</f>
        <v>15</v>
      </c>
      <c r="H23" s="1773">
        <f>'2.2 Customer'!$G$20</f>
        <v>14</v>
      </c>
      <c r="I23" s="1773">
        <f>'2.2 Customer'!$H$20</f>
        <v>1</v>
      </c>
      <c r="J23" s="1773">
        <f>'2.2 Customer'!$L$20</f>
        <v>15</v>
      </c>
    </row>
    <row r="24">
      <c r="B24" s="1530" t="inlineStr">
        <is>
          <t>TDD Group Functions</t>
        </is>
      </c>
      <c r="C24" s="1772">
        <f>'2.4 TDD Group Functions'!$M$16</f>
        <v>1.02484851</v>
      </c>
      <c r="D24" s="1772">
        <f>'2.4 TDD Group Functions'!$N$16</f>
        <v>1.02484851</v>
      </c>
      <c r="E24" s="1772">
        <f>IFERROR($D24-$C24,"-")</f>
        <v>0</v>
      </c>
      <c r="F24" s="1772">
        <f>'2.4 TDD Group Functions'!$P$16</f>
        <v>1.02484851</v>
      </c>
      <c r="G24" s="1773">
        <f>'2.4 TDD Group Functions'!$F$16</f>
        <v>4</v>
      </c>
      <c r="H24" s="1773">
        <f>'2.4 TDD Group Functions'!$G$16</f>
        <v>4</v>
      </c>
      <c r="I24" s="1773">
        <f>'2.4 TDD Group Functions'!$H$16</f>
        <v>0</v>
      </c>
      <c r="J24" s="1773">
        <f>'2.4 TDD Group Functions'!$L$16</f>
        <v>4</v>
      </c>
    </row>
    <row r="25">
      <c r="B25" s="1530" t="inlineStr">
        <is>
          <t>P&amp;C</t>
        </is>
      </c>
      <c r="C25" s="1772">
        <f>'2.5 P&amp;C'!$M$14</f>
        <v>0.238965</v>
      </c>
      <c r="D25" s="1772">
        <f>'2.5 P&amp;C'!$N$14</f>
        <v>0.238965</v>
      </c>
      <c r="E25" s="1772">
        <f>IFERROR($D25-$C25,"-")</f>
        <v>0</v>
      </c>
      <c r="F25" s="1772">
        <f>'2.5 P&amp;C'!$P$14</f>
        <v>0.238965</v>
      </c>
      <c r="G25" s="1773">
        <f>'2.5 P&amp;C'!$F$14</f>
        <v>1</v>
      </c>
      <c r="H25" s="1773">
        <f>'2.5 P&amp;C'!$G$14</f>
        <v>1</v>
      </c>
      <c r="I25" s="1773">
        <f>'2.5 P&amp;C'!$H$14</f>
        <v>0</v>
      </c>
      <c r="J25" s="1773">
        <f>'2.5 P&amp;C'!$L$14</f>
        <v>1</v>
      </c>
    </row>
    <row r="26">
      <c r="B26" s="1530" t="inlineStr">
        <is>
          <t>Finance</t>
        </is>
      </c>
      <c r="C26" s="1772">
        <f>'2.6 Finance'!$M$14</f>
        <v>0.24172845</v>
      </c>
      <c r="D26" s="1772">
        <f>'2.6 Finance'!$N$14</f>
        <v>0.24172845</v>
      </c>
      <c r="E26" s="1772">
        <f>IFERROR($D26-$C26,"-")</f>
        <v>0</v>
      </c>
      <c r="F26" s="1772">
        <f>'2.6 Finance'!$P$14</f>
        <v>0.24172845</v>
      </c>
      <c r="G26" s="1773">
        <f>'2.6 Finance'!$F$14</f>
        <v>1</v>
      </c>
      <c r="H26" s="1773">
        <f>'2.6 Finance'!$G$14</f>
        <v>1</v>
      </c>
      <c r="I26" s="1773">
        <f>'2.6 Finance'!$H$14</f>
        <v>0</v>
      </c>
      <c r="J26" s="1773">
        <f>'2.6 Finance'!$L$14</f>
        <v>1</v>
      </c>
    </row>
    <row r="27">
      <c r="B27" s="1530" t="inlineStr">
        <is>
          <t>Infrastructure</t>
        </is>
      </c>
      <c r="C27" s="1772">
        <f>'2.7 Infrastructure'!$M$16</f>
        <v>0</v>
      </c>
      <c r="D27" s="1772">
        <f>'2.7 Infrastructure'!$N$16</f>
        <v>0.2566671</v>
      </c>
      <c r="E27" s="1772">
        <f>IFERROR($D27-$C27,"-")</f>
        <v>0.2566671</v>
      </c>
      <c r="F27" s="1772">
        <f>'2.7 Infrastructure'!$P$16</f>
        <v>0.2566671</v>
      </c>
      <c r="G27" s="1773">
        <f>'2.7 Infrastructure'!$F$16</f>
        <v>1</v>
      </c>
      <c r="H27" s="1773">
        <f>'2.7 Infrastructure'!$G$16</f>
        <v>1</v>
      </c>
      <c r="I27" s="1773">
        <f>'2.7 Infrastructure'!$H$16</f>
        <v>0</v>
      </c>
      <c r="J27" s="1773">
        <f>'2.7 Infrastructure'!$L$16</f>
        <v>1</v>
      </c>
    </row>
    <row r="28">
      <c r="B28" s="1530" t="inlineStr">
        <is>
          <t>Commercial Fuels</t>
        </is>
      </c>
      <c r="C28" s="1772">
        <f>'2.9 Commercial Fuels'!$M$15</f>
        <v>3.8</v>
      </c>
      <c r="D28" s="1772">
        <f>'2.9 Commercial Fuels'!$N$15</f>
        <v>3.221759232</v>
      </c>
      <c r="E28" s="1772">
        <f>IFERROR($D28-$C28,"-")</f>
        <v>-0.578240768</v>
      </c>
      <c r="F28" s="1772">
        <f>'2.9 Commercial Fuels'!$P$15</f>
        <v>3.221759232</v>
      </c>
      <c r="G28" s="1773">
        <f>'2.9 Commercial Fuels'!$F$15</f>
        <v>14</v>
      </c>
      <c r="H28" s="1773">
        <f>'2.9 Commercial Fuels'!$G$15</f>
        <v>14</v>
      </c>
      <c r="I28" s="1773">
        <f>'2.9 Commercial Fuels'!$H$15</f>
        <v>0</v>
      </c>
      <c r="J28" s="1773">
        <f>'2.9 Commercial Fuels'!$L$15</f>
        <v>14</v>
      </c>
    </row>
    <row r="29">
      <c r="B29" s="1534" t="inlineStr">
        <is>
          <t>Directly funded</t>
        </is>
      </c>
      <c r="C29" s="1774">
        <f>SUM(C22:C28)</f>
        <v>10.438823882</v>
      </c>
      <c r="D29" s="1774">
        <f>SUM(D22:D28)</f>
        <v>11.87644098</v>
      </c>
      <c r="E29" s="1774">
        <f>SUM(E22:E28)</f>
        <v>1.437617098</v>
      </c>
      <c r="F29" s="1774">
        <f>SUM(F22:F28)</f>
        <v>11.87644098</v>
      </c>
      <c r="G29" s="1775">
        <f>SUM(G22:G28)</f>
        <v>53</v>
      </c>
      <c r="H29" s="1775">
        <f>SUM(H22:H28)</f>
        <v>52</v>
      </c>
      <c r="I29" s="1775">
        <f>SUM(I22:I28)</f>
        <v>1</v>
      </c>
      <c r="J29" s="1775">
        <f>SUM(J22:J28)</f>
        <v>53</v>
      </c>
    </row>
    <row r="30">
      <c r="B30" s="1545" t="inlineStr">
        <is>
          <t>COEs and EGI - planned spend on their own 1.x tabs</t>
        </is>
      </c>
      <c r="C30" s="1545" t="n"/>
      <c r="D30" s="1545" t="n"/>
      <c r="E30" s="1545" t="n"/>
      <c r="F30" s="1545" t="n"/>
      <c r="G30" s="1545" t="n"/>
      <c r="H30" s="1545" t="n"/>
      <c r="I30" s="1545" t="n"/>
      <c r="J30" s="1545" t="n"/>
    </row>
    <row r="31">
      <c r="B31" s="1530" t="inlineStr">
        <is>
          <t>COE Cyber</t>
        </is>
      </c>
      <c r="C31" s="1772">
        <f>'1.13 Cyber Roles'!$F$6+'1.13 Cyber Roles'!$F$7</f>
        <v>9.897858294</v>
      </c>
      <c r="D31" s="1772">
        <f>'2.11 COE Cyber'!$N$24</f>
        <v>9.897858294</v>
      </c>
      <c r="E31" s="1772">
        <f>IFERROR($D31-$C31,"-")</f>
        <v>0</v>
      </c>
      <c r="F31" s="1772">
        <f>'2.11 COE Cyber'!$P$24</f>
        <v>9.897858294</v>
      </c>
      <c r="G31" s="1773">
        <f>'2.11 COE Cyber'!$F$24</f>
        <v>46</v>
      </c>
      <c r="H31" s="1773">
        <f>'2.11 COE Cyber'!$G$24</f>
        <v>42</v>
      </c>
      <c r="I31" s="1773">
        <f>'2.11 COE Cyber'!$H$24</f>
        <v>4</v>
      </c>
      <c r="J31" s="1773">
        <f>'2.11 COE Cyber'!$L$24</f>
        <v>46</v>
      </c>
    </row>
    <row r="32">
      <c r="B32" s="1530" t="inlineStr">
        <is>
          <t>COE BP&amp;T</t>
        </is>
      </c>
      <c r="C32" s="1772">
        <f>'1.11 BP&amp;T'!$F$6+'1.11 BP&amp;T'!$F$7</f>
        <v>6.400561822</v>
      </c>
      <c r="D32" s="1772">
        <f>'2.12 BP&amp;T'!$N$22</f>
        <v>6.400561822</v>
      </c>
      <c r="E32" s="1772">
        <f>IFERROR($D32-$C32,"-")</f>
        <v>0</v>
      </c>
      <c r="F32" s="1772">
        <f>'2.12 BP&amp;T'!$P$22</f>
        <v>6.400561822</v>
      </c>
      <c r="G32" s="1773">
        <f>'2.12 BP&amp;T'!$F$22</f>
        <v>24</v>
      </c>
      <c r="H32" s="1773">
        <f>'2.12 BP&amp;T'!$G$22</f>
        <v>15</v>
      </c>
      <c r="I32" s="1773">
        <f>'2.12 BP&amp;T'!$H$22</f>
        <v>9</v>
      </c>
      <c r="J32" s="1773">
        <f>'2.12 BP&amp;T'!$L$22</f>
        <v>24</v>
      </c>
    </row>
    <row r="33">
      <c r="B33" s="1530" t="inlineStr">
        <is>
          <t>COE SA&amp;D</t>
        </is>
      </c>
      <c r="C33" s="1772">
        <f>'1.12 SA&amp;D'!$G$6+'1.12 SA&amp;D'!$G$7</f>
        <v>6.529494052</v>
      </c>
      <c r="D33" s="1772">
        <f>'2.13 SA&amp;D'!$N$24</f>
        <v>6.529494052</v>
      </c>
      <c r="E33" s="1772">
        <f>IFERROR($D33-$C33,"-")</f>
        <v>0</v>
      </c>
      <c r="F33" s="1772">
        <f>'2.13 SA&amp;D'!$P$24</f>
        <v>6.529494052</v>
      </c>
      <c r="G33" s="1773">
        <f>'2.13 SA&amp;D'!$F$24</f>
        <v>26</v>
      </c>
      <c r="H33" s="1773">
        <f>'2.13 SA&amp;D'!$G$24</f>
        <v>17</v>
      </c>
      <c r="I33" s="1773">
        <f>'2.13 SA&amp;D'!$H$24</f>
        <v>9</v>
      </c>
      <c r="J33" s="1773">
        <f>'2.13 SA&amp;D'!$L$24</f>
        <v>26</v>
      </c>
    </row>
    <row r="34">
      <c r="B34" s="1530" t="inlineStr">
        <is>
          <t>EGI</t>
        </is>
      </c>
      <c r="C34" s="1772">
        <f>'2.14 EGI'!$N$20</f>
        <v>4.94341935</v>
      </c>
      <c r="D34" s="1772">
        <f>'2.14 EGI'!$N$20</f>
        <v>4.94341935</v>
      </c>
      <c r="E34" s="1772">
        <f>IFERROR($D34-$C34,"-")</f>
        <v>0</v>
      </c>
      <c r="F34" s="1772">
        <f>'2.14 EGI'!$P$20</f>
        <v>4.94341935</v>
      </c>
      <c r="G34" s="1773">
        <f>'2.14 EGI'!$F$20</f>
        <v>17</v>
      </c>
      <c r="H34" s="1773">
        <f>'2.14 EGI'!$G$20</f>
        <v>17</v>
      </c>
      <c r="I34" s="1773">
        <f>'2.14 EGI'!$H$20</f>
        <v>0</v>
      </c>
      <c r="J34" s="1773">
        <f>'2.14 EGI'!$L$20</f>
        <v>17</v>
      </c>
    </row>
    <row r="35">
      <c r="B35" s="1534" t="inlineStr">
        <is>
          <t>COEs and EGI</t>
        </is>
      </c>
      <c r="C35" s="1774">
        <f>SUM(C31:C34)</f>
        <v>27.771333518</v>
      </c>
      <c r="D35" s="1774">
        <f>SUM(D31:D34)</f>
        <v>27.771333518</v>
      </c>
      <c r="E35" s="1774">
        <f>SUM(E31:E34)</f>
        <v>0</v>
      </c>
      <c r="F35" s="1774">
        <f>SUM(F31:F34)</f>
        <v>27.771333518</v>
      </c>
      <c r="G35" s="1775">
        <f>SUM(G31:G34)</f>
        <v>113</v>
      </c>
      <c r="H35" s="1775">
        <f>SUM(H31:H34)</f>
        <v>91</v>
      </c>
      <c r="I35" s="1775">
        <f>SUM(I31:I34)</f>
        <v>22</v>
      </c>
      <c r="J35" s="1775">
        <f>SUM(J31:J34)</f>
        <v>113</v>
      </c>
    </row>
    <row r="36">
      <c r="B36" s="1534" t="inlineStr">
        <is>
          <t>Overhead roles in the portfolios</t>
        </is>
      </c>
      <c r="C36" s="1774">
        <f>N(Lists!$AJ$9)</f>
        <v>6.325</v>
      </c>
      <c r="D36" s="1774">
        <f>N('2.1 Ampol Retail'!$N$28)+N('2.2 Customer'!$N$27)+N('2.3 Enterprise Data'!$N$21)+N('2.4 TDD Group Functions'!$N$23)+N('2.5 P&amp;C'!$N$21)+N('2.6 Finance'!$N$19)+N('2.7 Infrastructure'!$N$23)+N('2.8 Energy Solutions &amp; B2B'!$N$22)+N('2.9 Commercial Fuels'!$N$22)+N('2.10 Z Retail'!$N$23)</f>
        <v>11.654230155</v>
      </c>
      <c r="E36" s="1774">
        <f>$D36-$C36</f>
        <v>5.329230155</v>
      </c>
      <c r="F36" s="1774">
        <f>N('2.1 Ampol Retail'!$P$28)+N('2.2 Customer'!$P$27)+N('2.3 Enterprise Data'!$P$21)+N('2.4 TDD Group Functions'!$P$23)+N('2.5 P&amp;C'!$P$21)+N('2.6 Finance'!$P$19)+N('2.7 Infrastructure'!$P$23)+N('2.8 Energy Solutions &amp; B2B'!$P$22)+N('2.9 Commercial Fuels'!$P$22)+N('2.10 Z Retail'!$P$23)</f>
        <v>11.654230155</v>
      </c>
      <c r="G36" s="1775">
        <f>N('2.1 Ampol Retail'!$F$28)+N('2.2 Customer'!$F$27)+N('2.3 Enterprise Data'!$F$21)+N('2.4 TDD Group Functions'!$F$23)+N('2.5 P&amp;C'!$F$21)+N('2.6 Finance'!$F$19)+N('2.7 Infrastructure'!$F$23)+N('2.8 Energy Solutions &amp; B2B'!$F$22)+N('2.9 Commercial Fuels'!$F$22)+N('2.10 Z Retail'!$F$23)</f>
        <v>43</v>
      </c>
      <c r="H36" s="1775">
        <f>N('2.1 Ampol Retail'!$G$28)+N('2.2 Customer'!$G$27)+N('2.3 Enterprise Data'!$G$21)+N('2.4 TDD Group Functions'!$G$23)+N('2.5 P&amp;C'!$G$21)+N('2.6 Finance'!$G$19)+N('2.7 Infrastructure'!$G$23)+N('2.8 Energy Solutions &amp; B2B'!$G$22)+N('2.9 Commercial Fuels'!$G$22)+N('2.10 Z Retail'!$G$23)</f>
        <v>26</v>
      </c>
      <c r="I36" s="1775">
        <f>N('2.1 Ampol Retail'!$H$28)+N('2.2 Customer'!$H$27)+N('2.3 Enterprise Data'!$H$21)+N('2.4 TDD Group Functions'!$H$23)+N('2.5 P&amp;C'!$H$21)+N('2.6 Finance'!$H$19)+N('2.7 Infrastructure'!$H$23)+N('2.8 Energy Solutions &amp; B2B'!$H$22)+N('2.9 Commercial Fuels'!$H$22)+N('2.10 Z Retail'!$H$23)</f>
        <v>17</v>
      </c>
      <c r="J36" s="1775">
        <f>N('2.1 Ampol Retail'!$L$28)+N('2.2 Customer'!$L$27)+N('2.3 Enterprise Data'!$L$21)+N('2.4 TDD Group Functions'!$L$23)+N('2.5 P&amp;C'!$L$21)+N('2.6 Finance'!$L$19)+N('2.7 Infrastructure'!$L$23)+N('2.8 Energy Solutions &amp; B2B'!$L$22)+N('2.9 Commercial Fuels'!$L$22)+N('2.10 Z Retail'!$L$23)</f>
        <v>43</v>
      </c>
    </row>
    <row r="37"/>
    <row r="38">
      <c r="B38" s="1539" t="inlineStr">
        <is>
          <t>Cost of the organisation today</t>
        </is>
      </c>
      <c r="C38" s="1776">
        <f>N(C20)+N(C29)+N(C35)+N(C36)</f>
        <v>108.7351574</v>
      </c>
      <c r="D38" s="1776">
        <f>N(D20)+N(D29)+N(D35)+N(D36)</f>
        <v>115.1132622681</v>
      </c>
      <c r="E38" s="1776">
        <f>N(E20)+N(E29)+N(E35)+N(E36)</f>
        <v>6.3781048681</v>
      </c>
      <c r="F38" s="1776">
        <f>N(F20)+N(F29)+N(F35)+N(F36)</f>
        <v>115.1132622681</v>
      </c>
      <c r="G38" s="1777">
        <f>N(G20)+N(G29)+N(G35)+N(G36)</f>
        <v>525</v>
      </c>
      <c r="H38" s="1777">
        <f>N(H20)+N(H29)+N(H35)+N(H36)</f>
        <v>390</v>
      </c>
      <c r="I38" s="1777">
        <f>N(I20)+N(I29)+N(I35)+N(I36)</f>
        <v>135</v>
      </c>
      <c r="J38" s="1777">
        <f>N(J20)+N(J29)+N(J35)+N(J36)</f>
        <v>525</v>
      </c>
    </row>
    <row r="39"/>
    <row r="40">
      <c r="B40" s="1526" t="inlineStr">
        <is>
          <t>Control - roles against the ledger, must be 0</t>
        </is>
      </c>
      <c r="G40" s="1778">
        <f>$G$38-COUNTA('REVIEW - Complete Role Mapping'!$B$2:$B$528)</f>
        <v>0</v>
      </c>
    </row>
    <row r="41">
      <c r="B41" s="1526" t="inlineStr">
        <is>
          <t>Control - cost against the ledger ($m), must be 0</t>
        </is>
      </c>
      <c r="D41" s="1779">
        <f>ROUND($D$38-SUM('REVIEW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3"/>
  <sheetViews>
    <sheetView showFormulas="0" showGridLines="0" showRowColHeaders="1" showZeros="1" rightToLeft="0" tabSelected="0" showOutlineSymbols="1" defaultGridColor="1" view="normal" topLeftCell="A1" colorId="64" zoomScale="120" zoomScaleNormal="120" zoomScalePageLayoutView="100" workbookViewId="0">
      <pane xSplit="2" ySplit="5" topLeftCell="C6"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42" customWidth="1" style="866" min="2" max="2"/>
    <col width="15" customWidth="1" style="866" min="3" max="3"/>
    <col width="14" customWidth="1" style="866" min="4" max="4"/>
    <col width="17" customWidth="1" style="866" min="5" max="5"/>
    <col width="19" customWidth="1" style="866" min="6" max="6"/>
    <col width="15" customWidth="1" style="866" min="7" max="7"/>
    <col width="19" customWidth="1" style="866" min="8" max="8"/>
    <col width="12" customWidth="1" style="866" min="9" max="9"/>
    <col width="15" customWidth="1" style="866" min="10" max="10"/>
    <col width="17" customWidth="1" style="866" min="11" max="11"/>
  </cols>
  <sheetData>
    <row r="1"/>
    <row r="2">
      <c r="B2" s="1524" t="inlineStr">
        <is>
          <t>Total Cost - archetype against actual</t>
        </is>
      </c>
    </row>
    <row r="3"/>
    <row r="4" ht="19" customHeight="1" s="866">
      <c r="B4" s="1527" t="inlineStr">
        <is>
          <t>How the organisation is funded</t>
        </is>
      </c>
      <c r="C4" s="1528" t="n"/>
      <c r="D4" s="1528" t="n"/>
      <c r="E4" s="1528" t="n"/>
      <c r="F4" s="1528" t="n"/>
      <c r="G4" s="1528" t="n"/>
    </row>
    <row r="5" ht="48" customHeight="1" s="866">
      <c r="B5" s="1529" t="inlineStr">
        <is>
          <t>How the cost is funded</t>
        </is>
      </c>
      <c r="C5" s="1529" t="inlineStr">
        <is>
          <t>Archetype cost ($m)</t>
        </is>
      </c>
      <c r="D5" s="1529" t="inlineStr">
        <is>
          <t>Actual cost ($m)</t>
        </is>
      </c>
      <c r="E5" s="1529" t="inlineStr">
        <is>
          <t>Over/(under) archetype ($m)</t>
        </is>
      </c>
      <c r="F5" s="1529" t="inlineStr">
        <is>
          <t>Cost after vacancy decisions ($m)</t>
        </is>
      </c>
      <c r="G5" s="1529" t="inlineStr">
        <is>
          <t>Roles</t>
        </is>
      </c>
    </row>
    <row r="6">
      <c r="B6" s="1530" t="inlineStr">
        <is>
          <t>Squads priced by an archetype</t>
        </is>
      </c>
      <c r="C6" s="1772">
        <f>'3.1 Group Summary'!$C$20</f>
        <v>64.2</v>
      </c>
      <c r="D6" s="1772">
        <f>'3.1 Group Summary'!$D$20</f>
        <v>63.8112576151</v>
      </c>
      <c r="E6" s="1772">
        <f>'3.1 Group Summary'!$E$20</f>
        <v>-0.388742384899999</v>
      </c>
      <c r="F6" s="1772">
        <f>'3.1 Group Summary'!$F$20</f>
        <v>63.8112576151</v>
      </c>
      <c r="G6" s="1773">
        <f>'3.1 Group Summary'!$G$20</f>
        <v>316</v>
      </c>
    </row>
    <row r="7">
      <c r="B7" s="1530" t="inlineStr">
        <is>
          <t>Directly funded programmes and platforms</t>
        </is>
      </c>
      <c r="C7" s="1772">
        <f>'3.1 Group Summary'!$C$29</f>
        <v>10.438823882</v>
      </c>
      <c r="D7" s="1772">
        <f>'3.1 Group Summary'!$D$29</f>
        <v>11.87644098</v>
      </c>
      <c r="E7" s="1772">
        <f>'3.1 Group Summary'!$E$29</f>
        <v>1.437617098</v>
      </c>
      <c r="F7" s="1772">
        <f>'3.1 Group Summary'!$F$29</f>
        <v>11.87644098</v>
      </c>
      <c r="G7" s="1773">
        <f>'3.1 Group Summary'!$G$29</f>
        <v>53</v>
      </c>
    </row>
    <row r="8">
      <c r="B8" s="1530" t="inlineStr">
        <is>
          <t>COEs and EGI</t>
        </is>
      </c>
      <c r="C8" s="1772">
        <f>'3.1 Group Summary'!$C$35</f>
        <v>27.771333518</v>
      </c>
      <c r="D8" s="1772">
        <f>'3.1 Group Summary'!$D$35</f>
        <v>27.771333518</v>
      </c>
      <c r="E8" s="1772">
        <f>'3.1 Group Summary'!$E$35</f>
        <v>0</v>
      </c>
      <c r="F8" s="1772">
        <f>'3.1 Group Summary'!$F$35</f>
        <v>27.771333518</v>
      </c>
      <c r="G8" s="1773">
        <f>'3.1 Group Summary'!$G$35</f>
        <v>113</v>
      </c>
    </row>
    <row r="9">
      <c r="B9" s="1530" t="inlineStr">
        <is>
          <t>Overhead roles in the portfolios</t>
        </is>
      </c>
      <c r="C9" s="1772">
        <f>'3.1 Group Summary'!$C$36</f>
        <v>6.325</v>
      </c>
      <c r="D9" s="1772">
        <f>'3.1 Group Summary'!$D$36</f>
        <v>11.654230155</v>
      </c>
      <c r="E9" s="1772">
        <f>'3.1 Group Summary'!$E$36</f>
        <v>5.329230155</v>
      </c>
      <c r="F9" s="1772">
        <f>'3.1 Group Summary'!$F$36</f>
        <v>11.654230155</v>
      </c>
      <c r="G9" s="1773">
        <f>'3.1 Group Summary'!$G$36</f>
        <v>43</v>
      </c>
    </row>
    <row r="10">
      <c r="B10" s="1539" t="inlineStr">
        <is>
          <t>Cost of the organisation today</t>
        </is>
      </c>
      <c r="C10" s="1776">
        <f>SUM(C6:C9)</f>
        <v>108.7351574</v>
      </c>
      <c r="D10" s="1776">
        <f>SUM(D6:D9)</f>
        <v>115.1132622681</v>
      </c>
      <c r="E10" s="1776">
        <f>SUM(E6:E9)</f>
        <v>6.3781048681</v>
      </c>
      <c r="F10" s="1776">
        <f>SUM(F6:F9)</f>
        <v>115.1132622681</v>
      </c>
      <c r="G10" s="1777">
        <f>SUM(G6:G9)</f>
        <v>525</v>
      </c>
    </row>
    <row r="11">
      <c r="B11" s="1530" t="inlineStr">
        <is>
          <t>Of which people in seat today</t>
        </is>
      </c>
      <c r="D11" s="1772">
        <f>SUMIFS('REVIEW - Complete Role Mapping'!$AA$2:$AA$528,'REVIEW - Complete Role Mapping'!$AK$2:$AK$528,"Filled")/1000000</f>
        <v>86.5787701821</v>
      </c>
      <c r="G11" s="1773">
        <f>COUNTIFS('REVIEW - Complete Role Mapping'!$AK$2:$AK$528,"Filled")</f>
        <v>390</v>
      </c>
    </row>
    <row r="12">
      <c r="B12" s="1530" t="inlineStr">
        <is>
          <t>Of which vacancies not yet filled</t>
        </is>
      </c>
      <c r="D12" s="1772">
        <f>SUMIFS('REVIEW - Complete Role Mapping'!$AA$2:$AA$528,'REVIEW - Complete Role Mapping'!$AK$2:$AK$528,"Vacant")/1000000</f>
        <v>28.534492086</v>
      </c>
      <c r="G12" s="1773">
        <f>COUNTIFS('REVIEW - Complete Role Mapping'!$AK$2:$AK$528,"Vacant")</f>
        <v>135</v>
      </c>
    </row>
    <row r="13"/>
    <row r="14" ht="19" customHeight="1" s="866">
      <c r="B14" s="1527" t="inlineStr">
        <is>
          <t>Overhead roles - line by line</t>
        </is>
      </c>
      <c r="C14" s="1528" t="n"/>
      <c r="D14" s="1528" t="n"/>
      <c r="E14" s="1528" t="n"/>
      <c r="F14" s="1528" t="n"/>
      <c r="G14" s="1528" t="n"/>
      <c r="H14" s="1528" t="n"/>
      <c r="I14" s="1528" t="n"/>
      <c r="J14" s="1528" t="n"/>
      <c r="K14" s="1528" t="n"/>
    </row>
    <row r="15" ht="48" customHeight="1" s="866">
      <c r="B15" s="1529" t="inlineStr">
        <is>
          <t>Overhead line</t>
        </is>
      </c>
      <c r="C15" s="1529" t="inlineStr">
        <is>
          <t>Rate ($m)</t>
        </is>
      </c>
      <c r="D15" s="1529" t="inlineStr">
        <is>
          <t>Times applied</t>
        </is>
      </c>
      <c r="E15" s="1529" t="inlineStr">
        <is>
          <t>Allowance ($m)</t>
        </is>
      </c>
      <c r="F15" s="1529" t="inlineStr">
        <is>
          <t>Roles in the portfolios</t>
        </is>
      </c>
      <c r="G15" s="1529" t="inlineStr">
        <is>
          <t>Cost in the portfolios ($m)</t>
        </is>
      </c>
      <c r="H15" s="1529" t="inlineStr">
        <is>
          <t>Not covered by the allowance ($m)</t>
        </is>
      </c>
      <c r="I15" s="1529" t="inlineStr">
        <is>
          <t>Roles inside the COEs</t>
        </is>
      </c>
      <c r="J15" s="1529" t="inlineStr">
        <is>
          <t>Cost inside the COEs ($m)</t>
        </is>
      </c>
      <c r="K15" s="1529" t="inlineStr">
        <is>
          <t>Allowance drawn in the portfolios</t>
        </is>
      </c>
    </row>
    <row r="16">
      <c r="B16" s="1530" t="str">
        <f>Lists!$AF$2</f>
        <v>Head of Technology</v>
      </c>
      <c r="C16" s="1801">
        <f>Lists!$AG$2</f>
        <v>0.1375</v>
      </c>
      <c r="D16" s="1773">
        <f>Lists!$AH$2</f>
        <v>10</v>
      </c>
      <c r="E16" s="1772">
        <f>Lists!$AJ$2</f>
        <v>1.375</v>
      </c>
      <c r="F16" s="1773">
        <f>IF($B16="Leadership - 8 GMs",N(Lists!$AG$11),COUNTIFS('REVIEW - Complete Role Mapping'!$AR$2:$AR$528,$B16,'REVIEW - Complete Role Mapping'!$AT$2:$AT$528,$B16))</f>
        <v>10</v>
      </c>
      <c r="G16" s="1772">
        <f>IF($B16="Leadership - 8 GMs",N(Lists!$AG$12),SUMIFS('REVIEW - Complete Role Mapping'!$AA$2:$AA$528,'REVIEW - Complete Role Mapping'!$AR$2:$AR$528,$B16,'REVIEW - Complete Role Mapping'!$AT$2:$AT$528,$B16)/1000000)</f>
        <v>3.050314036</v>
      </c>
      <c r="H16" s="1772">
        <f>$G16-$E16</f>
        <v>1.675314036</v>
      </c>
      <c r="I16" s="1773">
        <f>IF($B16="Leadership - 8 GMs",0,COUNTIFS('REVIEW - Complete Role Mapping'!$AR$2:$AR$528,$B16)-$F16)</f>
        <v>5</v>
      </c>
      <c r="J16" s="1772">
        <f>IF($B16="Leadership - 8 GMs",0,SUMIFS('REVIEW - Complete Role Mapping'!$AA$2:$AA$528,'REVIEW - Complete Role Mapping'!$AR$2:$AR$528,$B16)/1000000-$G16)</f>
        <v>1.8191523</v>
      </c>
      <c r="K16" s="1781" t="str">
        <f>Lists!$AM$2</f>
        <v>Yes</v>
      </c>
    </row>
    <row r="17">
      <c r="B17" s="1530" t="str">
        <f>Lists!$AF$3</f>
        <v>Business Partner</v>
      </c>
      <c r="C17" s="1801">
        <f>Lists!$AG$3</f>
        <v>0.22</v>
      </c>
      <c r="D17" s="1773">
        <f>Lists!$AH$3</f>
        <v>10</v>
      </c>
      <c r="E17" s="1772">
        <f>Lists!$AJ$3</f>
        <v>2.2</v>
      </c>
      <c r="F17" s="1773">
        <f>IF($B17="Leadership - 8 GMs",N(Lists!$AG$11),COUNTIFS('REVIEW - Complete Role Mapping'!$AR$2:$AR$528,$B17,'REVIEW - Complete Role Mapping'!$AT$2:$AT$528,$B17))</f>
        <v>0</v>
      </c>
      <c r="G17" s="1772">
        <f>IF($B17="Leadership - 8 GMs",N(Lists!$AG$12),SUMIFS('REVIEW - Complete Role Mapping'!$AA$2:$AA$528,'REVIEW - Complete Role Mapping'!$AR$2:$AR$528,$B17,'REVIEW - Complete Role Mapping'!$AT$2:$AT$528,$B17)/1000000)</f>
        <v>0</v>
      </c>
      <c r="H17" s="1772">
        <f>$G17-$E17</f>
        <v>-2.2</v>
      </c>
      <c r="I17" s="1773">
        <f>IF($B17="Leadership - 8 GMs",0,COUNTIFS('REVIEW - Complete Role Mapping'!$AR$2:$AR$528,$B17)-$F17)</f>
        <v>6</v>
      </c>
      <c r="J17" s="1772">
        <f>IF($B17="Leadership - 8 GMs",0,SUMIFS('REVIEW - Complete Role Mapping'!$AA$2:$AA$528,'REVIEW - Complete Role Mapping'!$AR$2:$AR$528,$B17)/1000000-$G17)</f>
        <v>2.3135484</v>
      </c>
      <c r="K17" s="1781" t="str">
        <f>Lists!$AM$3</f>
        <v>No</v>
      </c>
    </row>
    <row r="18">
      <c r="B18" s="1530" t="str">
        <f>Lists!$AF$4</f>
        <v>Domain Architect</v>
      </c>
      <c r="C18" s="1801">
        <f>Lists!$AG$4</f>
        <v>0.14</v>
      </c>
      <c r="D18" s="1773">
        <f>Lists!$AH$4</f>
        <v>10</v>
      </c>
      <c r="E18" s="1772">
        <f>Lists!$AJ$4</f>
        <v>1.4</v>
      </c>
      <c r="F18" s="1773">
        <f>IF($B18="Leadership - 8 GMs",N(Lists!$AG$11),COUNTIFS('REVIEW - Complete Role Mapping'!$AR$2:$AR$528,$B18,'REVIEW - Complete Role Mapping'!$AT$2:$AT$528,$B18))</f>
        <v>0</v>
      </c>
      <c r="G18" s="1772">
        <f>IF($B18="Leadership - 8 GMs",N(Lists!$AG$12),SUMIFS('REVIEW - Complete Role Mapping'!$AA$2:$AA$528,'REVIEW - Complete Role Mapping'!$AR$2:$AR$528,$B18,'REVIEW - Complete Role Mapping'!$AT$2:$AT$528,$B18)/1000000)</f>
        <v>0</v>
      </c>
      <c r="H18" s="1772">
        <f>$G18-$E18</f>
        <v>-1.4</v>
      </c>
      <c r="I18" s="1773">
        <f>IF($B18="Leadership - 8 GMs",0,COUNTIFS('REVIEW - Complete Role Mapping'!$AR$2:$AR$528,$B18)-$F18)</f>
        <v>7</v>
      </c>
      <c r="J18" s="1772">
        <f>IF($B18="Leadership - 8 GMs",0,SUMIFS('REVIEW - Complete Role Mapping'!$AA$2:$AA$528,'REVIEW - Complete Role Mapping'!$AR$2:$AR$528,$B18)/1000000-$G18)</f>
        <v>1.664746536</v>
      </c>
      <c r="K18" s="1781" t="str">
        <f>Lists!$AM$4</f>
        <v>No</v>
      </c>
    </row>
    <row r="19">
      <c r="B19" s="1530" t="str">
        <f>Lists!$AF$5</f>
        <v>Delivery Manager</v>
      </c>
      <c r="C19" s="1801">
        <f>Lists!$AG$5</f>
        <v>0.084</v>
      </c>
      <c r="D19" s="1773">
        <f>Lists!$AH$5</f>
        <v>30</v>
      </c>
      <c r="E19" s="1772">
        <f>Lists!$AJ$5</f>
        <v>2.52</v>
      </c>
      <c r="F19" s="1773">
        <f>IF($B19="Leadership - 8 GMs",N(Lists!$AG$11),COUNTIFS('REVIEW - Complete Role Mapping'!$AR$2:$AR$528,$B19,'REVIEW - Complete Role Mapping'!$AT$2:$AT$528,$B19))</f>
        <v>9</v>
      </c>
      <c r="G19" s="1772">
        <f>IF($B19="Leadership - 8 GMs",N(Lists!$AG$12),SUMIFS('REVIEW - Complete Role Mapping'!$AA$2:$AA$528,'REVIEW - Complete Role Mapping'!$AR$2:$AR$528,$B19,'REVIEW - Complete Role Mapping'!$AT$2:$AT$528,$B19)/1000000)</f>
        <v>2.30571395</v>
      </c>
      <c r="H19" s="1772">
        <f>$G19-$E19</f>
        <v>-0.21428605</v>
      </c>
      <c r="I19" s="1773">
        <f>IF($B19="Leadership - 8 GMs",0,COUNTIFS('REVIEW - Complete Role Mapping'!$AR$2:$AR$528,$B19)-$F19)</f>
        <v>1</v>
      </c>
      <c r="J19" s="1772">
        <f>IF($B19="Leadership - 8 GMs",0,SUMIFS('REVIEW - Complete Role Mapping'!$AA$2:$AA$528,'REVIEW - Complete Role Mapping'!$AR$2:$AR$528,$B19)/1000000-$G19)</f>
        <v>0.3690886</v>
      </c>
      <c r="K19" s="1781" t="str">
        <f>Lists!$AM$5</f>
        <v>Yes</v>
      </c>
    </row>
    <row r="20">
      <c r="B20" s="1530" t="str">
        <f>Lists!$AF$6</f>
        <v>Technology Manager</v>
      </c>
      <c r="C20" s="1801">
        <f>Lists!$AG$6</f>
        <v>0.081</v>
      </c>
      <c r="D20" s="1773">
        <f>Lists!$AH$6</f>
        <v>30</v>
      </c>
      <c r="E20" s="1772">
        <f>Lists!$AJ$6</f>
        <v>2.43</v>
      </c>
      <c r="F20" s="1773">
        <f>IF($B20="Leadership - 8 GMs",N(Lists!$AG$11),COUNTIFS('REVIEW - Complete Role Mapping'!$AR$2:$AR$528,$B20,'REVIEW - Complete Role Mapping'!$AT$2:$AT$528,$B20))</f>
        <v>24</v>
      </c>
      <c r="G20" s="1772">
        <f>IF($B20="Leadership - 8 GMs",N(Lists!$AG$12),SUMIFS('REVIEW - Complete Role Mapping'!$AA$2:$AA$528,'REVIEW - Complete Role Mapping'!$AR$2:$AR$528,$B20,'REVIEW - Complete Role Mapping'!$AT$2:$AT$528,$B20)/1000000)</f>
        <v>6.298202169</v>
      </c>
      <c r="H20" s="1772">
        <f>$G20-$E20</f>
        <v>3.868202169</v>
      </c>
      <c r="I20" s="1773">
        <f>IF($B20="Leadership - 8 GMs",0,COUNTIFS('REVIEW - Complete Role Mapping'!$AR$2:$AR$528,$B20)-$F20)</f>
        <v>0</v>
      </c>
      <c r="J20" s="1772">
        <f>IF($B20="Leadership - 8 GMs",0,SUMIFS('REVIEW - Complete Role Mapping'!$AA$2:$AA$528,'REVIEW - Complete Role Mapping'!$AR$2:$AR$528,$B20)/1000000-$G20)</f>
        <v>0</v>
      </c>
      <c r="K20" s="1781" t="str">
        <f>Lists!$AM$6</f>
        <v>Yes</v>
      </c>
    </row>
    <row r="21">
      <c r="B21" s="1530" t="str">
        <f>Lists!$AF$7</f>
        <v>Leadership - 8 GMs</v>
      </c>
      <c r="C21" s="1801">
        <f>Lists!$AG$7</f>
        <v>0.3</v>
      </c>
      <c r="D21" s="1773">
        <f>Lists!$AH$7</f>
        <v>10</v>
      </c>
      <c r="E21" s="1772">
        <f>Lists!$AJ$7</f>
        <v>3</v>
      </c>
      <c r="F21" s="1773">
        <f>IF($B21="Leadership - 8 GMs",N(Lists!$AG$11),COUNTIFS('REVIEW - Complete Role Mapping'!$AR$2:$AR$528,$B21,'REVIEW - Complete Role Mapping'!$AT$2:$AT$528,$B21))</f>
        <v>8</v>
      </c>
      <c r="G21" s="1772">
        <f>IF($B21="Leadership - 8 GMs",N(Lists!$AG$12),SUMIFS('REVIEW - Complete Role Mapping'!$AA$2:$AA$528,'REVIEW - Complete Role Mapping'!$AR$2:$AR$528,$B21,'REVIEW - Complete Role Mapping'!$AT$2:$AT$528,$B21)/1000000)</f>
        <v>5.1</v>
      </c>
      <c r="H21" s="1772">
        <f>$G21-$E21</f>
        <v>2.1</v>
      </c>
      <c r="I21" s="1773">
        <f>IF($B21="Leadership - 8 GMs",0,COUNTIFS('REVIEW - Complete Role Mapping'!$AR$2:$AR$528,$B21)-$F21)</f>
        <v>0</v>
      </c>
      <c r="J21" s="1772">
        <f>IF($B21="Leadership - 8 GMs",0,SUMIFS('REVIEW - Complete Role Mapping'!$AA$2:$AA$528,'REVIEW - Complete Role Mapping'!$AR$2:$AR$528,$B21)/1000000-$G21)</f>
        <v>0</v>
      </c>
      <c r="K21" s="1781" t="str">
        <f>Lists!$AM$7</f>
        <v>No</v>
      </c>
    </row>
    <row r="22">
      <c r="B22" s="1539" t="inlineStr">
        <is>
          <t>Every overhead line</t>
        </is>
      </c>
      <c r="C22" s="1539" t="n"/>
      <c r="D22" s="1539" t="n"/>
      <c r="E22" s="1776">
        <f>SUM(E16:E21)</f>
        <v>12.925</v>
      </c>
      <c r="F22" s="1777">
        <f>SUM(F16:F21)</f>
        <v>51</v>
      </c>
      <c r="G22" s="1776">
        <f>SUM(G16:G21)</f>
        <v>16.754230155</v>
      </c>
      <c r="H22" s="1776">
        <f>SUM(H16:H21)</f>
        <v>3.829230155</v>
      </c>
      <c r="I22" s="1777">
        <f>SUM(I16:I21)</f>
        <v>19</v>
      </c>
      <c r="J22" s="1776">
        <f>SUM(J16:J21)</f>
        <v>6.166535836</v>
      </c>
      <c r="K22" s="1539" t="n"/>
    </row>
    <row r="23">
      <c r="B23" s="1534" t="inlineStr">
        <is>
          <t>Of which drawn in the portfolios</t>
        </is>
      </c>
      <c r="C23" s="1534" t="n"/>
      <c r="D23" s="1534" t="n"/>
      <c r="E23" s="1774">
        <f>N(Lists!$AJ$9)</f>
        <v>6.325</v>
      </c>
      <c r="F23" s="1775">
        <f>'3.1 Group Summary'!$G$36</f>
        <v>43</v>
      </c>
      <c r="G23" s="1774">
        <f>'3.1 Group Summary'!$D$36</f>
        <v>11.654230155</v>
      </c>
      <c r="H23" s="1774">
        <f>$G23-$E23</f>
        <v>5.329230155</v>
      </c>
      <c r="I23" s="1534" t="n"/>
      <c r="J23" s="1534" t="n"/>
      <c r="K23" s="1534"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pane xSplit="4" ySplit="5" topLeftCell="E6" activePane="bottomRight" state="frozen"/>
      <selection pane="topRight" activeCell="A1" sqref="A1"/>
      <selection pane="bottomLeft" activeCell="A1" sqref="A1"/>
      <selection pane="bottomRigh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Size</t>
        </is>
      </c>
      <c r="G5" s="1529" t="inlineStr">
        <is>
          <t>Archetype roles</t>
        </is>
      </c>
      <c r="H5" s="1529" t="inlineStr">
        <is>
          <t>Roles</t>
        </is>
      </c>
      <c r="I5" s="1529" t="inlineStr">
        <is>
          <t>Filled</t>
        </is>
      </c>
      <c r="J5" s="1529" t="inlineStr">
        <is>
          <t>Vacant</t>
        </is>
      </c>
      <c r="K5" s="1529" t="inlineStr">
        <is>
          <t>Roles after decisions</t>
        </is>
      </c>
      <c r="L5" s="1529" t="inlineStr">
        <is>
          <t>Archetype cost ($m)</t>
        </is>
      </c>
      <c r="M5" s="1529" t="inlineStr">
        <is>
          <t>Actual cost ($m)</t>
        </is>
      </c>
      <c r="N5" s="1529" t="inlineStr">
        <is>
          <t>Variance to archetype ($m)</t>
        </is>
      </c>
      <c r="O5" s="1529" t="inlineStr">
        <is>
          <t>Cost after vacancy decisions ($m)</t>
        </is>
      </c>
    </row>
    <row r="6">
      <c r="B6" s="1530" t="inlineStr">
        <is>
          <t>Ampol Retail</t>
        </is>
      </c>
      <c r="C6" s="1530" t="inlineStr">
        <is>
          <t>Archetype</t>
        </is>
      </c>
      <c r="D6" s="1530" t="str">
        <f>'2.1 Ampol Retail'!$B$7</f>
        <v>Above Store</v>
      </c>
      <c r="E6" s="1530" t="str">
        <f>'2.1 Ampol Retail'!$C$7</f>
        <v>Configuration / Integration</v>
      </c>
      <c r="F6" s="1530" t="str">
        <f>'2.1 Ampol Retail'!$D$7</f>
        <v>M</v>
      </c>
      <c r="G6" s="1782">
        <f>'2.1 Ampol Retail'!$E$7</f>
        <v>9</v>
      </c>
      <c r="H6" s="1773">
        <f>'2.1 Ampol Retail'!$F$7</f>
        <v>11</v>
      </c>
      <c r="I6" s="1773">
        <f>'2.1 Ampol Retail'!$G$7</f>
        <v>7</v>
      </c>
      <c r="J6" s="1773">
        <f>'2.1 Ampol Retail'!$H$7</f>
        <v>4</v>
      </c>
      <c r="K6" s="1773">
        <f>'2.1 Ampol Retail'!$L$7</f>
        <v>11</v>
      </c>
      <c r="L6" s="1772">
        <f>'2.1 Ampol Retail'!$M$7</f>
        <v>2.1</v>
      </c>
      <c r="M6" s="1772">
        <f>'2.1 Ampol Retail'!$N$7</f>
        <v>2.097921857</v>
      </c>
      <c r="N6" s="1772">
        <f>'2.1 Ampol Retail'!$O$7</f>
        <v>-0.002078</v>
      </c>
      <c r="O6" s="1772">
        <f>'2.1 Ampol Retail'!$P$7</f>
        <v>2.097921857</v>
      </c>
    </row>
    <row r="7">
      <c r="B7" s="1530" t="inlineStr">
        <is>
          <t>Ampol Retail</t>
        </is>
      </c>
      <c r="C7" s="1530" t="inlineStr">
        <is>
          <t>Archetype</t>
        </is>
      </c>
      <c r="D7" s="1530" t="str">
        <f>'2.1 Ampol Retail'!$B$8</f>
        <v>Data AU</v>
      </c>
      <c r="E7" s="1530" t="str">
        <f>'2.1 Ampol Retail'!$C$8</f>
        <v>Enterprise Data and Insights</v>
      </c>
      <c r="F7" s="1530" t="str">
        <f>'2.1 Ampol Retail'!$D$8</f>
        <v>M</v>
      </c>
      <c r="G7" s="1782">
        <f>'2.1 Ampol Retail'!$E$8</f>
        <v>7.5</v>
      </c>
      <c r="H7" s="1773">
        <f>'2.1 Ampol Retail'!$F$8</f>
        <v>6</v>
      </c>
      <c r="I7" s="1773">
        <f>'2.1 Ampol Retail'!$G$8</f>
        <v>0</v>
      </c>
      <c r="J7" s="1773">
        <f>'2.1 Ampol Retail'!$H$8</f>
        <v>6</v>
      </c>
      <c r="K7" s="1773">
        <f>'2.1 Ampol Retail'!$L$8</f>
        <v>6</v>
      </c>
      <c r="L7" s="1772">
        <f>'2.1 Ampol Retail'!$M$8</f>
        <v>0.68</v>
      </c>
      <c r="M7" s="1772">
        <f>'2.1 Ampol Retail'!$N$8</f>
        <v>1.21232375</v>
      </c>
      <c r="N7" s="1772">
        <f>'2.1 Ampol Retail'!$O$8</f>
        <v>0.532324</v>
      </c>
      <c r="O7" s="1772">
        <f>'2.1 Ampol Retail'!$P$8</f>
        <v>1.21232375</v>
      </c>
    </row>
    <row r="8">
      <c r="B8" s="1530" t="inlineStr">
        <is>
          <t>Ampol Retail</t>
        </is>
      </c>
      <c r="C8" s="1530" t="inlineStr">
        <is>
          <t>Archetype</t>
        </is>
      </c>
      <c r="D8" s="1530" t="str">
        <f>'2.1 Ampol Retail'!$B$9</f>
        <v>Deployment</v>
      </c>
      <c r="E8" s="1530" t="str">
        <f>'2.1 Ampol Retail'!$C$9</f>
        <v>Operations</v>
      </c>
      <c r="F8" s="1530" t="str">
        <f>'2.1 Ampol Retail'!$D$9</f>
        <v>S</v>
      </c>
      <c r="G8" s="1782">
        <f>'2.1 Ampol Retail'!$E$9</f>
        <v>4</v>
      </c>
      <c r="H8" s="1773">
        <f>'2.1 Ampol Retail'!$F$9</f>
        <v>5</v>
      </c>
      <c r="I8" s="1773">
        <f>'2.1 Ampol Retail'!$G$9</f>
        <v>5</v>
      </c>
      <c r="J8" s="1773">
        <f>'2.1 Ampol Retail'!$H$9</f>
        <v>0</v>
      </c>
      <c r="K8" s="1773">
        <f>'2.1 Ampol Retail'!$L$9</f>
        <v>5</v>
      </c>
      <c r="L8" s="1772">
        <f>'2.1 Ampol Retail'!$M$9</f>
        <v>0.8</v>
      </c>
      <c r="M8" s="1772">
        <f>'2.1 Ampol Retail'!$N$9</f>
        <v>0.893835732</v>
      </c>
      <c r="N8" s="1772">
        <f>'2.1 Ampol Retail'!$O$9</f>
        <v>0.093836</v>
      </c>
      <c r="O8" s="1772">
        <f>'2.1 Ampol Retail'!$P$9</f>
        <v>0.893835732</v>
      </c>
    </row>
    <row r="9">
      <c r="B9" s="1530" t="inlineStr">
        <is>
          <t>Ampol Retail</t>
        </is>
      </c>
      <c r="C9" s="1530" t="inlineStr">
        <is>
          <t>Archetype</t>
        </is>
      </c>
      <c r="D9" s="1530" t="str">
        <f>'2.1 Ampol Retail'!$B$10</f>
        <v>Network &amp; QSR</v>
      </c>
      <c r="E9" s="1530" t="str">
        <f>'2.1 Ampol Retail'!$C$10</f>
        <v>Configuration / Integration</v>
      </c>
      <c r="F9" s="1530" t="str">
        <f>'2.1 Ampol Retail'!$D$10</f>
        <v>S</v>
      </c>
      <c r="G9" s="1782">
        <f>'2.1 Ampol Retail'!$E$10</f>
        <v>6</v>
      </c>
      <c r="H9" s="1773">
        <f>'2.1 Ampol Retail'!$F$10</f>
        <v>6</v>
      </c>
      <c r="I9" s="1773">
        <f>'2.1 Ampol Retail'!$G$10</f>
        <v>4</v>
      </c>
      <c r="J9" s="1773">
        <f>'2.1 Ampol Retail'!$H$10</f>
        <v>2</v>
      </c>
      <c r="K9" s="1773">
        <f>'2.1 Ampol Retail'!$L$10</f>
        <v>6</v>
      </c>
      <c r="L9" s="1772">
        <f>'2.1 Ampol Retail'!$M$10</f>
        <v>1.4</v>
      </c>
      <c r="M9" s="1772">
        <f>'2.1 Ampol Retail'!$N$10</f>
        <v>1.1140311</v>
      </c>
      <c r="N9" s="1772">
        <f>'2.1 Ampol Retail'!$O$10</f>
        <v>-0.285969</v>
      </c>
      <c r="O9" s="1772">
        <f>'2.1 Ampol Retail'!$P$10</f>
        <v>1.1140311</v>
      </c>
    </row>
    <row r="10">
      <c r="B10" s="1530" t="inlineStr">
        <is>
          <t>Ampol Retail</t>
        </is>
      </c>
      <c r="C10" s="1530" t="inlineStr">
        <is>
          <t>Archetype</t>
        </is>
      </c>
      <c r="D10" s="1530" t="str">
        <f>'2.1 Ampol Retail'!$B$11</f>
        <v>POS</v>
      </c>
      <c r="E10" s="1530" t="str">
        <f>'2.1 Ampol Retail'!$C$11</f>
        <v>Configuration / Integration</v>
      </c>
      <c r="F10" s="1530" t="str">
        <f>'2.1 Ampol Retail'!$D$11</f>
        <v>M</v>
      </c>
      <c r="G10" s="1782">
        <f>'2.1 Ampol Retail'!$E$11</f>
        <v>9</v>
      </c>
      <c r="H10" s="1773">
        <f>'2.1 Ampol Retail'!$F$11</f>
        <v>8</v>
      </c>
      <c r="I10" s="1773">
        <f>'2.1 Ampol Retail'!$G$11</f>
        <v>0</v>
      </c>
      <c r="J10" s="1773">
        <f>'2.1 Ampol Retail'!$H$11</f>
        <v>8</v>
      </c>
      <c r="K10" s="1773">
        <f>'2.1 Ampol Retail'!$L$11</f>
        <v>8</v>
      </c>
      <c r="L10" s="1772">
        <f>'2.1 Ampol Retail'!$M$11</f>
        <v>2.1</v>
      </c>
      <c r="M10" s="1772">
        <f>'2.1 Ampol Retail'!$N$11</f>
        <v>1.576223685</v>
      </c>
      <c r="N10" s="1772">
        <f>'2.1 Ampol Retail'!$O$11</f>
        <v>-0.523776</v>
      </c>
      <c r="O10" s="1772">
        <f>'2.1 Ampol Retail'!$P$11</f>
        <v>1.576223685</v>
      </c>
    </row>
    <row r="11">
      <c r="B11" s="1530" t="inlineStr">
        <is>
          <t>Ampol Retail</t>
        </is>
      </c>
      <c r="C11" s="1530" t="inlineStr">
        <is>
          <t>Archetype</t>
        </is>
      </c>
      <c r="D11" s="1530" t="str">
        <f>'2.1 Ampol Retail'!$B$12</f>
        <v>Payments</v>
      </c>
      <c r="E11" s="1530" t="str">
        <f>'2.1 Ampol Retail'!$C$12</f>
        <v>Configuration / Integration</v>
      </c>
      <c r="F11" s="1530" t="str">
        <f>'2.1 Ampol Retail'!$D$12</f>
        <v>S</v>
      </c>
      <c r="G11" s="1782">
        <f>'2.1 Ampol Retail'!$E$12</f>
        <v>6</v>
      </c>
      <c r="H11" s="1773">
        <f>'2.1 Ampol Retail'!$F$12</f>
        <v>4</v>
      </c>
      <c r="I11" s="1773">
        <f>'2.1 Ampol Retail'!$G$12</f>
        <v>3</v>
      </c>
      <c r="J11" s="1773">
        <f>'2.1 Ampol Retail'!$H$12</f>
        <v>1</v>
      </c>
      <c r="K11" s="1773">
        <f>'2.1 Ampol Retail'!$L$12</f>
        <v>4</v>
      </c>
      <c r="L11" s="1772">
        <f>'2.1 Ampol Retail'!$M$12</f>
        <v>1.4</v>
      </c>
      <c r="M11" s="1772">
        <f>'2.1 Ampol Retail'!$N$12</f>
        <v>0.789428585</v>
      </c>
      <c r="N11" s="1772">
        <f>'2.1 Ampol Retail'!$O$12</f>
        <v>-0.610571</v>
      </c>
      <c r="O11" s="1772">
        <f>'2.1 Ampol Retail'!$P$12</f>
        <v>0.789428585</v>
      </c>
    </row>
    <row r="12">
      <c r="B12" s="1530" t="inlineStr">
        <is>
          <t>Ampol Retail</t>
        </is>
      </c>
      <c r="C12" s="1530" t="inlineStr">
        <is>
          <t>Archetype</t>
        </is>
      </c>
      <c r="D12" s="1530" t="str">
        <f>'2.1 Ampol Retail'!$B$13</f>
        <v>Store Operations</v>
      </c>
      <c r="E12" s="1530" t="str">
        <f>'2.1 Ampol Retail'!$C$13</f>
        <v>Operations</v>
      </c>
      <c r="F12" s="1530" t="str">
        <f>'2.1 Ampol Retail'!$D$13</f>
        <v>M</v>
      </c>
      <c r="G12" s="1782">
        <f>'2.1 Ampol Retail'!$E$13</f>
        <v>6</v>
      </c>
      <c r="H12" s="1773">
        <f>'2.1 Ampol Retail'!$F$13</f>
        <v>8</v>
      </c>
      <c r="I12" s="1773">
        <f>'2.1 Ampol Retail'!$G$13</f>
        <v>7</v>
      </c>
      <c r="J12" s="1773">
        <f>'2.1 Ampol Retail'!$H$13</f>
        <v>1</v>
      </c>
      <c r="K12" s="1773">
        <f>'2.1 Ampol Retail'!$L$13</f>
        <v>8</v>
      </c>
      <c r="L12" s="1772">
        <f>'2.1 Ampol Retail'!$M$13</f>
        <v>1.4</v>
      </c>
      <c r="M12" s="1772">
        <f>'2.1 Ampol Retail'!$N$13</f>
        <v>1.429759453</v>
      </c>
      <c r="N12" s="1772">
        <f>'2.1 Ampol Retail'!$O$13</f>
        <v>0.029759</v>
      </c>
      <c r="O12" s="1772">
        <f>'2.1 Ampol Retail'!$P$13</f>
        <v>1.429759453</v>
      </c>
    </row>
    <row r="13">
      <c r="B13" s="1530" t="inlineStr">
        <is>
          <t>Ampol Retail</t>
        </is>
      </c>
      <c r="C13" s="1530" t="inlineStr">
        <is>
          <t>Directly funded</t>
        </is>
      </c>
      <c r="D13" s="1530" t="str">
        <f>'2.1 Ampol Retail'!$B$18</f>
        <v>AmPOS</v>
      </c>
      <c r="E13" s="1530" t="str">
        <f>'2.1 Ampol Retail'!$C$18</f>
        <v>Strategic Programs</v>
      </c>
      <c r="F13" s="1530" t="str">
        <f>'2.1 Ampol Retail'!$D$18</f>
        <v>-</v>
      </c>
      <c r="G13" s="1782" t="str">
        <f>'2.1 Ampol Retail'!$E$18</f>
        <v>-</v>
      </c>
      <c r="H13" s="1773">
        <f>'2.1 Ampol Retail'!$F$18</f>
        <v>10</v>
      </c>
      <c r="I13" s="1773">
        <f>'2.1 Ampol Retail'!$G$18</f>
        <v>10</v>
      </c>
      <c r="J13" s="1773">
        <f>'2.1 Ampol Retail'!$H$18</f>
        <v>0</v>
      </c>
      <c r="K13" s="1773">
        <f>'2.1 Ampol Retail'!$L$18</f>
        <v>10</v>
      </c>
      <c r="L13" s="1772">
        <f>'2.1 Ampol Retail'!$M$18</f>
        <v>1.404089</v>
      </c>
      <c r="M13" s="1772">
        <f>'2.1 Ampol Retail'!$N$18</f>
        <v>2.115029718</v>
      </c>
      <c r="N13" s="1772">
        <f>'2.1 Ampol Retail'!$O$18</f>
        <v>0.710941</v>
      </c>
      <c r="O13" s="1772">
        <f>'2.1 Ampol Retail'!$P$18</f>
        <v>2.115029718</v>
      </c>
    </row>
    <row r="14">
      <c r="B14" s="1530" t="inlineStr">
        <is>
          <t>Ampol Retail</t>
        </is>
      </c>
      <c r="C14" s="1530" t="inlineStr">
        <is>
          <t>Directly funded</t>
        </is>
      </c>
      <c r="D14" s="1530" t="str">
        <f>'2.1 Ampol Retail'!$B$19</f>
        <v>EGI Retail</v>
      </c>
      <c r="E14" s="1530" t="str">
        <f>'2.1 Ampol Retail'!$C$19</f>
        <v>Strategic Programs</v>
      </c>
      <c r="F14" s="1530" t="str">
        <f>'2.1 Ampol Retail'!$D$19</f>
        <v>-</v>
      </c>
      <c r="G14" s="1782" t="str">
        <f>'2.1 Ampol Retail'!$E$19</f>
        <v>-</v>
      </c>
      <c r="H14" s="1773">
        <f>'2.1 Ampol Retail'!$F$19</f>
        <v>6</v>
      </c>
      <c r="I14" s="1773">
        <f>'2.1 Ampol Retail'!$G$19</f>
        <v>6</v>
      </c>
      <c r="J14" s="1773">
        <f>'2.1 Ampol Retail'!$H$19</f>
        <v>0</v>
      </c>
      <c r="K14" s="1773">
        <f>'2.1 Ampol Retail'!$L$19</f>
        <v>6</v>
      </c>
      <c r="L14" s="1772">
        <f>'2.1 Ampol Retail'!$M$19</f>
        <v>1.221357614</v>
      </c>
      <c r="M14" s="1772">
        <f>'2.1 Ampol Retail'!$N$19</f>
        <v>1.221357614</v>
      </c>
      <c r="N14" s="1772">
        <f>'2.1 Ampol Retail'!$O$19</f>
        <v>0</v>
      </c>
      <c r="O14" s="1772">
        <f>'2.1 Ampol Retail'!$P$19</f>
        <v>1.221357614</v>
      </c>
    </row>
    <row r="15">
      <c r="B15" s="1530" t="inlineStr">
        <is>
          <t>Ampol Retail</t>
        </is>
      </c>
      <c r="C15" s="1530" t="inlineStr">
        <is>
          <t>Directly funded</t>
        </is>
      </c>
      <c r="D15" s="1530" t="str">
        <f>'2.1 Ampol Retail'!$B$20</f>
        <v>EGI TDD</v>
      </c>
      <c r="E15" s="1530" t="str">
        <f>'2.1 Ampol Retail'!$C$20</f>
        <v>Not on the 1.x tab</v>
      </c>
      <c r="F15" s="1530" t="str">
        <f>'2.1 Ampol Retail'!$D$20</f>
        <v>-</v>
      </c>
      <c r="G15" s="1782" t="str">
        <f>'2.1 Ampol Retail'!$E$20</f>
        <v>-</v>
      </c>
      <c r="H15" s="1773">
        <f>'2.1 Ampol Retail'!$F$20</f>
        <v>1</v>
      </c>
      <c r="I15" s="1773">
        <f>'2.1 Ampol Retail'!$G$20</f>
        <v>1</v>
      </c>
      <c r="J15" s="1773">
        <f>'2.1 Ampol Retail'!$H$20</f>
        <v>0</v>
      </c>
      <c r="K15" s="1773">
        <f>'2.1 Ampol Retail'!$L$20</f>
        <v>1</v>
      </c>
      <c r="L15" s="1772">
        <f>'2.1 Ampol Retail'!$M$20</f>
        <v>0.2997</v>
      </c>
      <c r="M15" s="1772">
        <f>'2.1 Ampol Retail'!$N$20</f>
        <v>0.2997</v>
      </c>
      <c r="N15" s="1772">
        <f>'2.1 Ampol Retail'!$O$20</f>
        <v>0</v>
      </c>
      <c r="O15" s="1772">
        <f>'2.1 Ampol Retail'!$P$20</f>
        <v>0.2997</v>
      </c>
    </row>
    <row r="16">
      <c r="B16" s="1530" t="inlineStr">
        <is>
          <t>Ampol Retail</t>
        </is>
      </c>
      <c r="C16" s="1530" t="inlineStr">
        <is>
          <t>Overhead</t>
        </is>
      </c>
      <c r="D16" s="1530" t="str">
        <f>'2.1 Ampol Retail'!$B$25</f>
        <v>Head of Technology</v>
      </c>
      <c r="E16" s="1530" t="str">
        <f>'2.1 Ampol Retail'!$C$25</f>
        <v>-</v>
      </c>
      <c r="F16" s="1530" t="str">
        <f>'2.1 Ampol Retail'!$D$25</f>
        <v>-</v>
      </c>
      <c r="G16" s="1782" t="str">
        <f>'2.1 Ampol Retail'!$E$25</f>
        <v>-</v>
      </c>
      <c r="H16" s="1773">
        <f>'2.1 Ampol Retail'!$F$25</f>
        <v>1</v>
      </c>
      <c r="I16" s="1773">
        <f>'2.1 Ampol Retail'!$G$25</f>
        <v>1</v>
      </c>
      <c r="J16" s="1773">
        <f>'2.1 Ampol Retail'!$H$25</f>
        <v>0</v>
      </c>
      <c r="K16" s="1773">
        <f>'2.1 Ampol Retail'!$L$25</f>
        <v>1</v>
      </c>
      <c r="L16" s="1772" t="str">
        <f>'2.1 Ampol Retail'!$M$25</f>
        <v>-</v>
      </c>
      <c r="M16" s="1772">
        <f>'2.1 Ampol Retail'!$N$25</f>
        <v>0.18603225</v>
      </c>
      <c r="N16" s="1772" t="str">
        <f>'2.1 Ampol Retail'!$O$25</f>
        <v>-</v>
      </c>
      <c r="O16" s="1772">
        <f>'2.1 Ampol Retail'!$P$25</f>
        <v>0.18603225</v>
      </c>
    </row>
    <row r="17">
      <c r="B17" s="1530" t="inlineStr">
        <is>
          <t>Ampol Retail</t>
        </is>
      </c>
      <c r="C17" s="1530" t="inlineStr">
        <is>
          <t>Overhead</t>
        </is>
      </c>
      <c r="D17" s="1530" t="str">
        <f>'2.1 Ampol Retail'!$B$26</f>
        <v>Delivery Manager</v>
      </c>
      <c r="E17" s="1530" t="str">
        <f>'2.1 Ampol Retail'!$C$26</f>
        <v>-</v>
      </c>
      <c r="F17" s="1530" t="str">
        <f>'2.1 Ampol Retail'!$D$26</f>
        <v>-</v>
      </c>
      <c r="G17" s="1782" t="str">
        <f>'2.1 Ampol Retail'!$E$26</f>
        <v>-</v>
      </c>
      <c r="H17" s="1773">
        <f>'2.1 Ampol Retail'!$F$26</f>
        <v>1</v>
      </c>
      <c r="I17" s="1773">
        <f>'2.1 Ampol Retail'!$G$26</f>
        <v>1</v>
      </c>
      <c r="J17" s="1773">
        <f>'2.1 Ampol Retail'!$H$26</f>
        <v>0</v>
      </c>
      <c r="K17" s="1773">
        <f>'2.1 Ampol Retail'!$L$26</f>
        <v>1</v>
      </c>
      <c r="L17" s="1772" t="str">
        <f>'2.1 Ampol Retail'!$M$26</f>
        <v>-</v>
      </c>
      <c r="M17" s="1772">
        <f>'2.1 Ampol Retail'!$N$26</f>
        <v>0.30293735</v>
      </c>
      <c r="N17" s="1772" t="str">
        <f>'2.1 Ampol Retail'!$O$26</f>
        <v>-</v>
      </c>
      <c r="O17" s="1772">
        <f>'2.1 Ampol Retail'!$P$26</f>
        <v>0.30293735</v>
      </c>
    </row>
    <row r="18">
      <c r="B18" s="1530" t="inlineStr">
        <is>
          <t>Ampol Retail</t>
        </is>
      </c>
      <c r="C18" s="1530" t="inlineStr">
        <is>
          <t>Overhead</t>
        </is>
      </c>
      <c r="D18" s="1530" t="str">
        <f>'2.1 Ampol Retail'!$B$27</f>
        <v>Technology Manager</v>
      </c>
      <c r="E18" s="1530" t="str">
        <f>'2.1 Ampol Retail'!$C$27</f>
        <v>-</v>
      </c>
      <c r="F18" s="1530" t="str">
        <f>'2.1 Ampol Retail'!$D$27</f>
        <v>-</v>
      </c>
      <c r="G18" s="1782" t="str">
        <f>'2.1 Ampol Retail'!$E$27</f>
        <v>-</v>
      </c>
      <c r="H18" s="1773">
        <f>'2.1 Ampol Retail'!$F$27</f>
        <v>3</v>
      </c>
      <c r="I18" s="1773">
        <f>'2.1 Ampol Retail'!$G$27</f>
        <v>3</v>
      </c>
      <c r="J18" s="1773">
        <f>'2.1 Ampol Retail'!$H$27</f>
        <v>0</v>
      </c>
      <c r="K18" s="1773">
        <f>'2.1 Ampol Retail'!$L$27</f>
        <v>3</v>
      </c>
      <c r="L18" s="1772" t="str">
        <f>'2.1 Ampol Retail'!$M$27</f>
        <v>-</v>
      </c>
      <c r="M18" s="1772">
        <f>'2.1 Ampol Retail'!$N$27</f>
        <v>0.766646363</v>
      </c>
      <c r="N18" s="1772" t="str">
        <f>'2.1 Ampol Retail'!$O$27</f>
        <v>-</v>
      </c>
      <c r="O18" s="1772">
        <f>'2.1 Ampol Retail'!$P$27</f>
        <v>0.766646363</v>
      </c>
    </row>
    <row r="19">
      <c r="B19" s="1534" t="inlineStr">
        <is>
          <t>Ampol Retail total</t>
        </is>
      </c>
      <c r="C19" s="1534" t="n"/>
      <c r="D19" s="1534" t="n"/>
      <c r="E19" s="1534" t="n"/>
      <c r="F19" s="1774" t="str">
        <f>"-"</f>
        <v>-</v>
      </c>
      <c r="G19" s="1783" t="str">
        <f>"-"</f>
        <v>-</v>
      </c>
      <c r="H19" s="1775">
        <f>SUM(H6:H18)</f>
        <v>70</v>
      </c>
      <c r="I19" s="1775">
        <f>SUM(I6:I18)</f>
        <v>48</v>
      </c>
      <c r="J19" s="1775">
        <f>SUM(J6:J18)</f>
        <v>22</v>
      </c>
      <c r="K19" s="1775">
        <f>SUM(K6:K18)</f>
        <v>70</v>
      </c>
      <c r="L19" s="1774" t="str">
        <f>"-"</f>
        <v>-</v>
      </c>
      <c r="M19" s="1774">
        <f>SUM(M6:M18)</f>
        <v>14.005227457</v>
      </c>
      <c r="N19" s="1774" t="str">
        <f>"-"</f>
        <v>-</v>
      </c>
      <c r="O19" s="1774">
        <f>SUM(O6:O18)</f>
        <v>14.005227457</v>
      </c>
    </row>
    <row r="20">
      <c r="B20" s="1530" t="inlineStr">
        <is>
          <t>Customer</t>
        </is>
      </c>
      <c r="C20" s="1530" t="inlineStr">
        <is>
          <t>Archetype</t>
        </is>
      </c>
      <c r="D20" s="1530" t="str">
        <f>'2.2 Customer'!$B$7</f>
        <v>Ampol App</v>
      </c>
      <c r="E20" s="1530" t="str">
        <f>'2.2 Customer'!$C$7</f>
        <v>Product</v>
      </c>
      <c r="F20" s="1530" t="str">
        <f>'2.2 Customer'!$D$7</f>
        <v>L</v>
      </c>
      <c r="G20" s="1782">
        <f>'2.2 Customer'!$E$7</f>
        <v>12</v>
      </c>
      <c r="H20" s="1773">
        <f>'2.2 Customer'!$F$7</f>
        <v>14</v>
      </c>
      <c r="I20" s="1773">
        <f>'2.2 Customer'!$G$7</f>
        <v>14</v>
      </c>
      <c r="J20" s="1773">
        <f>'2.2 Customer'!$H$7</f>
        <v>0</v>
      </c>
      <c r="K20" s="1773">
        <f>'2.2 Customer'!$L$7</f>
        <v>14</v>
      </c>
      <c r="L20" s="1772">
        <f>'2.2 Customer'!$M$7</f>
        <v>2.8</v>
      </c>
      <c r="M20" s="1772">
        <f>'2.2 Customer'!$N$7</f>
        <v>3.36059233</v>
      </c>
      <c r="N20" s="1772">
        <f>'2.2 Customer'!$O$7</f>
        <v>0.560592</v>
      </c>
      <c r="O20" s="1772">
        <f>'2.2 Customer'!$P$7</f>
        <v>3.36059233</v>
      </c>
    </row>
    <row r="21">
      <c r="B21" s="1530" t="inlineStr">
        <is>
          <t>Customer</t>
        </is>
      </c>
      <c r="C21" s="1530" t="inlineStr">
        <is>
          <t>Archetype</t>
        </is>
      </c>
      <c r="D21" s="1530" t="str">
        <f>'2.2 Customer'!$B$8</f>
        <v>Ampol Loyalty &amp; Martech</v>
      </c>
      <c r="E21" s="1530" t="str">
        <f>'2.2 Customer'!$C$8</f>
        <v>Product</v>
      </c>
      <c r="F21" s="1530" t="str">
        <f>'2.2 Customer'!$D$8</f>
        <v>M</v>
      </c>
      <c r="G21" s="1782">
        <f>'2.2 Customer'!$E$8</f>
        <v>8.5</v>
      </c>
      <c r="H21" s="1773">
        <f>'2.2 Customer'!$F$8</f>
        <v>9</v>
      </c>
      <c r="I21" s="1773">
        <f>'2.2 Customer'!$G$8</f>
        <v>3</v>
      </c>
      <c r="J21" s="1773">
        <f>'2.2 Customer'!$H$8</f>
        <v>6</v>
      </c>
      <c r="K21" s="1773">
        <f>'2.2 Customer'!$L$8</f>
        <v>9</v>
      </c>
      <c r="L21" s="1772">
        <f>'2.2 Customer'!$M$8</f>
        <v>1.9</v>
      </c>
      <c r="M21" s="1772">
        <f>'2.2 Customer'!$N$8</f>
        <v>1.331225988</v>
      </c>
      <c r="N21" s="1772">
        <f>'2.2 Customer'!$O$8</f>
        <v>-0.568774</v>
      </c>
      <c r="O21" s="1772">
        <f>'2.2 Customer'!$P$8</f>
        <v>1.331225988</v>
      </c>
    </row>
    <row r="22">
      <c r="B22" s="1530" t="inlineStr">
        <is>
          <t>Customer</t>
        </is>
      </c>
      <c r="C22" s="1530" t="inlineStr">
        <is>
          <t>Archetype</t>
        </is>
      </c>
      <c r="D22" s="1530" t="str">
        <f>'2.2 Customer'!$B$9</f>
        <v>Ampol Web</v>
      </c>
      <c r="E22" s="1530" t="str">
        <f>'2.2 Customer'!$C$9</f>
        <v>Product</v>
      </c>
      <c r="F22" s="1530" t="str">
        <f>'2.2 Customer'!$D$9</f>
        <v>M</v>
      </c>
      <c r="G22" s="1782">
        <f>'2.2 Customer'!$E$9</f>
        <v>8.5</v>
      </c>
      <c r="H22" s="1773">
        <f>'2.2 Customer'!$F$9</f>
        <v>9</v>
      </c>
      <c r="I22" s="1773">
        <f>'2.2 Customer'!$G$9</f>
        <v>9</v>
      </c>
      <c r="J22" s="1773">
        <f>'2.2 Customer'!$H$9</f>
        <v>0</v>
      </c>
      <c r="K22" s="1773">
        <f>'2.2 Customer'!$L$9</f>
        <v>9</v>
      </c>
      <c r="L22" s="1772">
        <f>'2.2 Customer'!$M$9</f>
        <v>1.9</v>
      </c>
      <c r="M22" s="1772">
        <f>'2.2 Customer'!$N$9</f>
        <v>1.7617192</v>
      </c>
      <c r="N22" s="1772">
        <f>'2.2 Customer'!$O$9</f>
        <v>-0.138281</v>
      </c>
      <c r="O22" s="1772">
        <f>'2.2 Customer'!$P$9</f>
        <v>1.7617192</v>
      </c>
    </row>
    <row r="23">
      <c r="B23" s="1530" t="inlineStr">
        <is>
          <t>Customer</t>
        </is>
      </c>
      <c r="C23" s="1530" t="inlineStr">
        <is>
          <t>Archetype</t>
        </is>
      </c>
      <c r="D23" s="1530" t="str">
        <f>'2.2 Customer'!$B$10</f>
        <v>Customer AI</v>
      </c>
      <c r="E23" s="1530" t="str">
        <f>'2.2 Customer'!$C$10</f>
        <v>Engineering</v>
      </c>
      <c r="F23" s="1530" t="str">
        <f>'2.2 Customer'!$D$10</f>
        <v>S</v>
      </c>
      <c r="G23" s="1782">
        <f>'2.2 Customer'!$E$10</f>
        <v>4.5</v>
      </c>
      <c r="H23" s="1773">
        <f>'2.2 Customer'!$F$10</f>
        <v>2</v>
      </c>
      <c r="I23" s="1773">
        <f>'2.2 Customer'!$G$10</f>
        <v>0</v>
      </c>
      <c r="J23" s="1773">
        <f>'2.2 Customer'!$H$10</f>
        <v>2</v>
      </c>
      <c r="K23" s="1773">
        <f>'2.2 Customer'!$L$10</f>
        <v>2</v>
      </c>
      <c r="L23" s="1772">
        <f>'2.2 Customer'!$M$10</f>
        <v>0.8</v>
      </c>
      <c r="M23" s="1772">
        <f>'2.2 Customer'!$N$10</f>
        <v>0.17103768</v>
      </c>
      <c r="N23" s="1772">
        <f>'2.2 Customer'!$O$10</f>
        <v>-0.628962</v>
      </c>
      <c r="O23" s="1772">
        <f>'2.2 Customer'!$P$10</f>
        <v>0.17103768</v>
      </c>
    </row>
    <row r="24">
      <c r="B24" s="1530" t="inlineStr">
        <is>
          <t>Customer</t>
        </is>
      </c>
      <c r="C24" s="1530" t="inlineStr">
        <is>
          <t>Archetype</t>
        </is>
      </c>
      <c r="D24" s="1530" t="str">
        <f>'2.2 Customer'!$B$11</f>
        <v>Digital Operations</v>
      </c>
      <c r="E24" s="1530" t="str">
        <f>'2.2 Customer'!$C$11</f>
        <v>Operations</v>
      </c>
      <c r="F24" s="1530" t="str">
        <f>'2.2 Customer'!$D$11</f>
        <v>M</v>
      </c>
      <c r="G24" s="1782">
        <f>'2.2 Customer'!$E$11</f>
        <v>6</v>
      </c>
      <c r="H24" s="1773">
        <f>'2.2 Customer'!$F$11</f>
        <v>7</v>
      </c>
      <c r="I24" s="1773">
        <f>'2.2 Customer'!$G$11</f>
        <v>4</v>
      </c>
      <c r="J24" s="1773">
        <f>'2.2 Customer'!$H$11</f>
        <v>3</v>
      </c>
      <c r="K24" s="1773">
        <f>'2.2 Customer'!$L$11</f>
        <v>7</v>
      </c>
      <c r="L24" s="1772">
        <f>'2.2 Customer'!$M$11</f>
        <v>0.56</v>
      </c>
      <c r="M24" s="1772">
        <f>'2.2 Customer'!$N$11</f>
        <v>1.303645928</v>
      </c>
      <c r="N24" s="1772">
        <f>'2.2 Customer'!$O$11</f>
        <v>0.743646</v>
      </c>
      <c r="O24" s="1772">
        <f>'2.2 Customer'!$P$11</f>
        <v>1.303645928</v>
      </c>
    </row>
    <row r="25">
      <c r="B25" s="1530" t="inlineStr">
        <is>
          <t>Customer</t>
        </is>
      </c>
      <c r="C25" s="1530" t="inlineStr">
        <is>
          <t>Archetype</t>
        </is>
      </c>
      <c r="D25" s="1530" t="str">
        <f>'2.2 Customer'!$B$12</f>
        <v>Z App and Web</v>
      </c>
      <c r="E25" s="1530" t="str">
        <f>'2.2 Customer'!$C$12</f>
        <v>Product</v>
      </c>
      <c r="F25" s="1530" t="str">
        <f>'2.2 Customer'!$D$12</f>
        <v>S</v>
      </c>
      <c r="G25" s="1782">
        <f>'2.2 Customer'!$E$12</f>
        <v>5.5</v>
      </c>
      <c r="H25" s="1773">
        <f>'2.2 Customer'!$F$12</f>
        <v>5</v>
      </c>
      <c r="I25" s="1773">
        <f>'2.2 Customer'!$G$12</f>
        <v>5</v>
      </c>
      <c r="J25" s="1773">
        <f>'2.2 Customer'!$H$12</f>
        <v>0</v>
      </c>
      <c r="K25" s="1773">
        <f>'2.2 Customer'!$L$12</f>
        <v>5</v>
      </c>
      <c r="L25" s="1772">
        <f>'2.2 Customer'!$M$12</f>
        <v>1.3</v>
      </c>
      <c r="M25" s="1772">
        <f>'2.2 Customer'!$N$12</f>
        <v>1.223286048</v>
      </c>
      <c r="N25" s="1772">
        <f>'2.2 Customer'!$O$12</f>
        <v>-0.076714</v>
      </c>
      <c r="O25" s="1772">
        <f>'2.2 Customer'!$P$12</f>
        <v>1.223286048</v>
      </c>
    </row>
    <row r="26">
      <c r="B26" s="1530" t="inlineStr">
        <is>
          <t>Customer</t>
        </is>
      </c>
      <c r="C26" s="1530" t="inlineStr">
        <is>
          <t>Archetype</t>
        </is>
      </c>
      <c r="D26" s="1530" t="str">
        <f>'2.2 Customer'!$B$13</f>
        <v>Z Loyalty &amp; Martech</v>
      </c>
      <c r="E26" s="1530" t="str">
        <f>'2.2 Customer'!$C$13</f>
        <v>Product</v>
      </c>
      <c r="F26" s="1530" t="str">
        <f>'2.2 Customer'!$D$13</f>
        <v>L</v>
      </c>
      <c r="G26" s="1782">
        <f>'2.2 Customer'!$E$13</f>
        <v>12</v>
      </c>
      <c r="H26" s="1773">
        <f>'2.2 Customer'!$F$13</f>
        <v>14</v>
      </c>
      <c r="I26" s="1773">
        <f>'2.2 Customer'!$G$13</f>
        <v>14</v>
      </c>
      <c r="J26" s="1773">
        <f>'2.2 Customer'!$H$13</f>
        <v>0</v>
      </c>
      <c r="K26" s="1773">
        <f>'2.2 Customer'!$L$13</f>
        <v>14</v>
      </c>
      <c r="L26" s="1772">
        <f>'2.2 Customer'!$M$13</f>
        <v>2.8</v>
      </c>
      <c r="M26" s="1772">
        <f>'2.2 Customer'!$N$13</f>
        <v>2.946001772</v>
      </c>
      <c r="N26" s="1772">
        <f>'2.2 Customer'!$O$13</f>
        <v>0.146002</v>
      </c>
      <c r="O26" s="1772">
        <f>'2.2 Customer'!$P$13</f>
        <v>2.946001772</v>
      </c>
    </row>
    <row r="27">
      <c r="B27" s="1530" t="inlineStr">
        <is>
          <t>Customer</t>
        </is>
      </c>
      <c r="C27" s="1530" t="inlineStr">
        <is>
          <t>Directly funded</t>
        </is>
      </c>
      <c r="D27" s="1530" t="str">
        <f>'2.2 Customer'!$B$18</f>
        <v>EGI Customer</v>
      </c>
      <c r="E27" s="1530" t="str">
        <f>'2.2 Customer'!$C$18</f>
        <v>Strategic Programs</v>
      </c>
      <c r="F27" s="1530" t="str">
        <f>'2.2 Customer'!$D$18</f>
        <v>-</v>
      </c>
      <c r="G27" s="1782" t="str">
        <f>'2.2 Customer'!$E$18</f>
        <v>-</v>
      </c>
      <c r="H27" s="1773">
        <f>'2.2 Customer'!$F$18</f>
        <v>10</v>
      </c>
      <c r="I27" s="1773">
        <f>'2.2 Customer'!$G$18</f>
        <v>10</v>
      </c>
      <c r="J27" s="1773">
        <f>'2.2 Customer'!$H$18</f>
        <v>0</v>
      </c>
      <c r="K27" s="1773">
        <f>'2.2 Customer'!$L$18</f>
        <v>10</v>
      </c>
      <c r="L27" s="1772">
        <f>'2.2 Customer'!$M$18</f>
        <v>2.208135308</v>
      </c>
      <c r="M27" s="1772">
        <f>'2.2 Customer'!$N$18</f>
        <v>2.208135308</v>
      </c>
      <c r="N27" s="1772">
        <f>'2.2 Customer'!$O$18</f>
        <v>0</v>
      </c>
      <c r="O27" s="1772">
        <f>'2.2 Customer'!$P$18</f>
        <v>2.208135308</v>
      </c>
    </row>
    <row r="28">
      <c r="B28" s="1530" t="inlineStr">
        <is>
          <t>Customer</t>
        </is>
      </c>
      <c r="C28" s="1530" t="inlineStr">
        <is>
          <t>Directly funded</t>
        </is>
      </c>
      <c r="D28" s="1530" t="str">
        <f>'2.2 Customer'!$B$19</f>
        <v>Leadership</v>
      </c>
      <c r="E28" s="1530" t="str">
        <f>'2.2 Customer'!$C$19</f>
        <v>Not on the 1.x tab</v>
      </c>
      <c r="F28" s="1530" t="str">
        <f>'2.2 Customer'!$D$19</f>
        <v>-</v>
      </c>
      <c r="G28" s="1782" t="str">
        <f>'2.2 Customer'!$E$19</f>
        <v>-</v>
      </c>
      <c r="H28" s="1773">
        <f>'2.2 Customer'!$F$19</f>
        <v>5</v>
      </c>
      <c r="I28" s="1773">
        <f>'2.2 Customer'!$G$19</f>
        <v>4</v>
      </c>
      <c r="J28" s="1773">
        <f>'2.2 Customer'!$H$19</f>
        <v>1</v>
      </c>
      <c r="K28" s="1773">
        <f>'2.2 Customer'!$L$19</f>
        <v>5</v>
      </c>
      <c r="L28" s="1772" t="str">
        <f>'2.2 Customer'!$M$19</f>
        <v>-</v>
      </c>
      <c r="M28" s="1772">
        <f>'2.2 Customer'!$N$19</f>
        <v>1.048250048</v>
      </c>
      <c r="N28" s="1772" t="str">
        <f>'2.2 Customer'!$O$19</f>
        <v>-</v>
      </c>
      <c r="O28" s="1772">
        <f>'2.2 Customer'!$P$19</f>
        <v>1.048250048</v>
      </c>
    </row>
    <row r="29">
      <c r="B29" s="1530" t="inlineStr">
        <is>
          <t>Customer</t>
        </is>
      </c>
      <c r="C29" s="1530" t="inlineStr">
        <is>
          <t>Overhead</t>
        </is>
      </c>
      <c r="D29" s="1530" t="str">
        <f>'2.2 Customer'!$B$24</f>
        <v>Head of Technology</v>
      </c>
      <c r="E29" s="1530" t="str">
        <f>'2.2 Customer'!$C$24</f>
        <v>-</v>
      </c>
      <c r="F29" s="1530" t="str">
        <f>'2.2 Customer'!$D$24</f>
        <v>-</v>
      </c>
      <c r="G29" s="1782" t="str">
        <f>'2.2 Customer'!$E$24</f>
        <v>-</v>
      </c>
      <c r="H29" s="1773">
        <f>'2.2 Customer'!$F$24</f>
        <v>2</v>
      </c>
      <c r="I29" s="1773">
        <f>'2.2 Customer'!$G$24</f>
        <v>2</v>
      </c>
      <c r="J29" s="1773">
        <f>'2.2 Customer'!$H$24</f>
        <v>0</v>
      </c>
      <c r="K29" s="1773">
        <f>'2.2 Customer'!$L$24</f>
        <v>2</v>
      </c>
      <c r="L29" s="1772" t="str">
        <f>'2.2 Customer'!$M$24</f>
        <v>-</v>
      </c>
      <c r="M29" s="1772">
        <f>'2.2 Customer'!$N$24</f>
        <v>0.5360151</v>
      </c>
      <c r="N29" s="1772" t="str">
        <f>'2.2 Customer'!$O$24</f>
        <v>-</v>
      </c>
      <c r="O29" s="1772">
        <f>'2.2 Customer'!$P$24</f>
        <v>0.5360151</v>
      </c>
    </row>
    <row r="30">
      <c r="B30" s="1530" t="inlineStr">
        <is>
          <t>Customer</t>
        </is>
      </c>
      <c r="C30" s="1530" t="inlineStr">
        <is>
          <t>Overhead</t>
        </is>
      </c>
      <c r="D30" s="1530" t="str">
        <f>'2.2 Customer'!$B$25</f>
        <v>Delivery Manager</v>
      </c>
      <c r="E30" s="1530" t="str">
        <f>'2.2 Customer'!$C$25</f>
        <v>-</v>
      </c>
      <c r="F30" s="1530" t="str">
        <f>'2.2 Customer'!$D$25</f>
        <v>-</v>
      </c>
      <c r="G30" s="1782" t="str">
        <f>'2.2 Customer'!$E$25</f>
        <v>-</v>
      </c>
      <c r="H30" s="1773">
        <f>'2.2 Customer'!$F$25</f>
        <v>2</v>
      </c>
      <c r="I30" s="1773">
        <f>'2.2 Customer'!$G$25</f>
        <v>2</v>
      </c>
      <c r="J30" s="1773">
        <f>'2.2 Customer'!$H$25</f>
        <v>0</v>
      </c>
      <c r="K30" s="1773">
        <f>'2.2 Customer'!$L$25</f>
        <v>2</v>
      </c>
      <c r="L30" s="1772" t="str">
        <f>'2.2 Customer'!$M$25</f>
        <v>-</v>
      </c>
      <c r="M30" s="1772">
        <f>'2.2 Customer'!$N$25</f>
        <v>0.4208721</v>
      </c>
      <c r="N30" s="1772" t="str">
        <f>'2.2 Customer'!$O$25</f>
        <v>-</v>
      </c>
      <c r="O30" s="1772">
        <f>'2.2 Customer'!$P$25</f>
        <v>0.4208721</v>
      </c>
    </row>
    <row r="31">
      <c r="B31" s="1530" t="inlineStr">
        <is>
          <t>Customer</t>
        </is>
      </c>
      <c r="C31" s="1530" t="inlineStr">
        <is>
          <t>Overhead</t>
        </is>
      </c>
      <c r="D31" s="1530" t="str">
        <f>'2.2 Customer'!$B$26</f>
        <v>Technology Manager</v>
      </c>
      <c r="E31" s="1530" t="str">
        <f>'2.2 Customer'!$C$26</f>
        <v>-</v>
      </c>
      <c r="F31" s="1530" t="str">
        <f>'2.2 Customer'!$D$26</f>
        <v>-</v>
      </c>
      <c r="G31" s="1782" t="str">
        <f>'2.2 Customer'!$E$26</f>
        <v>-</v>
      </c>
      <c r="H31" s="1773">
        <f>'2.2 Customer'!$F$26</f>
        <v>4</v>
      </c>
      <c r="I31" s="1773">
        <f>'2.2 Customer'!$G$26</f>
        <v>3</v>
      </c>
      <c r="J31" s="1773">
        <f>'2.2 Customer'!$H$26</f>
        <v>1</v>
      </c>
      <c r="K31" s="1773">
        <f>'2.2 Customer'!$L$26</f>
        <v>4</v>
      </c>
      <c r="L31" s="1772" t="str">
        <f>'2.2 Customer'!$M$26</f>
        <v>-</v>
      </c>
      <c r="M31" s="1772">
        <f>'2.2 Customer'!$N$26</f>
        <v>0.816085638</v>
      </c>
      <c r="N31" s="1772" t="str">
        <f>'2.2 Customer'!$O$26</f>
        <v>-</v>
      </c>
      <c r="O31" s="1772">
        <f>'2.2 Customer'!$P$26</f>
        <v>0.816085638</v>
      </c>
    </row>
    <row r="32">
      <c r="B32" s="1534" t="inlineStr">
        <is>
          <t>Customer total</t>
        </is>
      </c>
      <c r="C32" s="1534" t="n"/>
      <c r="D32" s="1534" t="n"/>
      <c r="E32" s="1534" t="n"/>
      <c r="F32" s="1774" t="str">
        <f>"-"</f>
        <v>-</v>
      </c>
      <c r="G32" s="1783" t="str">
        <f>"-"</f>
        <v>-</v>
      </c>
      <c r="H32" s="1775">
        <f>SUM(H20:H31)</f>
        <v>83</v>
      </c>
      <c r="I32" s="1775">
        <f>SUM(I20:I31)</f>
        <v>70</v>
      </c>
      <c r="J32" s="1775">
        <f>SUM(J20:J31)</f>
        <v>13</v>
      </c>
      <c r="K32" s="1775">
        <f>SUM(K20:K31)</f>
        <v>83</v>
      </c>
      <c r="L32" s="1774" t="str">
        <f>"-"</f>
        <v>-</v>
      </c>
      <c r="M32" s="1774">
        <f>SUM(M20:M31)</f>
        <v>17.12686714</v>
      </c>
      <c r="N32" s="1774" t="str">
        <f>"-"</f>
        <v>-</v>
      </c>
      <c r="O32" s="1774">
        <f>SUM(O20:O31)</f>
        <v>17.12686714</v>
      </c>
    </row>
    <row r="33">
      <c r="B33" s="1530" t="inlineStr">
        <is>
          <t>Enterprise Data</t>
        </is>
      </c>
      <c r="C33" s="1530" t="inlineStr">
        <is>
          <t>Archetype</t>
        </is>
      </c>
      <c r="D33" s="1530" t="str">
        <f>'2.3 Enterprise Data'!$B$7</f>
        <v>Data Platforms</v>
      </c>
      <c r="E33" s="1530" t="str">
        <f>'2.3 Enterprise Data'!$C$7</f>
        <v>Enterprise Data and Insights</v>
      </c>
      <c r="F33" s="1530" t="str">
        <f>'2.3 Enterprise Data'!$D$7</f>
        <v>M</v>
      </c>
      <c r="G33" s="1782">
        <f>'2.3 Enterprise Data'!$E$7</f>
        <v>7.5</v>
      </c>
      <c r="H33" s="1773">
        <f>'2.3 Enterprise Data'!$F$7</f>
        <v>9</v>
      </c>
      <c r="I33" s="1773">
        <f>'2.3 Enterprise Data'!$G$7</f>
        <v>3</v>
      </c>
      <c r="J33" s="1773">
        <f>'2.3 Enterprise Data'!$H$7</f>
        <v>6</v>
      </c>
      <c r="K33" s="1773">
        <f>'2.3 Enterprise Data'!$L$7</f>
        <v>9</v>
      </c>
      <c r="L33" s="1772">
        <f>'2.3 Enterprise Data'!$M$7</f>
        <v>1.7</v>
      </c>
      <c r="M33" s="1772">
        <f>'2.3 Enterprise Data'!$N$7</f>
        <v>1.786160296</v>
      </c>
      <c r="N33" s="1772">
        <f>'2.3 Enterprise Data'!$O$7</f>
        <v>0.08616</v>
      </c>
      <c r="O33" s="1772">
        <f>'2.3 Enterprise Data'!$P$7</f>
        <v>1.786160296</v>
      </c>
    </row>
    <row r="34">
      <c r="B34" s="1530" t="inlineStr">
        <is>
          <t>Enterprise Data</t>
        </is>
      </c>
      <c r="C34" s="1530" t="inlineStr">
        <is>
          <t>Archetype</t>
        </is>
      </c>
      <c r="D34" s="1530" t="str">
        <f>'2.3 Enterprise Data'!$B$8</f>
        <v>Data Science</v>
      </c>
      <c r="E34" s="1530" t="str">
        <f>'2.3 Enterprise Data'!$C$8</f>
        <v>Enterprise Data and Insights</v>
      </c>
      <c r="F34" s="1530" t="str">
        <f>'2.3 Enterprise Data'!$D$8</f>
        <v>S</v>
      </c>
      <c r="G34" s="1782">
        <f>'2.3 Enterprise Data'!$E$8</f>
        <v>4</v>
      </c>
      <c r="H34" s="1773">
        <f>'2.3 Enterprise Data'!$F$8</f>
        <v>4</v>
      </c>
      <c r="I34" s="1773">
        <f>'2.3 Enterprise Data'!$G$8</f>
        <v>4</v>
      </c>
      <c r="J34" s="1773">
        <f>'2.3 Enterprise Data'!$H$8</f>
        <v>0</v>
      </c>
      <c r="K34" s="1773">
        <f>'2.3 Enterprise Data'!$L$8</f>
        <v>4</v>
      </c>
      <c r="L34" s="1772">
        <f>'2.3 Enterprise Data'!$M$8</f>
        <v>0.9</v>
      </c>
      <c r="M34" s="1772">
        <f>'2.3 Enterprise Data'!$N$8</f>
        <v>0.80639733</v>
      </c>
      <c r="N34" s="1772">
        <f>'2.3 Enterprise Data'!$O$8</f>
        <v>-0.093603</v>
      </c>
      <c r="O34" s="1772">
        <f>'2.3 Enterprise Data'!$P$8</f>
        <v>0.80639733</v>
      </c>
    </row>
    <row r="35">
      <c r="B35" s="1530" t="inlineStr">
        <is>
          <t>Enterprise Data</t>
        </is>
      </c>
      <c r="C35" s="1530" t="inlineStr">
        <is>
          <t>Archetype</t>
        </is>
      </c>
      <c r="D35" s="1530" t="str">
        <f>'2.3 Enterprise Data'!$B$9</f>
        <v>Reporting &amp; Analytics</v>
      </c>
      <c r="E35" s="1530" t="str">
        <f>'2.3 Enterprise Data'!$C$9</f>
        <v>Enterprise Data and Insights</v>
      </c>
      <c r="F35" s="1530" t="str">
        <f>'2.3 Enterprise Data'!$D$9</f>
        <v>M</v>
      </c>
      <c r="G35" s="1782">
        <f>'2.3 Enterprise Data'!$E$9</f>
        <v>7.5</v>
      </c>
      <c r="H35" s="1773">
        <f>'2.3 Enterprise Data'!$F$9</f>
        <v>12</v>
      </c>
      <c r="I35" s="1773">
        <f>'2.3 Enterprise Data'!$G$9</f>
        <v>9</v>
      </c>
      <c r="J35" s="1773">
        <f>'2.3 Enterprise Data'!$H$9</f>
        <v>3</v>
      </c>
      <c r="K35" s="1773">
        <f>'2.3 Enterprise Data'!$L$9</f>
        <v>12</v>
      </c>
      <c r="L35" s="1772">
        <f>'2.3 Enterprise Data'!$M$9</f>
        <v>1.7</v>
      </c>
      <c r="M35" s="1772">
        <f>'2.3 Enterprise Data'!$N$9</f>
        <v>2.7648117</v>
      </c>
      <c r="N35" s="1772">
        <f>'2.3 Enterprise Data'!$O$9</f>
        <v>1.064812</v>
      </c>
      <c r="O35" s="1772">
        <f>'2.3 Enterprise Data'!$P$9</f>
        <v>2.7648117</v>
      </c>
    </row>
    <row r="36">
      <c r="B36" s="1530" t="inlineStr">
        <is>
          <t>Enterprise Data</t>
        </is>
      </c>
      <c r="C36" s="1530" t="inlineStr">
        <is>
          <t>Overhead</t>
        </is>
      </c>
      <c r="D36" s="1530" t="str">
        <f>'2.3 Enterprise Data'!$B$19</f>
        <v>Head of Technology</v>
      </c>
      <c r="E36" s="1530" t="str">
        <f>'2.3 Enterprise Data'!$C$19</f>
        <v>-</v>
      </c>
      <c r="F36" s="1530" t="str">
        <f>'2.3 Enterprise Data'!$D$19</f>
        <v>-</v>
      </c>
      <c r="G36" s="1782" t="str">
        <f>'2.3 Enterprise Data'!$E$19</f>
        <v>-</v>
      </c>
      <c r="H36" s="1773">
        <f>'2.3 Enterprise Data'!$F$19</f>
        <v>1</v>
      </c>
      <c r="I36" s="1773">
        <f>'2.3 Enterprise Data'!$G$19</f>
        <v>1</v>
      </c>
      <c r="J36" s="1773">
        <f>'2.3 Enterprise Data'!$H$19</f>
        <v>0</v>
      </c>
      <c r="K36" s="1773">
        <f>'2.3 Enterprise Data'!$L$19</f>
        <v>1</v>
      </c>
      <c r="L36" s="1772" t="str">
        <f>'2.3 Enterprise Data'!$M$19</f>
        <v>-</v>
      </c>
      <c r="M36" s="1772">
        <f>'2.3 Enterprise Data'!$N$19</f>
        <v>0.4097557</v>
      </c>
      <c r="N36" s="1772" t="str">
        <f>'2.3 Enterprise Data'!$O$19</f>
        <v>-</v>
      </c>
      <c r="O36" s="1772">
        <f>'2.3 Enterprise Data'!$P$19</f>
        <v>0.4097557</v>
      </c>
    </row>
    <row r="37">
      <c r="B37" s="1530" t="inlineStr">
        <is>
          <t>Enterprise Data</t>
        </is>
      </c>
      <c r="C37" s="1530" t="inlineStr">
        <is>
          <t>Overhead</t>
        </is>
      </c>
      <c r="D37" s="1530" t="str">
        <f>'2.3 Enterprise Data'!$B$20</f>
        <v>Technology Manager</v>
      </c>
      <c r="E37" s="1530" t="str">
        <f>'2.3 Enterprise Data'!$C$20</f>
        <v>-</v>
      </c>
      <c r="F37" s="1530" t="str">
        <f>'2.3 Enterprise Data'!$D$20</f>
        <v>-</v>
      </c>
      <c r="G37" s="1782" t="str">
        <f>'2.3 Enterprise Data'!$E$20</f>
        <v>-</v>
      </c>
      <c r="H37" s="1773">
        <f>'2.3 Enterprise Data'!$F$20</f>
        <v>2</v>
      </c>
      <c r="I37" s="1773">
        <f>'2.3 Enterprise Data'!$G$20</f>
        <v>2</v>
      </c>
      <c r="J37" s="1773">
        <f>'2.3 Enterprise Data'!$H$20</f>
        <v>0</v>
      </c>
      <c r="K37" s="1773">
        <f>'2.3 Enterprise Data'!$L$20</f>
        <v>2</v>
      </c>
      <c r="L37" s="1772" t="str">
        <f>'2.3 Enterprise Data'!$M$20</f>
        <v>-</v>
      </c>
      <c r="M37" s="1772">
        <f>'2.3 Enterprise Data'!$N$20</f>
        <v>0.65127875</v>
      </c>
      <c r="N37" s="1772" t="str">
        <f>'2.3 Enterprise Data'!$O$20</f>
        <v>-</v>
      </c>
      <c r="O37" s="1772">
        <f>'2.3 Enterprise Data'!$P$20</f>
        <v>0.65127875</v>
      </c>
    </row>
    <row r="38">
      <c r="B38" s="1534" t="inlineStr">
        <is>
          <t>Enterprise Data total</t>
        </is>
      </c>
      <c r="C38" s="1534" t="n"/>
      <c r="D38" s="1534" t="n"/>
      <c r="E38" s="1534" t="n"/>
      <c r="F38" s="1774" t="str">
        <f>"-"</f>
        <v>-</v>
      </c>
      <c r="G38" s="1783" t="str">
        <f>"-"</f>
        <v>-</v>
      </c>
      <c r="H38" s="1775">
        <f>SUM(H33:H37)</f>
        <v>28</v>
      </c>
      <c r="I38" s="1775">
        <f>SUM(I33:I37)</f>
        <v>19</v>
      </c>
      <c r="J38" s="1775">
        <f>SUM(J33:J37)</f>
        <v>9</v>
      </c>
      <c r="K38" s="1775">
        <f>SUM(K33:K37)</f>
        <v>28</v>
      </c>
      <c r="L38" s="1774" t="str">
        <f>"-"</f>
        <v>-</v>
      </c>
      <c r="M38" s="1774">
        <f>SUM(M33:M37)</f>
        <v>6.418403776</v>
      </c>
      <c r="N38" s="1774" t="str">
        <f>"-"</f>
        <v>-</v>
      </c>
      <c r="O38" s="1774">
        <f>SUM(O33:O37)</f>
        <v>6.418403776</v>
      </c>
    </row>
    <row r="39">
      <c r="B39" s="1530" t="inlineStr">
        <is>
          <t>TDD Group Functions</t>
        </is>
      </c>
      <c r="C39" s="1530" t="inlineStr">
        <is>
          <t>Archetype</t>
        </is>
      </c>
      <c r="D39" s="1530" t="str">
        <f>'2.4 TDD Group Functions'!$B$7</f>
        <v>Cloud, Network &amp; Infra Ops</v>
      </c>
      <c r="E39" s="1530" t="str">
        <f>'2.4 TDD Group Functions'!$C$7</f>
        <v>Operations</v>
      </c>
      <c r="F39" s="1530" t="str">
        <f>'2.4 TDD Group Functions'!$D$7</f>
        <v>M</v>
      </c>
      <c r="G39" s="1782">
        <f>'2.4 TDD Group Functions'!$E$7</f>
        <v>6</v>
      </c>
      <c r="H39" s="1773">
        <f>'2.4 TDD Group Functions'!$F$7</f>
        <v>12</v>
      </c>
      <c r="I39" s="1773">
        <f>'2.4 TDD Group Functions'!$G$7</f>
        <v>11</v>
      </c>
      <c r="J39" s="1773">
        <f>'2.4 TDD Group Functions'!$H$7</f>
        <v>1</v>
      </c>
      <c r="K39" s="1773">
        <f>'2.4 TDD Group Functions'!$L$7</f>
        <v>12</v>
      </c>
      <c r="L39" s="1772">
        <f>'2.4 TDD Group Functions'!$M$7</f>
        <v>1.4</v>
      </c>
      <c r="M39" s="1772">
        <f>'2.4 TDD Group Functions'!$N$7</f>
        <v>2.8267209564</v>
      </c>
      <c r="N39" s="1772">
        <f>'2.4 TDD Group Functions'!$O$7</f>
        <v>1.426721</v>
      </c>
      <c r="O39" s="1772">
        <f>'2.4 TDD Group Functions'!$P$7</f>
        <v>2.8267209564</v>
      </c>
    </row>
    <row r="40">
      <c r="B40" s="1530" t="inlineStr">
        <is>
          <t>TDD Group Functions</t>
        </is>
      </c>
      <c r="C40" s="1530" t="inlineStr">
        <is>
          <t>Archetype</t>
        </is>
      </c>
      <c r="D40" s="1530" t="str">
        <f>'2.4 TDD Group Functions'!$B$8</f>
        <v>DevOps &amp; QE</v>
      </c>
      <c r="E40" s="1530" t="str">
        <f>'2.4 TDD Group Functions'!$C$8</f>
        <v>Engineering</v>
      </c>
      <c r="F40" s="1530" t="str">
        <f>'2.4 TDD Group Functions'!$D$8</f>
        <v>S</v>
      </c>
      <c r="G40" s="1782">
        <f>'2.4 TDD Group Functions'!$E$8</f>
        <v>4.5</v>
      </c>
      <c r="H40" s="1773">
        <f>'2.4 TDD Group Functions'!$F$8</f>
        <v>8</v>
      </c>
      <c r="I40" s="1773">
        <f>'2.4 TDD Group Functions'!$G$8</f>
        <v>4</v>
      </c>
      <c r="J40" s="1773">
        <f>'2.4 TDD Group Functions'!$H$8</f>
        <v>4</v>
      </c>
      <c r="K40" s="1773">
        <f>'2.4 TDD Group Functions'!$L$8</f>
        <v>8</v>
      </c>
      <c r="L40" s="1772">
        <f>'2.4 TDD Group Functions'!$M$8</f>
        <v>0.8</v>
      </c>
      <c r="M40" s="1772">
        <f>'2.4 TDD Group Functions'!$N$8</f>
        <v>1.581591798</v>
      </c>
      <c r="N40" s="1772">
        <f>'2.4 TDD Group Functions'!$O$8</f>
        <v>0.781592</v>
      </c>
      <c r="O40" s="1772">
        <f>'2.4 TDD Group Functions'!$P$8</f>
        <v>1.581591798</v>
      </c>
    </row>
    <row r="41">
      <c r="B41" s="1530" t="inlineStr">
        <is>
          <t>TDD Group Functions</t>
        </is>
      </c>
      <c r="C41" s="1530" t="inlineStr">
        <is>
          <t>Archetype</t>
        </is>
      </c>
      <c r="D41" s="1530" t="str">
        <f>'2.4 TDD Group Functions'!$B$9</f>
        <v>Integration &amp; Process Automation</v>
      </c>
      <c r="E41" s="1530" t="str">
        <f>'2.4 TDD Group Functions'!$C$9</f>
        <v>Configuration / Integration</v>
      </c>
      <c r="F41" s="1530" t="str">
        <f>'2.4 TDD Group Functions'!$D$9</f>
        <v>M</v>
      </c>
      <c r="G41" s="1782">
        <f>'2.4 TDD Group Functions'!$E$9</f>
        <v>9</v>
      </c>
      <c r="H41" s="1773">
        <f>'2.4 TDD Group Functions'!$F$9</f>
        <v>10</v>
      </c>
      <c r="I41" s="1773">
        <f>'2.4 TDD Group Functions'!$G$9</f>
        <v>8</v>
      </c>
      <c r="J41" s="1773">
        <f>'2.4 TDD Group Functions'!$H$9</f>
        <v>2</v>
      </c>
      <c r="K41" s="1773">
        <f>'2.4 TDD Group Functions'!$L$9</f>
        <v>10</v>
      </c>
      <c r="L41" s="1772">
        <f>'2.4 TDD Group Functions'!$M$9</f>
        <v>2.1</v>
      </c>
      <c r="M41" s="1772">
        <f>'2.4 TDD Group Functions'!$N$9</f>
        <v>1.815247746</v>
      </c>
      <c r="N41" s="1772">
        <f>'2.4 TDD Group Functions'!$O$9</f>
        <v>-0.284752</v>
      </c>
      <c r="O41" s="1772">
        <f>'2.4 TDD Group Functions'!$P$9</f>
        <v>1.815247746</v>
      </c>
    </row>
    <row r="42">
      <c r="B42" s="1530" t="inlineStr">
        <is>
          <t>TDD Group Functions</t>
        </is>
      </c>
      <c r="C42" s="1530" t="inlineStr">
        <is>
          <t>Archetype</t>
        </is>
      </c>
      <c r="D42" s="1530" t="str">
        <f>'2.4 TDD Group Functions'!$B$10</f>
        <v>Workplace &amp; Enterprise Tooling</v>
      </c>
      <c r="E42" s="1530" t="str">
        <f>'2.4 TDD Group Functions'!$C$10</f>
        <v>Configuration / Integration</v>
      </c>
      <c r="F42" s="1530" t="str">
        <f>'2.4 TDD Group Functions'!$D$10</f>
        <v>S</v>
      </c>
      <c r="G42" s="1782">
        <f>'2.4 TDD Group Functions'!$E$10</f>
        <v>6</v>
      </c>
      <c r="H42" s="1773">
        <f>'2.4 TDD Group Functions'!$F$10</f>
        <v>6</v>
      </c>
      <c r="I42" s="1773">
        <f>'2.4 TDD Group Functions'!$G$10</f>
        <v>4</v>
      </c>
      <c r="J42" s="1773">
        <f>'2.4 TDD Group Functions'!$H$10</f>
        <v>2</v>
      </c>
      <c r="K42" s="1773">
        <f>'2.4 TDD Group Functions'!$L$10</f>
        <v>6</v>
      </c>
      <c r="L42" s="1772">
        <f>'2.4 TDD Group Functions'!$M$10</f>
        <v>1.4</v>
      </c>
      <c r="M42" s="1772">
        <f>'2.4 TDD Group Functions'!$N$10</f>
        <v>1.117329222</v>
      </c>
      <c r="N42" s="1772">
        <f>'2.4 TDD Group Functions'!$O$10</f>
        <v>-0.282671</v>
      </c>
      <c r="O42" s="1772">
        <f>'2.4 TDD Group Functions'!$P$10</f>
        <v>1.117329222</v>
      </c>
    </row>
    <row r="43">
      <c r="B43" s="1530" t="inlineStr">
        <is>
          <t>TDD Group Functions</t>
        </is>
      </c>
      <c r="C43" s="1530" t="inlineStr">
        <is>
          <t>Directly funded</t>
        </is>
      </c>
      <c r="D43" s="1530" t="str">
        <f>'2.4 TDD Group Functions'!$B$15</f>
        <v>EGI TDD</v>
      </c>
      <c r="E43" s="1530" t="str">
        <f>'2.4 TDD Group Functions'!$C$15</f>
        <v>Strategic Programs</v>
      </c>
      <c r="F43" s="1530" t="str">
        <f>'2.4 TDD Group Functions'!$D$15</f>
        <v>-</v>
      </c>
      <c r="G43" s="1782" t="str">
        <f>'2.4 TDD Group Functions'!$E$15</f>
        <v>-</v>
      </c>
      <c r="H43" s="1773">
        <f>'2.4 TDD Group Functions'!$F$15</f>
        <v>4</v>
      </c>
      <c r="I43" s="1773">
        <f>'2.4 TDD Group Functions'!$G$15</f>
        <v>4</v>
      </c>
      <c r="J43" s="1773">
        <f>'2.4 TDD Group Functions'!$H$15</f>
        <v>0</v>
      </c>
      <c r="K43" s="1773">
        <f>'2.4 TDD Group Functions'!$L$15</f>
        <v>4</v>
      </c>
      <c r="L43" s="1772">
        <f>'2.4 TDD Group Functions'!$M$15</f>
        <v>1.02484851</v>
      </c>
      <c r="M43" s="1772">
        <f>'2.4 TDD Group Functions'!$N$15</f>
        <v>1.02484851</v>
      </c>
      <c r="N43" s="1772">
        <f>'2.4 TDD Group Functions'!$O$15</f>
        <v>0</v>
      </c>
      <c r="O43" s="1772">
        <f>'2.4 TDD Group Functions'!$P$15</f>
        <v>1.02484851</v>
      </c>
    </row>
    <row r="44">
      <c r="B44" s="1530" t="inlineStr">
        <is>
          <t>TDD Group Functions</t>
        </is>
      </c>
      <c r="C44" s="1530" t="inlineStr">
        <is>
          <t>Overhead</t>
        </is>
      </c>
      <c r="D44" s="1530" t="str">
        <f>'2.4 TDD Group Functions'!$B$20</f>
        <v>Head of Technology</v>
      </c>
      <c r="E44" s="1530" t="str">
        <f>'2.4 TDD Group Functions'!$C$20</f>
        <v>-</v>
      </c>
      <c r="F44" s="1530" t="str">
        <f>'2.4 TDD Group Functions'!$D$20</f>
        <v>-</v>
      </c>
      <c r="G44" s="1782" t="str">
        <f>'2.4 TDD Group Functions'!$E$20</f>
        <v>-</v>
      </c>
      <c r="H44" s="1773">
        <f>'2.4 TDD Group Functions'!$F$20</f>
        <v>1</v>
      </c>
      <c r="I44" s="1773">
        <f>'2.4 TDD Group Functions'!$G$20</f>
        <v>0</v>
      </c>
      <c r="J44" s="1773">
        <f>'2.4 TDD Group Functions'!$H$20</f>
        <v>1</v>
      </c>
      <c r="K44" s="1773">
        <f>'2.4 TDD Group Functions'!$L$20</f>
        <v>1</v>
      </c>
      <c r="L44" s="1772" t="str">
        <f>'2.4 TDD Group Functions'!$M$20</f>
        <v>-</v>
      </c>
      <c r="M44" s="1772">
        <f>'2.4 TDD Group Functions'!$N$20</f>
        <v>0.33302025</v>
      </c>
      <c r="N44" s="1772" t="str">
        <f>'2.4 TDD Group Functions'!$O$20</f>
        <v>-</v>
      </c>
      <c r="O44" s="1772">
        <f>'2.4 TDD Group Functions'!$P$20</f>
        <v>0.33302025</v>
      </c>
    </row>
    <row r="45">
      <c r="B45" s="1530" t="inlineStr">
        <is>
          <t>TDD Group Functions</t>
        </is>
      </c>
      <c r="C45" s="1530" t="inlineStr">
        <is>
          <t>Overhead</t>
        </is>
      </c>
      <c r="D45" s="1530" t="str">
        <f>'2.4 TDD Group Functions'!$B$21</f>
        <v>Delivery Manager</v>
      </c>
      <c r="E45" s="1530" t="str">
        <f>'2.4 TDD Group Functions'!$C$21</f>
        <v>-</v>
      </c>
      <c r="F45" s="1530" t="str">
        <f>'2.4 TDD Group Functions'!$D$21</f>
        <v>-</v>
      </c>
      <c r="G45" s="1782" t="str">
        <f>'2.4 TDD Group Functions'!$E$21</f>
        <v>-</v>
      </c>
      <c r="H45" s="1773">
        <f>'2.4 TDD Group Functions'!$F$21</f>
        <v>1</v>
      </c>
      <c r="I45" s="1773">
        <f>'2.4 TDD Group Functions'!$G$21</f>
        <v>0</v>
      </c>
      <c r="J45" s="1773">
        <f>'2.4 TDD Group Functions'!$H$21</f>
        <v>1</v>
      </c>
      <c r="K45" s="1773">
        <f>'2.4 TDD Group Functions'!$L$21</f>
        <v>1</v>
      </c>
      <c r="L45" s="1772" t="str">
        <f>'2.4 TDD Group Functions'!$M$21</f>
        <v>-</v>
      </c>
      <c r="M45" s="1772">
        <f>'2.4 TDD Group Functions'!$N$21</f>
        <v>0.27581025</v>
      </c>
      <c r="N45" s="1772" t="str">
        <f>'2.4 TDD Group Functions'!$O$21</f>
        <v>-</v>
      </c>
      <c r="O45" s="1772">
        <f>'2.4 TDD Group Functions'!$P$21</f>
        <v>0.27581025</v>
      </c>
    </row>
    <row r="46">
      <c r="B46" s="1530" t="inlineStr">
        <is>
          <t>TDD Group Functions</t>
        </is>
      </c>
      <c r="C46" s="1530" t="inlineStr">
        <is>
          <t>Overhead</t>
        </is>
      </c>
      <c r="D46" s="1530" t="str">
        <f>'2.4 TDD Group Functions'!$B$22</f>
        <v>Technology Manager</v>
      </c>
      <c r="E46" s="1530" t="str">
        <f>'2.4 TDD Group Functions'!$C$22</f>
        <v>-</v>
      </c>
      <c r="F46" s="1530" t="str">
        <f>'2.4 TDD Group Functions'!$D$22</f>
        <v>-</v>
      </c>
      <c r="G46" s="1782" t="str">
        <f>'2.4 TDD Group Functions'!$E$22</f>
        <v>-</v>
      </c>
      <c r="H46" s="1773">
        <f>'2.4 TDD Group Functions'!$F$22</f>
        <v>4</v>
      </c>
      <c r="I46" s="1773">
        <f>'2.4 TDD Group Functions'!$G$22</f>
        <v>1</v>
      </c>
      <c r="J46" s="1773">
        <f>'2.4 TDD Group Functions'!$H$22</f>
        <v>3</v>
      </c>
      <c r="K46" s="1773">
        <f>'2.4 TDD Group Functions'!$L$22</f>
        <v>4</v>
      </c>
      <c r="L46" s="1772" t="str">
        <f>'2.4 TDD Group Functions'!$M$22</f>
        <v>-</v>
      </c>
      <c r="M46" s="1772">
        <f>'2.4 TDD Group Functions'!$N$22</f>
        <v>1.05666075</v>
      </c>
      <c r="N46" s="1772" t="str">
        <f>'2.4 TDD Group Functions'!$O$22</f>
        <v>-</v>
      </c>
      <c r="O46" s="1772">
        <f>'2.4 TDD Group Functions'!$P$22</f>
        <v>1.05666075</v>
      </c>
    </row>
    <row r="47">
      <c r="B47" s="1534" t="inlineStr">
        <is>
          <t>TDD Group Functions total</t>
        </is>
      </c>
      <c r="C47" s="1534" t="n"/>
      <c r="D47" s="1534" t="n"/>
      <c r="E47" s="1534" t="n"/>
      <c r="F47" s="1774" t="str">
        <f>"-"</f>
        <v>-</v>
      </c>
      <c r="G47" s="1783" t="str">
        <f>"-"</f>
        <v>-</v>
      </c>
      <c r="H47" s="1775">
        <f>SUM(H39:H46)</f>
        <v>46</v>
      </c>
      <c r="I47" s="1775">
        <f>SUM(I39:I46)</f>
        <v>32</v>
      </c>
      <c r="J47" s="1775">
        <f>SUM(J39:J46)</f>
        <v>14</v>
      </c>
      <c r="K47" s="1775">
        <f>SUM(K39:K46)</f>
        <v>46</v>
      </c>
      <c r="L47" s="1774" t="str">
        <f>"-"</f>
        <v>-</v>
      </c>
      <c r="M47" s="1774">
        <f>SUM(M39:M46)</f>
        <v>10.0312294824</v>
      </c>
      <c r="N47" s="1774" t="str">
        <f>"-"</f>
        <v>-</v>
      </c>
      <c r="O47" s="1774">
        <f>SUM(O39:O46)</f>
        <v>10.0312294824</v>
      </c>
    </row>
    <row r="48">
      <c r="B48" s="1530" t="inlineStr">
        <is>
          <t>P&amp;C</t>
        </is>
      </c>
      <c r="C48" s="1530" t="inlineStr">
        <is>
          <t>Archetype</t>
        </is>
      </c>
      <c r="D48" s="1530" t="str">
        <f>'2.5 P&amp;C'!$B$7</f>
        <v>P&amp;C</v>
      </c>
      <c r="E48" s="1530" t="str">
        <f>'2.5 P&amp;C'!$C$7</f>
        <v>Configuration / Integration</v>
      </c>
      <c r="F48" s="1530" t="str">
        <f>'2.5 P&amp;C'!$D$7</f>
        <v>M</v>
      </c>
      <c r="G48" s="1782">
        <f>'2.5 P&amp;C'!$E$7</f>
        <v>9</v>
      </c>
      <c r="H48" s="1773">
        <f>'2.5 P&amp;C'!$F$7</f>
        <v>8</v>
      </c>
      <c r="I48" s="1773">
        <f>'2.5 P&amp;C'!$G$7</f>
        <v>5</v>
      </c>
      <c r="J48" s="1773">
        <f>'2.5 P&amp;C'!$H$7</f>
        <v>3</v>
      </c>
      <c r="K48" s="1773">
        <f>'2.5 P&amp;C'!$L$7</f>
        <v>8</v>
      </c>
      <c r="L48" s="1772">
        <f>'2.5 P&amp;C'!$M$7</f>
        <v>2.1</v>
      </c>
      <c r="M48" s="1772">
        <f>'2.5 P&amp;C'!$N$7</f>
        <v>1.76551793</v>
      </c>
      <c r="N48" s="1772">
        <f>'2.5 P&amp;C'!$O$7</f>
        <v>-0.334482</v>
      </c>
      <c r="O48" s="1772">
        <f>'2.5 P&amp;C'!$P$7</f>
        <v>1.76551793</v>
      </c>
    </row>
    <row r="49">
      <c r="B49" s="1530" t="inlineStr">
        <is>
          <t>P&amp;C</t>
        </is>
      </c>
      <c r="C49" s="1530" t="inlineStr">
        <is>
          <t>Archetype</t>
        </is>
      </c>
      <c r="D49" s="1530" t="str">
        <f>'2.5 P&amp;C'!$B$8</f>
        <v>P&amp;C RTA</v>
      </c>
      <c r="E49" s="1530" t="str">
        <f>'2.5 P&amp;C'!$C$8</f>
        <v>Configuration / Integration</v>
      </c>
      <c r="F49" s="1530" t="str">
        <f>'2.5 P&amp;C'!$D$8</f>
        <v>S</v>
      </c>
      <c r="G49" s="1782">
        <f>'2.5 P&amp;C'!$E$8</f>
        <v>6</v>
      </c>
      <c r="H49" s="1773">
        <f>'2.5 P&amp;C'!$F$8</f>
        <v>6</v>
      </c>
      <c r="I49" s="1773">
        <f>'2.5 P&amp;C'!$G$8</f>
        <v>1</v>
      </c>
      <c r="J49" s="1773">
        <f>'2.5 P&amp;C'!$H$8</f>
        <v>5</v>
      </c>
      <c r="K49" s="1773">
        <f>'2.5 P&amp;C'!$L$8</f>
        <v>6</v>
      </c>
      <c r="L49" s="1772">
        <f>'2.5 P&amp;C'!$M$8</f>
        <v>1.4</v>
      </c>
      <c r="M49" s="1772">
        <f>'2.5 P&amp;C'!$N$8</f>
        <v>1.26408815</v>
      </c>
      <c r="N49" s="1772">
        <f>'2.5 P&amp;C'!$O$8</f>
        <v>-0.135912</v>
      </c>
      <c r="O49" s="1772">
        <f>'2.5 P&amp;C'!$P$8</f>
        <v>1.26408815</v>
      </c>
    </row>
    <row r="50">
      <c r="B50" s="1530" t="inlineStr">
        <is>
          <t>P&amp;C</t>
        </is>
      </c>
      <c r="C50" s="1530" t="inlineStr">
        <is>
          <t>Directly funded</t>
        </is>
      </c>
      <c r="D50" s="1530" t="str">
        <f>'2.5 P&amp;C'!$B$13</f>
        <v>EGI P&amp;C</v>
      </c>
      <c r="E50" s="1530" t="str">
        <f>'2.5 P&amp;C'!$C$13</f>
        <v>Strategic Programs</v>
      </c>
      <c r="F50" s="1530" t="str">
        <f>'2.5 P&amp;C'!$D$13</f>
        <v>-</v>
      </c>
      <c r="G50" s="1782" t="str">
        <f>'2.5 P&amp;C'!$E$13</f>
        <v>-</v>
      </c>
      <c r="H50" s="1773">
        <f>'2.5 P&amp;C'!$F$13</f>
        <v>1</v>
      </c>
      <c r="I50" s="1773">
        <f>'2.5 P&amp;C'!$G$13</f>
        <v>1</v>
      </c>
      <c r="J50" s="1773">
        <f>'2.5 P&amp;C'!$H$13</f>
        <v>0</v>
      </c>
      <c r="K50" s="1773">
        <f>'2.5 P&amp;C'!$L$13</f>
        <v>1</v>
      </c>
      <c r="L50" s="1772">
        <f>'2.5 P&amp;C'!$M$13</f>
        <v>0.238965</v>
      </c>
      <c r="M50" s="1772">
        <f>'2.5 P&amp;C'!$N$13</f>
        <v>0.238965</v>
      </c>
      <c r="N50" s="1772">
        <f>'2.5 P&amp;C'!$O$13</f>
        <v>0</v>
      </c>
      <c r="O50" s="1772">
        <f>'2.5 P&amp;C'!$P$13</f>
        <v>0.238965</v>
      </c>
    </row>
    <row r="51">
      <c r="B51" s="1530" t="inlineStr">
        <is>
          <t>P&amp;C</t>
        </is>
      </c>
      <c r="C51" s="1530" t="inlineStr">
        <is>
          <t>Overhead</t>
        </is>
      </c>
      <c r="D51" s="1530" t="str">
        <f>'2.5 P&amp;C'!$B$18</f>
        <v>Head of Technology</v>
      </c>
      <c r="E51" s="1530" t="str">
        <f>'2.5 P&amp;C'!$C$18</f>
        <v>-</v>
      </c>
      <c r="F51" s="1530" t="str">
        <f>'2.5 P&amp;C'!$D$18</f>
        <v>-</v>
      </c>
      <c r="G51" s="1782" t="str">
        <f>'2.5 P&amp;C'!$E$18</f>
        <v>-</v>
      </c>
      <c r="H51" s="1773">
        <f>'2.5 P&amp;C'!$F$18</f>
        <v>1</v>
      </c>
      <c r="I51" s="1773">
        <f>'2.5 P&amp;C'!$G$18</f>
        <v>1</v>
      </c>
      <c r="J51" s="1773">
        <f>'2.5 P&amp;C'!$H$18</f>
        <v>0</v>
      </c>
      <c r="K51" s="1773">
        <f>'2.5 P&amp;C'!$L$18</f>
        <v>1</v>
      </c>
      <c r="L51" s="1772" t="str">
        <f>'2.5 P&amp;C'!$M$18</f>
        <v>-</v>
      </c>
      <c r="M51" s="1772">
        <f>'2.5 P&amp;C'!$N$18</f>
        <v>0.3642493</v>
      </c>
      <c r="N51" s="1772" t="str">
        <f>'2.5 P&amp;C'!$O$18</f>
        <v>-</v>
      </c>
      <c r="O51" s="1772">
        <f>'2.5 P&amp;C'!$P$18</f>
        <v>0.3642493</v>
      </c>
    </row>
    <row r="52">
      <c r="B52" s="1530" t="inlineStr">
        <is>
          <t>P&amp;C</t>
        </is>
      </c>
      <c r="C52" s="1530" t="inlineStr">
        <is>
          <t>Overhead</t>
        </is>
      </c>
      <c r="D52" s="1530" t="str">
        <f>'2.5 P&amp;C'!$B$19</f>
        <v>Delivery Manager</v>
      </c>
      <c r="E52" s="1530" t="str">
        <f>'2.5 P&amp;C'!$C$19</f>
        <v>-</v>
      </c>
      <c r="F52" s="1530" t="str">
        <f>'2.5 P&amp;C'!$D$19</f>
        <v>-</v>
      </c>
      <c r="G52" s="1782" t="str">
        <f>'2.5 P&amp;C'!$E$19</f>
        <v>-</v>
      </c>
      <c r="H52" s="1773">
        <f>'2.5 P&amp;C'!$F$19</f>
        <v>1</v>
      </c>
      <c r="I52" s="1773">
        <f>'2.5 P&amp;C'!$G$19</f>
        <v>0</v>
      </c>
      <c r="J52" s="1773">
        <f>'2.5 P&amp;C'!$H$19</f>
        <v>1</v>
      </c>
      <c r="K52" s="1773">
        <f>'2.5 P&amp;C'!$L$19</f>
        <v>1</v>
      </c>
      <c r="L52" s="1772" t="str">
        <f>'2.5 P&amp;C'!$M$19</f>
        <v>-</v>
      </c>
      <c r="M52" s="1772">
        <f>'2.5 P&amp;C'!$N$19</f>
        <v>0.27581025</v>
      </c>
      <c r="N52" s="1772" t="str">
        <f>'2.5 P&amp;C'!$O$19</f>
        <v>-</v>
      </c>
      <c r="O52" s="1772">
        <f>'2.5 P&amp;C'!$P$19</f>
        <v>0.27581025</v>
      </c>
    </row>
    <row r="53">
      <c r="B53" s="1530" t="inlineStr">
        <is>
          <t>P&amp;C</t>
        </is>
      </c>
      <c r="C53" s="1530" t="inlineStr">
        <is>
          <t>Overhead</t>
        </is>
      </c>
      <c r="D53" s="1530" t="str">
        <f>'2.5 P&amp;C'!$B$20</f>
        <v>Technology Manager</v>
      </c>
      <c r="E53" s="1530" t="str">
        <f>'2.5 P&amp;C'!$C$20</f>
        <v>-</v>
      </c>
      <c r="F53" s="1530" t="str">
        <f>'2.5 P&amp;C'!$D$20</f>
        <v>-</v>
      </c>
      <c r="G53" s="1782" t="str">
        <f>'2.5 P&amp;C'!$E$20</f>
        <v>-</v>
      </c>
      <c r="H53" s="1773">
        <f>'2.5 P&amp;C'!$F$20</f>
        <v>1</v>
      </c>
      <c r="I53" s="1773">
        <f>'2.5 P&amp;C'!$G$20</f>
        <v>0</v>
      </c>
      <c r="J53" s="1773">
        <f>'2.5 P&amp;C'!$H$20</f>
        <v>1</v>
      </c>
      <c r="K53" s="1773">
        <f>'2.5 P&amp;C'!$L$20</f>
        <v>1</v>
      </c>
      <c r="L53" s="1772" t="str">
        <f>'2.5 P&amp;C'!$M$20</f>
        <v>-</v>
      </c>
      <c r="M53" s="1772">
        <f>'2.5 P&amp;C'!$N$20</f>
        <v>0.27581025</v>
      </c>
      <c r="N53" s="1772" t="str">
        <f>'2.5 P&amp;C'!$O$20</f>
        <v>-</v>
      </c>
      <c r="O53" s="1772">
        <f>'2.5 P&amp;C'!$P$20</f>
        <v>0.27581025</v>
      </c>
    </row>
    <row r="54">
      <c r="B54" s="1534" t="inlineStr">
        <is>
          <t>P&amp;C total</t>
        </is>
      </c>
      <c r="C54" s="1534" t="n"/>
      <c r="D54" s="1534" t="n"/>
      <c r="E54" s="1534" t="n"/>
      <c r="F54" s="1774" t="str">
        <f>"-"</f>
        <v>-</v>
      </c>
      <c r="G54" s="1783" t="str">
        <f>"-"</f>
        <v>-</v>
      </c>
      <c r="H54" s="1775">
        <f>SUM(H48:H53)</f>
        <v>18</v>
      </c>
      <c r="I54" s="1775">
        <f>SUM(I48:I53)</f>
        <v>8</v>
      </c>
      <c r="J54" s="1775">
        <f>SUM(J48:J53)</f>
        <v>10</v>
      </c>
      <c r="K54" s="1775">
        <f>SUM(K48:K53)</f>
        <v>18</v>
      </c>
      <c r="L54" s="1774" t="str">
        <f>"-"</f>
        <v>-</v>
      </c>
      <c r="M54" s="1774">
        <f>SUM(M48:M53)</f>
        <v>4.18444088</v>
      </c>
      <c r="N54" s="1774" t="str">
        <f>"-"</f>
        <v>-</v>
      </c>
      <c r="O54" s="1774">
        <f>SUM(O48:O53)</f>
        <v>4.18444088</v>
      </c>
    </row>
    <row r="55">
      <c r="B55" s="1530" t="inlineStr">
        <is>
          <t>Finance</t>
        </is>
      </c>
      <c r="C55" s="1530" t="inlineStr">
        <is>
          <t>Archetype</t>
        </is>
      </c>
      <c r="D55" s="1530" t="str">
        <f>'2.6 Finance'!$B$7</f>
        <v>NZ Finance</v>
      </c>
      <c r="E55" s="1530" t="str">
        <f>'2.6 Finance'!$C$7</f>
        <v>Configuration / Integration</v>
      </c>
      <c r="F55" s="1530" t="str">
        <f>'2.6 Finance'!$D$7</f>
        <v>S</v>
      </c>
      <c r="G55" s="1782">
        <f>'2.6 Finance'!$E$7</f>
        <v>6</v>
      </c>
      <c r="H55" s="1773">
        <f>'2.6 Finance'!$F$7</f>
        <v>5</v>
      </c>
      <c r="I55" s="1773">
        <f>'2.6 Finance'!$G$7</f>
        <v>4</v>
      </c>
      <c r="J55" s="1773">
        <f>'2.6 Finance'!$H$7</f>
        <v>1</v>
      </c>
      <c r="K55" s="1773">
        <f>'2.6 Finance'!$L$7</f>
        <v>5</v>
      </c>
      <c r="L55" s="1772">
        <f>'2.6 Finance'!$M$7</f>
        <v>1.4</v>
      </c>
      <c r="M55" s="1772">
        <f>'2.6 Finance'!$N$7</f>
        <v>0.905141646</v>
      </c>
      <c r="N55" s="1772">
        <f>'2.6 Finance'!$O$7</f>
        <v>-0.494858</v>
      </c>
      <c r="O55" s="1772">
        <f>'2.6 Finance'!$P$7</f>
        <v>0.905141646</v>
      </c>
    </row>
    <row r="56">
      <c r="B56" s="1530" t="inlineStr">
        <is>
          <t>Finance</t>
        </is>
      </c>
      <c r="C56" s="1530" t="inlineStr">
        <is>
          <t>Archetype</t>
        </is>
      </c>
      <c r="D56" s="1530" t="str">
        <f>'2.6 Finance'!$B$8</f>
        <v>SAP ERP</v>
      </c>
      <c r="E56" s="1530" t="str">
        <f>'2.6 Finance'!$C$8</f>
        <v>Configuration / Integration</v>
      </c>
      <c r="F56" s="1530" t="str">
        <f>'2.6 Finance'!$D$8</f>
        <v>S</v>
      </c>
      <c r="G56" s="1782">
        <f>'2.6 Finance'!$E$8</f>
        <v>6</v>
      </c>
      <c r="H56" s="1773">
        <f>'2.6 Finance'!$F$8</f>
        <v>10</v>
      </c>
      <c r="I56" s="1773">
        <f>'2.6 Finance'!$G$8</f>
        <v>3</v>
      </c>
      <c r="J56" s="1773">
        <f>'2.6 Finance'!$H$8</f>
        <v>7</v>
      </c>
      <c r="K56" s="1773">
        <f>'2.6 Finance'!$L$8</f>
        <v>10</v>
      </c>
      <c r="L56" s="1772">
        <f>'2.6 Finance'!$M$8</f>
        <v>1.4</v>
      </c>
      <c r="M56" s="1772">
        <f>'2.6 Finance'!$N$8</f>
        <v>2.37418557</v>
      </c>
      <c r="N56" s="1772">
        <f>'2.6 Finance'!$O$8</f>
        <v>0.974186</v>
      </c>
      <c r="O56" s="1772">
        <f>'2.6 Finance'!$P$8</f>
        <v>2.37418557</v>
      </c>
    </row>
    <row r="57">
      <c r="B57" s="1530" t="inlineStr">
        <is>
          <t>Finance</t>
        </is>
      </c>
      <c r="C57" s="1530" t="inlineStr">
        <is>
          <t>Directly funded</t>
        </is>
      </c>
      <c r="D57" s="1530" t="str">
        <f>'2.6 Finance'!$B$13</f>
        <v>EGI Finance</v>
      </c>
      <c r="E57" s="1530" t="str">
        <f>'2.6 Finance'!$C$13</f>
        <v>Strategic Programs</v>
      </c>
      <c r="F57" s="1530" t="str">
        <f>'2.6 Finance'!$D$13</f>
        <v>-</v>
      </c>
      <c r="G57" s="1782" t="str">
        <f>'2.6 Finance'!$E$13</f>
        <v>-</v>
      </c>
      <c r="H57" s="1773">
        <f>'2.6 Finance'!$F$13</f>
        <v>1</v>
      </c>
      <c r="I57" s="1773">
        <f>'2.6 Finance'!$G$13</f>
        <v>1</v>
      </c>
      <c r="J57" s="1773">
        <f>'2.6 Finance'!$H$13</f>
        <v>0</v>
      </c>
      <c r="K57" s="1773">
        <f>'2.6 Finance'!$L$13</f>
        <v>1</v>
      </c>
      <c r="L57" s="1772">
        <f>'2.6 Finance'!$M$13</f>
        <v>0.24172845</v>
      </c>
      <c r="M57" s="1772">
        <f>'2.6 Finance'!$N$13</f>
        <v>0.24172845</v>
      </c>
      <c r="N57" s="1772">
        <f>'2.6 Finance'!$O$13</f>
        <v>0</v>
      </c>
      <c r="O57" s="1772">
        <f>'2.6 Finance'!$P$13</f>
        <v>0.24172845</v>
      </c>
    </row>
    <row r="58">
      <c r="B58" s="1530" t="inlineStr">
        <is>
          <t>Finance</t>
        </is>
      </c>
      <c r="C58" s="1530" t="inlineStr">
        <is>
          <t>Overhead</t>
        </is>
      </c>
      <c r="D58" s="1530" t="str">
        <f>'2.6 Finance'!$B$18</f>
        <v>Technology Manager</v>
      </c>
      <c r="E58" s="1530" t="str">
        <f>'2.6 Finance'!$C$18</f>
        <v>-</v>
      </c>
      <c r="F58" s="1530" t="str">
        <f>'2.6 Finance'!$D$18</f>
        <v>-</v>
      </c>
      <c r="G58" s="1782" t="str">
        <f>'2.6 Finance'!$E$18</f>
        <v>-</v>
      </c>
      <c r="H58" s="1773">
        <f>'2.6 Finance'!$F$18</f>
        <v>1</v>
      </c>
      <c r="I58" s="1773">
        <f>'2.6 Finance'!$G$18</f>
        <v>1</v>
      </c>
      <c r="J58" s="1773">
        <f>'2.6 Finance'!$H$18</f>
        <v>0</v>
      </c>
      <c r="K58" s="1773">
        <f>'2.6 Finance'!$L$18</f>
        <v>1</v>
      </c>
      <c r="L58" s="1772" t="str">
        <f>'2.6 Finance'!$M$18</f>
        <v>-</v>
      </c>
      <c r="M58" s="1772">
        <f>'2.6 Finance'!$N$18</f>
        <v>0.32356045</v>
      </c>
      <c r="N58" s="1772" t="str">
        <f>'2.6 Finance'!$O$18</f>
        <v>-</v>
      </c>
      <c r="O58" s="1772">
        <f>'2.6 Finance'!$P$18</f>
        <v>0.32356045</v>
      </c>
    </row>
    <row r="59">
      <c r="B59" s="1534" t="inlineStr">
        <is>
          <t>Finance total</t>
        </is>
      </c>
      <c r="C59" s="1534" t="n"/>
      <c r="D59" s="1534" t="n"/>
      <c r="E59" s="1534" t="n"/>
      <c r="F59" s="1774" t="str">
        <f>"-"</f>
        <v>-</v>
      </c>
      <c r="G59" s="1783" t="str">
        <f>"-"</f>
        <v>-</v>
      </c>
      <c r="H59" s="1775">
        <f>SUM(H55:H58)</f>
        <v>17</v>
      </c>
      <c r="I59" s="1775">
        <f>SUM(I55:I58)</f>
        <v>9</v>
      </c>
      <c r="J59" s="1775">
        <f>SUM(J55:J58)</f>
        <v>8</v>
      </c>
      <c r="K59" s="1775">
        <f>SUM(K55:K58)</f>
        <v>17</v>
      </c>
      <c r="L59" s="1774" t="str">
        <f>"-"</f>
        <v>-</v>
      </c>
      <c r="M59" s="1774">
        <f>SUM(M55:M58)</f>
        <v>3.844616116</v>
      </c>
      <c r="N59" s="1774" t="str">
        <f>"-"</f>
        <v>-</v>
      </c>
      <c r="O59" s="1774">
        <f>SUM(O55:O58)</f>
        <v>3.844616116</v>
      </c>
    </row>
    <row r="60">
      <c r="B60" s="1530" t="inlineStr">
        <is>
          <t>Infrastructure</t>
        </is>
      </c>
      <c r="C60" s="1530" t="inlineStr">
        <is>
          <t>Archetype</t>
        </is>
      </c>
      <c r="D60" s="1530" t="str">
        <f>'2.7 Infrastructure'!$B$7</f>
        <v>Data &amp; Insights</v>
      </c>
      <c r="E60" s="1530" t="str">
        <f>'2.7 Infrastructure'!$C$7</f>
        <v>Configuration / Integration</v>
      </c>
      <c r="F60" s="1530" t="str">
        <f>'2.7 Infrastructure'!$D$7</f>
        <v>S</v>
      </c>
      <c r="G60" s="1782">
        <f>'2.7 Infrastructure'!$E$7</f>
        <v>6</v>
      </c>
      <c r="H60" s="1773">
        <f>'2.7 Infrastructure'!$F$7</f>
        <v>7</v>
      </c>
      <c r="I60" s="1773">
        <f>'2.7 Infrastructure'!$G$7</f>
        <v>2</v>
      </c>
      <c r="J60" s="1773">
        <f>'2.7 Infrastructure'!$H$7</f>
        <v>5</v>
      </c>
      <c r="K60" s="1773">
        <f>'2.7 Infrastructure'!$L$7</f>
        <v>7</v>
      </c>
      <c r="L60" s="1772">
        <f>'2.7 Infrastructure'!$M$7</f>
        <v>1.4</v>
      </c>
      <c r="M60" s="1772">
        <f>'2.7 Infrastructure'!$N$7</f>
        <v>1.51725675</v>
      </c>
      <c r="N60" s="1772">
        <f>'2.7 Infrastructure'!$O$7</f>
        <v>0.117257</v>
      </c>
      <c r="O60" s="1772">
        <f>'2.7 Infrastructure'!$P$7</f>
        <v>1.51725675</v>
      </c>
    </row>
    <row r="61">
      <c r="B61" s="1530" t="inlineStr">
        <is>
          <t>Infrastructure</t>
        </is>
      </c>
      <c r="C61" s="1530" t="inlineStr">
        <is>
          <t>Archetype</t>
        </is>
      </c>
      <c r="D61" s="1530" t="str">
        <f>'2.7 Infrastructure'!$B$8</f>
        <v>Distribution, Sales &amp; Services</v>
      </c>
      <c r="E61" s="1530" t="str">
        <f>'2.7 Infrastructure'!$C$8</f>
        <v>Configuration / Integration</v>
      </c>
      <c r="F61" s="1530" t="str">
        <f>'2.7 Infrastructure'!$D$8</f>
        <v>M</v>
      </c>
      <c r="G61" s="1782">
        <f>'2.7 Infrastructure'!$E$8</f>
        <v>9</v>
      </c>
      <c r="H61" s="1773">
        <f>'2.7 Infrastructure'!$F$8</f>
        <v>10</v>
      </c>
      <c r="I61" s="1773">
        <f>'2.7 Infrastructure'!$G$8</f>
        <v>8</v>
      </c>
      <c r="J61" s="1773">
        <f>'2.7 Infrastructure'!$H$8</f>
        <v>2</v>
      </c>
      <c r="K61" s="1773">
        <f>'2.7 Infrastructure'!$L$8</f>
        <v>10</v>
      </c>
      <c r="L61" s="1772">
        <f>'2.7 Infrastructure'!$M$8</f>
        <v>2.1</v>
      </c>
      <c r="M61" s="1772">
        <f>'2.7 Infrastructure'!$N$8</f>
        <v>2.12727365</v>
      </c>
      <c r="N61" s="1772">
        <f>'2.7 Infrastructure'!$O$8</f>
        <v>0.027274</v>
      </c>
      <c r="O61" s="1772">
        <f>'2.7 Infrastructure'!$P$8</f>
        <v>2.12727365</v>
      </c>
    </row>
    <row r="62">
      <c r="B62" s="1530" t="inlineStr">
        <is>
          <t>Infrastructure</t>
        </is>
      </c>
      <c r="C62" s="1530" t="inlineStr">
        <is>
          <t>Archetype</t>
        </is>
      </c>
      <c r="D62" s="1530" t="str">
        <f>'2.7 Infrastructure'!$B$9</f>
        <v>Manufacturing Group Projects</v>
      </c>
      <c r="E62" s="1530" t="str">
        <f>'2.7 Infrastructure'!$C$9</f>
        <v>Configuration / Integration</v>
      </c>
      <c r="F62" s="1530" t="str">
        <f>'2.7 Infrastructure'!$D$9</f>
        <v>M</v>
      </c>
      <c r="G62" s="1782">
        <f>'2.7 Infrastructure'!$E$9</f>
        <v>9</v>
      </c>
      <c r="H62" s="1773">
        <f>'2.7 Infrastructure'!$F$9</f>
        <v>9</v>
      </c>
      <c r="I62" s="1773">
        <f>'2.7 Infrastructure'!$G$9</f>
        <v>7</v>
      </c>
      <c r="J62" s="1773">
        <f>'2.7 Infrastructure'!$H$9</f>
        <v>2</v>
      </c>
      <c r="K62" s="1773">
        <f>'2.7 Infrastructure'!$L$9</f>
        <v>9</v>
      </c>
      <c r="L62" s="1772">
        <f>'2.7 Infrastructure'!$M$9</f>
        <v>2.1</v>
      </c>
      <c r="M62" s="1772">
        <f>'2.7 Infrastructure'!$N$9</f>
        <v>1.9147733</v>
      </c>
      <c r="N62" s="1772">
        <f>'2.7 Infrastructure'!$O$9</f>
        <v>-0.185227</v>
      </c>
      <c r="O62" s="1772">
        <f>'2.7 Infrastructure'!$P$9</f>
        <v>1.9147733</v>
      </c>
    </row>
    <row r="63">
      <c r="B63" s="1530" t="inlineStr">
        <is>
          <t>Infrastructure</t>
        </is>
      </c>
      <c r="C63" s="1530" t="inlineStr">
        <is>
          <t>Archetype</t>
        </is>
      </c>
      <c r="D63" s="1530" t="str">
        <f>'2.7 Infrastructure'!$B$10</f>
        <v>Technology Support</v>
      </c>
      <c r="E63" s="1530" t="str">
        <f>'2.7 Infrastructure'!$C$10</f>
        <v>Operations</v>
      </c>
      <c r="F63" s="1530" t="str">
        <f>'2.7 Infrastructure'!$D$10</f>
        <v>S</v>
      </c>
      <c r="G63" s="1782">
        <f>'2.7 Infrastructure'!$E$10</f>
        <v>4</v>
      </c>
      <c r="H63" s="1773">
        <f>'2.7 Infrastructure'!$F$10</f>
        <v>5</v>
      </c>
      <c r="I63" s="1773">
        <f>'2.7 Infrastructure'!$G$10</f>
        <v>5</v>
      </c>
      <c r="J63" s="1773">
        <f>'2.7 Infrastructure'!$H$10</f>
        <v>0</v>
      </c>
      <c r="K63" s="1773">
        <f>'2.7 Infrastructure'!$L$10</f>
        <v>5</v>
      </c>
      <c r="L63" s="1772">
        <f>'2.7 Infrastructure'!$M$10</f>
        <v>0.8</v>
      </c>
      <c r="M63" s="1772">
        <f>'2.7 Infrastructure'!$N$10</f>
        <v>0.74133529</v>
      </c>
      <c r="N63" s="1772">
        <f>'2.7 Infrastructure'!$O$10</f>
        <v>-0.058665</v>
      </c>
      <c r="O63" s="1772">
        <f>'2.7 Infrastructure'!$P$10</f>
        <v>0.74133529</v>
      </c>
    </row>
    <row r="64">
      <c r="B64" s="1530" t="inlineStr">
        <is>
          <t>Infrastructure</t>
        </is>
      </c>
      <c r="C64" s="1530" t="inlineStr">
        <is>
          <t>Directly funded</t>
        </is>
      </c>
      <c r="D64" s="1530" t="str">
        <f>'2.7 Infrastructure'!$B$15</f>
        <v>Leadership</v>
      </c>
      <c r="E64" s="1530" t="str">
        <f>'2.7 Infrastructure'!$C$15</f>
        <v>Not on the 1.x tab</v>
      </c>
      <c r="F64" s="1530" t="str">
        <f>'2.7 Infrastructure'!$D$15</f>
        <v>-</v>
      </c>
      <c r="G64" s="1782" t="str">
        <f>'2.7 Infrastructure'!$E$15</f>
        <v>-</v>
      </c>
      <c r="H64" s="1773">
        <f>'2.7 Infrastructure'!$F$15</f>
        <v>1</v>
      </c>
      <c r="I64" s="1773">
        <f>'2.7 Infrastructure'!$G$15</f>
        <v>1</v>
      </c>
      <c r="J64" s="1773">
        <f>'2.7 Infrastructure'!$H$15</f>
        <v>0</v>
      </c>
      <c r="K64" s="1773">
        <f>'2.7 Infrastructure'!$L$15</f>
        <v>1</v>
      </c>
      <c r="L64" s="1772" t="str">
        <f>'2.7 Infrastructure'!$M$15</f>
        <v>-</v>
      </c>
      <c r="M64" s="1772">
        <f>'2.7 Infrastructure'!$N$15</f>
        <v>0.2566671</v>
      </c>
      <c r="N64" s="1772" t="str">
        <f>'2.7 Infrastructure'!$O$15</f>
        <v>-</v>
      </c>
      <c r="O64" s="1772">
        <f>'2.7 Infrastructure'!$P$15</f>
        <v>0.2566671</v>
      </c>
    </row>
    <row r="65">
      <c r="B65" s="1530" t="inlineStr">
        <is>
          <t>Infrastructure</t>
        </is>
      </c>
      <c r="C65" s="1530" t="inlineStr">
        <is>
          <t>Overhead</t>
        </is>
      </c>
      <c r="D65" s="1530" t="str">
        <f>'2.7 Infrastructure'!$B$20</f>
        <v>Head of Technology</v>
      </c>
      <c r="E65" s="1530" t="str">
        <f>'2.7 Infrastructure'!$C$20</f>
        <v>-</v>
      </c>
      <c r="F65" s="1530" t="str">
        <f>'2.7 Infrastructure'!$D$20</f>
        <v>-</v>
      </c>
      <c r="G65" s="1782" t="str">
        <f>'2.7 Infrastructure'!$E$20</f>
        <v>-</v>
      </c>
      <c r="H65" s="1773">
        <f>'2.7 Infrastructure'!$F$20</f>
        <v>1</v>
      </c>
      <c r="I65" s="1773">
        <f>'2.7 Infrastructure'!$G$20</f>
        <v>1</v>
      </c>
      <c r="J65" s="1773">
        <f>'2.7 Infrastructure'!$H$20</f>
        <v>0</v>
      </c>
      <c r="K65" s="1773">
        <f>'2.7 Infrastructure'!$L$20</f>
        <v>1</v>
      </c>
      <c r="L65" s="1772" t="str">
        <f>'2.7 Infrastructure'!$M$20</f>
        <v>-</v>
      </c>
      <c r="M65" s="1772">
        <f>'2.7 Infrastructure'!$N$20</f>
        <v>0.3636267</v>
      </c>
      <c r="N65" s="1772" t="str">
        <f>'2.7 Infrastructure'!$O$20</f>
        <v>-</v>
      </c>
      <c r="O65" s="1772">
        <f>'2.7 Infrastructure'!$P$20</f>
        <v>0.3636267</v>
      </c>
    </row>
    <row r="66">
      <c r="B66" s="1530" t="inlineStr">
        <is>
          <t>Infrastructure</t>
        </is>
      </c>
      <c r="C66" s="1530" t="inlineStr">
        <is>
          <t>Overhead</t>
        </is>
      </c>
      <c r="D66" s="1530" t="str">
        <f>'2.7 Infrastructure'!$B$21</f>
        <v>Delivery Manager</v>
      </c>
      <c r="E66" s="1530" t="str">
        <f>'2.7 Infrastructure'!$C$21</f>
        <v>-</v>
      </c>
      <c r="F66" s="1530" t="str">
        <f>'2.7 Infrastructure'!$D$21</f>
        <v>-</v>
      </c>
      <c r="G66" s="1782" t="str">
        <f>'2.7 Infrastructure'!$E$21</f>
        <v>-</v>
      </c>
      <c r="H66" s="1773">
        <f>'2.7 Infrastructure'!$F$21</f>
        <v>1</v>
      </c>
      <c r="I66" s="1773">
        <f>'2.7 Infrastructure'!$G$21</f>
        <v>0</v>
      </c>
      <c r="J66" s="1773">
        <f>'2.7 Infrastructure'!$H$21</f>
        <v>1</v>
      </c>
      <c r="K66" s="1773">
        <f>'2.7 Infrastructure'!$L$21</f>
        <v>1</v>
      </c>
      <c r="L66" s="1772" t="str">
        <f>'2.7 Infrastructure'!$M$21</f>
        <v>-</v>
      </c>
      <c r="M66" s="1772">
        <f>'2.7 Infrastructure'!$N$21</f>
        <v>0.27581025</v>
      </c>
      <c r="N66" s="1772" t="str">
        <f>'2.7 Infrastructure'!$O$21</f>
        <v>-</v>
      </c>
      <c r="O66" s="1772">
        <f>'2.7 Infrastructure'!$P$21</f>
        <v>0.27581025</v>
      </c>
    </row>
    <row r="67">
      <c r="B67" s="1530" t="inlineStr">
        <is>
          <t>Infrastructure</t>
        </is>
      </c>
      <c r="C67" s="1530" t="inlineStr">
        <is>
          <t>Overhead</t>
        </is>
      </c>
      <c r="D67" s="1530" t="str">
        <f>'2.7 Infrastructure'!$B$22</f>
        <v>Technology Manager</v>
      </c>
      <c r="E67" s="1530" t="str">
        <f>'2.7 Infrastructure'!$C$22</f>
        <v>-</v>
      </c>
      <c r="F67" s="1530" t="str">
        <f>'2.7 Infrastructure'!$D$22</f>
        <v>-</v>
      </c>
      <c r="G67" s="1782" t="str">
        <f>'2.7 Infrastructure'!$E$22</f>
        <v>-</v>
      </c>
      <c r="H67" s="1773">
        <f>'2.7 Infrastructure'!$F$22</f>
        <v>2</v>
      </c>
      <c r="I67" s="1773">
        <f>'2.7 Infrastructure'!$G$22</f>
        <v>0</v>
      </c>
      <c r="J67" s="1773">
        <f>'2.7 Infrastructure'!$H$22</f>
        <v>2</v>
      </c>
      <c r="K67" s="1773">
        <f>'2.7 Infrastructure'!$L$22</f>
        <v>2</v>
      </c>
      <c r="L67" s="1772" t="str">
        <f>'2.7 Infrastructure'!$M$22</f>
        <v>-</v>
      </c>
      <c r="M67" s="1772">
        <f>'2.7 Infrastructure'!$N$22</f>
        <v>0.5516205</v>
      </c>
      <c r="N67" s="1772" t="str">
        <f>'2.7 Infrastructure'!$O$22</f>
        <v>-</v>
      </c>
      <c r="O67" s="1772">
        <f>'2.7 Infrastructure'!$P$22</f>
        <v>0.5516205</v>
      </c>
    </row>
    <row r="68">
      <c r="B68" s="1534" t="inlineStr">
        <is>
          <t>Infrastructure total</t>
        </is>
      </c>
      <c r="C68" s="1534" t="n"/>
      <c r="D68" s="1534" t="n"/>
      <c r="E68" s="1534" t="n"/>
      <c r="F68" s="1774" t="str">
        <f>"-"</f>
        <v>-</v>
      </c>
      <c r="G68" s="1783" t="str">
        <f>"-"</f>
        <v>-</v>
      </c>
      <c r="H68" s="1775">
        <f>SUM(H60:H67)</f>
        <v>36</v>
      </c>
      <c r="I68" s="1775">
        <f>SUM(I60:I67)</f>
        <v>24</v>
      </c>
      <c r="J68" s="1775">
        <f>SUM(J60:J67)</f>
        <v>12</v>
      </c>
      <c r="K68" s="1775">
        <f>SUM(K60:K67)</f>
        <v>36</v>
      </c>
      <c r="L68" s="1774" t="str">
        <f>"-"</f>
        <v>-</v>
      </c>
      <c r="M68" s="1774">
        <f>SUM(M60:M67)</f>
        <v>7.74836354</v>
      </c>
      <c r="N68" s="1774" t="str">
        <f>"-"</f>
        <v>-</v>
      </c>
      <c r="O68" s="1774">
        <f>SUM(O60:O67)</f>
        <v>7.74836354</v>
      </c>
    </row>
    <row r="69">
      <c r="B69" s="1530" t="inlineStr">
        <is>
          <t>Energy Solutions &amp; B2B</t>
        </is>
      </c>
      <c r="C69" s="1530" t="inlineStr">
        <is>
          <t>Archetype</t>
        </is>
      </c>
      <c r="D69" s="1530" t="str">
        <f>'2.8 Energy Solutions &amp; B2B'!$B$7</f>
        <v>B2B</v>
      </c>
      <c r="E69" s="1530" t="str">
        <f>'2.8 Energy Solutions &amp; B2B'!$C$7</f>
        <v>Configuration / Integration</v>
      </c>
      <c r="F69" s="1530" t="str">
        <f>'2.8 Energy Solutions &amp; B2B'!$D$7</f>
        <v>L</v>
      </c>
      <c r="G69" s="1782">
        <f>'2.8 Energy Solutions &amp; B2B'!$E$7</f>
        <v>14</v>
      </c>
      <c r="H69" s="1773">
        <f>'2.8 Energy Solutions &amp; B2B'!$F$7</f>
        <v>14</v>
      </c>
      <c r="I69" s="1773">
        <f>'2.8 Energy Solutions &amp; B2B'!$G$7</f>
        <v>11</v>
      </c>
      <c r="J69" s="1773">
        <f>'2.8 Energy Solutions &amp; B2B'!$H$7</f>
        <v>3</v>
      </c>
      <c r="K69" s="1773">
        <f>'2.8 Energy Solutions &amp; B2B'!$L$7</f>
        <v>14</v>
      </c>
      <c r="L69" s="1772">
        <f>'2.8 Energy Solutions &amp; B2B'!$M$7</f>
        <v>3.2</v>
      </c>
      <c r="M69" s="1772">
        <f>'2.8 Energy Solutions &amp; B2B'!$N$7</f>
        <v>2.59351107</v>
      </c>
      <c r="N69" s="1772">
        <f>'2.8 Energy Solutions &amp; B2B'!$O$7</f>
        <v>-0.606489</v>
      </c>
      <c r="O69" s="1772">
        <f>'2.8 Energy Solutions &amp; B2B'!$P$7</f>
        <v>2.59351107</v>
      </c>
    </row>
    <row r="70">
      <c r="B70" s="1530" t="inlineStr">
        <is>
          <t>Energy Solutions &amp; B2B</t>
        </is>
      </c>
      <c r="C70" s="1530" t="inlineStr">
        <is>
          <t>Archetype</t>
        </is>
      </c>
      <c r="D70" s="1530" t="str">
        <f>'2.8 Energy Solutions &amp; B2B'!$B$8</f>
        <v>EVCI</v>
      </c>
      <c r="E70" s="1530" t="str">
        <f>'2.8 Energy Solutions &amp; B2B'!$C$8</f>
        <v>Engineering</v>
      </c>
      <c r="F70" s="1530" t="str">
        <f>'2.8 Energy Solutions &amp; B2B'!$D$8</f>
        <v>M</v>
      </c>
      <c r="G70" s="1782">
        <f>'2.8 Energy Solutions &amp; B2B'!$E$8</f>
        <v>9</v>
      </c>
      <c r="H70" s="1773">
        <f>'2.8 Energy Solutions &amp; B2B'!$F$8</f>
        <v>6</v>
      </c>
      <c r="I70" s="1773">
        <f>'2.8 Energy Solutions &amp; B2B'!$G$8</f>
        <v>6</v>
      </c>
      <c r="J70" s="1773">
        <f>'2.8 Energy Solutions &amp; B2B'!$H$8</f>
        <v>0</v>
      </c>
      <c r="K70" s="1773">
        <f>'2.8 Energy Solutions &amp; B2B'!$L$8</f>
        <v>6</v>
      </c>
      <c r="L70" s="1772">
        <f>'2.8 Energy Solutions &amp; B2B'!$M$8</f>
        <v>2</v>
      </c>
      <c r="M70" s="1772">
        <f>'2.8 Energy Solutions &amp; B2B'!$N$8</f>
        <v>0.930799292</v>
      </c>
      <c r="N70" s="1772">
        <f>'2.8 Energy Solutions &amp; B2B'!$O$8</f>
        <v>-1.069201</v>
      </c>
      <c r="O70" s="1772">
        <f>'2.8 Energy Solutions &amp; B2B'!$P$8</f>
        <v>0.930799292</v>
      </c>
    </row>
    <row r="71">
      <c r="B71" s="1530" t="inlineStr">
        <is>
          <t>Energy Solutions &amp; B2B</t>
        </is>
      </c>
      <c r="C71" s="1530" t="inlineStr">
        <is>
          <t>Archetype</t>
        </is>
      </c>
      <c r="D71" s="1530" t="str">
        <f>'2.8 Energy Solutions &amp; B2B'!$B$9</f>
        <v>Energy</v>
      </c>
      <c r="E71" s="1530" t="str">
        <f>'2.8 Energy Solutions &amp; B2B'!$C$9</f>
        <v>Engineering</v>
      </c>
      <c r="F71" s="1530" t="str">
        <f>'2.8 Energy Solutions &amp; B2B'!$D$9</f>
        <v>L</v>
      </c>
      <c r="G71" s="1782">
        <f>'2.8 Energy Solutions &amp; B2B'!$E$9</f>
        <v>12</v>
      </c>
      <c r="H71" s="1773">
        <f>'2.8 Energy Solutions &amp; B2B'!$F$9</f>
        <v>9</v>
      </c>
      <c r="I71" s="1773">
        <f>'2.8 Energy Solutions &amp; B2B'!$G$9</f>
        <v>5</v>
      </c>
      <c r="J71" s="1773">
        <f>'2.8 Energy Solutions &amp; B2B'!$H$9</f>
        <v>4</v>
      </c>
      <c r="K71" s="1773">
        <f>'2.8 Energy Solutions &amp; B2B'!$L$9</f>
        <v>9</v>
      </c>
      <c r="L71" s="1772">
        <f>'2.8 Energy Solutions &amp; B2B'!$M$9</f>
        <v>2.7</v>
      </c>
      <c r="M71" s="1772">
        <f>'2.8 Energy Solutions &amp; B2B'!$N$9</f>
        <v>1.803563966</v>
      </c>
      <c r="N71" s="1772">
        <f>'2.8 Energy Solutions &amp; B2B'!$O$9</f>
        <v>-0.896436</v>
      </c>
      <c r="O71" s="1772">
        <f>'2.8 Energy Solutions &amp; B2B'!$P$9</f>
        <v>1.803563966</v>
      </c>
    </row>
    <row r="72">
      <c r="B72" s="1530" t="inlineStr">
        <is>
          <t>Energy Solutions &amp; B2B</t>
        </is>
      </c>
      <c r="C72" s="1530" t="inlineStr">
        <is>
          <t>Overhead</t>
        </is>
      </c>
      <c r="D72" s="1530" t="str">
        <f>'2.8 Energy Solutions &amp; B2B'!$B$19</f>
        <v>Head of Technology</v>
      </c>
      <c r="E72" s="1530" t="str">
        <f>'2.8 Energy Solutions &amp; B2B'!$C$19</f>
        <v>-</v>
      </c>
      <c r="F72" s="1530" t="str">
        <f>'2.8 Energy Solutions &amp; B2B'!$D$19</f>
        <v>-</v>
      </c>
      <c r="G72" s="1782" t="str">
        <f>'2.8 Energy Solutions &amp; B2B'!$E$19</f>
        <v>-</v>
      </c>
      <c r="H72" s="1773">
        <f>'2.8 Energy Solutions &amp; B2B'!$F$19</f>
        <v>1</v>
      </c>
      <c r="I72" s="1773">
        <f>'2.8 Energy Solutions &amp; B2B'!$G$19</f>
        <v>1</v>
      </c>
      <c r="J72" s="1773">
        <f>'2.8 Energy Solutions &amp; B2B'!$H$19</f>
        <v>0</v>
      </c>
      <c r="K72" s="1773">
        <f>'2.8 Energy Solutions &amp; B2B'!$L$19</f>
        <v>1</v>
      </c>
      <c r="L72" s="1772" t="str">
        <f>'2.8 Energy Solutions &amp; B2B'!$M$19</f>
        <v>-</v>
      </c>
      <c r="M72" s="1772">
        <f>'2.8 Energy Solutions &amp; B2B'!$N$19</f>
        <v>0.273758</v>
      </c>
      <c r="N72" s="1772" t="str">
        <f>'2.8 Energy Solutions &amp; B2B'!$O$19</f>
        <v>-</v>
      </c>
      <c r="O72" s="1772">
        <f>'2.8 Energy Solutions &amp; B2B'!$P$19</f>
        <v>0.273758</v>
      </c>
    </row>
    <row r="73">
      <c r="B73" s="1530" t="inlineStr">
        <is>
          <t>Energy Solutions &amp; B2B</t>
        </is>
      </c>
      <c r="C73" s="1530" t="inlineStr">
        <is>
          <t>Overhead</t>
        </is>
      </c>
      <c r="D73" s="1530" t="str">
        <f>'2.8 Energy Solutions &amp; B2B'!$B$20</f>
        <v>Delivery Manager</v>
      </c>
      <c r="E73" s="1530" t="str">
        <f>'2.8 Energy Solutions &amp; B2B'!$C$20</f>
        <v>-</v>
      </c>
      <c r="F73" s="1530" t="str">
        <f>'2.8 Energy Solutions &amp; B2B'!$D$20</f>
        <v>-</v>
      </c>
      <c r="G73" s="1782" t="str">
        <f>'2.8 Energy Solutions &amp; B2B'!$E$20</f>
        <v>-</v>
      </c>
      <c r="H73" s="1773">
        <f>'2.8 Energy Solutions &amp; B2B'!$F$20</f>
        <v>1</v>
      </c>
      <c r="I73" s="1773">
        <f>'2.8 Energy Solutions &amp; B2B'!$G$20</f>
        <v>0</v>
      </c>
      <c r="J73" s="1773">
        <f>'2.8 Energy Solutions &amp; B2B'!$H$20</f>
        <v>1</v>
      </c>
      <c r="K73" s="1773">
        <f>'2.8 Energy Solutions &amp; B2B'!$L$20</f>
        <v>1</v>
      </c>
      <c r="L73" s="1772" t="str">
        <f>'2.8 Energy Solutions &amp; B2B'!$M$20</f>
        <v>-</v>
      </c>
      <c r="M73" s="1772">
        <f>'2.8 Energy Solutions &amp; B2B'!$N$20</f>
        <v>0.27581025</v>
      </c>
      <c r="N73" s="1772" t="str">
        <f>'2.8 Energy Solutions &amp; B2B'!$O$20</f>
        <v>-</v>
      </c>
      <c r="O73" s="1772">
        <f>'2.8 Energy Solutions &amp; B2B'!$P$20</f>
        <v>0.27581025</v>
      </c>
    </row>
    <row r="74">
      <c r="B74" s="1530" t="inlineStr">
        <is>
          <t>Energy Solutions &amp; B2B</t>
        </is>
      </c>
      <c r="C74" s="1530" t="inlineStr">
        <is>
          <t>Overhead</t>
        </is>
      </c>
      <c r="D74" s="1530" t="str">
        <f>'2.8 Energy Solutions &amp; B2B'!$B$21</f>
        <v>Technology Manager</v>
      </c>
      <c r="E74" s="1530" t="str">
        <f>'2.8 Energy Solutions &amp; B2B'!$C$21</f>
        <v>-</v>
      </c>
      <c r="F74" s="1530" t="str">
        <f>'2.8 Energy Solutions &amp; B2B'!$D$21</f>
        <v>-</v>
      </c>
      <c r="G74" s="1782" t="str">
        <f>'2.8 Energy Solutions &amp; B2B'!$E$21</f>
        <v>-</v>
      </c>
      <c r="H74" s="1773">
        <f>'2.8 Energy Solutions &amp; B2B'!$F$21</f>
        <v>2</v>
      </c>
      <c r="I74" s="1773">
        <f>'2.8 Energy Solutions &amp; B2B'!$G$21</f>
        <v>1</v>
      </c>
      <c r="J74" s="1773">
        <f>'2.8 Energy Solutions &amp; B2B'!$H$21</f>
        <v>1</v>
      </c>
      <c r="K74" s="1773">
        <f>'2.8 Energy Solutions &amp; B2B'!$L$21</f>
        <v>2</v>
      </c>
      <c r="L74" s="1772" t="str">
        <f>'2.8 Energy Solutions &amp; B2B'!$M$21</f>
        <v>-</v>
      </c>
      <c r="M74" s="1772">
        <f>'2.8 Energy Solutions &amp; B2B'!$N$21</f>
        <v>0.5703737</v>
      </c>
      <c r="N74" s="1772" t="str">
        <f>'2.8 Energy Solutions &amp; B2B'!$O$21</f>
        <v>-</v>
      </c>
      <c r="O74" s="1772">
        <f>'2.8 Energy Solutions &amp; B2B'!$P$21</f>
        <v>0.5703737</v>
      </c>
    </row>
    <row r="75">
      <c r="B75" s="1534" t="inlineStr">
        <is>
          <t>Energy Solutions &amp; B2B total</t>
        </is>
      </c>
      <c r="C75" s="1534" t="n"/>
      <c r="D75" s="1534" t="n"/>
      <c r="E75" s="1534" t="n"/>
      <c r="F75" s="1774" t="str">
        <f>"-"</f>
        <v>-</v>
      </c>
      <c r="G75" s="1783" t="str">
        <f>"-"</f>
        <v>-</v>
      </c>
      <c r="H75" s="1775">
        <f>SUM(H69:H74)</f>
        <v>33</v>
      </c>
      <c r="I75" s="1775">
        <f>SUM(I69:I74)</f>
        <v>24</v>
      </c>
      <c r="J75" s="1775">
        <f>SUM(J69:J74)</f>
        <v>9</v>
      </c>
      <c r="K75" s="1775">
        <f>SUM(K69:K74)</f>
        <v>33</v>
      </c>
      <c r="L75" s="1774" t="str">
        <f>"-"</f>
        <v>-</v>
      </c>
      <c r="M75" s="1774">
        <f>SUM(M69:M74)</f>
        <v>6.447816278</v>
      </c>
      <c r="N75" s="1774" t="str">
        <f>"-"</f>
        <v>-</v>
      </c>
      <c r="O75" s="1774">
        <f>SUM(O69:O74)</f>
        <v>6.447816278</v>
      </c>
    </row>
    <row r="76">
      <c r="B76" s="1530" t="inlineStr">
        <is>
          <t>Commercial Fuels</t>
        </is>
      </c>
      <c r="C76" s="1530" t="inlineStr">
        <is>
          <t>Archetype</t>
        </is>
      </c>
      <c r="D76" s="1530" t="str">
        <f>'2.9 Commercial Fuels'!$B$7</f>
        <v>Supply</v>
      </c>
      <c r="E76" s="1530" t="str">
        <f>'2.9 Commercial Fuels'!$C$7</f>
        <v>Configuration / Integration</v>
      </c>
      <c r="F76" s="1530" t="str">
        <f>'2.9 Commercial Fuels'!$D$7</f>
        <v>M</v>
      </c>
      <c r="G76" s="1782">
        <f>'2.9 Commercial Fuels'!$E$7</f>
        <v>9</v>
      </c>
      <c r="H76" s="1773">
        <f>'2.9 Commercial Fuels'!$F$7</f>
        <v>5</v>
      </c>
      <c r="I76" s="1773">
        <f>'2.9 Commercial Fuels'!$G$7</f>
        <v>1</v>
      </c>
      <c r="J76" s="1773">
        <f>'2.9 Commercial Fuels'!$H$7</f>
        <v>4</v>
      </c>
      <c r="K76" s="1773">
        <f>'2.9 Commercial Fuels'!$L$7</f>
        <v>5</v>
      </c>
      <c r="L76" s="1772">
        <f>'2.9 Commercial Fuels'!$M$7</f>
        <v>2.1</v>
      </c>
      <c r="M76" s="1772">
        <f>'2.9 Commercial Fuels'!$N$7</f>
        <v>1.05925575</v>
      </c>
      <c r="N76" s="1772">
        <f>'2.9 Commercial Fuels'!$O$7</f>
        <v>-1.040744</v>
      </c>
      <c r="O76" s="1772">
        <f>'2.9 Commercial Fuels'!$P$7</f>
        <v>1.05925575</v>
      </c>
    </row>
    <row r="77">
      <c r="B77" s="1530" t="inlineStr">
        <is>
          <t>Commercial Fuels</t>
        </is>
      </c>
      <c r="C77" s="1530" t="inlineStr">
        <is>
          <t>Archetype</t>
        </is>
      </c>
      <c r="D77" s="1530" t="str">
        <f>'2.9 Commercial Fuels'!$B$8</f>
        <v>Trading &amp; Shipping</v>
      </c>
      <c r="E77" s="1530" t="str">
        <f>'2.9 Commercial Fuels'!$C$8</f>
        <v>Configuration / Integration</v>
      </c>
      <c r="F77" s="1530" t="str">
        <f>'2.9 Commercial Fuels'!$D$8</f>
        <v>M</v>
      </c>
      <c r="G77" s="1782">
        <f>'2.9 Commercial Fuels'!$E$8</f>
        <v>9</v>
      </c>
      <c r="H77" s="1773">
        <f>'2.9 Commercial Fuels'!$F$8</f>
        <v>12</v>
      </c>
      <c r="I77" s="1773">
        <f>'2.9 Commercial Fuels'!$G$8</f>
        <v>9</v>
      </c>
      <c r="J77" s="1773">
        <f>'2.9 Commercial Fuels'!$H$8</f>
        <v>3</v>
      </c>
      <c r="K77" s="1773">
        <f>'2.9 Commercial Fuels'!$L$8</f>
        <v>12</v>
      </c>
      <c r="L77" s="1772">
        <f>'2.9 Commercial Fuels'!$M$8</f>
        <v>2.1</v>
      </c>
      <c r="M77" s="1772">
        <f>'2.9 Commercial Fuels'!$N$8</f>
        <v>2.6791435617</v>
      </c>
      <c r="N77" s="1772">
        <f>'2.9 Commercial Fuels'!$O$8</f>
        <v>0.579144</v>
      </c>
      <c r="O77" s="1772">
        <f>'2.9 Commercial Fuels'!$P$8</f>
        <v>2.6791435617</v>
      </c>
    </row>
    <row r="78">
      <c r="B78" s="1530" t="inlineStr">
        <is>
          <t>Commercial Fuels</t>
        </is>
      </c>
      <c r="C78" s="1530" t="inlineStr">
        <is>
          <t>Archetype</t>
        </is>
      </c>
      <c r="D78" s="1530" t="str">
        <f>'2.9 Commercial Fuels'!$B$9</f>
        <v>Trading &amp; Shipping Data</v>
      </c>
      <c r="E78" s="1530" t="str">
        <f>'2.9 Commercial Fuels'!$C$9</f>
        <v>Enterprise Data and Insights</v>
      </c>
      <c r="F78" s="1530" t="str">
        <f>'2.9 Commercial Fuels'!$D$9</f>
        <v>M</v>
      </c>
      <c r="G78" s="1782">
        <f>'2.9 Commercial Fuels'!$E$9</f>
        <v>7.5</v>
      </c>
      <c r="H78" s="1773">
        <f>'2.9 Commercial Fuels'!$F$9</f>
        <v>7</v>
      </c>
      <c r="I78" s="1773">
        <f>'2.9 Commercial Fuels'!$G$9</f>
        <v>7</v>
      </c>
      <c r="J78" s="1773">
        <f>'2.9 Commercial Fuels'!$H$9</f>
        <v>0</v>
      </c>
      <c r="K78" s="1773">
        <f>'2.9 Commercial Fuels'!$L$9</f>
        <v>7</v>
      </c>
      <c r="L78" s="1772">
        <f>'2.9 Commercial Fuels'!$M$9</f>
        <v>0.68</v>
      </c>
      <c r="M78" s="1772">
        <f>'2.9 Commercial Fuels'!$N$9</f>
        <v>2.106168849</v>
      </c>
      <c r="N78" s="1772">
        <f>'2.9 Commercial Fuels'!$O$9</f>
        <v>1.426169</v>
      </c>
      <c r="O78" s="1772">
        <f>'2.9 Commercial Fuels'!$P$9</f>
        <v>2.106168849</v>
      </c>
    </row>
    <row r="79">
      <c r="B79" s="1530" t="inlineStr">
        <is>
          <t>Commercial Fuels</t>
        </is>
      </c>
      <c r="C79" s="1530" t="inlineStr">
        <is>
          <t>Directly funded</t>
        </is>
      </c>
      <c r="D79" s="1530" t="str">
        <f>'2.9 Commercial Fuels'!$B$14</f>
        <v>CTRM</v>
      </c>
      <c r="E79" s="1530" t="str">
        <f>'2.9 Commercial Fuels'!$C$14</f>
        <v>Strategic Programs</v>
      </c>
      <c r="F79" s="1530" t="str">
        <f>'2.9 Commercial Fuels'!$D$14</f>
        <v>-</v>
      </c>
      <c r="G79" s="1782" t="str">
        <f>'2.9 Commercial Fuels'!$E$14</f>
        <v>-</v>
      </c>
      <c r="H79" s="1773">
        <f>'2.9 Commercial Fuels'!$F$14</f>
        <v>14</v>
      </c>
      <c r="I79" s="1773">
        <f>'2.9 Commercial Fuels'!$G$14</f>
        <v>14</v>
      </c>
      <c r="J79" s="1773">
        <f>'2.9 Commercial Fuels'!$H$14</f>
        <v>0</v>
      </c>
      <c r="K79" s="1773">
        <f>'2.9 Commercial Fuels'!$L$14</f>
        <v>14</v>
      </c>
      <c r="L79" s="1772">
        <f>'2.9 Commercial Fuels'!$M$14</f>
        <v>3.8</v>
      </c>
      <c r="M79" s="1772">
        <f>'2.9 Commercial Fuels'!$N$14</f>
        <v>3.221759232</v>
      </c>
      <c r="N79" s="1772">
        <f>'2.9 Commercial Fuels'!$O$14</f>
        <v>-0.578241</v>
      </c>
      <c r="O79" s="1772">
        <f>'2.9 Commercial Fuels'!$P$14</f>
        <v>3.221759232</v>
      </c>
    </row>
    <row r="80">
      <c r="B80" s="1530" t="inlineStr">
        <is>
          <t>Commercial Fuels</t>
        </is>
      </c>
      <c r="C80" s="1530" t="inlineStr">
        <is>
          <t>Overhead</t>
        </is>
      </c>
      <c r="D80" s="1530" t="str">
        <f>'2.9 Commercial Fuels'!$B$19</f>
        <v>Head of Technology</v>
      </c>
      <c r="E80" s="1530" t="str">
        <f>'2.9 Commercial Fuels'!$C$19</f>
        <v>-</v>
      </c>
      <c r="F80" s="1530" t="str">
        <f>'2.9 Commercial Fuels'!$D$19</f>
        <v>-</v>
      </c>
      <c r="G80" s="1782" t="str">
        <f>'2.9 Commercial Fuels'!$E$19</f>
        <v>-</v>
      </c>
      <c r="H80" s="1773">
        <f>'2.9 Commercial Fuels'!$F$19</f>
        <v>1</v>
      </c>
      <c r="I80" s="1773">
        <f>'2.9 Commercial Fuels'!$G$19</f>
        <v>1</v>
      </c>
      <c r="J80" s="1773">
        <f>'2.9 Commercial Fuels'!$H$19</f>
        <v>0</v>
      </c>
      <c r="K80" s="1773">
        <f>'2.9 Commercial Fuels'!$L$19</f>
        <v>1</v>
      </c>
      <c r="L80" s="1772" t="str">
        <f>'2.9 Commercial Fuels'!$M$19</f>
        <v>-</v>
      </c>
      <c r="M80" s="1772">
        <f>'2.9 Commercial Fuels'!$N$19</f>
        <v>0.292434736</v>
      </c>
      <c r="N80" s="1772" t="str">
        <f>'2.9 Commercial Fuels'!$O$19</f>
        <v>-</v>
      </c>
      <c r="O80" s="1772">
        <f>'2.9 Commercial Fuels'!$P$19</f>
        <v>0.292434736</v>
      </c>
    </row>
    <row r="81">
      <c r="B81" s="1530" t="inlineStr">
        <is>
          <t>Commercial Fuels</t>
        </is>
      </c>
      <c r="C81" s="1530" t="inlineStr">
        <is>
          <t>Overhead</t>
        </is>
      </c>
      <c r="D81" s="1530" t="str">
        <f>'2.9 Commercial Fuels'!$B$20</f>
        <v>Delivery Manager</v>
      </c>
      <c r="E81" s="1530" t="str">
        <f>'2.9 Commercial Fuels'!$C$20</f>
        <v>-</v>
      </c>
      <c r="F81" s="1530" t="str">
        <f>'2.9 Commercial Fuels'!$D$20</f>
        <v>-</v>
      </c>
      <c r="G81" s="1782" t="str">
        <f>'2.9 Commercial Fuels'!$E$20</f>
        <v>-</v>
      </c>
      <c r="H81" s="1773">
        <f>'2.9 Commercial Fuels'!$F$20</f>
        <v>1</v>
      </c>
      <c r="I81" s="1773">
        <f>'2.9 Commercial Fuels'!$G$20</f>
        <v>0</v>
      </c>
      <c r="J81" s="1773">
        <f>'2.9 Commercial Fuels'!$H$20</f>
        <v>1</v>
      </c>
      <c r="K81" s="1773">
        <f>'2.9 Commercial Fuels'!$L$20</f>
        <v>1</v>
      </c>
      <c r="L81" s="1772" t="str">
        <f>'2.9 Commercial Fuels'!$M$20</f>
        <v>-</v>
      </c>
      <c r="M81" s="1772">
        <f>'2.9 Commercial Fuels'!$N$20</f>
        <v>0.27581025</v>
      </c>
      <c r="N81" s="1772" t="str">
        <f>'2.9 Commercial Fuels'!$O$20</f>
        <v>-</v>
      </c>
      <c r="O81" s="1772">
        <f>'2.9 Commercial Fuels'!$P$20</f>
        <v>0.27581025</v>
      </c>
    </row>
    <row r="82">
      <c r="B82" s="1530" t="inlineStr">
        <is>
          <t>Commercial Fuels</t>
        </is>
      </c>
      <c r="C82" s="1530" t="inlineStr">
        <is>
          <t>Overhead</t>
        </is>
      </c>
      <c r="D82" s="1530" t="str">
        <f>'2.9 Commercial Fuels'!$B$21</f>
        <v>Technology Manager</v>
      </c>
      <c r="E82" s="1530" t="str">
        <f>'2.9 Commercial Fuels'!$C$21</f>
        <v>-</v>
      </c>
      <c r="F82" s="1530" t="str">
        <f>'2.9 Commercial Fuels'!$D$21</f>
        <v>-</v>
      </c>
      <c r="G82" s="1782" t="str">
        <f>'2.9 Commercial Fuels'!$E$21</f>
        <v>-</v>
      </c>
      <c r="H82" s="1773">
        <f>'2.9 Commercial Fuels'!$F$21</f>
        <v>2</v>
      </c>
      <c r="I82" s="1773">
        <f>'2.9 Commercial Fuels'!$G$21</f>
        <v>1</v>
      </c>
      <c r="J82" s="1773">
        <f>'2.9 Commercial Fuels'!$H$21</f>
        <v>1</v>
      </c>
      <c r="K82" s="1773">
        <f>'2.9 Commercial Fuels'!$L$21</f>
        <v>2</v>
      </c>
      <c r="L82" s="1772" t="str">
        <f>'2.9 Commercial Fuels'!$M$21</f>
        <v>-</v>
      </c>
      <c r="M82" s="1772">
        <f>'2.9 Commercial Fuels'!$N$21</f>
        <v>0.56309735</v>
      </c>
      <c r="N82" s="1772" t="str">
        <f>'2.9 Commercial Fuels'!$O$21</f>
        <v>-</v>
      </c>
      <c r="O82" s="1772">
        <f>'2.9 Commercial Fuels'!$P$21</f>
        <v>0.56309735</v>
      </c>
    </row>
    <row r="83">
      <c r="B83" s="1534" t="inlineStr">
        <is>
          <t>Commercial Fuels total</t>
        </is>
      </c>
      <c r="C83" s="1534" t="n"/>
      <c r="D83" s="1534" t="n"/>
      <c r="E83" s="1534" t="n"/>
      <c r="F83" s="1774" t="str">
        <f>"-"</f>
        <v>-</v>
      </c>
      <c r="G83" s="1783" t="str">
        <f>"-"</f>
        <v>-</v>
      </c>
      <c r="H83" s="1775">
        <f>SUM(H76:H82)</f>
        <v>42</v>
      </c>
      <c r="I83" s="1775">
        <f>SUM(I76:I82)</f>
        <v>33</v>
      </c>
      <c r="J83" s="1775">
        <f>SUM(J76:J82)</f>
        <v>9</v>
      </c>
      <c r="K83" s="1775">
        <f>SUM(K76:K82)</f>
        <v>42</v>
      </c>
      <c r="L83" s="1774" t="str">
        <f>"-"</f>
        <v>-</v>
      </c>
      <c r="M83" s="1774">
        <f>SUM(M76:M82)</f>
        <v>10.1976697287</v>
      </c>
      <c r="N83" s="1774" t="str">
        <f>"-"</f>
        <v>-</v>
      </c>
      <c r="O83" s="1774">
        <f>SUM(O76:O82)</f>
        <v>10.1976697287</v>
      </c>
    </row>
    <row r="84">
      <c r="B84" s="1530" t="inlineStr">
        <is>
          <t>Z Retail</t>
        </is>
      </c>
      <c r="C84" s="1530" t="inlineStr">
        <is>
          <t>Archetype</t>
        </is>
      </c>
      <c r="D84" s="1530" t="str">
        <f>'2.10 Z Retail'!$B$7</f>
        <v>Data NZ</v>
      </c>
      <c r="E84" s="1530" t="str">
        <f>'2.10 Z Retail'!$C$7</f>
        <v>Enterprise Data and Insights</v>
      </c>
      <c r="F84" s="1530" t="str">
        <f>'2.10 Z Retail'!$D$7</f>
        <v>M</v>
      </c>
      <c r="G84" s="1782">
        <f>'2.10 Z Retail'!$E$7</f>
        <v>7.5</v>
      </c>
      <c r="H84" s="1773">
        <f>'2.10 Z Retail'!$F$7</f>
        <v>7</v>
      </c>
      <c r="I84" s="1773">
        <f>'2.10 Z Retail'!$G$7</f>
        <v>5</v>
      </c>
      <c r="J84" s="1773">
        <f>'2.10 Z Retail'!$H$7</f>
        <v>2</v>
      </c>
      <c r="K84" s="1773">
        <f>'2.10 Z Retail'!$L$7</f>
        <v>7</v>
      </c>
      <c r="L84" s="1772">
        <f>'2.10 Z Retail'!$M$7</f>
        <v>0.68</v>
      </c>
      <c r="M84" s="1772">
        <f>'2.10 Z Retail'!$N$7</f>
        <v>1.223843362</v>
      </c>
      <c r="N84" s="1772">
        <f>'2.10 Z Retail'!$O$7</f>
        <v>0.543843</v>
      </c>
      <c r="O84" s="1772">
        <f>'2.10 Z Retail'!$P$7</f>
        <v>1.223843362</v>
      </c>
    </row>
    <row r="85">
      <c r="B85" s="1530" t="inlineStr">
        <is>
          <t>Z Retail</t>
        </is>
      </c>
      <c r="C85" s="1530" t="inlineStr">
        <is>
          <t>Archetype</t>
        </is>
      </c>
      <c r="D85" s="1530" t="str">
        <f>'2.10 Z Retail'!$B$8</f>
        <v>Site Systems</v>
      </c>
      <c r="E85" s="1530" t="str">
        <f>'2.10 Z Retail'!$C$8</f>
        <v>Configuration / Integration</v>
      </c>
      <c r="F85" s="1530" t="str">
        <f>'2.10 Z Retail'!$D$8</f>
        <v>M</v>
      </c>
      <c r="G85" s="1782">
        <f>'2.10 Z Retail'!$E$8</f>
        <v>9</v>
      </c>
      <c r="H85" s="1773">
        <f>'2.10 Z Retail'!$F$8</f>
        <v>9</v>
      </c>
      <c r="I85" s="1773">
        <f>'2.10 Z Retail'!$G$8</f>
        <v>9</v>
      </c>
      <c r="J85" s="1773">
        <f>'2.10 Z Retail'!$H$8</f>
        <v>0</v>
      </c>
      <c r="K85" s="1773">
        <f>'2.10 Z Retail'!$L$8</f>
        <v>9</v>
      </c>
      <c r="L85" s="1772">
        <f>'2.10 Z Retail'!$M$8</f>
        <v>2.1</v>
      </c>
      <c r="M85" s="1772">
        <f>'2.10 Z Retail'!$N$8</f>
        <v>1.374665758</v>
      </c>
      <c r="N85" s="1772">
        <f>'2.10 Z Retail'!$O$8</f>
        <v>-0.725334</v>
      </c>
      <c r="O85" s="1772">
        <f>'2.10 Z Retail'!$P$8</f>
        <v>1.374665758</v>
      </c>
    </row>
    <row r="86">
      <c r="B86" s="1530" t="inlineStr">
        <is>
          <t>Z Retail</t>
        </is>
      </c>
      <c r="C86" s="1530" t="inlineStr">
        <is>
          <t>Archetype</t>
        </is>
      </c>
      <c r="D86" s="1530" t="str">
        <f>'2.10 Z Retail'!$B$9</f>
        <v>Z Retail Backend</v>
      </c>
      <c r="E86" s="1530" t="str">
        <f>'2.10 Z Retail'!$C$9</f>
        <v>Build and Run</v>
      </c>
      <c r="F86" s="1530" t="str">
        <f>'2.10 Z Retail'!$D$9</f>
        <v>M</v>
      </c>
      <c r="G86" s="1782">
        <f>'2.10 Z Retail'!$E$9</f>
        <v>9</v>
      </c>
      <c r="H86" s="1773">
        <f>'2.10 Z Retail'!$F$9</f>
        <v>9</v>
      </c>
      <c r="I86" s="1773">
        <f>'2.10 Z Retail'!$G$9</f>
        <v>7</v>
      </c>
      <c r="J86" s="1773">
        <f>'2.10 Z Retail'!$H$9</f>
        <v>2</v>
      </c>
      <c r="K86" s="1773">
        <f>'2.10 Z Retail'!$L$9</f>
        <v>9</v>
      </c>
      <c r="L86" s="1772">
        <f>'2.10 Z Retail'!$M$9</f>
        <v>2</v>
      </c>
      <c r="M86" s="1772">
        <f>'2.10 Z Retail'!$N$9</f>
        <v>1.857667168</v>
      </c>
      <c r="N86" s="1772">
        <f>'2.10 Z Retail'!$O$9</f>
        <v>-0.142333</v>
      </c>
      <c r="O86" s="1772">
        <f>'2.10 Z Retail'!$P$9</f>
        <v>1.857667168</v>
      </c>
    </row>
    <row r="87">
      <c r="B87" s="1530" t="inlineStr">
        <is>
          <t>Z Retail</t>
        </is>
      </c>
      <c r="C87" s="1530" t="inlineStr">
        <is>
          <t>Archetype</t>
        </is>
      </c>
      <c r="D87" s="1530" t="str">
        <f>'2.10 Z Retail'!$B$10</f>
        <v>Z Supply</v>
      </c>
      <c r="E87" s="1530" t="str">
        <f>'2.10 Z Retail'!$C$10</f>
        <v>Build and Run</v>
      </c>
      <c r="F87" s="1530" t="str">
        <f>'2.10 Z Retail'!$D$10</f>
        <v>M</v>
      </c>
      <c r="G87" s="1782">
        <f>'2.10 Z Retail'!$E$10</f>
        <v>9</v>
      </c>
      <c r="H87" s="1773">
        <f>'2.10 Z Retail'!$F$10</f>
        <v>9</v>
      </c>
      <c r="I87" s="1773">
        <f>'2.10 Z Retail'!$G$10</f>
        <v>8</v>
      </c>
      <c r="J87" s="1773">
        <f>'2.10 Z Retail'!$H$10</f>
        <v>1</v>
      </c>
      <c r="K87" s="1773">
        <f>'2.10 Z Retail'!$L$10</f>
        <v>9</v>
      </c>
      <c r="L87" s="1772">
        <f>'2.10 Z Retail'!$M$10</f>
        <v>2</v>
      </c>
      <c r="M87" s="1772">
        <f>'2.10 Z Retail'!$N$10</f>
        <v>1.663774396</v>
      </c>
      <c r="N87" s="1772">
        <f>'2.10 Z Retail'!$O$10</f>
        <v>-0.336226</v>
      </c>
      <c r="O87" s="1772">
        <f>'2.10 Z Retail'!$P$10</f>
        <v>1.663774396</v>
      </c>
    </row>
    <row r="88">
      <c r="B88" s="1530" t="inlineStr">
        <is>
          <t>Z Retail</t>
        </is>
      </c>
      <c r="C88" s="1530" t="inlineStr">
        <is>
          <t>Overhead</t>
        </is>
      </c>
      <c r="D88" s="1530" t="str">
        <f>'2.10 Z Retail'!$B$20</f>
        <v>Head of Technology</v>
      </c>
      <c r="E88" s="1530" t="str">
        <f>'2.10 Z Retail'!$C$20</f>
        <v>-</v>
      </c>
      <c r="F88" s="1530" t="str">
        <f>'2.10 Z Retail'!$D$20</f>
        <v>-</v>
      </c>
      <c r="G88" s="1782" t="str">
        <f>'2.10 Z Retail'!$E$20</f>
        <v>-</v>
      </c>
      <c r="H88" s="1773">
        <f>'2.10 Z Retail'!$F$20</f>
        <v>1</v>
      </c>
      <c r="I88" s="1773">
        <f>'2.10 Z Retail'!$G$20</f>
        <v>0</v>
      </c>
      <c r="J88" s="1773">
        <f>'2.10 Z Retail'!$H$20</f>
        <v>1</v>
      </c>
      <c r="K88" s="1773">
        <f>'2.10 Z Retail'!$L$20</f>
        <v>1</v>
      </c>
      <c r="L88" s="1772" t="str">
        <f>'2.10 Z Retail'!$M$20</f>
        <v>-</v>
      </c>
      <c r="M88" s="1772">
        <f>'2.10 Z Retail'!$N$20</f>
        <v>0.291422</v>
      </c>
      <c r="N88" s="1772" t="str">
        <f>'2.10 Z Retail'!$O$20</f>
        <v>-</v>
      </c>
      <c r="O88" s="1772">
        <f>'2.10 Z Retail'!$P$20</f>
        <v>0.291422</v>
      </c>
    </row>
    <row r="89">
      <c r="B89" s="1530" t="inlineStr">
        <is>
          <t>Z Retail</t>
        </is>
      </c>
      <c r="C89" s="1530" t="inlineStr">
        <is>
          <t>Overhead</t>
        </is>
      </c>
      <c r="D89" s="1530" t="str">
        <f>'2.10 Z Retail'!$B$21</f>
        <v>Delivery Manager</v>
      </c>
      <c r="E89" s="1530" t="str">
        <f>'2.10 Z Retail'!$C$21</f>
        <v>-</v>
      </c>
      <c r="F89" s="1530" t="str">
        <f>'2.10 Z Retail'!$D$21</f>
        <v>-</v>
      </c>
      <c r="G89" s="1782" t="str">
        <f>'2.10 Z Retail'!$E$21</f>
        <v>-</v>
      </c>
      <c r="H89" s="1773">
        <f>'2.10 Z Retail'!$F$21</f>
        <v>1</v>
      </c>
      <c r="I89" s="1773">
        <f>'2.10 Z Retail'!$G$21</f>
        <v>0</v>
      </c>
      <c r="J89" s="1773">
        <f>'2.10 Z Retail'!$H$21</f>
        <v>1</v>
      </c>
      <c r="K89" s="1773">
        <f>'2.10 Z Retail'!$L$21</f>
        <v>1</v>
      </c>
      <c r="L89" s="1772" t="str">
        <f>'2.10 Z Retail'!$M$21</f>
        <v>-</v>
      </c>
      <c r="M89" s="1772">
        <f>'2.10 Z Retail'!$N$21</f>
        <v>0.20285325</v>
      </c>
      <c r="N89" s="1772" t="str">
        <f>'2.10 Z Retail'!$O$21</f>
        <v>-</v>
      </c>
      <c r="O89" s="1772">
        <f>'2.10 Z Retail'!$P$21</f>
        <v>0.20285325</v>
      </c>
    </row>
    <row r="90">
      <c r="B90" s="1530" t="inlineStr">
        <is>
          <t>Z Retail</t>
        </is>
      </c>
      <c r="C90" s="1530" t="inlineStr">
        <is>
          <t>Overhead</t>
        </is>
      </c>
      <c r="D90" s="1530" t="str">
        <f>'2.10 Z Retail'!$B$22</f>
        <v>Technology Manager</v>
      </c>
      <c r="E90" s="1530" t="str">
        <f>'2.10 Z Retail'!$C$22</f>
        <v>-</v>
      </c>
      <c r="F90" s="1530" t="str">
        <f>'2.10 Z Retail'!$D$22</f>
        <v>-</v>
      </c>
      <c r="G90" s="1782" t="str">
        <f>'2.10 Z Retail'!$E$22</f>
        <v>-</v>
      </c>
      <c r="H90" s="1773">
        <f>'2.10 Z Retail'!$F$22</f>
        <v>3</v>
      </c>
      <c r="I90" s="1773">
        <f>'2.10 Z Retail'!$G$22</f>
        <v>3</v>
      </c>
      <c r="J90" s="1773">
        <f>'2.10 Z Retail'!$H$22</f>
        <v>0</v>
      </c>
      <c r="K90" s="1773">
        <f>'2.10 Z Retail'!$L$22</f>
        <v>3</v>
      </c>
      <c r="L90" s="1772" t="str">
        <f>'2.10 Z Retail'!$M$22</f>
        <v>-</v>
      </c>
      <c r="M90" s="1772">
        <f>'2.10 Z Retail'!$N$22</f>
        <v>0.723068418</v>
      </c>
      <c r="N90" s="1772" t="str">
        <f>'2.10 Z Retail'!$O$22</f>
        <v>-</v>
      </c>
      <c r="O90" s="1772">
        <f>'2.10 Z Retail'!$P$22</f>
        <v>0.723068418</v>
      </c>
    </row>
    <row r="91">
      <c r="B91" s="1534" t="inlineStr">
        <is>
          <t>Z Retail total</t>
        </is>
      </c>
      <c r="C91" s="1534" t="n"/>
      <c r="D91" s="1534" t="n"/>
      <c r="E91" s="1534" t="n"/>
      <c r="F91" s="1774" t="str">
        <f>"-"</f>
        <v>-</v>
      </c>
      <c r="G91" s="1783" t="str">
        <f>"-"</f>
        <v>-</v>
      </c>
      <c r="H91" s="1775">
        <f>SUM(H84:H90)</f>
        <v>39</v>
      </c>
      <c r="I91" s="1775">
        <f>SUM(I84:I90)</f>
        <v>32</v>
      </c>
      <c r="J91" s="1775">
        <f>SUM(J84:J90)</f>
        <v>7</v>
      </c>
      <c r="K91" s="1775">
        <f>SUM(K84:K90)</f>
        <v>39</v>
      </c>
      <c r="L91" s="1774" t="str">
        <f>"-"</f>
        <v>-</v>
      </c>
      <c r="M91" s="1774">
        <f>SUM(M84:M90)</f>
        <v>7.337294352</v>
      </c>
      <c r="N91" s="1774" t="str">
        <f>"-"</f>
        <v>-</v>
      </c>
      <c r="O91" s="1774">
        <f>SUM(O84:O90)</f>
        <v>7.337294352</v>
      </c>
    </row>
    <row r="92">
      <c r="B92" s="1530" t="inlineStr">
        <is>
          <t>COE Cyber</t>
        </is>
      </c>
      <c r="C92" s="1530" t="inlineStr">
        <is>
          <t>Directly funded</t>
        </is>
      </c>
      <c r="D92" s="1530" t="str">
        <f>'2.11 COE Cyber'!$B$12</f>
        <v>Cyber GRC</v>
      </c>
      <c r="E92" s="1530" t="str">
        <f>'2.11 COE Cyber'!$C$12</f>
        <v>-</v>
      </c>
      <c r="F92" s="1530" t="str">
        <f>'2.11 COE Cyber'!$D$12</f>
        <v>-</v>
      </c>
      <c r="G92" s="1782" t="str">
        <f>'2.11 COE Cyber'!$E$12</f>
        <v>-</v>
      </c>
      <c r="H92" s="1773">
        <f>'2.11 COE Cyber'!$F$12</f>
        <v>5</v>
      </c>
      <c r="I92" s="1773">
        <f>'2.11 COE Cyber'!$G$12</f>
        <v>5</v>
      </c>
      <c r="J92" s="1773">
        <f>'2.11 COE Cyber'!$H$12</f>
        <v>0</v>
      </c>
      <c r="K92" s="1773">
        <f>'2.11 COE Cyber'!$L$12</f>
        <v>5</v>
      </c>
      <c r="L92" s="1772">
        <f>'2.11 COE Cyber'!$M$12</f>
        <v>1.071477788</v>
      </c>
      <c r="M92" s="1772">
        <f>'2.11 COE Cyber'!$N$12</f>
        <v>1.071477788</v>
      </c>
      <c r="N92" s="1772">
        <f>'2.11 COE Cyber'!$O$12</f>
        <v>0</v>
      </c>
      <c r="O92" s="1772">
        <f>'2.11 COE Cyber'!$P$12</f>
        <v>1.071477788</v>
      </c>
    </row>
    <row r="93">
      <c r="B93" s="1530" t="inlineStr">
        <is>
          <t>COE Cyber</t>
        </is>
      </c>
      <c r="C93" s="1530" t="inlineStr">
        <is>
          <t>Directly funded</t>
        </is>
      </c>
      <c r="D93" s="1530" t="str">
        <f>'2.11 COE Cyber'!$B$13</f>
        <v>Cyber Risk</v>
      </c>
      <c r="E93" s="1530" t="str">
        <f>'2.11 COE Cyber'!$C$13</f>
        <v>-</v>
      </c>
      <c r="F93" s="1530" t="str">
        <f>'2.11 COE Cyber'!$D$13</f>
        <v>-</v>
      </c>
      <c r="G93" s="1782" t="str">
        <f>'2.11 COE Cyber'!$E$13</f>
        <v>-</v>
      </c>
      <c r="H93" s="1773">
        <f>'2.11 COE Cyber'!$F$13</f>
        <v>2</v>
      </c>
      <c r="I93" s="1773">
        <f>'2.11 COE Cyber'!$G$13</f>
        <v>2</v>
      </c>
      <c r="J93" s="1773">
        <f>'2.11 COE Cyber'!$H$13</f>
        <v>0</v>
      </c>
      <c r="K93" s="1773">
        <f>'2.11 COE Cyber'!$L$13</f>
        <v>2</v>
      </c>
      <c r="L93" s="1772">
        <f>'2.11 COE Cyber'!$M$13</f>
        <v>0.475558232</v>
      </c>
      <c r="M93" s="1772">
        <f>'2.11 COE Cyber'!$N$13</f>
        <v>0.475558232</v>
      </c>
      <c r="N93" s="1772">
        <f>'2.11 COE Cyber'!$O$13</f>
        <v>0</v>
      </c>
      <c r="O93" s="1772">
        <f>'2.11 COE Cyber'!$P$13</f>
        <v>0.475558232</v>
      </c>
    </row>
    <row r="94">
      <c r="B94" s="1530" t="inlineStr">
        <is>
          <t>COE Cyber</t>
        </is>
      </c>
      <c r="C94" s="1530" t="inlineStr">
        <is>
          <t>Directly funded</t>
        </is>
      </c>
      <c r="D94" s="1530" t="str">
        <f>'2.11 COE Cyber'!$B$14</f>
        <v>Cyber Sec Ops</v>
      </c>
      <c r="E94" s="1530" t="str">
        <f>'2.11 COE Cyber'!$C$14</f>
        <v>-</v>
      </c>
      <c r="F94" s="1530" t="str">
        <f>'2.11 COE Cyber'!$D$14</f>
        <v>-</v>
      </c>
      <c r="G94" s="1782" t="str">
        <f>'2.11 COE Cyber'!$E$14</f>
        <v>-</v>
      </c>
      <c r="H94" s="1773">
        <f>'2.11 COE Cyber'!$F$14</f>
        <v>5</v>
      </c>
      <c r="I94" s="1773">
        <f>'2.11 COE Cyber'!$G$14</f>
        <v>5</v>
      </c>
      <c r="J94" s="1773">
        <f>'2.11 COE Cyber'!$H$14</f>
        <v>0</v>
      </c>
      <c r="K94" s="1773">
        <f>'2.11 COE Cyber'!$L$14</f>
        <v>5</v>
      </c>
      <c r="L94" s="1772">
        <f>'2.11 COE Cyber'!$M$14</f>
        <v>1.111589344</v>
      </c>
      <c r="M94" s="1772">
        <f>'2.11 COE Cyber'!$N$14</f>
        <v>1.111589344</v>
      </c>
      <c r="N94" s="1772">
        <f>'2.11 COE Cyber'!$O$14</f>
        <v>0</v>
      </c>
      <c r="O94" s="1772">
        <f>'2.11 COE Cyber'!$P$14</f>
        <v>1.111589344</v>
      </c>
    </row>
    <row r="95">
      <c r="B95" s="1530" t="inlineStr">
        <is>
          <t>COE Cyber</t>
        </is>
      </c>
      <c r="C95" s="1530" t="inlineStr">
        <is>
          <t>Directly funded</t>
        </is>
      </c>
      <c r="D95" s="1530" t="str">
        <f>'2.11 COE Cyber'!$B$15</f>
        <v>Cyber Strat &amp; Tech</v>
      </c>
      <c r="E95" s="1530" t="str">
        <f>'2.11 COE Cyber'!$C$15</f>
        <v>-</v>
      </c>
      <c r="F95" s="1530" t="str">
        <f>'2.11 COE Cyber'!$D$15</f>
        <v>-</v>
      </c>
      <c r="G95" s="1782" t="str">
        <f>'2.11 COE Cyber'!$E$15</f>
        <v>-</v>
      </c>
      <c r="H95" s="1773">
        <f>'2.11 COE Cyber'!$F$15</f>
        <v>13</v>
      </c>
      <c r="I95" s="1773">
        <f>'2.11 COE Cyber'!$G$15</f>
        <v>13</v>
      </c>
      <c r="J95" s="1773">
        <f>'2.11 COE Cyber'!$H$15</f>
        <v>0</v>
      </c>
      <c r="K95" s="1773">
        <f>'2.11 COE Cyber'!$L$15</f>
        <v>13</v>
      </c>
      <c r="L95" s="1772">
        <f>'2.11 COE Cyber'!$M$15</f>
        <v>3.31576355</v>
      </c>
      <c r="M95" s="1772">
        <f>'2.11 COE Cyber'!$N$15</f>
        <v>3.31576355</v>
      </c>
      <c r="N95" s="1772">
        <f>'2.11 COE Cyber'!$O$15</f>
        <v>0</v>
      </c>
      <c r="O95" s="1772">
        <f>'2.11 COE Cyber'!$P$15</f>
        <v>3.31576355</v>
      </c>
    </row>
    <row r="96">
      <c r="B96" s="1530" t="inlineStr">
        <is>
          <t>COE Cyber</t>
        </is>
      </c>
      <c r="C96" s="1530" t="inlineStr">
        <is>
          <t>Directly funded</t>
        </is>
      </c>
      <c r="D96" s="1530" t="str">
        <f>'2.11 COE Cyber'!$B$16</f>
        <v>Service Op &amp; Assurance</v>
      </c>
      <c r="E96" s="1530" t="str">
        <f>'2.11 COE Cyber'!$C$16</f>
        <v>-</v>
      </c>
      <c r="F96" s="1530" t="str">
        <f>'2.11 COE Cyber'!$D$16</f>
        <v>-</v>
      </c>
      <c r="G96" s="1782" t="str">
        <f>'2.11 COE Cyber'!$E$16</f>
        <v>-</v>
      </c>
      <c r="H96" s="1773">
        <f>'2.11 COE Cyber'!$F$16</f>
        <v>21</v>
      </c>
      <c r="I96" s="1773">
        <f>'2.11 COE Cyber'!$G$16</f>
        <v>17</v>
      </c>
      <c r="J96" s="1773">
        <f>'2.11 COE Cyber'!$H$16</f>
        <v>4</v>
      </c>
      <c r="K96" s="1773">
        <f>'2.11 COE Cyber'!$L$16</f>
        <v>21</v>
      </c>
      <c r="L96" s="1772">
        <f>'2.11 COE Cyber'!$M$16</f>
        <v>3.92346938</v>
      </c>
      <c r="M96" s="1772">
        <f>'2.11 COE Cyber'!$N$16</f>
        <v>3.92346938</v>
      </c>
      <c r="N96" s="1772">
        <f>'2.11 COE Cyber'!$O$16</f>
        <v>0</v>
      </c>
      <c r="O96" s="1772">
        <f>'2.11 COE Cyber'!$P$16</f>
        <v>3.92346938</v>
      </c>
    </row>
    <row r="97">
      <c r="B97" s="1534" t="inlineStr">
        <is>
          <t>COE Cyber total</t>
        </is>
      </c>
      <c r="C97" s="1534" t="n"/>
      <c r="D97" s="1534" t="n"/>
      <c r="E97" s="1534" t="n"/>
      <c r="F97" s="1774" t="str">
        <f>"-"</f>
        <v>-</v>
      </c>
      <c r="G97" s="1783" t="str">
        <f>"-"</f>
        <v>-</v>
      </c>
      <c r="H97" s="1775">
        <f>SUM(H92:H96)</f>
        <v>46</v>
      </c>
      <c r="I97" s="1775">
        <f>SUM(I92:I96)</f>
        <v>42</v>
      </c>
      <c r="J97" s="1775">
        <f>SUM(J92:J96)</f>
        <v>4</v>
      </c>
      <c r="K97" s="1775">
        <f>SUM(K92:K96)</f>
        <v>46</v>
      </c>
      <c r="L97" s="1774" t="str">
        <f>"-"</f>
        <v>-</v>
      </c>
      <c r="M97" s="1774">
        <f>SUM(M92:M96)</f>
        <v>9.897858294</v>
      </c>
      <c r="N97" s="1774" t="str">
        <f>"-"</f>
        <v>-</v>
      </c>
      <c r="O97" s="1774">
        <f>SUM(O92:O96)</f>
        <v>9.897858294</v>
      </c>
    </row>
    <row r="98">
      <c r="B98" s="1530" t="inlineStr">
        <is>
          <t>COE BP&amp;T</t>
        </is>
      </c>
      <c r="C98" s="1530" t="inlineStr">
        <is>
          <t>Directly funded</t>
        </is>
      </c>
      <c r="D98" s="1530" t="str">
        <f>'2.12 BP&amp;T'!$B$12</f>
        <v>Commercial</v>
      </c>
      <c r="E98" s="1530" t="str">
        <f>'2.12 BP&amp;T'!$C$12</f>
        <v>-</v>
      </c>
      <c r="F98" s="1530" t="str">
        <f>'2.12 BP&amp;T'!$D$12</f>
        <v>-</v>
      </c>
      <c r="G98" s="1782" t="str">
        <f>'2.12 BP&amp;T'!$E$12</f>
        <v>-</v>
      </c>
      <c r="H98" s="1773">
        <f>'2.12 BP&amp;T'!$F$12</f>
        <v>4</v>
      </c>
      <c r="I98" s="1773">
        <f>'2.12 BP&amp;T'!$G$12</f>
        <v>3</v>
      </c>
      <c r="J98" s="1773">
        <f>'2.12 BP&amp;T'!$H$12</f>
        <v>1</v>
      </c>
      <c r="K98" s="1773">
        <f>'2.12 BP&amp;T'!$L$12</f>
        <v>4</v>
      </c>
      <c r="L98" s="1772">
        <f>'2.12 BP&amp;T'!$M$12</f>
        <v>0.979014192</v>
      </c>
      <c r="M98" s="1772">
        <f>'2.12 BP&amp;T'!$N$12</f>
        <v>0.979014192</v>
      </c>
      <c r="N98" s="1772">
        <f>'2.12 BP&amp;T'!$O$12</f>
        <v>0</v>
      </c>
      <c r="O98" s="1772">
        <f>'2.12 BP&amp;T'!$P$12</f>
        <v>0.979014192</v>
      </c>
    </row>
    <row r="99">
      <c r="B99" s="1530" t="inlineStr">
        <is>
          <t>COE BP&amp;T</t>
        </is>
      </c>
      <c r="C99" s="1530" t="inlineStr">
        <is>
          <t>Directly funded</t>
        </is>
      </c>
      <c r="D99" s="1530" t="str">
        <f>'2.12 BP&amp;T'!$B$13</f>
        <v>TDD Business Partner</v>
      </c>
      <c r="E99" s="1530" t="str">
        <f>'2.12 BP&amp;T'!$C$13</f>
        <v>-</v>
      </c>
      <c r="F99" s="1530" t="str">
        <f>'2.12 BP&amp;T'!$D$13</f>
        <v>-</v>
      </c>
      <c r="G99" s="1782" t="str">
        <f>'2.12 BP&amp;T'!$E$13</f>
        <v>-</v>
      </c>
      <c r="H99" s="1773">
        <f>'2.12 BP&amp;T'!$F$13</f>
        <v>6</v>
      </c>
      <c r="I99" s="1773">
        <f>'2.12 BP&amp;T'!$G$13</f>
        <v>6</v>
      </c>
      <c r="J99" s="1773">
        <f>'2.12 BP&amp;T'!$H$13</f>
        <v>0</v>
      </c>
      <c r="K99" s="1773">
        <f>'2.12 BP&amp;T'!$L$13</f>
        <v>6</v>
      </c>
      <c r="L99" s="1772">
        <f>'2.12 BP&amp;T'!$M$13</f>
        <v>2.3135484</v>
      </c>
      <c r="M99" s="1772">
        <f>'2.12 BP&amp;T'!$N$13</f>
        <v>2.3135484</v>
      </c>
      <c r="N99" s="1772">
        <f>'2.12 BP&amp;T'!$O$13</f>
        <v>0</v>
      </c>
      <c r="O99" s="1772">
        <f>'2.12 BP&amp;T'!$P$13</f>
        <v>2.3135484</v>
      </c>
    </row>
    <row r="100">
      <c r="B100" s="1530" t="inlineStr">
        <is>
          <t>COE BP&amp;T</t>
        </is>
      </c>
      <c r="C100" s="1530" t="inlineStr">
        <is>
          <t>Directly funded</t>
        </is>
      </c>
      <c r="D100" s="1530" t="str">
        <f>'2.12 BP&amp;T'!$B$14</f>
        <v>Transformation</v>
      </c>
      <c r="E100" s="1530" t="str">
        <f>'2.12 BP&amp;T'!$C$14</f>
        <v>-</v>
      </c>
      <c r="F100" s="1530" t="str">
        <f>'2.12 BP&amp;T'!$D$14</f>
        <v>-</v>
      </c>
      <c r="G100" s="1782" t="str">
        <f>'2.12 BP&amp;T'!$E$14</f>
        <v>-</v>
      </c>
      <c r="H100" s="1773">
        <f>'2.12 BP&amp;T'!$F$14</f>
        <v>14</v>
      </c>
      <c r="I100" s="1773">
        <f>'2.12 BP&amp;T'!$G$14</f>
        <v>6</v>
      </c>
      <c r="J100" s="1773">
        <f>'2.12 BP&amp;T'!$H$14</f>
        <v>8</v>
      </c>
      <c r="K100" s="1773">
        <f>'2.12 BP&amp;T'!$L$14</f>
        <v>14</v>
      </c>
      <c r="L100" s="1772">
        <f>'2.12 BP&amp;T'!$M$14</f>
        <v>3.10799923</v>
      </c>
      <c r="M100" s="1772">
        <f>'2.12 BP&amp;T'!$N$14</f>
        <v>3.10799923</v>
      </c>
      <c r="N100" s="1772">
        <f>'2.12 BP&amp;T'!$O$14</f>
        <v>0</v>
      </c>
      <c r="O100" s="1772">
        <f>'2.12 BP&amp;T'!$P$14</f>
        <v>3.10799923</v>
      </c>
    </row>
    <row r="101">
      <c r="B101" s="1534" t="inlineStr">
        <is>
          <t>COE BP&amp;T total</t>
        </is>
      </c>
      <c r="C101" s="1534" t="n"/>
      <c r="D101" s="1534" t="n"/>
      <c r="E101" s="1534" t="n"/>
      <c r="F101" s="1774" t="str">
        <f>"-"</f>
        <v>-</v>
      </c>
      <c r="G101" s="1783" t="str">
        <f>"-"</f>
        <v>-</v>
      </c>
      <c r="H101" s="1775">
        <f>SUM(H98:H100)</f>
        <v>24</v>
      </c>
      <c r="I101" s="1775">
        <f>SUM(I98:I100)</f>
        <v>15</v>
      </c>
      <c r="J101" s="1775">
        <f>SUM(J98:J100)</f>
        <v>9</v>
      </c>
      <c r="K101" s="1775">
        <f>SUM(K98:K100)</f>
        <v>24</v>
      </c>
      <c r="L101" s="1774" t="str">
        <f>"-"</f>
        <v>-</v>
      </c>
      <c r="M101" s="1774">
        <f>SUM(M98:M100)</f>
        <v>6.400561822</v>
      </c>
      <c r="N101" s="1774" t="str">
        <f>"-"</f>
        <v>-</v>
      </c>
      <c r="O101" s="1774">
        <f>SUM(O98:O100)</f>
        <v>6.400561822</v>
      </c>
    </row>
    <row r="102">
      <c r="B102" s="1530" t="inlineStr">
        <is>
          <t>COE SA&amp;D</t>
        </is>
      </c>
      <c r="C102" s="1530" t="inlineStr">
        <is>
          <t>Directly funded</t>
        </is>
      </c>
      <c r="D102" s="1530" t="str">
        <f>'2.13 SA&amp;D'!$B$12</f>
        <v>Architecture</v>
      </c>
      <c r="E102" s="1530" t="str">
        <f>'2.13 SA&amp;D'!$C$12</f>
        <v>-</v>
      </c>
      <c r="F102" s="1530" t="str">
        <f>'2.13 SA&amp;D'!$D$12</f>
        <v>-</v>
      </c>
      <c r="G102" s="1782" t="str">
        <f>'2.13 SA&amp;D'!$E$12</f>
        <v>-</v>
      </c>
      <c r="H102" s="1773">
        <f>'2.13 SA&amp;D'!$F$12</f>
        <v>7</v>
      </c>
      <c r="I102" s="1773">
        <f>'2.13 SA&amp;D'!$G$12</f>
        <v>7</v>
      </c>
      <c r="J102" s="1773">
        <f>'2.13 SA&amp;D'!$H$12</f>
        <v>0</v>
      </c>
      <c r="K102" s="1773">
        <f>'2.13 SA&amp;D'!$L$12</f>
        <v>7</v>
      </c>
      <c r="L102" s="1772">
        <f>'2.13 SA&amp;D'!$M$12</f>
        <v>1.664746536</v>
      </c>
      <c r="M102" s="1772">
        <f>'2.13 SA&amp;D'!$N$12</f>
        <v>1.664746536</v>
      </c>
      <c r="N102" s="1772">
        <f>'2.13 SA&amp;D'!$O$12</f>
        <v>0</v>
      </c>
      <c r="O102" s="1772">
        <f>'2.13 SA&amp;D'!$P$12</f>
        <v>1.664746536</v>
      </c>
    </row>
    <row r="103">
      <c r="B103" s="1530" t="inlineStr">
        <is>
          <t>COE SA&amp;D</t>
        </is>
      </c>
      <c r="C103" s="1530" t="inlineStr">
        <is>
          <t>Directly funded</t>
        </is>
      </c>
      <c r="D103" s="1530" t="str">
        <f>'2.13 SA&amp;D'!$B$13</f>
        <v>Data Platforms</v>
      </c>
      <c r="E103" s="1530" t="str">
        <f>'2.13 SA&amp;D'!$C$13</f>
        <v>-</v>
      </c>
      <c r="F103" s="1530" t="str">
        <f>'2.13 SA&amp;D'!$D$13</f>
        <v>-</v>
      </c>
      <c r="G103" s="1782" t="str">
        <f>'2.13 SA&amp;D'!$E$13</f>
        <v>-</v>
      </c>
      <c r="H103" s="1773">
        <f>'2.13 SA&amp;D'!$F$13</f>
        <v>1</v>
      </c>
      <c r="I103" s="1773">
        <f>'2.13 SA&amp;D'!$G$13</f>
        <v>1</v>
      </c>
      <c r="J103" s="1773">
        <f>'2.13 SA&amp;D'!$H$13</f>
        <v>0</v>
      </c>
      <c r="K103" s="1773">
        <f>'2.13 SA&amp;D'!$L$13</f>
        <v>1</v>
      </c>
      <c r="L103" s="1772">
        <f>'2.13 SA&amp;D'!$M$13</f>
        <v>0.2655849</v>
      </c>
      <c r="M103" s="1772">
        <f>'2.13 SA&amp;D'!$N$13</f>
        <v>0.2655849</v>
      </c>
      <c r="N103" s="1772">
        <f>'2.13 SA&amp;D'!$O$13</f>
        <v>0</v>
      </c>
      <c r="O103" s="1772">
        <f>'2.13 SA&amp;D'!$P$13</f>
        <v>0.2655849</v>
      </c>
    </row>
    <row r="104">
      <c r="B104" s="1530" t="inlineStr">
        <is>
          <t>COE SA&amp;D</t>
        </is>
      </c>
      <c r="C104" s="1530" t="inlineStr">
        <is>
          <t>Directly funded</t>
        </is>
      </c>
      <c r="D104" s="1530" t="str">
        <f>'2.13 SA&amp;D'!$B$14</f>
        <v>Group Data</v>
      </c>
      <c r="E104" s="1530" t="str">
        <f>'2.13 SA&amp;D'!$C$14</f>
        <v>-</v>
      </c>
      <c r="F104" s="1530" t="str">
        <f>'2.13 SA&amp;D'!$D$14</f>
        <v>-</v>
      </c>
      <c r="G104" s="1782" t="str">
        <f>'2.13 SA&amp;D'!$E$14</f>
        <v>-</v>
      </c>
      <c r="H104" s="1773">
        <f>'2.13 SA&amp;D'!$F$14</f>
        <v>9</v>
      </c>
      <c r="I104" s="1773">
        <f>'2.13 SA&amp;D'!$G$14</f>
        <v>7</v>
      </c>
      <c r="J104" s="1773">
        <f>'2.13 SA&amp;D'!$H$14</f>
        <v>2</v>
      </c>
      <c r="K104" s="1773">
        <f>'2.13 SA&amp;D'!$L$14</f>
        <v>9</v>
      </c>
      <c r="L104" s="1772">
        <f>'2.13 SA&amp;D'!$M$14</f>
        <v>2.305292066</v>
      </c>
      <c r="M104" s="1772">
        <f>'2.13 SA&amp;D'!$N$14</f>
        <v>2.305292066</v>
      </c>
      <c r="N104" s="1772">
        <f>'2.13 SA&amp;D'!$O$14</f>
        <v>0</v>
      </c>
      <c r="O104" s="1772">
        <f>'2.13 SA&amp;D'!$P$14</f>
        <v>2.305292066</v>
      </c>
    </row>
    <row r="105">
      <c r="B105" s="1530" t="inlineStr">
        <is>
          <t>COE SA&amp;D</t>
        </is>
      </c>
      <c r="C105" s="1530" t="inlineStr">
        <is>
          <t>Directly funded</t>
        </is>
      </c>
      <c r="D105" s="1530" t="str">
        <f>'2.13 SA&amp;D'!$B$15</f>
        <v>Leadership</v>
      </c>
      <c r="E105" s="1530" t="str">
        <f>'2.13 SA&amp;D'!$C$15</f>
        <v>-</v>
      </c>
      <c r="F105" s="1530" t="str">
        <f>'2.13 SA&amp;D'!$D$15</f>
        <v>-</v>
      </c>
      <c r="G105" s="1782" t="str">
        <f>'2.13 SA&amp;D'!$E$15</f>
        <v>-</v>
      </c>
      <c r="H105" s="1773">
        <f>'2.13 SA&amp;D'!$F$15</f>
        <v>4</v>
      </c>
      <c r="I105" s="1773">
        <f>'2.13 SA&amp;D'!$G$15</f>
        <v>1</v>
      </c>
      <c r="J105" s="1773">
        <f>'2.13 SA&amp;D'!$H$15</f>
        <v>3</v>
      </c>
      <c r="K105" s="1773">
        <f>'2.13 SA&amp;D'!$L$15</f>
        <v>4</v>
      </c>
      <c r="L105" s="1772">
        <f>'2.13 SA&amp;D'!$M$15</f>
        <v>1.2239818</v>
      </c>
      <c r="M105" s="1772">
        <f>'2.13 SA&amp;D'!$N$15</f>
        <v>1.2239818</v>
      </c>
      <c r="N105" s="1772">
        <f>'2.13 SA&amp;D'!$O$15</f>
        <v>0</v>
      </c>
      <c r="O105" s="1772">
        <f>'2.13 SA&amp;D'!$P$15</f>
        <v>1.2239818</v>
      </c>
    </row>
    <row r="106">
      <c r="B106" s="1530" t="inlineStr">
        <is>
          <t>COE SA&amp;D</t>
        </is>
      </c>
      <c r="C106" s="1530" t="inlineStr">
        <is>
          <t>Directly funded</t>
        </is>
      </c>
      <c r="D106" s="1530" t="str">
        <f>'2.13 SA&amp;D'!$B$16</f>
        <v>Technology Strategy &amp; AI Capability</v>
      </c>
      <c r="E106" s="1530" t="str">
        <f>'2.13 SA&amp;D'!$C$16</f>
        <v>-</v>
      </c>
      <c r="F106" s="1530" t="str">
        <f>'2.13 SA&amp;D'!$D$16</f>
        <v>-</v>
      </c>
      <c r="G106" s="1782" t="str">
        <f>'2.13 SA&amp;D'!$E$16</f>
        <v>-</v>
      </c>
      <c r="H106" s="1773">
        <f>'2.13 SA&amp;D'!$F$16</f>
        <v>5</v>
      </c>
      <c r="I106" s="1773">
        <f>'2.13 SA&amp;D'!$G$16</f>
        <v>1</v>
      </c>
      <c r="J106" s="1773">
        <f>'2.13 SA&amp;D'!$H$16</f>
        <v>4</v>
      </c>
      <c r="K106" s="1773">
        <f>'2.13 SA&amp;D'!$L$16</f>
        <v>5</v>
      </c>
      <c r="L106" s="1772">
        <f>'2.13 SA&amp;D'!$M$16</f>
        <v>1.06988875</v>
      </c>
      <c r="M106" s="1772">
        <f>'2.13 SA&amp;D'!$N$16</f>
        <v>1.06988875</v>
      </c>
      <c r="N106" s="1772">
        <f>'2.13 SA&amp;D'!$O$16</f>
        <v>0</v>
      </c>
      <c r="O106" s="1772">
        <f>'2.13 SA&amp;D'!$P$16</f>
        <v>1.06988875</v>
      </c>
    </row>
    <row r="107">
      <c r="B107" s="1534" t="inlineStr">
        <is>
          <t>COE SA&amp;D total</t>
        </is>
      </c>
      <c r="C107" s="1534" t="n"/>
      <c r="D107" s="1534" t="n"/>
      <c r="E107" s="1534" t="n"/>
      <c r="F107" s="1774" t="str">
        <f>"-"</f>
        <v>-</v>
      </c>
      <c r="G107" s="1783" t="str">
        <f>"-"</f>
        <v>-</v>
      </c>
      <c r="H107" s="1775">
        <f>SUM(H102:H106)</f>
        <v>26</v>
      </c>
      <c r="I107" s="1775">
        <f>SUM(I102:I106)</f>
        <v>17</v>
      </c>
      <c r="J107" s="1775">
        <f>SUM(J102:J106)</f>
        <v>9</v>
      </c>
      <c r="K107" s="1775">
        <f>SUM(K102:K106)</f>
        <v>26</v>
      </c>
      <c r="L107" s="1774" t="str">
        <f>"-"</f>
        <v>-</v>
      </c>
      <c r="M107" s="1774">
        <f>SUM(M102:M106)</f>
        <v>6.529494052</v>
      </c>
      <c r="N107" s="1774" t="str">
        <f>"-"</f>
        <v>-</v>
      </c>
      <c r="O107" s="1774">
        <f>SUM(O102:O106)</f>
        <v>6.529494052</v>
      </c>
    </row>
    <row r="108">
      <c r="B108" s="1530" t="inlineStr">
        <is>
          <t>EGI</t>
        </is>
      </c>
      <c r="C108" s="1530" t="inlineStr">
        <is>
          <t>Directly funded</t>
        </is>
      </c>
      <c r="D108" s="1530" t="str">
        <f>'2.14 EGI'!$B$12</f>
        <v>EGI</v>
      </c>
      <c r="E108" s="1530" t="str">
        <f>'2.14 EGI'!$C$12</f>
        <v>-</v>
      </c>
      <c r="F108" s="1530" t="str">
        <f>'2.14 EGI'!$D$12</f>
        <v>-</v>
      </c>
      <c r="G108" s="1782" t="str">
        <f>'2.14 EGI'!$E$12</f>
        <v>-</v>
      </c>
      <c r="H108" s="1773">
        <f>'2.14 EGI'!$F$12</f>
        <v>17</v>
      </c>
      <c r="I108" s="1773">
        <f>'2.14 EGI'!$G$12</f>
        <v>17</v>
      </c>
      <c r="J108" s="1773">
        <f>'2.14 EGI'!$H$12</f>
        <v>0</v>
      </c>
      <c r="K108" s="1773">
        <f>'2.14 EGI'!$L$12</f>
        <v>17</v>
      </c>
      <c r="L108" s="1772">
        <f>'2.14 EGI'!$M$12</f>
        <v>4.94341935</v>
      </c>
      <c r="M108" s="1772">
        <f>'2.14 EGI'!$N$12</f>
        <v>4.94341935</v>
      </c>
      <c r="N108" s="1772">
        <f>'2.14 EGI'!$O$12</f>
        <v>0</v>
      </c>
      <c r="O108" s="1772">
        <f>'2.14 EGI'!$P$12</f>
        <v>4.94341935</v>
      </c>
    </row>
    <row r="109">
      <c r="B109" s="1534" t="inlineStr">
        <is>
          <t>EGI total</t>
        </is>
      </c>
      <c r="C109" s="1534" t="n"/>
      <c r="D109" s="1534" t="n"/>
      <c r="E109" s="1534" t="n"/>
      <c r="F109" s="1774" t="str">
        <f>"-"</f>
        <v>-</v>
      </c>
      <c r="G109" s="1783" t="str">
        <f>"-"</f>
        <v>-</v>
      </c>
      <c r="H109" s="1775">
        <f>SUM(H108:H108)</f>
        <v>17</v>
      </c>
      <c r="I109" s="1775">
        <f>SUM(I108:I108)</f>
        <v>17</v>
      </c>
      <c r="J109" s="1775">
        <f>SUM(J108:J108)</f>
        <v>0</v>
      </c>
      <c r="K109" s="1775">
        <f>SUM(K108:K108)</f>
        <v>17</v>
      </c>
      <c r="L109" s="1774" t="str">
        <f>"-"</f>
        <v>-</v>
      </c>
      <c r="M109" s="1774">
        <f>SUM(M108:M108)</f>
        <v>4.94341935</v>
      </c>
      <c r="N109" s="1774" t="str">
        <f>"-"</f>
        <v>-</v>
      </c>
      <c r="O109" s="1774">
        <f>SUM(O108:O108)</f>
        <v>4.94341935</v>
      </c>
    </row>
    <row r="110">
      <c r="B110" s="1539" t="inlineStr">
        <is>
          <t>Group total</t>
        </is>
      </c>
      <c r="C110" s="1539" t="n"/>
      <c r="D110" s="1539" t="n"/>
      <c r="E110" s="1539" t="n"/>
      <c r="F110" s="1776" t="str">
        <f>"-"</f>
        <v>-</v>
      </c>
      <c r="G110" s="1784" t="str">
        <f>"-"</f>
        <v>-</v>
      </c>
      <c r="H110" s="1777">
        <f>H19+H32+H38+H47+H54+H59+H68+H75+H83+H91+H97+H101+H107+H109</f>
        <v>525</v>
      </c>
      <c r="I110" s="1777">
        <f>I19+I32+I38+I47+I54+I59+I68+I75+I83+I91+I97+I101+I107+I109</f>
        <v>390</v>
      </c>
      <c r="J110" s="1777">
        <f>J19+J32+J38+J47+J54+J59+J68+J75+J83+J91+J97+J101+J107+J109</f>
        <v>135</v>
      </c>
      <c r="K110" s="1777">
        <f>K19+K32+K38+K47+K54+K59+K68+K75+K83+K91+K97+K101+K107+K109</f>
        <v>525</v>
      </c>
      <c r="L110" s="1776" t="str">
        <f>"-"</f>
        <v>-</v>
      </c>
      <c r="M110" s="1776">
        <f>M19+M32+M38+M47+M54+M59+M68+M75+M83+M91+M97+M101+M107+M109</f>
        <v>115.1132622681</v>
      </c>
      <c r="N110" s="1776" t="str">
        <f>"-"</f>
        <v>-</v>
      </c>
      <c r="O110" s="1776">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0" t="inlineStr">
        <is>
          <t>COE Cyber</t>
        </is>
      </c>
      <c r="C6" s="1530" t="inlineStr">
        <is>
          <t>Cyber GRC</t>
        </is>
      </c>
      <c r="D6" s="1773">
        <f>COUNTIFS('REVIEW - Complete Role Mapping'!$AJ$2:$AJ$528,$B6,'REVIEW - Complete Role Mapping'!$AT$2:$AT$528,$C6)</f>
        <v>5</v>
      </c>
      <c r="E6" s="1773">
        <f>COUNTIFS('REVIEW - Complete Role Mapping'!$AJ$2:$AJ$528,$B6,'REVIEW - Complete Role Mapping'!$AT$2:$AT$528,$C6,'REVIEW - Complete Role Mapping'!$AK$2:$AK$528,"Filled")</f>
        <v>5</v>
      </c>
      <c r="F6" s="1773">
        <f>COUNTIFS('REVIEW - Complete Role Mapping'!$AJ$2:$AJ$528,$B6,'REVIEW - Complete Role Mapping'!$AT$2:$AT$528,$C6,'REVIEW - Complete Role Mapping'!$AK$2:$AK$528,"Vacant")</f>
        <v>0</v>
      </c>
      <c r="G6" s="1772">
        <f>SUMIFS('REVIEW - Complete Role Mapping'!$AA$2:$AA$528,'REVIEW - Complete Role Mapping'!$AJ$2:$AJ$528,$B6,'REVIEW - Complete Role Mapping'!$AT$2:$AT$528,$C6)/1000000</f>
        <v>1.071477788</v>
      </c>
      <c r="H6" s="1772">
        <f>SUMIFS('REVIEW - Complete Role Mapping'!$AA$2:$AA$528,'REVIEW - Complete Role Mapping'!$AJ$2:$AJ$528,$B6,'REVIEW - Complete Role Mapping'!$AT$2:$AT$528,$C6,'REVIEW - Complete Role Mapping'!$M$2:$M$528,"Australia")/1000000</f>
        <v>0.9396446</v>
      </c>
      <c r="I6" s="1772">
        <f>SUMIFS('REVIEW - Complete Role Mapping'!$AA$2:$AA$528,'REVIEW - Complete Role Mapping'!$AJ$2:$AJ$528,$B6,'REVIEW - Complete Role Mapping'!$AT$2:$AT$528,$C6,'REVIEW - Complete Role Mapping'!$AL$2:$AL$528,"NZ")/1000000</f>
        <v>0.131833188</v>
      </c>
      <c r="J6" s="1772">
        <f>$G6-$H6-$I6</f>
        <v>0</v>
      </c>
      <c r="K6" s="1773">
        <f>COUNTIFS('REVIEW - Complete Role Mapping'!$AJ$2:$AJ$528,$B6,'REVIEW - Complete Role Mapping'!$AT$2:$AT$528,$C6,'REVIEW - Complete Role Mapping'!$AR$2:$AR$528,"&lt;&gt;Squad")</f>
        <v>0</v>
      </c>
      <c r="L6" s="1772">
        <f>SUMIFS('REVIEW - Complete Role Mapping'!$AA$2:$AA$528,'REVIEW - Complete Role Mapping'!$AJ$2:$AJ$528,$B6,'REVIEW - Complete Role Mapping'!$AT$2:$AT$528,$C6,'REVIEW - Complete Role Mapping'!$AR$2:$AR$528,"&lt;&gt;Squad")/1000000</f>
        <v>0</v>
      </c>
    </row>
    <row r="7">
      <c r="B7" s="1530" t="inlineStr">
        <is>
          <t>COE Cyber</t>
        </is>
      </c>
      <c r="C7" s="1530" t="inlineStr">
        <is>
          <t>Cyber Risk</t>
        </is>
      </c>
      <c r="D7" s="1773">
        <f>COUNTIFS('REVIEW - Complete Role Mapping'!$AJ$2:$AJ$528,$B7,'REVIEW - Complete Role Mapping'!$AT$2:$AT$528,$C7)</f>
        <v>2</v>
      </c>
      <c r="E7" s="1773">
        <f>COUNTIFS('REVIEW - Complete Role Mapping'!$AJ$2:$AJ$528,$B7,'REVIEW - Complete Role Mapping'!$AT$2:$AT$528,$C7,'REVIEW - Complete Role Mapping'!$AK$2:$AK$528,"Filled")</f>
        <v>2</v>
      </c>
      <c r="F7" s="1773">
        <f>COUNTIFS('REVIEW - Complete Role Mapping'!$AJ$2:$AJ$528,$B7,'REVIEW - Complete Role Mapping'!$AT$2:$AT$528,$C7,'REVIEW - Complete Role Mapping'!$AK$2:$AK$528,"Vacant")</f>
        <v>0</v>
      </c>
      <c r="G7" s="1772">
        <f>SUMIFS('REVIEW - Complete Role Mapping'!$AA$2:$AA$528,'REVIEW - Complete Role Mapping'!$AJ$2:$AJ$528,$B7,'REVIEW - Complete Role Mapping'!$AT$2:$AT$528,$C7)/1000000</f>
        <v>0.475558232</v>
      </c>
      <c r="H7" s="1772">
        <f>SUMIFS('REVIEW - Complete Role Mapping'!$AA$2:$AA$528,'REVIEW - Complete Role Mapping'!$AJ$2:$AJ$528,$B7,'REVIEW - Complete Role Mapping'!$AT$2:$AT$528,$C7,'REVIEW - Complete Role Mapping'!$M$2:$M$528,"Australia")/1000000</f>
        <v>0.2870432</v>
      </c>
      <c r="I7" s="1772">
        <f>SUMIFS('REVIEW - Complete Role Mapping'!$AA$2:$AA$528,'REVIEW - Complete Role Mapping'!$AJ$2:$AJ$528,$B7,'REVIEW - Complete Role Mapping'!$AT$2:$AT$528,$C7,'REVIEW - Complete Role Mapping'!$AL$2:$AL$528,"NZ")/1000000</f>
        <v>0.188515032</v>
      </c>
      <c r="J7" s="1772">
        <f>$G7-$H7-$I7</f>
        <v>0</v>
      </c>
      <c r="K7" s="1773">
        <f>COUNTIFS('REVIEW - Complete Role Mapping'!$AJ$2:$AJ$528,$B7,'REVIEW - Complete Role Mapping'!$AT$2:$AT$528,$C7,'REVIEW - Complete Role Mapping'!$AR$2:$AR$528,"&lt;&gt;Squad")</f>
        <v>0</v>
      </c>
      <c r="L7" s="1772">
        <f>SUMIFS('REVIEW - Complete Role Mapping'!$AA$2:$AA$528,'REVIEW - Complete Role Mapping'!$AJ$2:$AJ$528,$B7,'REVIEW - Complete Role Mapping'!$AT$2:$AT$528,$C7,'REVIEW - Complete Role Mapping'!$AR$2:$AR$528,"&lt;&gt;Squad")/1000000</f>
        <v>0</v>
      </c>
    </row>
    <row r="8">
      <c r="B8" s="1530" t="inlineStr">
        <is>
          <t>COE Cyber</t>
        </is>
      </c>
      <c r="C8" s="1530" t="inlineStr">
        <is>
          <t>Cyber Sec Ops</t>
        </is>
      </c>
      <c r="D8" s="1773">
        <f>COUNTIFS('REVIEW - Complete Role Mapping'!$AJ$2:$AJ$528,$B8,'REVIEW - Complete Role Mapping'!$AT$2:$AT$528,$C8)</f>
        <v>5</v>
      </c>
      <c r="E8" s="1773">
        <f>COUNTIFS('REVIEW - Complete Role Mapping'!$AJ$2:$AJ$528,$B8,'REVIEW - Complete Role Mapping'!$AT$2:$AT$528,$C8,'REVIEW - Complete Role Mapping'!$AK$2:$AK$528,"Filled")</f>
        <v>5</v>
      </c>
      <c r="F8" s="1773">
        <f>COUNTIFS('REVIEW - Complete Role Mapping'!$AJ$2:$AJ$528,$B8,'REVIEW - Complete Role Mapping'!$AT$2:$AT$528,$C8,'REVIEW - Complete Role Mapping'!$AK$2:$AK$528,"Vacant")</f>
        <v>0</v>
      </c>
      <c r="G8" s="1772">
        <f>SUMIFS('REVIEW - Complete Role Mapping'!$AA$2:$AA$528,'REVIEW - Complete Role Mapping'!$AJ$2:$AJ$528,$B8,'REVIEW - Complete Role Mapping'!$AT$2:$AT$528,$C8)/1000000</f>
        <v>1.111589344</v>
      </c>
      <c r="H8" s="1772">
        <f>SUMIFS('REVIEW - Complete Role Mapping'!$AA$2:$AA$528,'REVIEW - Complete Role Mapping'!$AJ$2:$AJ$528,$B8,'REVIEW - Complete Role Mapping'!$AT$2:$AT$528,$C8,'REVIEW - Complete Role Mapping'!$M$2:$M$528,"Australia")/1000000</f>
        <v>0.7509109</v>
      </c>
      <c r="I8" s="1772">
        <f>SUMIFS('REVIEW - Complete Role Mapping'!$AA$2:$AA$528,'REVIEW - Complete Role Mapping'!$AJ$2:$AJ$528,$B8,'REVIEW - Complete Role Mapping'!$AT$2:$AT$528,$C8,'REVIEW - Complete Role Mapping'!$AL$2:$AL$528,"NZ")/1000000</f>
        <v>0.360678444</v>
      </c>
      <c r="J8" s="1772">
        <f>$G8-$H8-$I8</f>
        <v>0</v>
      </c>
      <c r="K8" s="1773">
        <f>COUNTIFS('REVIEW - Complete Role Mapping'!$AJ$2:$AJ$528,$B8,'REVIEW - Complete Role Mapping'!$AT$2:$AT$528,$C8,'REVIEW - Complete Role Mapping'!$AR$2:$AR$528,"&lt;&gt;Squad")</f>
        <v>0</v>
      </c>
      <c r="L8" s="1772">
        <f>SUMIFS('REVIEW - Complete Role Mapping'!$AA$2:$AA$528,'REVIEW - Complete Role Mapping'!$AJ$2:$AJ$528,$B8,'REVIEW - Complete Role Mapping'!$AT$2:$AT$528,$C8,'REVIEW - Complete Role Mapping'!$AR$2:$AR$528,"&lt;&gt;Squad")/1000000</f>
        <v>0</v>
      </c>
    </row>
    <row r="9">
      <c r="B9" s="1530" t="inlineStr">
        <is>
          <t>COE Cyber</t>
        </is>
      </c>
      <c r="C9" s="1530" t="inlineStr">
        <is>
          <t>Cyber Strat &amp; Tech</t>
        </is>
      </c>
      <c r="D9" s="1773">
        <f>COUNTIFS('REVIEW - Complete Role Mapping'!$AJ$2:$AJ$528,$B9,'REVIEW - Complete Role Mapping'!$AT$2:$AT$528,$C9)</f>
        <v>13</v>
      </c>
      <c r="E9" s="1773">
        <f>COUNTIFS('REVIEW - Complete Role Mapping'!$AJ$2:$AJ$528,$B9,'REVIEW - Complete Role Mapping'!$AT$2:$AT$528,$C9,'REVIEW - Complete Role Mapping'!$AK$2:$AK$528,"Filled")</f>
        <v>13</v>
      </c>
      <c r="F9" s="1773">
        <f>COUNTIFS('REVIEW - Complete Role Mapping'!$AJ$2:$AJ$528,$B9,'REVIEW - Complete Role Mapping'!$AT$2:$AT$528,$C9,'REVIEW - Complete Role Mapping'!$AK$2:$AK$528,"Vacant")</f>
        <v>0</v>
      </c>
      <c r="G9" s="1772">
        <f>SUMIFS('REVIEW - Complete Role Mapping'!$AA$2:$AA$528,'REVIEW - Complete Role Mapping'!$AJ$2:$AJ$528,$B9,'REVIEW - Complete Role Mapping'!$AT$2:$AT$528,$C9)/1000000</f>
        <v>3.31576355</v>
      </c>
      <c r="H9" s="1772">
        <f>SUMIFS('REVIEW - Complete Role Mapping'!$AA$2:$AA$528,'REVIEW - Complete Role Mapping'!$AJ$2:$AJ$528,$B9,'REVIEW - Complete Role Mapping'!$AT$2:$AT$528,$C9,'REVIEW - Complete Role Mapping'!$M$2:$M$528,"Australia")/1000000</f>
        <v>3.31576355</v>
      </c>
      <c r="I9" s="1772">
        <f>SUMIFS('REVIEW - Complete Role Mapping'!$AA$2:$AA$528,'REVIEW - Complete Role Mapping'!$AJ$2:$AJ$528,$B9,'REVIEW - Complete Role Mapping'!$AT$2:$AT$528,$C9,'REVIEW - Complete Role Mapping'!$AL$2:$AL$528,"NZ")/1000000</f>
        <v>0</v>
      </c>
      <c r="J9" s="1772">
        <f>$G9-$H9-$I9</f>
        <v>0</v>
      </c>
      <c r="K9" s="1773">
        <f>COUNTIFS('REVIEW - Complete Role Mapping'!$AJ$2:$AJ$528,$B9,'REVIEW - Complete Role Mapping'!$AT$2:$AT$528,$C9,'REVIEW - Complete Role Mapping'!$AR$2:$AR$528,"&lt;&gt;Squad")</f>
        <v>1</v>
      </c>
      <c r="L9" s="1772">
        <f>SUMIFS('REVIEW - Complete Role Mapping'!$AA$2:$AA$528,'REVIEW - Complete Role Mapping'!$AJ$2:$AJ$528,$B9,'REVIEW - Complete Role Mapping'!$AT$2:$AT$528,$C9,'REVIEW - Complete Role Mapping'!$AR$2:$AR$528,"&lt;&gt;Squad")/1000000</f>
        <v>0.3825877</v>
      </c>
    </row>
    <row r="10">
      <c r="B10" s="1530" t="inlineStr">
        <is>
          <t>COE Cyber</t>
        </is>
      </c>
      <c r="C10" s="1530" t="inlineStr">
        <is>
          <t>Service Op &amp; Assurance</t>
        </is>
      </c>
      <c r="D10" s="1773">
        <f>COUNTIFS('REVIEW - Complete Role Mapping'!$AJ$2:$AJ$528,$B10,'REVIEW - Complete Role Mapping'!$AT$2:$AT$528,$C10)</f>
        <v>21</v>
      </c>
      <c r="E10" s="1773">
        <f>COUNTIFS('REVIEW - Complete Role Mapping'!$AJ$2:$AJ$528,$B10,'REVIEW - Complete Role Mapping'!$AT$2:$AT$528,$C10,'REVIEW - Complete Role Mapping'!$AK$2:$AK$528,"Filled")</f>
        <v>17</v>
      </c>
      <c r="F10" s="1773">
        <f>COUNTIFS('REVIEW - Complete Role Mapping'!$AJ$2:$AJ$528,$B10,'REVIEW - Complete Role Mapping'!$AT$2:$AT$528,$C10,'REVIEW - Complete Role Mapping'!$AK$2:$AK$528,"Vacant")</f>
        <v>4</v>
      </c>
      <c r="G10" s="1772">
        <f>SUMIFS('REVIEW - Complete Role Mapping'!$AA$2:$AA$528,'REVIEW - Complete Role Mapping'!$AJ$2:$AJ$528,$B10,'REVIEW - Complete Role Mapping'!$AT$2:$AT$528,$C10)/1000000</f>
        <v>3.92346938</v>
      </c>
      <c r="H10" s="1772">
        <f>SUMIFS('REVIEW - Complete Role Mapping'!$AA$2:$AA$528,'REVIEW - Complete Role Mapping'!$AJ$2:$AJ$528,$B10,'REVIEW - Complete Role Mapping'!$AT$2:$AT$528,$C10,'REVIEW - Complete Role Mapping'!$M$2:$M$528,"Australia")/1000000</f>
        <v>3.5464988</v>
      </c>
      <c r="I10" s="1772">
        <f>SUMIFS('REVIEW - Complete Role Mapping'!$AA$2:$AA$528,'REVIEW - Complete Role Mapping'!$AJ$2:$AJ$528,$B10,'REVIEW - Complete Role Mapping'!$AT$2:$AT$528,$C10,'REVIEW - Complete Role Mapping'!$AL$2:$AL$528,"NZ")/1000000</f>
        <v>0.37697058</v>
      </c>
      <c r="J10" s="1772">
        <f>$G10-$H10-$I10</f>
        <v>0</v>
      </c>
      <c r="K10" s="1773">
        <f>COUNTIFS('REVIEW - Complete Role Mapping'!$AJ$2:$AJ$528,$B10,'REVIEW - Complete Role Mapping'!$AT$2:$AT$528,$C10,'REVIEW - Complete Role Mapping'!$AR$2:$AR$528,"&lt;&gt;Squad")</f>
        <v>1</v>
      </c>
      <c r="L10" s="1772">
        <f>SUMIFS('REVIEW - Complete Role Mapping'!$AA$2:$AA$528,'REVIEW - Complete Role Mapping'!$AJ$2:$AJ$528,$B10,'REVIEW - Complete Role Mapping'!$AT$2:$AT$528,$C10,'REVIEW - Complete Role Mapping'!$AR$2:$AR$528,"&lt;&gt;Squad")/1000000</f>
        <v>0.4006714</v>
      </c>
    </row>
    <row r="11">
      <c r="B11" s="1534" t="inlineStr">
        <is>
          <t>COE Cyber total</t>
        </is>
      </c>
      <c r="C11" s="1534" t="n"/>
      <c r="D11" s="1775">
        <f>SUM(D6:D10)</f>
        <v>46</v>
      </c>
      <c r="E11" s="1775">
        <f>SUM(E6:E10)</f>
        <v>42</v>
      </c>
      <c r="F11" s="1775">
        <f>SUM(F6:F10)</f>
        <v>4</v>
      </c>
      <c r="G11" s="1774">
        <f>SUM(G6:G10)</f>
        <v>9.897858294</v>
      </c>
      <c r="H11" s="1774">
        <f>SUM(H6:H10)</f>
        <v>8.83986105</v>
      </c>
      <c r="I11" s="1774">
        <f>SUM(I6:I10)</f>
        <v>1.057997244</v>
      </c>
      <c r="J11" s="1774">
        <f>SUM(J6:J10)</f>
        <v>0</v>
      </c>
      <c r="K11" s="1775">
        <f>SUM(K6:K10)</f>
        <v>2</v>
      </c>
      <c r="L11" s="1774">
        <f>SUM(L6:L10)</f>
        <v>0.7832591</v>
      </c>
    </row>
    <row r="12">
      <c r="B12" s="1530" t="inlineStr">
        <is>
          <t>COE BP&amp;T</t>
        </is>
      </c>
      <c r="C12" s="1530" t="inlineStr">
        <is>
          <t>Commercial</t>
        </is>
      </c>
      <c r="D12" s="1773">
        <f>COUNTIFS('REVIEW - Complete Role Mapping'!$AJ$2:$AJ$528,$B12,'REVIEW - Complete Role Mapping'!$AT$2:$AT$528,$C12)</f>
        <v>4</v>
      </c>
      <c r="E12" s="1773">
        <f>COUNTIFS('REVIEW - Complete Role Mapping'!$AJ$2:$AJ$528,$B12,'REVIEW - Complete Role Mapping'!$AT$2:$AT$528,$C12,'REVIEW - Complete Role Mapping'!$AK$2:$AK$528,"Filled")</f>
        <v>3</v>
      </c>
      <c r="F12" s="1773">
        <f>COUNTIFS('REVIEW - Complete Role Mapping'!$AJ$2:$AJ$528,$B12,'REVIEW - Complete Role Mapping'!$AT$2:$AT$528,$C12,'REVIEW - Complete Role Mapping'!$AK$2:$AK$528,"Vacant")</f>
        <v>1</v>
      </c>
      <c r="G12" s="1772">
        <f>SUMIFS('REVIEW - Complete Role Mapping'!$AA$2:$AA$528,'REVIEW - Complete Role Mapping'!$AJ$2:$AJ$528,$B12,'REVIEW - Complete Role Mapping'!$AT$2:$AT$528,$C12)/1000000</f>
        <v>0.979014192</v>
      </c>
      <c r="H12" s="1772">
        <f>SUMIFS('REVIEW - Complete Role Mapping'!$AA$2:$AA$528,'REVIEW - Complete Role Mapping'!$AJ$2:$AJ$528,$B12,'REVIEW - Complete Role Mapping'!$AT$2:$AT$528,$C12,'REVIEW - Complete Role Mapping'!$M$2:$M$528,"Australia")/1000000</f>
        <v>0.8280117</v>
      </c>
      <c r="I12" s="1772">
        <f>SUMIFS('REVIEW - Complete Role Mapping'!$AA$2:$AA$528,'REVIEW - Complete Role Mapping'!$AJ$2:$AJ$528,$B12,'REVIEW - Complete Role Mapping'!$AT$2:$AT$528,$C12,'REVIEW - Complete Role Mapping'!$AL$2:$AL$528,"NZ")/1000000</f>
        <v>0.151002492</v>
      </c>
      <c r="J12" s="1772">
        <f>$G12-$H12-$I12</f>
        <v>0</v>
      </c>
      <c r="K12" s="1773">
        <f>COUNTIFS('REVIEW - Complete Role Mapping'!$AJ$2:$AJ$528,$B12,'REVIEW - Complete Role Mapping'!$AT$2:$AT$528,$C12,'REVIEW - Complete Role Mapping'!$AR$2:$AR$528,"&lt;&gt;Squad")</f>
        <v>0</v>
      </c>
      <c r="L12" s="1772">
        <f>SUMIFS('REVIEW - Complete Role Mapping'!$AA$2:$AA$528,'REVIEW - Complete Role Mapping'!$AJ$2:$AJ$528,$B12,'REVIEW - Complete Role Mapping'!$AT$2:$AT$528,$C12,'REVIEW - Complete Role Mapping'!$AR$2:$AR$528,"&lt;&gt;Squad")/1000000</f>
        <v>0</v>
      </c>
    </row>
    <row r="13">
      <c r="B13" s="1530" t="inlineStr">
        <is>
          <t>COE BP&amp;T</t>
        </is>
      </c>
      <c r="C13" s="1530" t="inlineStr">
        <is>
          <t>TDD Business Partner</t>
        </is>
      </c>
      <c r="D13" s="1773">
        <f>COUNTIFS('REVIEW - Complete Role Mapping'!$AJ$2:$AJ$528,$B13,'REVIEW - Complete Role Mapping'!$AT$2:$AT$528,$C13)</f>
        <v>6</v>
      </c>
      <c r="E13" s="1773">
        <f>COUNTIFS('REVIEW - Complete Role Mapping'!$AJ$2:$AJ$528,$B13,'REVIEW - Complete Role Mapping'!$AT$2:$AT$528,$C13,'REVIEW - Complete Role Mapping'!$AK$2:$AK$528,"Filled")</f>
        <v>6</v>
      </c>
      <c r="F13" s="1773">
        <f>COUNTIFS('REVIEW - Complete Role Mapping'!$AJ$2:$AJ$528,$B13,'REVIEW - Complete Role Mapping'!$AT$2:$AT$528,$C13,'REVIEW - Complete Role Mapping'!$AK$2:$AK$528,"Vacant")</f>
        <v>0</v>
      </c>
      <c r="G13" s="1772">
        <f>SUMIFS('REVIEW - Complete Role Mapping'!$AA$2:$AA$528,'REVIEW - Complete Role Mapping'!$AJ$2:$AJ$528,$B13,'REVIEW - Complete Role Mapping'!$AT$2:$AT$528,$C13)/1000000</f>
        <v>2.3135484</v>
      </c>
      <c r="H13" s="1772">
        <f>SUMIFS('REVIEW - Complete Role Mapping'!$AA$2:$AA$528,'REVIEW - Complete Role Mapping'!$AJ$2:$AJ$528,$B13,'REVIEW - Complete Role Mapping'!$AT$2:$AT$528,$C13,'REVIEW - Complete Role Mapping'!$M$2:$M$528,"Australia")/1000000</f>
        <v>1.3560389</v>
      </c>
      <c r="I13" s="1772">
        <f>SUMIFS('REVIEW - Complete Role Mapping'!$AA$2:$AA$528,'REVIEW - Complete Role Mapping'!$AJ$2:$AJ$528,$B13,'REVIEW - Complete Role Mapping'!$AT$2:$AT$528,$C13,'REVIEW - Complete Role Mapping'!$AL$2:$AL$528,"NZ")/1000000</f>
        <v>0.291422</v>
      </c>
      <c r="J13" s="1772">
        <f>$G13-$H13-$I13</f>
        <v>0.6660875</v>
      </c>
      <c r="K13" s="1773">
        <f>COUNTIFS('REVIEW - Complete Role Mapping'!$AJ$2:$AJ$528,$B13,'REVIEW - Complete Role Mapping'!$AT$2:$AT$528,$C13,'REVIEW - Complete Role Mapping'!$AR$2:$AR$528,"&lt;&gt;Squad")</f>
        <v>6</v>
      </c>
      <c r="L13" s="1772">
        <f>SUMIFS('REVIEW - Complete Role Mapping'!$AA$2:$AA$528,'REVIEW - Complete Role Mapping'!$AJ$2:$AJ$528,$B13,'REVIEW - Complete Role Mapping'!$AT$2:$AT$528,$C13,'REVIEW - Complete Role Mapping'!$AR$2:$AR$528,"&lt;&gt;Squad")/1000000</f>
        <v>2.3135484</v>
      </c>
    </row>
    <row r="14">
      <c r="B14" s="1530" t="inlineStr">
        <is>
          <t>COE BP&amp;T</t>
        </is>
      </c>
      <c r="C14" s="1530" t="inlineStr">
        <is>
          <t>Transformation</t>
        </is>
      </c>
      <c r="D14" s="1773">
        <f>COUNTIFS('REVIEW - Complete Role Mapping'!$AJ$2:$AJ$528,$B14,'REVIEW - Complete Role Mapping'!$AT$2:$AT$528,$C14)</f>
        <v>14</v>
      </c>
      <c r="E14" s="1773">
        <f>COUNTIFS('REVIEW - Complete Role Mapping'!$AJ$2:$AJ$528,$B14,'REVIEW - Complete Role Mapping'!$AT$2:$AT$528,$C14,'REVIEW - Complete Role Mapping'!$AK$2:$AK$528,"Filled")</f>
        <v>6</v>
      </c>
      <c r="F14" s="1773">
        <f>COUNTIFS('REVIEW - Complete Role Mapping'!$AJ$2:$AJ$528,$B14,'REVIEW - Complete Role Mapping'!$AT$2:$AT$528,$C14,'REVIEW - Complete Role Mapping'!$AK$2:$AK$528,"Vacant")</f>
        <v>8</v>
      </c>
      <c r="G14" s="1772">
        <f>SUMIFS('REVIEW - Complete Role Mapping'!$AA$2:$AA$528,'REVIEW - Complete Role Mapping'!$AJ$2:$AJ$528,$B14,'REVIEW - Complete Role Mapping'!$AT$2:$AT$528,$C14)/1000000</f>
        <v>3.10799923</v>
      </c>
      <c r="H14" s="1772">
        <f>SUMIFS('REVIEW - Complete Role Mapping'!$AA$2:$AA$528,'REVIEW - Complete Role Mapping'!$AJ$2:$AJ$528,$B14,'REVIEW - Complete Role Mapping'!$AT$2:$AT$528,$C14,'REVIEW - Complete Role Mapping'!$M$2:$M$528,"Australia")/1000000</f>
        <v>2.80847245</v>
      </c>
      <c r="I14" s="1772">
        <f>SUMIFS('REVIEW - Complete Role Mapping'!$AA$2:$AA$528,'REVIEW - Complete Role Mapping'!$AJ$2:$AJ$528,$B14,'REVIEW - Complete Role Mapping'!$AT$2:$AT$528,$C14,'REVIEW - Complete Role Mapping'!$AL$2:$AL$528,"NZ")/1000000</f>
        <v>0.29952678</v>
      </c>
      <c r="J14" s="1772">
        <f>$G14-$H14-$I14</f>
        <v>0</v>
      </c>
      <c r="K14" s="1773">
        <f>COUNTIFS('REVIEW - Complete Role Mapping'!$AJ$2:$AJ$528,$B14,'REVIEW - Complete Role Mapping'!$AT$2:$AT$528,$C14,'REVIEW - Complete Role Mapping'!$AR$2:$AR$528,"&lt;&gt;Squad")</f>
        <v>1</v>
      </c>
      <c r="L14" s="1772">
        <f>SUMIFS('REVIEW - Complete Role Mapping'!$AA$2:$AA$528,'REVIEW - Complete Role Mapping'!$AJ$2:$AJ$528,$B14,'REVIEW - Complete Role Mapping'!$AT$2:$AT$528,$C14,'REVIEW - Complete Role Mapping'!$AR$2:$AR$528,"&lt;&gt;Squad")/1000000</f>
        <v>0.3679</v>
      </c>
    </row>
    <row r="15">
      <c r="B15" s="1534" t="inlineStr">
        <is>
          <t>COE BP&amp;T total</t>
        </is>
      </c>
      <c r="C15" s="1534" t="n"/>
      <c r="D15" s="1775">
        <f>SUM(D12:D14)</f>
        <v>24</v>
      </c>
      <c r="E15" s="1775">
        <f>SUM(E12:E14)</f>
        <v>15</v>
      </c>
      <c r="F15" s="1775">
        <f>SUM(F12:F14)</f>
        <v>9</v>
      </c>
      <c r="G15" s="1774">
        <f>SUM(G12:G14)</f>
        <v>6.400561822</v>
      </c>
      <c r="H15" s="1774">
        <f>SUM(H12:H14)</f>
        <v>4.99252305</v>
      </c>
      <c r="I15" s="1774">
        <f>SUM(I12:I14)</f>
        <v>0.741951272</v>
      </c>
      <c r="J15" s="1774">
        <f>SUM(J12:J14)</f>
        <v>0.6660875</v>
      </c>
      <c r="K15" s="1775">
        <f>SUM(K12:K14)</f>
        <v>7</v>
      </c>
      <c r="L15" s="1774">
        <f>SUM(L12:L14)</f>
        <v>2.6814484</v>
      </c>
    </row>
    <row r="16">
      <c r="B16" s="1530" t="inlineStr">
        <is>
          <t>COE SA&amp;D</t>
        </is>
      </c>
      <c r="C16" s="1530" t="inlineStr">
        <is>
          <t>Architecture</t>
        </is>
      </c>
      <c r="D16" s="1773">
        <f>COUNTIFS('REVIEW - Complete Role Mapping'!$AJ$2:$AJ$528,$B16,'REVIEW - Complete Role Mapping'!$AT$2:$AT$528,$C16)</f>
        <v>7</v>
      </c>
      <c r="E16" s="1773">
        <f>COUNTIFS('REVIEW - Complete Role Mapping'!$AJ$2:$AJ$528,$B16,'REVIEW - Complete Role Mapping'!$AT$2:$AT$528,$C16,'REVIEW - Complete Role Mapping'!$AK$2:$AK$528,"Filled")</f>
        <v>7</v>
      </c>
      <c r="F16" s="1773">
        <f>COUNTIFS('REVIEW - Complete Role Mapping'!$AJ$2:$AJ$528,$B16,'REVIEW - Complete Role Mapping'!$AT$2:$AT$528,$C16,'REVIEW - Complete Role Mapping'!$AK$2:$AK$528,"Vacant")</f>
        <v>0</v>
      </c>
      <c r="G16" s="1772">
        <f>SUMIFS('REVIEW - Complete Role Mapping'!$AA$2:$AA$528,'REVIEW - Complete Role Mapping'!$AJ$2:$AJ$528,$B16,'REVIEW - Complete Role Mapping'!$AT$2:$AT$528,$C16)/1000000</f>
        <v>1.664746536</v>
      </c>
      <c r="H16" s="1772">
        <f>SUMIFS('REVIEW - Complete Role Mapping'!$AA$2:$AA$528,'REVIEW - Complete Role Mapping'!$AJ$2:$AJ$528,$B16,'REVIEW - Complete Role Mapping'!$AT$2:$AT$528,$C16,'REVIEW - Complete Role Mapping'!$M$2:$M$528,"Australia")/1000000</f>
        <v>0.970878</v>
      </c>
      <c r="I16" s="1772">
        <f>SUMIFS('REVIEW - Complete Role Mapping'!$AA$2:$AA$528,'REVIEW - Complete Role Mapping'!$AJ$2:$AJ$528,$B16,'REVIEW - Complete Role Mapping'!$AT$2:$AT$528,$C16,'REVIEW - Complete Role Mapping'!$AL$2:$AL$528,"NZ")/1000000</f>
        <v>0.693868536</v>
      </c>
      <c r="J16" s="1772">
        <f>$G16-$H16-$I16</f>
        <v>0</v>
      </c>
      <c r="K16" s="1773">
        <f>COUNTIFS('REVIEW - Complete Role Mapping'!$AJ$2:$AJ$528,$B16,'REVIEW - Complete Role Mapping'!$AT$2:$AT$528,$C16,'REVIEW - Complete Role Mapping'!$AR$2:$AR$528,"&lt;&gt;Squad")</f>
        <v>7</v>
      </c>
      <c r="L16" s="1772">
        <f>SUMIFS('REVIEW - Complete Role Mapping'!$AA$2:$AA$528,'REVIEW - Complete Role Mapping'!$AJ$2:$AJ$528,$B16,'REVIEW - Complete Role Mapping'!$AT$2:$AT$528,$C16,'REVIEW - Complete Role Mapping'!$AR$2:$AR$528,"&lt;&gt;Squad")/1000000</f>
        <v>1.664746536</v>
      </c>
    </row>
    <row r="17">
      <c r="B17" s="1530" t="inlineStr">
        <is>
          <t>COE SA&amp;D</t>
        </is>
      </c>
      <c r="C17" s="1530" t="inlineStr">
        <is>
          <t>Data Platforms</t>
        </is>
      </c>
      <c r="D17" s="1773">
        <f>COUNTIFS('REVIEW - Complete Role Mapping'!$AJ$2:$AJ$528,$B17,'REVIEW - Complete Role Mapping'!$AT$2:$AT$528,$C17)</f>
        <v>1</v>
      </c>
      <c r="E17" s="1773">
        <f>COUNTIFS('REVIEW - Complete Role Mapping'!$AJ$2:$AJ$528,$B17,'REVIEW - Complete Role Mapping'!$AT$2:$AT$528,$C17,'REVIEW - Complete Role Mapping'!$AK$2:$AK$528,"Filled")</f>
        <v>1</v>
      </c>
      <c r="F17" s="1773">
        <f>COUNTIFS('REVIEW - Complete Role Mapping'!$AJ$2:$AJ$528,$B17,'REVIEW - Complete Role Mapping'!$AT$2:$AT$528,$C17,'REVIEW - Complete Role Mapping'!$AK$2:$AK$528,"Vacant")</f>
        <v>0</v>
      </c>
      <c r="G17" s="1772">
        <f>SUMIFS('REVIEW - Complete Role Mapping'!$AA$2:$AA$528,'REVIEW - Complete Role Mapping'!$AJ$2:$AJ$528,$B17,'REVIEW - Complete Role Mapping'!$AT$2:$AT$528,$C17)/1000000</f>
        <v>0.2655849</v>
      </c>
      <c r="H17" s="1772">
        <f>SUMIFS('REVIEW - Complete Role Mapping'!$AA$2:$AA$528,'REVIEW - Complete Role Mapping'!$AJ$2:$AJ$528,$B17,'REVIEW - Complete Role Mapping'!$AT$2:$AT$528,$C17,'REVIEW - Complete Role Mapping'!$M$2:$M$528,"Australia")/1000000</f>
        <v>0.2655849</v>
      </c>
      <c r="I17" s="1772">
        <f>SUMIFS('REVIEW - Complete Role Mapping'!$AA$2:$AA$528,'REVIEW - Complete Role Mapping'!$AJ$2:$AJ$528,$B17,'REVIEW - Complete Role Mapping'!$AT$2:$AT$528,$C17,'REVIEW - Complete Role Mapping'!$AL$2:$AL$528,"NZ")/1000000</f>
        <v>0</v>
      </c>
      <c r="J17" s="1772">
        <f>$G17-$H17-$I17</f>
        <v>0</v>
      </c>
      <c r="K17" s="1773">
        <f>COUNTIFS('REVIEW - Complete Role Mapping'!$AJ$2:$AJ$528,$B17,'REVIEW - Complete Role Mapping'!$AT$2:$AT$528,$C17,'REVIEW - Complete Role Mapping'!$AR$2:$AR$528,"&lt;&gt;Squad")</f>
        <v>0</v>
      </c>
      <c r="L17" s="1772">
        <f>SUMIFS('REVIEW - Complete Role Mapping'!$AA$2:$AA$528,'REVIEW - Complete Role Mapping'!$AJ$2:$AJ$528,$B17,'REVIEW - Complete Role Mapping'!$AT$2:$AT$528,$C17,'REVIEW - Complete Role Mapping'!$AR$2:$AR$528,"&lt;&gt;Squad")/1000000</f>
        <v>0</v>
      </c>
    </row>
    <row r="18">
      <c r="B18" s="1530" t="inlineStr">
        <is>
          <t>COE SA&amp;D</t>
        </is>
      </c>
      <c r="C18" s="1530" t="inlineStr">
        <is>
          <t>Group Data</t>
        </is>
      </c>
      <c r="D18" s="1773">
        <f>COUNTIFS('REVIEW - Complete Role Mapping'!$AJ$2:$AJ$528,$B18,'REVIEW - Complete Role Mapping'!$AT$2:$AT$528,$C18)</f>
        <v>9</v>
      </c>
      <c r="E18" s="1773">
        <f>COUNTIFS('REVIEW - Complete Role Mapping'!$AJ$2:$AJ$528,$B18,'REVIEW - Complete Role Mapping'!$AT$2:$AT$528,$C18,'REVIEW - Complete Role Mapping'!$AK$2:$AK$528,"Filled")</f>
        <v>7</v>
      </c>
      <c r="F18" s="1773">
        <f>COUNTIFS('REVIEW - Complete Role Mapping'!$AJ$2:$AJ$528,$B18,'REVIEW - Complete Role Mapping'!$AT$2:$AT$528,$C18,'REVIEW - Complete Role Mapping'!$AK$2:$AK$528,"Vacant")</f>
        <v>2</v>
      </c>
      <c r="G18" s="1772">
        <f>SUMIFS('REVIEW - Complete Role Mapping'!$AA$2:$AA$528,'REVIEW - Complete Role Mapping'!$AJ$2:$AJ$528,$B18,'REVIEW - Complete Role Mapping'!$AT$2:$AT$528,$C18)/1000000</f>
        <v>2.305292066</v>
      </c>
      <c r="H18" s="1772">
        <f>SUMIFS('REVIEW - Complete Role Mapping'!$AA$2:$AA$528,'REVIEW - Complete Role Mapping'!$AJ$2:$AJ$528,$B18,'REVIEW - Complete Role Mapping'!$AT$2:$AT$528,$C18,'REVIEW - Complete Role Mapping'!$M$2:$M$528,"Australia")/1000000</f>
        <v>2.15554565</v>
      </c>
      <c r="I18" s="1772">
        <f>SUMIFS('REVIEW - Complete Role Mapping'!$AA$2:$AA$528,'REVIEW - Complete Role Mapping'!$AJ$2:$AJ$528,$B18,'REVIEW - Complete Role Mapping'!$AT$2:$AT$528,$C18,'REVIEW - Complete Role Mapping'!$AL$2:$AL$528,"NZ")/1000000</f>
        <v>0.149746416</v>
      </c>
      <c r="J18" s="1772">
        <f>$G18-$H18-$I18</f>
        <v>0</v>
      </c>
      <c r="K18" s="1773">
        <f>COUNTIFS('REVIEW - Complete Role Mapping'!$AJ$2:$AJ$528,$B18,'REVIEW - Complete Role Mapping'!$AT$2:$AT$528,$C18,'REVIEW - Complete Role Mapping'!$AR$2:$AR$528,"&lt;&gt;Squad")</f>
        <v>0</v>
      </c>
      <c r="L18" s="1772">
        <f>SUMIFS('REVIEW - Complete Role Mapping'!$AA$2:$AA$528,'REVIEW - Complete Role Mapping'!$AJ$2:$AJ$528,$B18,'REVIEW - Complete Role Mapping'!$AT$2:$AT$528,$C18,'REVIEW - Complete Role Mapping'!$AR$2:$AR$528,"&lt;&gt;Squad")/1000000</f>
        <v>0</v>
      </c>
    </row>
    <row r="19">
      <c r="B19" s="1530" t="inlineStr">
        <is>
          <t>COE SA&amp;D</t>
        </is>
      </c>
      <c r="C19" s="1530" t="inlineStr">
        <is>
          <t>Leadership</t>
        </is>
      </c>
      <c r="D19" s="1773">
        <f>COUNTIFS('REVIEW - Complete Role Mapping'!$AJ$2:$AJ$528,$B19,'REVIEW - Complete Role Mapping'!$AT$2:$AT$528,$C19)</f>
        <v>4</v>
      </c>
      <c r="E19" s="1773">
        <f>COUNTIFS('REVIEW - Complete Role Mapping'!$AJ$2:$AJ$528,$B19,'REVIEW - Complete Role Mapping'!$AT$2:$AT$528,$C19,'REVIEW - Complete Role Mapping'!$AK$2:$AK$528,"Filled")</f>
        <v>1</v>
      </c>
      <c r="F19" s="1773">
        <f>COUNTIFS('REVIEW - Complete Role Mapping'!$AJ$2:$AJ$528,$B19,'REVIEW - Complete Role Mapping'!$AT$2:$AT$528,$C19,'REVIEW - Complete Role Mapping'!$AK$2:$AK$528,"Vacant")</f>
        <v>3</v>
      </c>
      <c r="G19" s="1772">
        <f>SUMIFS('REVIEW - Complete Role Mapping'!$AA$2:$AA$528,'REVIEW - Complete Role Mapping'!$AJ$2:$AJ$528,$B19,'REVIEW - Complete Role Mapping'!$AT$2:$AT$528,$C19)/1000000</f>
        <v>1.2239818</v>
      </c>
      <c r="H19" s="1772">
        <f>SUMIFS('REVIEW - Complete Role Mapping'!$AA$2:$AA$528,'REVIEW - Complete Role Mapping'!$AJ$2:$AJ$528,$B19,'REVIEW - Complete Role Mapping'!$AT$2:$AT$528,$C19,'REVIEW - Complete Role Mapping'!$M$2:$M$528,"Australia")/1000000</f>
        <v>1.2239818</v>
      </c>
      <c r="I19" s="1772">
        <f>SUMIFS('REVIEW - Complete Role Mapping'!$AA$2:$AA$528,'REVIEW - Complete Role Mapping'!$AJ$2:$AJ$528,$B19,'REVIEW - Complete Role Mapping'!$AT$2:$AT$528,$C19,'REVIEW - Complete Role Mapping'!$AL$2:$AL$528,"NZ")/1000000</f>
        <v>0</v>
      </c>
      <c r="J19" s="1772">
        <f>$G19-$H19-$I19</f>
        <v>0</v>
      </c>
      <c r="K19" s="1773">
        <f>COUNTIFS('REVIEW - Complete Role Mapping'!$AJ$2:$AJ$528,$B19,'REVIEW - Complete Role Mapping'!$AT$2:$AT$528,$C19,'REVIEW - Complete Role Mapping'!$AR$2:$AR$528,"&lt;&gt;Squad")</f>
        <v>3</v>
      </c>
      <c r="L19" s="1772">
        <f>SUMIFS('REVIEW - Complete Role Mapping'!$AA$2:$AA$528,'REVIEW - Complete Role Mapping'!$AJ$2:$AJ$528,$B19,'REVIEW - Complete Role Mapping'!$AT$2:$AT$528,$C19,'REVIEW - Complete Role Mapping'!$AR$2:$AR$528,"&lt;&gt;Squad")/1000000</f>
        <v>1.0370818</v>
      </c>
    </row>
    <row r="20">
      <c r="B20" s="1530" t="inlineStr">
        <is>
          <t>COE SA&amp;D</t>
        </is>
      </c>
      <c r="C20" s="1530" t="inlineStr">
        <is>
          <t>Technology Strategy &amp; AI Capability</t>
        </is>
      </c>
      <c r="D20" s="1773">
        <f>COUNTIFS('REVIEW - Complete Role Mapping'!$AJ$2:$AJ$528,$B20,'REVIEW - Complete Role Mapping'!$AT$2:$AT$528,$C20)</f>
        <v>5</v>
      </c>
      <c r="E20" s="1773">
        <f>COUNTIFS('REVIEW - Complete Role Mapping'!$AJ$2:$AJ$528,$B20,'REVIEW - Complete Role Mapping'!$AT$2:$AT$528,$C20,'REVIEW - Complete Role Mapping'!$AK$2:$AK$528,"Filled")</f>
        <v>1</v>
      </c>
      <c r="F20" s="1773">
        <f>COUNTIFS('REVIEW - Complete Role Mapping'!$AJ$2:$AJ$528,$B20,'REVIEW - Complete Role Mapping'!$AT$2:$AT$528,$C20,'REVIEW - Complete Role Mapping'!$AK$2:$AK$528,"Vacant")</f>
        <v>4</v>
      </c>
      <c r="G20" s="1772">
        <f>SUMIFS('REVIEW - Complete Role Mapping'!$AA$2:$AA$528,'REVIEW - Complete Role Mapping'!$AJ$2:$AJ$528,$B20,'REVIEW - Complete Role Mapping'!$AT$2:$AT$528,$C20)/1000000</f>
        <v>1.06988875</v>
      </c>
      <c r="H20" s="1772">
        <f>SUMIFS('REVIEW - Complete Role Mapping'!$AA$2:$AA$528,'REVIEW - Complete Role Mapping'!$AJ$2:$AJ$528,$B20,'REVIEW - Complete Role Mapping'!$AT$2:$AT$528,$C20,'REVIEW - Complete Role Mapping'!$M$2:$M$528,"Australia")/1000000</f>
        <v>1.06988875</v>
      </c>
      <c r="I20" s="1772">
        <f>SUMIFS('REVIEW - Complete Role Mapping'!$AA$2:$AA$528,'REVIEW - Complete Role Mapping'!$AJ$2:$AJ$528,$B20,'REVIEW - Complete Role Mapping'!$AT$2:$AT$528,$C20,'REVIEW - Complete Role Mapping'!$AL$2:$AL$528,"NZ")/1000000</f>
        <v>0</v>
      </c>
      <c r="J20" s="1772">
        <f>$G20-$H20-$I20</f>
        <v>0</v>
      </c>
      <c r="K20" s="1773">
        <f>COUNTIFS('REVIEW - Complete Role Mapping'!$AJ$2:$AJ$528,$B20,'REVIEW - Complete Role Mapping'!$AT$2:$AT$528,$C20,'REVIEW - Complete Role Mapping'!$AR$2:$AR$528,"&lt;&gt;Squad")</f>
        <v>0</v>
      </c>
      <c r="L20" s="1772">
        <f>SUMIFS('REVIEW - Complete Role Mapping'!$AA$2:$AA$528,'REVIEW - Complete Role Mapping'!$AJ$2:$AJ$528,$B20,'REVIEW - Complete Role Mapping'!$AT$2:$AT$528,$C20,'REVIEW - Complete Role Mapping'!$AR$2:$AR$528,"&lt;&gt;Squad")/1000000</f>
        <v>0</v>
      </c>
    </row>
    <row r="21">
      <c r="B21" s="1534" t="inlineStr">
        <is>
          <t>COE SA&amp;D total</t>
        </is>
      </c>
      <c r="C21" s="1534" t="n"/>
      <c r="D21" s="1775">
        <f>SUM(D16:D20)</f>
        <v>26</v>
      </c>
      <c r="E21" s="1775">
        <f>SUM(E16:E20)</f>
        <v>17</v>
      </c>
      <c r="F21" s="1775">
        <f>SUM(F16:F20)</f>
        <v>9</v>
      </c>
      <c r="G21" s="1774">
        <f>SUM(G16:G20)</f>
        <v>6.529494052</v>
      </c>
      <c r="H21" s="1774">
        <f>SUM(H16:H20)</f>
        <v>5.6858791</v>
      </c>
      <c r="I21" s="1774">
        <f>SUM(I16:I20)</f>
        <v>0.843614952</v>
      </c>
      <c r="J21" s="1774">
        <f>SUM(J16:J20)</f>
        <v>0</v>
      </c>
      <c r="K21" s="1775">
        <f>SUM(K16:K20)</f>
        <v>10</v>
      </c>
      <c r="L21" s="1774">
        <f>SUM(L16:L20)</f>
        <v>2.701828336</v>
      </c>
    </row>
    <row r="22">
      <c r="B22" s="1530" t="inlineStr">
        <is>
          <t>EGI</t>
        </is>
      </c>
      <c r="C22" s="1530" t="inlineStr">
        <is>
          <t>EGI</t>
        </is>
      </c>
      <c r="D22" s="1773">
        <f>COUNTIFS('REVIEW - Complete Role Mapping'!$AJ$2:$AJ$528,$B22,'REVIEW - Complete Role Mapping'!$AT$2:$AT$528,$C22)</f>
        <v>17</v>
      </c>
      <c r="E22" s="1773">
        <f>COUNTIFS('REVIEW - Complete Role Mapping'!$AJ$2:$AJ$528,$B22,'REVIEW - Complete Role Mapping'!$AT$2:$AT$528,$C22,'REVIEW - Complete Role Mapping'!$AK$2:$AK$528,"Filled")</f>
        <v>17</v>
      </c>
      <c r="F22" s="1773">
        <f>COUNTIFS('REVIEW - Complete Role Mapping'!$AJ$2:$AJ$528,$B22,'REVIEW - Complete Role Mapping'!$AT$2:$AT$528,$C22,'REVIEW - Complete Role Mapping'!$AK$2:$AK$528,"Vacant")</f>
        <v>0</v>
      </c>
      <c r="G22" s="1772">
        <f>SUMIFS('REVIEW - Complete Role Mapping'!$AA$2:$AA$528,'REVIEW - Complete Role Mapping'!$AJ$2:$AJ$528,$B22,'REVIEW - Complete Role Mapping'!$AT$2:$AT$528,$C22)/1000000</f>
        <v>4.94341935</v>
      </c>
      <c r="H22" s="1772">
        <f>SUMIFS('REVIEW - Complete Role Mapping'!$AA$2:$AA$528,'REVIEW - Complete Role Mapping'!$AJ$2:$AJ$528,$B22,'REVIEW - Complete Role Mapping'!$AT$2:$AT$528,$C22,'REVIEW - Complete Role Mapping'!$M$2:$M$528,"Australia")/1000000</f>
        <v>4.94341935</v>
      </c>
      <c r="I22" s="1772">
        <f>SUMIFS('REVIEW - Complete Role Mapping'!$AA$2:$AA$528,'REVIEW - Complete Role Mapping'!$AJ$2:$AJ$528,$B22,'REVIEW - Complete Role Mapping'!$AT$2:$AT$528,$C22,'REVIEW - Complete Role Mapping'!$AL$2:$AL$528,"NZ")/1000000</f>
        <v>0</v>
      </c>
      <c r="J22" s="1772">
        <f>$G22-$H22-$I22</f>
        <v>0</v>
      </c>
      <c r="K22" s="1773">
        <f>COUNTIFS('REVIEW - Complete Role Mapping'!$AJ$2:$AJ$528,$B22,'REVIEW - Complete Role Mapping'!$AT$2:$AT$528,$C22,'REVIEW - Complete Role Mapping'!$AR$2:$AR$528,"&lt;&gt;Squad")</f>
        <v>0</v>
      </c>
      <c r="L22" s="1772">
        <f>SUMIFS('REVIEW - Complete Role Mapping'!$AA$2:$AA$528,'REVIEW - Complete Role Mapping'!$AJ$2:$AJ$528,$B22,'REVIEW - Complete Role Mapping'!$AT$2:$AT$528,$C22,'REVIEW - Complete Role Mapping'!$AR$2:$AR$528,"&lt;&gt;Squad")/1000000</f>
        <v>0</v>
      </c>
    </row>
    <row r="23">
      <c r="B23" s="1534" t="inlineStr">
        <is>
          <t>EGI total</t>
        </is>
      </c>
      <c r="C23" s="1534" t="n"/>
      <c r="D23" s="1775">
        <f>SUM(D22:D22)</f>
        <v>17</v>
      </c>
      <c r="E23" s="1775">
        <f>SUM(E22:E22)</f>
        <v>17</v>
      </c>
      <c r="F23" s="1775">
        <f>SUM(F22:F22)</f>
        <v>0</v>
      </c>
      <c r="G23" s="1774">
        <f>SUM(G22:G22)</f>
        <v>4.94341935</v>
      </c>
      <c r="H23" s="1774">
        <f>SUM(H22:H22)</f>
        <v>4.94341935</v>
      </c>
      <c r="I23" s="1774">
        <f>SUM(I22:I22)</f>
        <v>0</v>
      </c>
      <c r="J23" s="1774">
        <f>SUM(J22:J22)</f>
        <v>0</v>
      </c>
      <c r="K23" s="1775">
        <f>SUM(K22:K22)</f>
        <v>0</v>
      </c>
      <c r="L23" s="1774">
        <f>SUM(L22:L22)</f>
        <v>0</v>
      </c>
    </row>
    <row r="24">
      <c r="B24" s="1539" t="inlineStr">
        <is>
          <t>COEs and EGI total</t>
        </is>
      </c>
      <c r="C24" s="1539" t="n"/>
      <c r="D24" s="1777">
        <f>D11+D15+D21+D23</f>
        <v>113</v>
      </c>
      <c r="E24" s="1777">
        <f>E11+E15+E21+E23</f>
        <v>91</v>
      </c>
      <c r="F24" s="1777">
        <f>F11+F15+F21+F23</f>
        <v>22</v>
      </c>
      <c r="G24" s="1776">
        <f>G11+G15+G21+G23</f>
        <v>27.771333518</v>
      </c>
      <c r="H24" s="1776">
        <f>H11+H15+H21+H23</f>
        <v>24.46168255</v>
      </c>
      <c r="I24" s="1776">
        <f>I11+I15+I21+I23</f>
        <v>2.643563468</v>
      </c>
      <c r="J24" s="1776">
        <f>J11+J15+J21+J23</f>
        <v>0.6660875</v>
      </c>
      <c r="K24" s="1777">
        <f>K11+K15+K21+K23</f>
        <v>19</v>
      </c>
      <c r="L24" s="1776">
        <f>L11+L15+L21+L23</f>
        <v>6.166535836</v>
      </c>
    </row>
    <row r="25"/>
    <row r="26">
      <c r="B26" s="1530"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0"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0"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0"/>
  <sheetViews>
    <sheetView showFormulas="0" showGridLines="0" showRowColHeaders="1" showZeros="1" rightToLeft="0" tabSelected="0" showOutlineSymbols="1" defaultGridColor="1" view="normal" topLeftCell="A66" colorId="64" zoomScale="100" zoomScaleNormal="100" zoomScalePageLayoutView="100" workbookViewId="0">
      <pane xSplit="2" ySplit="4" topLeftCell="C5" activePane="bottomRight" state="frozen"/>
      <selection pane="topRight" activeCell="A1" sqref="A1"/>
      <selection pane="bottomLeft" activeCell="A1" sqref="A1"/>
      <selection pane="bottomRigh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Group Summary'!$G$38</f>
        <v>525</v>
      </c>
      <c r="D5" s="1789">
        <f>COUNTA('REVIEW - Complete Role Mapping'!$B$2:$B$528)</f>
        <v>525</v>
      </c>
      <c r="E5" s="1804">
        <f>ROUND($C5-$D5,6)</f>
        <v>0</v>
      </c>
    </row>
    <row r="6">
      <c r="B6" s="1787" t="inlineStr">
        <is>
          <t>Filled on 3.1 against the ledger</t>
        </is>
      </c>
      <c r="C6" s="1789">
        <f>'3.1 Group Summary'!$H$38</f>
        <v>390</v>
      </c>
      <c r="D6" s="1789">
        <f>COUNTIFS('REVIEW - Complete Role Mapping'!$AK$2:$AK$528,"Filled")</f>
        <v>390</v>
      </c>
      <c r="E6" s="1804">
        <f>ROUND($C6-$D6,6)</f>
        <v>0</v>
      </c>
    </row>
    <row r="7">
      <c r="B7" s="1787" t="inlineStr">
        <is>
          <t>Vacant on 3.1 against the ledger</t>
        </is>
      </c>
      <c r="C7" s="1789">
        <f>'3.1 Group Summary'!$I$38</f>
        <v>135</v>
      </c>
      <c r="D7" s="1789">
        <f>COUNTIFS('REVIEW - Complete Role Mapping'!$AK$2:$AK$528,"Vacant")</f>
        <v>135</v>
      </c>
      <c r="E7" s="1804">
        <f>ROUND($C7-$D7,6)</f>
        <v>0</v>
      </c>
    </row>
    <row r="8">
      <c r="B8" s="1787" t="inlineStr">
        <is>
          <t>Filled plus vacant against roles on 3.1</t>
        </is>
      </c>
      <c r="C8" s="1789">
        <f>'3.1 Group Summary'!$H$38+'3.1 Group Summary'!$I$38</f>
        <v>525</v>
      </c>
      <c r="D8" s="1789">
        <f>'3.1 Group Summary'!$G$38</f>
        <v>525</v>
      </c>
      <c r="E8" s="1804">
        <f>ROUND($C8-$D8,6)</f>
        <v>0</v>
      </c>
    </row>
    <row r="9">
      <c r="B9" s="1787" t="inlineStr">
        <is>
          <t>Cost on 3.1 against the ledger ($m)</t>
        </is>
      </c>
      <c r="C9" s="1790">
        <f>'3.1 Group Summary'!$D$38</f>
        <v>115.1132622681</v>
      </c>
      <c r="D9" s="1790">
        <f>SUM('REVIEW - Complete Role Mapping'!$AA$2:$AA$528)/1000000</f>
        <v>115.1132622681</v>
      </c>
      <c r="E9" s="1805">
        <f>ROUND($C9-$D9,6)</f>
        <v>0</v>
      </c>
    </row>
    <row r="10">
      <c r="B10" s="1787" t="inlineStr">
        <is>
          <t>People in seat plus vacancies against cost today ($m)</t>
        </is>
      </c>
      <c r="C10" s="1790">
        <f>(SUMIFS('REVIEW - Complete Role Mapping'!$AA$2:$AA$528,'REVIEW - Complete Role Mapping'!$AK$2:$AK$528,"Filled")+SUMIFS('REVIEW - Complete Role Mapping'!$AA$2:$AA$528,'REVIEW - Complete Role Mapping'!$AK$2:$AK$528,"Vacant"))/1000000</f>
        <v>115.1132622681</v>
      </c>
      <c r="D10" s="1790">
        <f>'3.1 Group Summary'!$D$38</f>
        <v>115.1132622681</v>
      </c>
      <c r="E10" s="1805">
        <f>ROUND($C10-$D10,6)</f>
        <v>0</v>
      </c>
    </row>
    <row r="11">
      <c r="B11" s="1787" t="inlineStr">
        <is>
          <t>Roles on 3.3 against 3.1</t>
        </is>
      </c>
      <c r="C11" s="1789">
        <f>'3.3 Squad Detail'!$H$110</f>
        <v>525</v>
      </c>
      <c r="D11" s="1789">
        <f>'3.1 Group Summary'!$G$38</f>
        <v>525</v>
      </c>
      <c r="E11" s="1804">
        <f>ROUND($C11-$D11,6)</f>
        <v>0</v>
      </c>
    </row>
    <row r="12">
      <c r="B12" s="1787" t="inlineStr">
        <is>
          <t>Cost on 3.3 against 3.1 ($m)</t>
        </is>
      </c>
      <c r="C12" s="1790">
        <f>'3.3 Squad Detail'!$M$110</f>
        <v>115.1132622681</v>
      </c>
      <c r="D12" s="1790">
        <f>'3.1 Group Summary'!$D$38</f>
        <v>115.1132622681</v>
      </c>
      <c r="E12" s="1805">
        <f>ROUND($C12-$D12,6)</f>
        <v>0</v>
      </c>
    </row>
    <row r="13">
      <c r="B13" s="1787" t="inlineStr">
        <is>
          <t>Cost on 3.2 against 3.1 ($m)</t>
        </is>
      </c>
      <c r="C13" s="1790">
        <f>'3.2 Total Cost'!$D$10</f>
        <v>115.1132622681</v>
      </c>
      <c r="D13" s="1790">
        <f>'3.1 Group Summary'!$D$38</f>
        <v>115.1132622681</v>
      </c>
      <c r="E13" s="1805">
        <f>ROUND($C13-$D13,6)</f>
        <v>0</v>
      </c>
    </row>
    <row r="14">
      <c r="B14" s="1787" t="inlineStr">
        <is>
          <t>Archetype cost on 3.2 against 3.1 ($m)</t>
        </is>
      </c>
      <c r="C14" s="1790">
        <f>'3.2 Total Cost'!$C$10</f>
        <v>108.7351574</v>
      </c>
      <c r="D14" s="1790">
        <f>'3.1 Group Summary'!$C$38</f>
        <v>108.7351574</v>
      </c>
      <c r="E14" s="1805">
        <f>ROUND($C14-$D14,6)</f>
        <v>0</v>
      </c>
    </row>
    <row r="15">
      <c r="B15" s="1787" t="inlineStr">
        <is>
          <t>Archetype cost, squad by squad on 3.3, against 3.1 ($m)</t>
        </is>
      </c>
      <c r="C15" s="1790">
        <f>SUMIFS('3.3 Squad Detail'!$L$6:$L$109,'3.3 Squad Detail'!$C$6:$C$109,"Archetype")</f>
        <v>64.2</v>
      </c>
      <c r="D15" s="1790">
        <f>'3.1 Group Summary'!$C$20</f>
        <v>64.2</v>
      </c>
      <c r="E15" s="1805">
        <f>ROUND($C15-$D15,6)</f>
        <v>0</v>
      </c>
    </row>
    <row r="16">
      <c r="B16" s="1787" t="inlineStr">
        <is>
          <t>Directly funded amount, squad by squad on 3.3, against 3.1 ($m)</t>
        </is>
      </c>
      <c r="C16" s="1790">
        <f>SUMIFS('3.3 Squad Detail'!$L$6:$L$109,'3.3 Squad Detail'!$C$6:$C$109,"Directly funded")</f>
        <v>38.2101574</v>
      </c>
      <c r="D16" s="1790">
        <f>'3.1 Group Summary'!$C$29+'3.1 Group Summary'!$C$35</f>
        <v>38.2101574</v>
      </c>
      <c r="E16" s="1805">
        <f>ROUND($C16-$D16,6)</f>
        <v>0</v>
      </c>
    </row>
    <row r="17">
      <c r="B17" s="1787" t="inlineStr">
        <is>
          <t>Archetype roles on 3.3 against the priced-per-portfolio list on Lists</t>
        </is>
      </c>
      <c r="C17" s="1806">
        <f>SUMIFS('3.3 Squad Detail'!$G$6:$G$109,'3.3 Squad Detail'!$C$6:$C$109,"Archetype")</f>
        <v>299</v>
      </c>
      <c r="D17" s="1806">
        <f>SUM(Lists!$K$2:$K$11)</f>
        <v>299</v>
      </c>
      <c r="E17" s="1804">
        <f>ROUND($C17-$D17,6)</f>
        <v>0</v>
      </c>
    </row>
    <row r="18">
      <c r="B18" s="1787" t="inlineStr">
        <is>
          <t>Offshore archetype against 40% of onshore, first archetype</t>
        </is>
      </c>
      <c r="C18" s="1806">
        <f>ROUND('0.3 Squad Archetypes'!$H$5/'0.3 Squad Archetypes'!$G$5,6)</f>
        <v>0.4</v>
      </c>
      <c r="D18" s="1806">
        <f>ROUND('0.3 Squad Archetypes'!$K$5,6)</f>
        <v>0.4</v>
      </c>
      <c r="E18" s="1804">
        <f>ROUND($C18-$D18,6)</f>
        <v>0</v>
      </c>
    </row>
    <row r="19">
      <c r="B19" s="1787" t="inlineStr">
        <is>
          <t>Overhead allowance on 3.2 against Lists ($m)</t>
        </is>
      </c>
      <c r="C19" s="1790">
        <f>'3.2 Total Cost'!$E$22</f>
        <v>12.925</v>
      </c>
      <c r="D19" s="1790">
        <f>N(Lists!$AJ$8)</f>
        <v>12.925</v>
      </c>
      <c r="E19" s="1805">
        <f>ROUND($C19-$D19,6)</f>
        <v>0</v>
      </c>
    </row>
    <row r="20">
      <c r="B20" s="1787" t="inlineStr">
        <is>
          <t>Allowance drawn in the portfolios against the lines that draw it ($m)</t>
        </is>
      </c>
      <c r="C20" s="1790">
        <f>N(Lists!$AJ$9)</f>
        <v>6.325</v>
      </c>
      <c r="D20" s="1790">
        <f>SUMIF(Lists!$AM$2:$AM$7,"Yes",Lists!$AJ$2:$AJ$7)</f>
        <v>6.325</v>
      </c>
      <c r="E20" s="1805">
        <f>ROUND($C20-$D20,6)</f>
        <v>0</v>
      </c>
    </row>
    <row r="21">
      <c r="B21" s="1787" t="inlineStr">
        <is>
          <t>Overhead roles in the portfolios plus those inside the COEs against every overhead role</t>
        </is>
      </c>
      <c r="C21" s="1789">
        <f>'3.2 Total Cost'!$F$23+'3.2 Total Cost'!$I$22</f>
        <v>62</v>
      </c>
      <c r="D21" s="1789">
        <f>COUNTIFS('REVIEW - Complete Role Mapping'!$AR$2:$AR$528,"&lt;&gt;Squad",'REVIEW - Complete Role Mapping'!$B$2:$B$528,"&lt;&gt;")</f>
        <v>62</v>
      </c>
      <c r="E21" s="1804">
        <f>ROUND($C21-$D21,6)</f>
        <v>0</v>
      </c>
    </row>
    <row r="22">
      <c r="B22" s="1787" t="inlineStr">
        <is>
          <t>Overhead cost in the portfolios plus inside the COEs against every overhead role ($m)</t>
        </is>
      </c>
      <c r="C22" s="1790">
        <f>'3.2 Total Cost'!$G$23+'3.2 Total Cost'!$J$22</f>
        <v>17.820765991</v>
      </c>
      <c r="D22" s="1790">
        <f>SUMIFS('REVIEW - Complete Role Mapping'!$AA$2:$AA$528,'REVIEW - Complete Role Mapping'!$AR$2:$AR$528,"&lt;&gt;Squad",'REVIEW - Complete Role Mapping'!$B$2:$B$528,"&lt;&gt;")/1000000</f>
        <v>17.820765991</v>
      </c>
      <c r="E22" s="1805">
        <f>ROUND($C22-$D22,6)</f>
        <v>0</v>
      </c>
    </row>
    <row r="23">
      <c r="B23" s="1787" t="inlineStr">
        <is>
          <t>Overhead on 3.1 against the portfolio lines on 3.2 ($m)</t>
        </is>
      </c>
      <c r="C23" s="1790">
        <f>'3.1 Group Summary'!$D$36</f>
        <v>11.654230155</v>
      </c>
      <c r="D23" s="1790">
        <f>'3.2 Total Cost'!$G$23</f>
        <v>11.654230155</v>
      </c>
      <c r="E23" s="1805">
        <f>ROUND($C23-$D23,6)</f>
        <v>0</v>
      </c>
    </row>
    <row r="24">
      <c r="B24" s="1787" t="inlineStr">
        <is>
          <t>Roles after decisions against roles less anything on hold</t>
        </is>
      </c>
      <c r="C24" s="1789">
        <f>'3.1 Group Summary'!$J$38</f>
        <v>525</v>
      </c>
      <c r="D24" s="1789">
        <f>'3.1 Group Summary'!$G$38-N('2.1 Ampol Retail'!$K$30)-N('2.2 Customer'!$K$29)-N('2.3 Enterprise Data'!$K$23)-N('2.4 TDD Group Functions'!$K$25)-N('2.5 P&amp;C'!$K$23)-N('2.6 Finance'!$K$21)-N('2.7 Infrastructure'!$K$25)-N('2.8 Energy Solutions &amp; B2B'!$K$24)-N('2.9 Commercial Fuels'!$K$24)-N('2.10 Z Retail'!$K$25)-N('2.11 COE Cyber'!$K$24)-N('2.12 BP&amp;T'!$K$22)-N('2.13 SA&amp;D'!$K$24)-N('2.14 EGI'!$K$20)</f>
        <v>525</v>
      </c>
      <c r="E24" s="1804">
        <f>ROUND($C24-$D24,6)</f>
        <v>0</v>
      </c>
    </row>
    <row r="25">
      <c r="B25" s="1787" t="inlineStr">
        <is>
          <t>Cost after decisions against cost today, with no lever pulled ($m)</t>
        </is>
      </c>
      <c r="C25" s="1790">
        <f>'3.1 Group Summary'!$F$38</f>
        <v>115.1132622681</v>
      </c>
      <c r="D25" s="1790">
        <f>'3.1 Group Summary'!$D$38</f>
        <v>115.1132622681</v>
      </c>
      <c r="E25" s="1805">
        <f>ROUND($C25-$D25,6)</f>
        <v>0</v>
      </c>
    </row>
    <row r="26">
      <c r="B26" s="1787" t="inlineStr">
        <is>
          <t>1.11 BP&amp;T planned spend against the ledger ($m)</t>
        </is>
      </c>
      <c r="C26" s="1790">
        <f>'1.11 BP&amp;T'!$F$6+'1.11 BP&amp;T'!$F$7</f>
        <v>6.400561822</v>
      </c>
      <c r="D26" s="1790">
        <f>SUMIFS('REVIEW - Complete Role Mapping'!$AA$2:$AA$528,'REVIEW - Complete Role Mapping'!$AJ$2:$AJ$528,"COE BP&amp;T")/1000000</f>
        <v>6.400561822</v>
      </c>
      <c r="E26" s="1805">
        <f>ROUND($C26-$D26,6)</f>
        <v>0</v>
      </c>
    </row>
    <row r="27">
      <c r="B27" s="1787" t="inlineStr">
        <is>
          <t>1.12 SA&amp;D planned spend against the ledger ($m)</t>
        </is>
      </c>
      <c r="C27" s="1790">
        <f>'1.12 SA&amp;D'!$G$6+'1.12 SA&amp;D'!$G$7</f>
        <v>6.529494052</v>
      </c>
      <c r="D27" s="1790">
        <f>SUMIFS('REVIEW - Complete Role Mapping'!$AA$2:$AA$528,'REVIEW - Complete Role Mapping'!$AJ$2:$AJ$528,"COE SA&amp;D")/1000000</f>
        <v>6.529494052</v>
      </c>
      <c r="E27" s="1805">
        <f>ROUND($C27-$D27,6)</f>
        <v>0</v>
      </c>
    </row>
    <row r="28">
      <c r="B28" s="1787" t="inlineStr">
        <is>
          <t>1.13 Cyber Roles planned spend against the ledger ($m)</t>
        </is>
      </c>
      <c r="C28" s="1790">
        <f>'1.13 Cyber Roles'!$F$6+'1.13 Cyber Roles'!$F$7</f>
        <v>9.897858294</v>
      </c>
      <c r="D28" s="1790">
        <f>SUMIFS('REVIEW - Complete Role Mapping'!$AA$2:$AA$528,'REVIEW - Complete Role Mapping'!$AJ$2:$AJ$528,"COE Cyber")/1000000</f>
        <v>9.897858294</v>
      </c>
      <c r="E28" s="1805">
        <f>ROUND($C28-$D28,6)</f>
        <v>0</v>
      </c>
    </row>
    <row r="29">
      <c r="B29" s="1787" t="inlineStr">
        <is>
          <t>1.11 BP&amp;T own control - roles listed against roles counted</t>
        </is>
      </c>
      <c r="C29" s="1789">
        <f>'1.11 BP&amp;T'!C45</f>
        <v>0</v>
      </c>
      <c r="D29" s="1789">
        <f>0</f>
        <v>0</v>
      </c>
      <c r="E29" s="1804">
        <f>ROUND($C29-$D29,6)</f>
        <v>0</v>
      </c>
    </row>
    <row r="30">
      <c r="B30" s="1787" t="inlineStr">
        <is>
          <t>1.12 SA&amp;D own control - roles listed against roles counted</t>
        </is>
      </c>
      <c r="C30" s="1789">
        <f>'1.12 SA&amp;D'!C51</f>
        <v>0</v>
      </c>
      <c r="D30" s="1789">
        <f>0</f>
        <v>0</v>
      </c>
      <c r="E30" s="1804">
        <f>ROUND($C30-$D30,6)</f>
        <v>0</v>
      </c>
    </row>
    <row r="31">
      <c r="B31" s="1787" t="inlineStr">
        <is>
          <t>1.13 Cyber Roles own control - roles listed against roles counted</t>
        </is>
      </c>
      <c r="C31" s="1789">
        <f>'1.13 Cyber Roles'!C71</f>
        <v>0</v>
      </c>
      <c r="D31" s="1789">
        <f>0</f>
        <v>0</v>
      </c>
      <c r="E31" s="1804">
        <f>ROUND($C31-$D31,6)</f>
        <v>0</v>
      </c>
    </row>
    <row r="32">
      <c r="B32" s="1787" t="inlineStr">
        <is>
          <t>2.1 Ampol Retail roles against the ledger</t>
        </is>
      </c>
      <c r="C32" s="1789">
        <f>'2.1 Ampol Retail'!$F$30</f>
        <v>70</v>
      </c>
      <c r="D32" s="1789">
        <f>COUNTIFS('REVIEW - Complete Role Mapping'!$AJ$2:$AJ$528,"Ampol Retail")</f>
        <v>70</v>
      </c>
      <c r="E32" s="1804">
        <f>ROUND($C32-$D32,6)</f>
        <v>0</v>
      </c>
    </row>
    <row r="33">
      <c r="B33" s="1787" t="inlineStr">
        <is>
          <t>2.1 Ampol Retail cost against the ledger ($m)</t>
        </is>
      </c>
      <c r="C33" s="1790">
        <f>'2.1 Ampol Retail'!$N$30</f>
        <v>14.005227457</v>
      </c>
      <c r="D33" s="1790">
        <f>SUMIFS('REVIEW - Complete Role Mapping'!$AA$2:$AA$528,'REVIEW - Complete Role Mapping'!$AJ$2:$AJ$528,"Ampol Retail")/1000000</f>
        <v>14.005227457</v>
      </c>
      <c r="E33" s="1805">
        <f>ROUND($C33-$D33,6)</f>
        <v>0</v>
      </c>
    </row>
    <row r="34">
      <c r="B34" s="1787" t="inlineStr">
        <is>
          <t>2.2 Customer roles against the ledger</t>
        </is>
      </c>
      <c r="C34" s="1789">
        <f>'2.2 Customer'!$F$29</f>
        <v>83</v>
      </c>
      <c r="D34" s="1789">
        <f>COUNTIFS('REVIEW - Complete Role Mapping'!$AJ$2:$AJ$528,"Customer")</f>
        <v>83</v>
      </c>
      <c r="E34" s="1804">
        <f>ROUND($C34-$D34,6)</f>
        <v>0</v>
      </c>
    </row>
    <row r="35">
      <c r="B35" s="1787" t="inlineStr">
        <is>
          <t>2.2 Customer cost against the ledger ($m)</t>
        </is>
      </c>
      <c r="C35" s="1790">
        <f>'2.2 Customer'!$N$29</f>
        <v>17.12686714</v>
      </c>
      <c r="D35" s="1790">
        <f>SUMIFS('REVIEW - Complete Role Mapping'!$AA$2:$AA$528,'REVIEW - Complete Role Mapping'!$AJ$2:$AJ$528,"Customer")/1000000</f>
        <v>17.12686714</v>
      </c>
      <c r="E35" s="1805">
        <f>ROUND($C35-$D35,6)</f>
        <v>0</v>
      </c>
    </row>
    <row r="36">
      <c r="B36" s="1787" t="inlineStr">
        <is>
          <t>2.3 Enterprise Data roles against the ledger</t>
        </is>
      </c>
      <c r="C36" s="1789">
        <f>'2.3 Enterprise Data'!$F$23</f>
        <v>28</v>
      </c>
      <c r="D36" s="1789">
        <f>COUNTIFS('REVIEW - Complete Role Mapping'!$AJ$2:$AJ$528,"Enterprise Data")</f>
        <v>28</v>
      </c>
      <c r="E36" s="1804">
        <f>ROUND($C36-$D36,6)</f>
        <v>0</v>
      </c>
    </row>
    <row r="37">
      <c r="B37" s="1787" t="inlineStr">
        <is>
          <t>2.3 Enterprise Data cost against the ledger ($m)</t>
        </is>
      </c>
      <c r="C37" s="1790">
        <f>'2.3 Enterprise Data'!$N$23</f>
        <v>6.418403776</v>
      </c>
      <c r="D37" s="1790">
        <f>SUMIFS('REVIEW - Complete Role Mapping'!$AA$2:$AA$528,'REVIEW - Complete Role Mapping'!$AJ$2:$AJ$528,"Enterprise Data")/1000000</f>
        <v>6.418403776</v>
      </c>
      <c r="E37" s="1805">
        <f>ROUND($C37-$D37,6)</f>
        <v>0</v>
      </c>
    </row>
    <row r="38">
      <c r="B38" s="1787" t="inlineStr">
        <is>
          <t>2.4 TDD Group Functions roles against the ledger</t>
        </is>
      </c>
      <c r="C38" s="1789">
        <f>'2.4 TDD Group Functions'!$F$25</f>
        <v>46</v>
      </c>
      <c r="D38" s="1789">
        <f>COUNTIFS('REVIEW - Complete Role Mapping'!$AJ$2:$AJ$528,"TDD Group Functions")</f>
        <v>46</v>
      </c>
      <c r="E38" s="1804">
        <f>ROUND($C38-$D38,6)</f>
        <v>0</v>
      </c>
    </row>
    <row r="39">
      <c r="B39" s="1787" t="inlineStr">
        <is>
          <t>2.4 TDD Group Functions cost against the ledger ($m)</t>
        </is>
      </c>
      <c r="C39" s="1790">
        <f>'2.4 TDD Group Functions'!$N$25</f>
        <v>10.0312294824</v>
      </c>
      <c r="D39" s="1790">
        <f>SUMIFS('REVIEW - Complete Role Mapping'!$AA$2:$AA$528,'REVIEW - Complete Role Mapping'!$AJ$2:$AJ$528,"TDD Group Functions")/1000000</f>
        <v>10.0312294824</v>
      </c>
      <c r="E39" s="1805">
        <f>ROUND($C39-$D39,6)</f>
        <v>0</v>
      </c>
    </row>
    <row r="40">
      <c r="B40" s="1787" t="inlineStr">
        <is>
          <t>2.5 P&amp;C roles against the ledger</t>
        </is>
      </c>
      <c r="C40" s="1789">
        <f>'2.5 P&amp;C'!$F$23</f>
        <v>18</v>
      </c>
      <c r="D40" s="1789">
        <f>COUNTIFS('REVIEW - Complete Role Mapping'!$AJ$2:$AJ$528,"P&amp;C")</f>
        <v>18</v>
      </c>
      <c r="E40" s="1804">
        <f>ROUND($C40-$D40,6)</f>
        <v>0</v>
      </c>
    </row>
    <row r="41">
      <c r="B41" s="1787" t="inlineStr">
        <is>
          <t>2.5 P&amp;C cost against the ledger ($m)</t>
        </is>
      </c>
      <c r="C41" s="1790">
        <f>'2.5 P&amp;C'!$N$23</f>
        <v>4.18444088</v>
      </c>
      <c r="D41" s="1790">
        <f>SUMIFS('REVIEW - Complete Role Mapping'!$AA$2:$AA$528,'REVIEW - Complete Role Mapping'!$AJ$2:$AJ$528,"P&amp;C")/1000000</f>
        <v>4.18444088</v>
      </c>
      <c r="E41" s="1805">
        <f>ROUND($C41-$D41,6)</f>
        <v>0</v>
      </c>
    </row>
    <row r="42">
      <c r="B42" s="1787" t="inlineStr">
        <is>
          <t>2.6 Finance roles against the ledger</t>
        </is>
      </c>
      <c r="C42" s="1789">
        <f>'2.6 Finance'!$F$21</f>
        <v>17</v>
      </c>
      <c r="D42" s="1789">
        <f>COUNTIFS('REVIEW - Complete Role Mapping'!$AJ$2:$AJ$528,"Finance")</f>
        <v>17</v>
      </c>
      <c r="E42" s="1804">
        <f>ROUND($C42-$D42,6)</f>
        <v>0</v>
      </c>
    </row>
    <row r="43">
      <c r="B43" s="1787" t="inlineStr">
        <is>
          <t>2.6 Finance cost against the ledger ($m)</t>
        </is>
      </c>
      <c r="C43" s="1790">
        <f>'2.6 Finance'!$N$21</f>
        <v>3.844616116</v>
      </c>
      <c r="D43" s="1790">
        <f>SUMIFS('REVIEW - Complete Role Mapping'!$AA$2:$AA$528,'REVIEW - Complete Role Mapping'!$AJ$2:$AJ$528,"Finance")/1000000</f>
        <v>3.844616116</v>
      </c>
      <c r="E43" s="1805">
        <f>ROUND($C43-$D43,6)</f>
        <v>0</v>
      </c>
    </row>
    <row r="44">
      <c r="B44" s="1787" t="inlineStr">
        <is>
          <t>2.7 Infrastructure roles against the ledger</t>
        </is>
      </c>
      <c r="C44" s="1789">
        <f>'2.7 Infrastructure'!$F$25</f>
        <v>36</v>
      </c>
      <c r="D44" s="1789">
        <f>COUNTIFS('REVIEW - Complete Role Mapping'!$AJ$2:$AJ$528,"Infrastructure")</f>
        <v>36</v>
      </c>
      <c r="E44" s="1804">
        <f>ROUND($C44-$D44,6)</f>
        <v>0</v>
      </c>
    </row>
    <row r="45">
      <c r="B45" s="1787" t="inlineStr">
        <is>
          <t>2.7 Infrastructure cost against the ledger ($m)</t>
        </is>
      </c>
      <c r="C45" s="1790">
        <f>'2.7 Infrastructure'!$N$25</f>
        <v>7.74836354</v>
      </c>
      <c r="D45" s="1790">
        <f>SUMIFS('REVIEW - Complete Role Mapping'!$AA$2:$AA$528,'REVIEW - Complete Role Mapping'!$AJ$2:$AJ$528,"Infrastructure")/1000000</f>
        <v>7.74836354</v>
      </c>
      <c r="E45" s="1805">
        <f>ROUND($C45-$D45,6)</f>
        <v>0</v>
      </c>
    </row>
    <row r="46">
      <c r="B46" s="1787" t="inlineStr">
        <is>
          <t>2.8 Energy Solutions &amp; B2B roles against the ledger</t>
        </is>
      </c>
      <c r="C46" s="1789">
        <f>'2.8 Energy Solutions &amp; B2B'!$F$24</f>
        <v>33</v>
      </c>
      <c r="D46" s="1789">
        <f>COUNTIFS('REVIEW - Complete Role Mapping'!$AJ$2:$AJ$528,"Energy Solutions &amp; B2B")</f>
        <v>33</v>
      </c>
      <c r="E46" s="1804">
        <f>ROUND($C46-$D46,6)</f>
        <v>0</v>
      </c>
    </row>
    <row r="47">
      <c r="B47" s="1787" t="inlineStr">
        <is>
          <t>2.8 Energy Solutions &amp; B2B cost against the ledger ($m)</t>
        </is>
      </c>
      <c r="C47" s="1790">
        <f>'2.8 Energy Solutions &amp; B2B'!$N$24</f>
        <v>6.447816278</v>
      </c>
      <c r="D47" s="1790">
        <f>SUMIFS('REVIEW - Complete Role Mapping'!$AA$2:$AA$528,'REVIEW - Complete Role Mapping'!$AJ$2:$AJ$528,"Energy Solutions &amp; B2B")/1000000</f>
        <v>6.447816278</v>
      </c>
      <c r="E47" s="1805">
        <f>ROUND($C47-$D47,6)</f>
        <v>0</v>
      </c>
    </row>
    <row r="48">
      <c r="B48" s="1787" t="inlineStr">
        <is>
          <t>2.9 Commercial Fuels roles against the ledger</t>
        </is>
      </c>
      <c r="C48" s="1789">
        <f>'2.9 Commercial Fuels'!$F$24</f>
        <v>42</v>
      </c>
      <c r="D48" s="1789">
        <f>COUNTIFS('REVIEW - Complete Role Mapping'!$AJ$2:$AJ$528,"Commercial Fuels")</f>
        <v>42</v>
      </c>
      <c r="E48" s="1804">
        <f>ROUND($C48-$D48,6)</f>
        <v>0</v>
      </c>
    </row>
    <row r="49">
      <c r="B49" s="1787" t="inlineStr">
        <is>
          <t>2.9 Commercial Fuels cost against the ledger ($m)</t>
        </is>
      </c>
      <c r="C49" s="1790">
        <f>'2.9 Commercial Fuels'!$N$24</f>
        <v>10.1976697287</v>
      </c>
      <c r="D49" s="1790">
        <f>SUMIFS('REVIEW - Complete Role Mapping'!$AA$2:$AA$528,'REVIEW - Complete Role Mapping'!$AJ$2:$AJ$528,"Commercial Fuels")/1000000</f>
        <v>10.1976697287</v>
      </c>
      <c r="E49" s="1805">
        <f>ROUND($C49-$D49,6)</f>
        <v>0</v>
      </c>
    </row>
    <row r="50">
      <c r="B50" s="1787" t="inlineStr">
        <is>
          <t>2.10 Z Retail roles against the ledger</t>
        </is>
      </c>
      <c r="C50" s="1789">
        <f>'2.10 Z Retail'!$F$25</f>
        <v>39</v>
      </c>
      <c r="D50" s="1789">
        <f>COUNTIFS('REVIEW - Complete Role Mapping'!$AJ$2:$AJ$528,"Z Retail")</f>
        <v>39</v>
      </c>
      <c r="E50" s="1804">
        <f>ROUND($C50-$D50,6)</f>
        <v>0</v>
      </c>
    </row>
    <row r="51">
      <c r="B51" s="1787" t="inlineStr">
        <is>
          <t>2.10 Z Retail cost against the ledger ($m)</t>
        </is>
      </c>
      <c r="C51" s="1790">
        <f>'2.10 Z Retail'!$N$25</f>
        <v>7.337294352</v>
      </c>
      <c r="D51" s="1790">
        <f>SUMIFS('REVIEW - Complete Role Mapping'!$AA$2:$AA$528,'REVIEW - Complete Role Mapping'!$AJ$2:$AJ$528,"Z Retail")/1000000</f>
        <v>7.337294352</v>
      </c>
      <c r="E51" s="1805">
        <f>ROUND($C51-$D51,6)</f>
        <v>0</v>
      </c>
    </row>
    <row r="52">
      <c r="B52" s="1787" t="inlineStr">
        <is>
          <t>2.11 COE Cyber roles against the ledger</t>
        </is>
      </c>
      <c r="C52" s="1789">
        <f>'2.11 COE Cyber'!$F$24</f>
        <v>46</v>
      </c>
      <c r="D52" s="1789">
        <f>COUNTIFS('REVIEW - Complete Role Mapping'!$AJ$2:$AJ$528,"COE Cyber")</f>
        <v>46</v>
      </c>
      <c r="E52" s="1804">
        <f>ROUND($C52-$D52,6)</f>
        <v>0</v>
      </c>
    </row>
    <row r="53">
      <c r="B53" s="1787" t="inlineStr">
        <is>
          <t>2.11 COE Cyber cost against the ledger ($m)</t>
        </is>
      </c>
      <c r="C53" s="1790">
        <f>'2.11 COE Cyber'!$N$24</f>
        <v>9.897858294</v>
      </c>
      <c r="D53" s="1790">
        <f>SUMIFS('REVIEW - Complete Role Mapping'!$AA$2:$AA$528,'REVIEW - Complete Role Mapping'!$AJ$2:$AJ$528,"COE Cyber")/1000000</f>
        <v>9.897858294</v>
      </c>
      <c r="E53" s="1805">
        <f>ROUND($C53-$D53,6)</f>
        <v>0</v>
      </c>
    </row>
    <row r="54">
      <c r="B54" s="1787" t="inlineStr">
        <is>
          <t>2.12 BP&amp;T roles against the ledger</t>
        </is>
      </c>
      <c r="C54" s="1789">
        <f>'2.12 BP&amp;T'!$F$22</f>
        <v>24</v>
      </c>
      <c r="D54" s="1789">
        <f>COUNTIFS('REVIEW - Complete Role Mapping'!$AJ$2:$AJ$528,"COE BP&amp;T")</f>
        <v>24</v>
      </c>
      <c r="E54" s="1804">
        <f>ROUND($C54-$D54,6)</f>
        <v>0</v>
      </c>
    </row>
    <row r="55">
      <c r="B55" s="1787" t="inlineStr">
        <is>
          <t>2.12 BP&amp;T cost against the ledger ($m)</t>
        </is>
      </c>
      <c r="C55" s="1790">
        <f>'2.12 BP&amp;T'!$N$22</f>
        <v>6.400561822</v>
      </c>
      <c r="D55" s="1790">
        <f>SUMIFS('REVIEW - Complete Role Mapping'!$AA$2:$AA$528,'REVIEW - Complete Role Mapping'!$AJ$2:$AJ$528,"COE BP&amp;T")/1000000</f>
        <v>6.400561822</v>
      </c>
      <c r="E55" s="1805">
        <f>ROUND($C55-$D55,6)</f>
        <v>0</v>
      </c>
    </row>
    <row r="56">
      <c r="B56" s="1787" t="inlineStr">
        <is>
          <t>2.13 SA&amp;D roles against the ledger</t>
        </is>
      </c>
      <c r="C56" s="1789">
        <f>'2.13 SA&amp;D'!$F$24</f>
        <v>26</v>
      </c>
      <c r="D56" s="1789">
        <f>COUNTIFS('REVIEW - Complete Role Mapping'!$AJ$2:$AJ$528,"COE SA&amp;D")</f>
        <v>26</v>
      </c>
      <c r="E56" s="1804">
        <f>ROUND($C56-$D56,6)</f>
        <v>0</v>
      </c>
    </row>
    <row r="57">
      <c r="B57" s="1787" t="inlineStr">
        <is>
          <t>2.13 SA&amp;D cost against the ledger ($m)</t>
        </is>
      </c>
      <c r="C57" s="1790">
        <f>'2.13 SA&amp;D'!$N$24</f>
        <v>6.529494052</v>
      </c>
      <c r="D57" s="1790">
        <f>SUMIFS('REVIEW - Complete Role Mapping'!$AA$2:$AA$528,'REVIEW - Complete Role Mapping'!$AJ$2:$AJ$528,"COE SA&amp;D")/1000000</f>
        <v>6.529494052</v>
      </c>
      <c r="E57" s="1805">
        <f>ROUND($C57-$D57,6)</f>
        <v>0</v>
      </c>
    </row>
    <row r="58">
      <c r="B58" s="1787" t="inlineStr">
        <is>
          <t>2.14 EGI roles against the ledger</t>
        </is>
      </c>
      <c r="C58" s="1789">
        <f>'2.14 EGI'!$F$20</f>
        <v>17</v>
      </c>
      <c r="D58" s="1789">
        <f>COUNTIFS('REVIEW - Complete Role Mapping'!$AJ$2:$AJ$528,"EGI")</f>
        <v>17</v>
      </c>
      <c r="E58" s="1804">
        <f>ROUND($C58-$D58,6)</f>
        <v>0</v>
      </c>
    </row>
    <row r="59">
      <c r="B59" s="1787" t="inlineStr">
        <is>
          <t>2.14 EGI cost against the ledger ($m)</t>
        </is>
      </c>
      <c r="C59" s="1790">
        <f>'2.14 EGI'!$N$20</f>
        <v>4.94341935</v>
      </c>
      <c r="D59" s="1790">
        <f>SUMIFS('REVIEW - Complete Role Mapping'!$AA$2:$AA$528,'REVIEW - Complete Role Mapping'!$AJ$2:$AJ$528,"EGI")/1000000</f>
        <v>4.94341935</v>
      </c>
      <c r="E59" s="1805">
        <f>ROUND($C59-$D59,6)</f>
        <v>0</v>
      </c>
    </row>
    <row r="60">
      <c r="B60" s="1539" t="inlineStr">
        <is>
          <t>Checks failing</t>
        </is>
      </c>
      <c r="C60" s="1539" t="n"/>
      <c r="D60" s="1539" t="n"/>
      <c r="E60" s="1807">
        <f>COUNTIF($E5:$E59,"&lt;&gt;0")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5" t="n"/>
      <c r="F1" s="1815" t="n"/>
      <c r="G1" s="1815"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5" t="n"/>
      <c r="F2" s="1815" t="n"/>
      <c r="G2" s="1815"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5" t="n"/>
      <c r="F3" s="1815" t="n"/>
      <c r="G3" s="1815"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5" t="n"/>
      <c r="F4" s="1815" t="n"/>
      <c r="G4" s="1815"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2026-07-26T13:27:07Z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