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6870" yWindow="-14510" windowWidth="34620" windowHeight="13900" tabRatio="913" firstSheet="5" activeTab="5" autoFilterDateGrouping="1"/>
  </bookViews>
  <sheets>
    <sheet name="0.0 Data Config" sheetId="1" state="visible" r:id="rId1"/>
    <sheet name="0.1 Squads" sheetId="2" state="visible" r:id="rId2"/>
    <sheet name="0.2 FY26 Budget" sheetId="3" state="visible" r:id="rId3"/>
    <sheet name="0.3 For Presentation Pack (2)" sheetId="4" state="visible" r:id="rId4"/>
    <sheet name="0.4 Budget Table (Fin)" sheetId="5" state="visible" r:id="rId5"/>
    <sheet name="1.1 Ampol Retail" sheetId="6" state="visible" r:id="rId6"/>
    <sheet name="1.2 Customer" sheetId="7" state="visible" r:id="rId7"/>
    <sheet name="1.3 Enterprise Data" sheetId="8" state="visible" r:id="rId8"/>
    <sheet name="1.4 TDD Group Functions" sheetId="9" state="visible" r:id="rId9"/>
    <sheet name="1.5 P&amp;C" sheetId="10" state="visible" r:id="rId10"/>
    <sheet name="1.6 Finance" sheetId="11" state="visible" r:id="rId11"/>
    <sheet name="1.7 Infrastructure" sheetId="12" state="visible" r:id="rId12"/>
    <sheet name="1.8 Energy Solutions &amp; B2B" sheetId="13" state="visible" r:id="rId13"/>
    <sheet name="1.9 Commercial Fuels" sheetId="14" state="visible" r:id="rId14"/>
    <sheet name="1.10 Z Retail" sheetId="15" state="visible" r:id="rId15"/>
    <sheet name="1.11 TDD Cyber" sheetId="16" state="visible" r:id="rId16"/>
    <sheet name="2.0 Group Summary" sheetId="17" state="visible" r:id="rId17"/>
    <sheet name="2.1 COE" sheetId="18" state="visible" r:id="rId18"/>
    <sheet name="3.0 FTE View" sheetId="19" state="visible" r:id="rId19"/>
    <sheet name="squad mapping" sheetId="20" state="visible" r:id="rId20"/>
    <sheet name="raw data" sheetId="21" state="visible" r:id="rId21"/>
    <sheet name="Lists" sheetId="22" state="hidden" r:id="rId22"/>
  </sheets>
  <definedNames>
    <definedName name="OnOff">Lists!$C$2:$C$3</definedName>
    <definedName name="SquadSizes">Lists!$B$2:$B$5</definedName>
    <definedName name="SquadTypes">Lists!$A$2:$A$8</definedName>
    <definedName name="SupportPct">Lists!$D$2:$D$4</definedName>
    <definedName name="_xlnm._FilterDatabase" localSheetId="20" hidden="1">'raw data'!$A$1:$XEV$538</definedName>
  </definedNames>
  <calcPr calcId="191028" fullCalcOnLoad="1" iterateDelta="0.0001"/>
  <pivotCaches>
    <pivotCache cacheId="17" r:id="rId23"/>
    <pivotCache cacheId="18" r:id="rId24"/>
  </pivotCaches>
</workbook>
</file>

<file path=xl/styles.xml><?xml version="1.0" encoding="utf-8"?>
<styleSheet xmlns="http://schemas.openxmlformats.org/spreadsheetml/2006/main">
  <numFmts count="10">
    <numFmt numFmtId="164" formatCode="#,##0.00;\(#,##0.00\);\-"/>
    <numFmt numFmtId="165" formatCode="#,##0.000;\(#,##0.000\);\-"/>
    <numFmt numFmtId="166" formatCode="#,##0.0"/>
    <numFmt numFmtId="167" formatCode="0.0"/>
    <numFmt numFmtId="168" formatCode="_-\$#,##0.0_-;[Red]&quot;-$&quot;#,##0.0_-;_-\-_-;_-@_-"/>
    <numFmt numFmtId="169" formatCode="0%;[Red]\-0%"/>
    <numFmt numFmtId="170" formatCode="\$#,##0.00_);[Red]&quot;($&quot;#,##0.00\)"/>
    <numFmt numFmtId="171" formatCode="\$#,##0.00;[Red]&quot;-$&quot;#,##0.00"/>
    <numFmt numFmtId="172" formatCode="_-\$#,##0.0,,_-;[Red]&quot;-$&quot;#,##0.0,,_-;_-\-_-;_-@_-"/>
    <numFmt numFmtId="173" formatCode="0.0%"/>
  </numFmts>
  <fonts count="65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charset val="1"/>
      <family val="2"/>
      <b val="1"/>
      <sz val="14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FF0000"/>
      <sz val="11"/>
    </font>
    <font>
      <name val="Calibri"/>
      <charset val="1"/>
      <family val="2"/>
      <b val="1"/>
      <sz val="11"/>
    </font>
    <font>
      <name val="Aptos"/>
      <charset val="1"/>
      <family val="2"/>
      <b val="1"/>
      <sz val="14"/>
    </font>
    <font>
      <name val="Aptos"/>
      <charset val="1"/>
      <family val="2"/>
      <b val="1"/>
      <color rgb="FFFFFFFF"/>
      <sz val="10"/>
    </font>
    <font>
      <name val="Aptos"/>
      <charset val="1"/>
      <family val="2"/>
      <sz val="10"/>
    </font>
    <font>
      <name val="Aptos"/>
      <charset val="1"/>
      <family val="2"/>
      <color rgb="FFFF0000"/>
      <sz val="10"/>
    </font>
    <font>
      <name val="Calibri"/>
      <charset val="1"/>
      <family val="2"/>
      <i val="1"/>
      <color rgb="FF595959"/>
      <sz val="9"/>
    </font>
    <font>
      <name val="Arial"/>
      <charset val="1"/>
      <family val="2"/>
      <color theme="1"/>
      <sz val="10"/>
    </font>
    <font>
      <name val="Arial"/>
      <charset val="1"/>
      <family val="2"/>
      <color theme="1"/>
      <sz val="12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theme="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151515"/>
      <sz val="10"/>
    </font>
    <font>
      <name val="Arial"/>
      <charset val="1"/>
      <family val="2"/>
      <b val="1"/>
      <color theme="1" tint="0.3497726371044038"/>
      <sz val="8"/>
    </font>
    <font>
      <name val="Arial"/>
      <charset val="1"/>
      <family val="2"/>
      <color rgb="FF151515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0"/>
      <sz val="12"/>
    </font>
    <font>
      <name val="Arial"/>
      <charset val="1"/>
      <family val="2"/>
      <b val="1"/>
      <sz val="11"/>
    </font>
    <font>
      <name val="Arial"/>
      <charset val="1"/>
      <family val="2"/>
      <b val="1"/>
      <color rgb="FF151515"/>
      <sz val="11"/>
    </font>
    <font>
      <name val="Arial"/>
      <charset val="1"/>
      <family val="2"/>
      <b val="1"/>
      <color theme="0"/>
      <sz val="11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0"/>
      <sz val="10"/>
    </font>
    <font>
      <name val="Calibri"/>
      <charset val="1"/>
      <family val="2"/>
      <color theme="1"/>
      <sz val="10"/>
    </font>
    <font>
      <name val="Aptos"/>
      <charset val="1"/>
      <family val="2"/>
      <b val="1"/>
      <color rgb="FFFFFFFF"/>
      <sz val="11"/>
    </font>
    <font>
      <name val="Aptos"/>
      <charset val="1"/>
      <family val="2"/>
      <b val="1"/>
      <color rgb="FF000000"/>
      <sz val="11"/>
    </font>
    <font>
      <name val="Arial"/>
      <charset val="1"/>
      <family val="2"/>
      <sz val="18"/>
    </font>
    <font>
      <name val="Aptos"/>
      <charset val="1"/>
      <family val="2"/>
      <color rgb="FF000000"/>
      <sz val="11"/>
    </font>
    <font>
      <name val="Aptos"/>
      <charset val="1"/>
      <family val="2"/>
      <b val="1"/>
      <color rgb="FF000000"/>
      <sz val="10"/>
    </font>
    <font>
      <name val="Aptos"/>
      <charset val="1"/>
      <family val="2"/>
      <color rgb="FF000000"/>
      <sz val="10"/>
    </font>
    <font>
      <name val="Calibri"/>
      <charset val="1"/>
      <family val="2"/>
      <i val="1"/>
      <sz val="9"/>
    </font>
    <font>
      <name val="Calibri"/>
      <charset val="1"/>
      <family val="2"/>
      <b val="1"/>
      <sz val="16"/>
    </font>
    <font>
      <name val="Calibri"/>
      <charset val="1"/>
      <family val="2"/>
      <color rgb="FF008000"/>
      <sz val="10"/>
    </font>
    <font>
      <name val="Calibri"/>
      <charset val="1"/>
      <family val="2"/>
      <color rgb="FF0000FF"/>
      <sz val="10"/>
    </font>
    <font>
      <name val="Calibri"/>
      <charset val="1"/>
      <family val="2"/>
      <b val="1"/>
      <color theme="0"/>
      <sz val="10"/>
    </font>
    <font>
      <name val="Calibri"/>
      <charset val="1"/>
      <family val="2"/>
      <i val="1"/>
      <sz val="10"/>
    </font>
    <font>
      <name val="Calibri"/>
      <charset val="1"/>
      <color rgb="FF0000FF"/>
      <sz val="10"/>
    </font>
    <font>
      <name val="Calibri"/>
      <charset val="1"/>
      <i val="1"/>
      <color rgb="FF808080"/>
      <sz val="9"/>
    </font>
    <font>
      <name val="Calibri"/>
      <charset val="1"/>
      <color rgb="FF008000"/>
      <sz val="10"/>
    </font>
    <font>
      <name val="Calibri"/>
      <charset val="1"/>
      <family val="2"/>
      <b val="1"/>
      <color theme="1"/>
      <sz val="10"/>
    </font>
    <font>
      <name val="Calibri"/>
      <charset val="1"/>
      <b val="1"/>
      <sz val="10"/>
    </font>
    <font>
      <name val="Calibri"/>
      <charset val="1"/>
      <family val="2"/>
      <color theme="1"/>
      <sz val="11"/>
    </font>
    <font>
      <name val="Calibri"/>
      <family val="2"/>
      <sz val="9"/>
    </font>
    <font>
      <name val="Calibri"/>
      <family val="2"/>
      <color rgb="FFFF0000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rgb="FFFF0000"/>
      <sz val="10"/>
    </font>
    <font>
      <name val="Calibri"/>
      <family val="2"/>
      <color rgb="FF0000FF"/>
      <sz val="10"/>
    </font>
    <font>
      <name val="Century Gothic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Aptos"/>
      <family val="2"/>
      <color theme="1"/>
      <sz val="12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color rgb="FF0000FF"/>
      <sz val="10"/>
    </font>
    <font>
      <name val="Calibri"/>
      <color rgb="FF008000"/>
      <sz val="10"/>
    </font>
  </fonts>
  <fills count="35">
    <fill>
      <patternFill/>
    </fill>
    <fill>
      <patternFill patternType="gray125"/>
    </fill>
    <fill>
      <patternFill patternType="solid">
        <fgColor rgb="FF002F6C"/>
        <bgColor rgb="FF1D2E99"/>
      </patternFill>
    </fill>
    <fill>
      <patternFill patternType="solid">
        <fgColor rgb="FF1F4E79"/>
        <bgColor rgb="FF1F497D"/>
      </patternFill>
    </fill>
    <fill>
      <patternFill patternType="solid">
        <fgColor rgb="FFF2F2F2"/>
        <bgColor rgb="FFE7EAED"/>
      </patternFill>
    </fill>
    <fill>
      <patternFill patternType="solid">
        <fgColor theme="0"/>
        <bgColor rgb="FFF2F2F2"/>
      </patternFill>
    </fill>
    <fill>
      <patternFill patternType="solid">
        <fgColor rgb="FF151515"/>
        <bgColor rgb="FF000000"/>
      </patternFill>
    </fill>
    <fill>
      <patternFill patternType="solid">
        <fgColor rgb="FF18249C"/>
        <bgColor rgb="FF1D2E99"/>
      </patternFill>
    </fill>
    <fill>
      <patternFill patternType="solid">
        <fgColor theme="3" tint="0.749778740806299"/>
        <bgColor rgb="FFBFBFBF"/>
      </patternFill>
    </fill>
    <fill>
      <patternFill patternType="solid">
        <fgColor rgb="FFD9D9D9"/>
        <bgColor rgb="FFDDD9C3"/>
      </patternFill>
    </fill>
    <fill>
      <patternFill patternType="solid">
        <fgColor rgb="FF1D2E99"/>
        <bgColor rgb="FF18249C"/>
      </patternFill>
    </fill>
    <fill>
      <patternFill patternType="solid">
        <fgColor theme="2" tint="-0.09997863704336681"/>
        <bgColor rgb="FFD9D9D9"/>
      </patternFill>
    </fill>
    <fill>
      <patternFill patternType="solid">
        <fgColor rgb="FF92D050"/>
        <bgColor rgb="FFAEAEA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151515"/>
      </patternFill>
    </fill>
    <fill>
      <patternFill patternType="solid">
        <fgColor theme="4" tint="0.7997985778374584"/>
        <bgColor rgb="FFDCEAF7"/>
      </patternFill>
    </fill>
    <fill>
      <patternFill patternType="solid">
        <fgColor rgb="FFDCEAF7"/>
        <bgColor rgb="FFDCE6F2"/>
      </patternFill>
    </fill>
    <fill>
      <patternFill patternType="solid">
        <fgColor rgb="FFAEAEAE"/>
        <bgColor rgb="FFBFBFBF"/>
      </patternFill>
    </fill>
    <fill>
      <patternFill patternType="solid">
        <fgColor rgb="FF000099"/>
        <bgColor rgb="FF18249C"/>
      </patternFill>
    </fill>
    <fill>
      <patternFill patternType="solid">
        <fgColor rgb="FFFBE3D6"/>
        <bgColor rgb="FFFBE4D5"/>
      </patternFill>
    </fill>
    <fill>
      <patternFill patternType="solid">
        <fgColor rgb="FFE7EAED"/>
        <bgColor rgb="FFDCEAF7"/>
      </patternFill>
    </fill>
    <fill>
      <patternFill patternType="solid">
        <fgColor theme="9" tint="0.3997924741355632"/>
        <bgColor rgb="FFF8CBAD"/>
      </patternFill>
    </fill>
    <fill>
      <patternFill patternType="solid">
        <fgColor rgb="FFFFF2CC"/>
        <bgColor rgb="FFFBE4D5"/>
      </patternFill>
    </fill>
    <fill>
      <patternFill patternType="solid">
        <fgColor theme="3"/>
        <bgColor rgb="FF1F4E79"/>
      </patternFill>
    </fill>
    <fill>
      <patternFill patternType="solid">
        <fgColor rgb="FFF8CBAD"/>
        <bgColor rgb="FFFAC090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2CC"/>
      </patternFill>
    </fill>
    <fill>
      <patternFill patternType="solid">
        <fgColor rgb="FFFBE4D5"/>
      </patternFill>
    </fill>
  </fills>
  <borders count="111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/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/>
      <diagonal/>
    </border>
    <border>
      <left style="thin">
        <color auto="1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auto="1"/>
      </left>
      <right/>
      <top style="medium">
        <color rgb="FFFFFFFF"/>
      </top>
      <bottom/>
      <diagonal/>
    </border>
    <border>
      <left style="thin">
        <color auto="1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/>
      <diagonal/>
    </border>
    <border>
      <left style="thin">
        <color auto="1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auto="1"/>
      </right>
      <top/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auto="1"/>
      </left>
      <right style="thin">
        <color auto="1"/>
      </right>
      <top/>
      <bottom style="medium">
        <color rgb="FFFFFFF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rgb="FFFFFFFF"/>
      </bottom>
      <diagonal/>
    </border>
    <border>
      <left/>
      <right style="thin">
        <color auto="1"/>
      </right>
      <top style="thin">
        <color auto="1"/>
      </top>
      <bottom style="medium">
        <color rgb="FFFFFFFF"/>
      </bottom>
      <diagonal/>
    </border>
    <border>
      <left/>
      <right style="medium">
        <color rgb="FFFFFFFF"/>
      </right>
      <top style="thin">
        <color auto="1"/>
      </top>
      <bottom/>
      <diagonal/>
    </border>
    <border>
      <left/>
      <right style="medium">
        <color rgb="FFFFFFFF"/>
      </right>
      <top style="thin">
        <color auto="1"/>
      </top>
      <bottom style="medium">
        <color rgb="FFFFFFFF"/>
      </bottom>
      <diagonal/>
    </border>
    <border>
      <left/>
      <right/>
      <top style="medium">
        <color auto="1"/>
      </top>
      <bottom/>
      <diagonal/>
    </border>
    <border>
      <left/>
      <right style="medium">
        <color rgb="FFFFFFFF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rgb="FFFFFFFF"/>
      </left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rgb="FFFFFFFF"/>
      </bottom>
      <diagonal/>
    </border>
    <border>
      <left/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FFFFFF"/>
      </right>
      <top/>
      <bottom/>
      <diagonal/>
    </border>
    <border>
      <left/>
      <right/>
      <top style="medium">
        <color auto="1"/>
      </top>
      <bottom style="medium">
        <color rgb="FFFFFFF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auto="1"/>
      </right>
      <top/>
      <bottom/>
      <diagonal/>
    </border>
  </borders>
  <cellStyleXfs count="4">
    <xf numFmtId="0" fontId="51" fillId="0" borderId="0"/>
    <xf numFmtId="0" fontId="51" fillId="0" borderId="0"/>
    <xf numFmtId="9" fontId="51" fillId="0" borderId="0"/>
    <xf numFmtId="0" fontId="1" fillId="0" borderId="0"/>
  </cellStyleXfs>
  <cellXfs count="394">
    <xf numFmtId="0" fontId="0" fillId="0" borderId="0" pivotButton="0" quotePrefix="0" xfId="0"/>
    <xf numFmtId="0" fontId="4" fillId="2" borderId="2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2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0" fontId="5" fillId="4" borderId="2" pivotButton="0" quotePrefix="0" xfId="0"/>
    <xf numFmtId="164" fontId="5" fillId="4" borderId="2" pivotButton="0" quotePrefix="0" xfId="0"/>
    <xf numFmtId="0" fontId="6" fillId="0" borderId="2" pivotButton="0" quotePrefix="0" xfId="0"/>
    <xf numFmtId="164" fontId="6" fillId="0" borderId="2" pivotButton="0" quotePrefix="0" xfId="0"/>
    <xf numFmtId="9" fontId="6" fillId="0" borderId="2" pivotButton="0" quotePrefix="0" xfId="0"/>
    <xf numFmtId="0" fontId="5" fillId="0" borderId="2" pivotButton="0" quotePrefix="0" xfId="0"/>
    <xf numFmtId="164" fontId="5" fillId="0" borderId="2" pivotButton="0" quotePrefix="0" xfId="0"/>
    <xf numFmtId="0" fontId="7" fillId="0" borderId="0" pivotButton="0" quotePrefix="0" xfId="0"/>
    <xf numFmtId="165" fontId="7" fillId="0" borderId="2" pivotButton="0" quotePrefix="0" xfId="0"/>
    <xf numFmtId="0" fontId="8" fillId="0" borderId="2" pivotButton="0" quotePrefix="0" xfId="0"/>
    <xf numFmtId="0" fontId="9" fillId="0" borderId="0" pivotButton="0" quotePrefix="0" xfId="0"/>
    <xf numFmtId="164" fontId="9" fillId="0" borderId="2" pivotButton="0" quotePrefix="0" xfId="0"/>
    <xf numFmtId="166" fontId="0" fillId="0" borderId="0" pivotButton="0" quotePrefix="0" xfId="0"/>
    <xf numFmtId="0" fontId="10" fillId="0" borderId="0" pivotButton="0" quotePrefix="0" xfId="0"/>
    <xf numFmtId="0" fontId="11" fillId="2" borderId="2" applyAlignment="1" pivotButton="0" quotePrefix="0" xfId="0">
      <alignment horizontal="left" vertical="center"/>
    </xf>
    <xf numFmtId="0" fontId="12" fillId="0" borderId="2" pivotButton="0" quotePrefix="0" xfId="0"/>
    <xf numFmtId="167" fontId="12" fillId="0" borderId="2" pivotButton="0" quotePrefix="0" xfId="0"/>
    <xf numFmtId="164" fontId="12" fillId="0" borderId="2" pivotButton="0" quotePrefix="0" xfId="0"/>
    <xf numFmtId="0" fontId="12" fillId="4" borderId="2" pivotButton="0" quotePrefix="0" xfId="0"/>
    <xf numFmtId="167" fontId="12" fillId="4" borderId="2" pivotButton="0" quotePrefix="0" xfId="0"/>
    <xf numFmtId="164" fontId="12" fillId="4" borderId="2" pivotButton="0" quotePrefix="0" xfId="0"/>
    <xf numFmtId="0" fontId="13" fillId="4" borderId="2" pivotButton="0" quotePrefix="0" xfId="0"/>
    <xf numFmtId="167" fontId="13" fillId="4" borderId="2" pivotButton="0" quotePrefix="0" xfId="0"/>
    <xf numFmtId="164" fontId="13" fillId="4" borderId="2" pivotButton="0" quotePrefix="0" xfId="0"/>
    <xf numFmtId="0" fontId="12" fillId="4" borderId="3" pivotButton="0" quotePrefix="0" xfId="0"/>
    <xf numFmtId="0" fontId="12" fillId="0" borderId="0" pivotButton="0" quotePrefix="0" xfId="0"/>
    <xf numFmtId="0" fontId="14" fillId="0" borderId="0" pivotButton="0" quotePrefix="0" xfId="0"/>
    <xf numFmtId="0" fontId="6" fillId="4" borderId="2" pivotButton="0" quotePrefix="0" xfId="0"/>
    <xf numFmtId="164" fontId="6" fillId="4" borderId="2" pivotButton="0" quotePrefix="0" xfId="0"/>
    <xf numFmtId="164" fontId="7" fillId="0" borderId="2" pivotButton="0" quotePrefix="0" xfId="0"/>
    <xf numFmtId="0" fontId="15" fillId="5" borderId="0" pivotButton="0" quotePrefix="0" xfId="1"/>
    <xf numFmtId="0" fontId="16" fillId="5" borderId="0" pivotButton="0" quotePrefix="0" xfId="1"/>
    <xf numFmtId="0" fontId="21" fillId="6" borderId="10" applyAlignment="1" pivotButton="0" quotePrefix="0" xfId="1">
      <alignment horizontal="center" vertical="center" wrapText="1" readingOrder="1"/>
    </xf>
    <xf numFmtId="0" fontId="21" fillId="6" borderId="11" applyAlignment="1" pivotButton="0" quotePrefix="0" xfId="1">
      <alignment horizontal="center" vertical="center" wrapText="1" readingOrder="1"/>
    </xf>
    <xf numFmtId="0" fontId="22" fillId="9" borderId="11" applyAlignment="1" pivotButton="0" quotePrefix="0" xfId="1">
      <alignment horizontal="center" vertical="center" wrapText="1" readingOrder="1"/>
    </xf>
    <xf numFmtId="0" fontId="22" fillId="9" borderId="12" applyAlignment="1" pivotButton="0" quotePrefix="0" xfId="1">
      <alignment horizontal="center" vertical="center" wrapText="1" readingOrder="1"/>
    </xf>
    <xf numFmtId="0" fontId="22" fillId="9" borderId="13" applyAlignment="1" pivotButton="0" quotePrefix="0" xfId="1">
      <alignment horizontal="center" vertical="center" wrapText="1" readingOrder="1"/>
    </xf>
    <xf numFmtId="0" fontId="21" fillId="6" borderId="12" applyAlignment="1" pivotButton="0" quotePrefix="0" xfId="1">
      <alignment horizontal="center" vertical="center" wrapText="1" readingOrder="1"/>
    </xf>
    <xf numFmtId="0" fontId="15" fillId="5" borderId="0" applyAlignment="1" pivotButton="0" quotePrefix="0" xfId="1">
      <alignment vertical="center"/>
    </xf>
    <xf numFmtId="0" fontId="17" fillId="10" borderId="14" applyAlignment="1" pivotButton="0" quotePrefix="0" xfId="1">
      <alignment horizontal="left" vertical="center" wrapText="1" indent="1" readingOrder="1"/>
    </xf>
    <xf numFmtId="0" fontId="23" fillId="11" borderId="14" applyAlignment="1" pivotButton="0" quotePrefix="0" xfId="1">
      <alignment horizontal="left" vertical="center" wrapText="1" indent="1" readingOrder="1"/>
    </xf>
    <xf numFmtId="168" fontId="24" fillId="4" borderId="15" applyAlignment="1" pivotButton="0" quotePrefix="0" xfId="1">
      <alignment horizontal="center" vertical="center" wrapText="1" readingOrder="1"/>
    </xf>
    <xf numFmtId="168" fontId="24" fillId="4" borderId="16" applyAlignment="1" pivotButton="0" quotePrefix="0" xfId="1">
      <alignment horizontal="center" vertical="center" wrapText="1" readingOrder="1"/>
    </xf>
    <xf numFmtId="169" fontId="24" fillId="4" borderId="17" applyAlignment="1" pivotButton="0" quotePrefix="0" xfId="2">
      <alignment horizontal="center" vertical="center" wrapText="1" readingOrder="1"/>
    </xf>
    <xf numFmtId="0" fontId="22" fillId="12" borderId="17" applyAlignment="1" pivotButton="0" quotePrefix="0" xfId="1">
      <alignment horizontal="center" vertical="center" wrapText="1" readingOrder="1"/>
    </xf>
    <xf numFmtId="0" fontId="22" fillId="12" borderId="18" applyAlignment="1" pivotButton="0" quotePrefix="0" xfId="1">
      <alignment horizontal="center" vertical="center" wrapText="1" readingOrder="1"/>
    </xf>
    <xf numFmtId="0" fontId="22" fillId="13" borderId="17" applyAlignment="1" pivotButton="0" quotePrefix="0" xfId="1">
      <alignment horizontal="center" vertical="center" wrapText="1" readingOrder="1"/>
    </xf>
    <xf numFmtId="0" fontId="22" fillId="12" borderId="19" applyAlignment="1" pivotButton="0" quotePrefix="0" xfId="1">
      <alignment horizontal="center" vertical="center" wrapText="1" readingOrder="1"/>
    </xf>
    <xf numFmtId="168" fontId="24" fillId="4" borderId="20" applyAlignment="1" pivotButton="0" quotePrefix="0" xfId="1">
      <alignment horizontal="center" vertical="center" wrapText="1" readingOrder="1"/>
    </xf>
    <xf numFmtId="168" fontId="24" fillId="4" borderId="21" applyAlignment="1" pivotButton="0" quotePrefix="0" xfId="1">
      <alignment horizontal="center" vertical="center" wrapText="1" readingOrder="1"/>
    </xf>
    <xf numFmtId="0" fontId="22" fillId="13" borderId="22" applyAlignment="1" pivotButton="0" quotePrefix="0" xfId="1">
      <alignment horizontal="center" vertical="center" wrapText="1" readingOrder="1"/>
    </xf>
    <xf numFmtId="0" fontId="17" fillId="10" borderId="23" applyAlignment="1" pivotButton="0" quotePrefix="0" xfId="1">
      <alignment horizontal="left" vertical="center" wrapText="1" indent="1" readingOrder="1"/>
    </xf>
    <xf numFmtId="0" fontId="23" fillId="11" borderId="23" applyAlignment="1" pivotButton="0" quotePrefix="0" xfId="1">
      <alignment horizontal="left" vertical="center" wrapText="1" indent="1" readingOrder="1"/>
    </xf>
    <xf numFmtId="169" fontId="24" fillId="4" borderId="18" applyAlignment="1" pivotButton="0" quotePrefix="0" xfId="2">
      <alignment horizontal="center" vertical="center" wrapText="1" readingOrder="1"/>
    </xf>
    <xf numFmtId="0" fontId="25" fillId="4" borderId="18" applyAlignment="1" pivotButton="0" quotePrefix="0" xfId="1">
      <alignment horizontal="center" vertical="center" wrapText="1"/>
    </xf>
    <xf numFmtId="0" fontId="22" fillId="12" borderId="24" applyAlignment="1" pivotButton="0" quotePrefix="0" xfId="1">
      <alignment horizontal="center" vertical="center" wrapText="1" readingOrder="1"/>
    </xf>
    <xf numFmtId="0" fontId="18" fillId="14" borderId="22" applyAlignment="1" pivotButton="0" quotePrefix="0" xfId="1">
      <alignment horizontal="center" vertical="center" wrapText="1" readingOrder="1"/>
    </xf>
    <xf numFmtId="0" fontId="18" fillId="14" borderId="17" applyAlignment="1" pivotButton="0" quotePrefix="0" xfId="1">
      <alignment horizontal="center" vertical="center" wrapText="1" readingOrder="1"/>
    </xf>
    <xf numFmtId="0" fontId="18" fillId="14" borderId="25" applyAlignment="1" pivotButton="0" quotePrefix="0" xfId="1">
      <alignment horizontal="center" vertical="center" wrapText="1" readingOrder="1"/>
    </xf>
    <xf numFmtId="0" fontId="25" fillId="4" borderId="24" applyAlignment="1" pivotButton="0" quotePrefix="0" xfId="1">
      <alignment horizontal="center" vertical="center" wrapText="1"/>
    </xf>
    <xf numFmtId="0" fontId="17" fillId="10" borderId="26" applyAlignment="1" pivotButton="0" quotePrefix="0" xfId="1">
      <alignment horizontal="left" vertical="center" wrapText="1" indent="1" readingOrder="1"/>
    </xf>
    <xf numFmtId="0" fontId="23" fillId="11" borderId="26" applyAlignment="1" pivotButton="0" quotePrefix="0" xfId="1">
      <alignment horizontal="left" vertical="center" wrapText="1" indent="1" readingOrder="1"/>
    </xf>
    <xf numFmtId="168" fontId="24" fillId="4" borderId="27" applyAlignment="1" pivotButton="0" quotePrefix="0" xfId="1">
      <alignment horizontal="center" vertical="center" wrapText="1" readingOrder="1"/>
    </xf>
    <xf numFmtId="168" fontId="24" fillId="4" borderId="28" applyAlignment="1" pivotButton="0" quotePrefix="0" xfId="1">
      <alignment horizontal="center" vertical="center" wrapText="1" readingOrder="1"/>
    </xf>
    <xf numFmtId="169" fontId="24" fillId="4" borderId="29" applyAlignment="1" pivotButton="0" quotePrefix="0" xfId="2">
      <alignment horizontal="center" vertical="center" wrapText="1" readingOrder="1"/>
    </xf>
    <xf numFmtId="0" fontId="22" fillId="12" borderId="29" applyAlignment="1" pivotButton="0" quotePrefix="0" xfId="1">
      <alignment horizontal="center" vertical="center" wrapText="1" readingOrder="1"/>
    </xf>
    <xf numFmtId="168" fontId="24" fillId="4" borderId="30" applyAlignment="1" pivotButton="0" quotePrefix="0" xfId="1">
      <alignment horizontal="center" vertical="center" wrapText="1" readingOrder="1"/>
    </xf>
    <xf numFmtId="0" fontId="25" fillId="4" borderId="29" applyAlignment="1" pivotButton="0" quotePrefix="0" xfId="1">
      <alignment horizontal="center" vertical="center" wrapText="1"/>
    </xf>
    <xf numFmtId="0" fontId="22" fillId="12" borderId="22" applyAlignment="1" pivotButton="0" quotePrefix="0" xfId="1">
      <alignment horizontal="center" vertical="center" wrapText="1" readingOrder="1"/>
    </xf>
    <xf numFmtId="0" fontId="26" fillId="5" borderId="0" applyAlignment="1" pivotButton="0" quotePrefix="0" xfId="1">
      <alignment vertical="center"/>
    </xf>
    <xf numFmtId="0" fontId="27" fillId="15" borderId="4" applyAlignment="1" pivotButton="0" quotePrefix="0" xfId="1">
      <alignment horizontal="left" vertical="center" wrapText="1" indent="1" readingOrder="1"/>
    </xf>
    <xf numFmtId="168" fontId="22" fillId="4" borderId="31" applyAlignment="1" pivotButton="0" quotePrefix="0" xfId="1">
      <alignment horizontal="center" vertical="center" wrapText="1" readingOrder="1"/>
    </xf>
    <xf numFmtId="168" fontId="22" fillId="4" borderId="32" applyAlignment="1" pivotButton="0" quotePrefix="0" xfId="1">
      <alignment horizontal="center" vertical="center" wrapText="1" readingOrder="1"/>
    </xf>
    <xf numFmtId="169" fontId="28" fillId="4" borderId="33" applyAlignment="1" pivotButton="0" quotePrefix="0" xfId="2">
      <alignment horizontal="center" vertical="center" wrapText="1" readingOrder="1"/>
    </xf>
    <xf numFmtId="0" fontId="29" fillId="12" borderId="33" applyAlignment="1" pivotButton="0" quotePrefix="0" xfId="1">
      <alignment horizontal="center" vertical="center" wrapText="1" readingOrder="1"/>
    </xf>
    <xf numFmtId="168" fontId="22" fillId="4" borderId="33" applyAlignment="1" pivotButton="0" quotePrefix="0" xfId="1">
      <alignment horizontal="center" vertical="center" wrapText="1" readingOrder="1"/>
    </xf>
    <xf numFmtId="0" fontId="22" fillId="13" borderId="33" applyAlignment="1" pivotButton="0" quotePrefix="0" xfId="1">
      <alignment horizontal="center" vertical="center" wrapText="1" readingOrder="1"/>
    </xf>
    <xf numFmtId="0" fontId="29" fillId="12" borderId="34" applyAlignment="1" pivotButton="0" quotePrefix="0" xfId="1">
      <alignment horizontal="center" vertical="center" wrapText="1" readingOrder="1"/>
    </xf>
    <xf numFmtId="169" fontId="30" fillId="15" borderId="33" applyAlignment="1" pivotButton="0" quotePrefix="0" xfId="2">
      <alignment horizontal="center" vertical="center" wrapText="1" readingOrder="1"/>
    </xf>
    <xf numFmtId="169" fontId="22" fillId="4" borderId="17" applyAlignment="1" pivotButton="0" quotePrefix="0" xfId="2">
      <alignment horizontal="center" vertical="center" wrapText="1" readingOrder="1"/>
    </xf>
    <xf numFmtId="0" fontId="31" fillId="5" borderId="0" pivotButton="0" quotePrefix="0" xfId="1"/>
    <xf numFmtId="0" fontId="32" fillId="15" borderId="11" applyAlignment="1" pivotButton="0" quotePrefix="0" xfId="1">
      <alignment horizontal="center" vertical="center" wrapText="1" readingOrder="1"/>
    </xf>
    <xf numFmtId="0" fontId="22" fillId="9" borderId="35" applyAlignment="1" pivotButton="0" quotePrefix="0" xfId="1">
      <alignment horizontal="center" vertical="center" wrapText="1" readingOrder="1"/>
    </xf>
    <xf numFmtId="0" fontId="17" fillId="10" borderId="15" applyAlignment="1" pivotButton="0" quotePrefix="0" xfId="1">
      <alignment horizontal="left" vertical="center" wrapText="1" indent="1" readingOrder="1"/>
    </xf>
    <xf numFmtId="170" fontId="15" fillId="5" borderId="0" applyAlignment="1" pivotButton="0" quotePrefix="0" xfId="1">
      <alignment vertical="center"/>
    </xf>
    <xf numFmtId="0" fontId="17" fillId="10" borderId="20" applyAlignment="1" pivotButton="0" quotePrefix="0" xfId="1">
      <alignment horizontal="left" vertical="center" wrapText="1" indent="1" readingOrder="1"/>
    </xf>
    <xf numFmtId="0" fontId="17" fillId="10" borderId="27" applyAlignment="1" pivotButton="0" quotePrefix="0" xfId="1">
      <alignment horizontal="left" vertical="center" wrapText="1" indent="1" readingOrder="1"/>
    </xf>
    <xf numFmtId="0" fontId="18" fillId="14" borderId="29" applyAlignment="1" pivotButton="0" quotePrefix="0" xfId="1">
      <alignment horizontal="center" vertical="center" wrapText="1"/>
    </xf>
    <xf numFmtId="0" fontId="19" fillId="12" borderId="29" applyAlignment="1" pivotButton="0" quotePrefix="0" xfId="1">
      <alignment horizontal="center" vertical="center" wrapText="1"/>
    </xf>
    <xf numFmtId="171" fontId="15" fillId="5" borderId="0" pivotButton="0" quotePrefix="0" xfId="1"/>
    <xf numFmtId="0" fontId="16" fillId="5" borderId="36" pivotButton="0" quotePrefix="0" xfId="1"/>
    <xf numFmtId="0" fontId="18" fillId="15" borderId="14" applyAlignment="1" pivotButton="0" quotePrefix="0" xfId="1">
      <alignment vertical="center" wrapText="1" readingOrder="1"/>
    </xf>
    <xf numFmtId="0" fontId="18" fillId="15" borderId="37" applyAlignment="1" pivotButton="0" quotePrefix="0" xfId="1">
      <alignment vertical="center" wrapText="1" readingOrder="1"/>
    </xf>
    <xf numFmtId="172" fontId="32" fillId="15" borderId="27" applyAlignment="1" pivotButton="0" quotePrefix="0" xfId="1">
      <alignment horizontal="center" vertical="center" wrapText="1" readingOrder="1"/>
    </xf>
    <xf numFmtId="172" fontId="32" fillId="15" borderId="29" applyAlignment="1" pivotButton="0" quotePrefix="0" xfId="1">
      <alignment horizontal="center" vertical="center" wrapText="1" readingOrder="1"/>
    </xf>
    <xf numFmtId="0" fontId="24" fillId="4" borderId="14" applyAlignment="1" pivotButton="0" quotePrefix="0" xfId="1">
      <alignment horizontal="left" vertical="center" wrapText="1" indent="1" readingOrder="1"/>
    </xf>
    <xf numFmtId="0" fontId="22" fillId="13" borderId="24" applyAlignment="1" pivotButton="0" quotePrefix="0" xfId="1">
      <alignment horizontal="center" vertical="center" wrapText="1" readingOrder="1"/>
    </xf>
    <xf numFmtId="0" fontId="24" fillId="4" borderId="37" applyAlignment="1" pivotButton="0" quotePrefix="0" xfId="1">
      <alignment horizontal="left" vertical="center" wrapText="1" indent="1" readingOrder="1"/>
    </xf>
    <xf numFmtId="0" fontId="22" fillId="11" borderId="4" applyAlignment="1" pivotButton="0" quotePrefix="0" xfId="1">
      <alignment vertical="center" wrapText="1" readingOrder="1"/>
    </xf>
    <xf numFmtId="168" fontId="22" fillId="11" borderId="31" applyAlignment="1" pivotButton="0" quotePrefix="0" xfId="1">
      <alignment horizontal="center" vertical="center" wrapText="1" readingOrder="1"/>
    </xf>
    <xf numFmtId="168" fontId="22" fillId="11" borderId="32" applyAlignment="1" pivotButton="0" quotePrefix="0" xfId="1">
      <alignment horizontal="center" vertical="center" wrapText="1" readingOrder="1"/>
    </xf>
    <xf numFmtId="169" fontId="22" fillId="11" borderId="33" applyAlignment="1" pivotButton="0" quotePrefix="0" xfId="2">
      <alignment horizontal="center" vertical="center" wrapText="1" readingOrder="1"/>
    </xf>
    <xf numFmtId="0" fontId="22" fillId="13" borderId="34" applyAlignment="1" pivotButton="0" quotePrefix="0" xfId="1">
      <alignment horizontal="center" vertical="center" wrapText="1" readingOrder="1"/>
    </xf>
    <xf numFmtId="0" fontId="24" fillId="4" borderId="38" applyAlignment="1" pivotButton="0" quotePrefix="0" xfId="1">
      <alignment horizontal="left" vertical="center" wrapText="1" indent="1" readingOrder="1"/>
    </xf>
    <xf numFmtId="0" fontId="24" fillId="4" borderId="36" applyAlignment="1" pivotButton="0" quotePrefix="0" xfId="1">
      <alignment horizontal="left" vertical="center" wrapText="1" indent="1" readingOrder="1"/>
    </xf>
    <xf numFmtId="0" fontId="22" fillId="12" borderId="34" applyAlignment="1" pivotButton="0" quotePrefix="0" xfId="1">
      <alignment horizontal="center" vertical="center" wrapText="1" readingOrder="1"/>
    </xf>
    <xf numFmtId="0" fontId="18" fillId="15" borderId="39" applyAlignment="1" pivotButton="0" quotePrefix="0" xfId="1">
      <alignment horizontal="left" vertical="center" wrapText="1" indent="1" readingOrder="1"/>
    </xf>
    <xf numFmtId="0" fontId="18" fillId="15" borderId="36" applyAlignment="1" pivotButton="0" quotePrefix="0" xfId="1">
      <alignment horizontal="left" vertical="center" wrapText="1" readingOrder="1"/>
    </xf>
    <xf numFmtId="0" fontId="18" fillId="15" borderId="37" applyAlignment="1" pivotButton="0" quotePrefix="0" xfId="1">
      <alignment horizontal="left" vertical="center" wrapText="1" readingOrder="1"/>
    </xf>
    <xf numFmtId="0" fontId="33" fillId="0" borderId="0" pivotButton="0" quotePrefix="0" xfId="0"/>
    <xf numFmtId="0" fontId="34" fillId="15" borderId="40" applyAlignment="1" pivotButton="0" quotePrefix="0" xfId="0">
      <alignment horizontal="center" vertical="center" wrapText="1" readingOrder="1"/>
    </xf>
    <xf numFmtId="0" fontId="34" fillId="15" borderId="42" applyAlignment="1" pivotButton="0" quotePrefix="0" xfId="0">
      <alignment horizontal="center" vertical="center" wrapText="1" readingOrder="1"/>
    </xf>
    <xf numFmtId="0" fontId="36" fillId="4" borderId="43" applyAlignment="1" pivotButton="0" quotePrefix="0" xfId="0">
      <alignment vertical="center" wrapText="1"/>
    </xf>
    <xf numFmtId="0" fontId="34" fillId="15" borderId="45" applyAlignment="1" pivotButton="0" quotePrefix="0" xfId="0">
      <alignment horizontal="center" vertical="center" wrapText="1" readingOrder="1"/>
    </xf>
    <xf numFmtId="0" fontId="35" fillId="18" borderId="18" applyAlignment="1" pivotButton="0" quotePrefix="0" xfId="0">
      <alignment horizontal="center" vertical="center" wrapText="1" readingOrder="1"/>
    </xf>
    <xf numFmtId="0" fontId="34" fillId="15" borderId="46" applyAlignment="1" pivotButton="0" quotePrefix="0" xfId="0">
      <alignment horizontal="center" vertical="center" wrapText="1" readingOrder="1"/>
    </xf>
    <xf numFmtId="0" fontId="36" fillId="4" borderId="43" applyAlignment="1" pivotButton="0" quotePrefix="0" xfId="0">
      <alignment horizontal="center" vertical="center" wrapText="1"/>
    </xf>
    <xf numFmtId="0" fontId="34" fillId="19" borderId="47" applyAlignment="1" pivotButton="0" quotePrefix="0" xfId="0">
      <alignment horizontal="left" vertical="center" wrapText="1" readingOrder="1"/>
    </xf>
    <xf numFmtId="0" fontId="37" fillId="4" borderId="18" applyAlignment="1" pivotButton="0" quotePrefix="0" xfId="0">
      <alignment horizontal="left" vertical="center" wrapText="1" readingOrder="1"/>
    </xf>
    <xf numFmtId="0" fontId="36" fillId="4" borderId="18" applyAlignment="1" pivotButton="0" quotePrefix="0" xfId="0">
      <alignment vertical="center" wrapText="1"/>
    </xf>
    <xf numFmtId="0" fontId="37" fillId="4" borderId="18" applyAlignment="1" pivotButton="0" quotePrefix="0" xfId="0">
      <alignment horizontal="center" vertical="center" wrapText="1" readingOrder="1"/>
    </xf>
    <xf numFmtId="0" fontId="35" fillId="9" borderId="18" applyAlignment="1" pivotButton="0" quotePrefix="0" xfId="0">
      <alignment horizontal="center" vertical="center" wrapText="1" readingOrder="1"/>
    </xf>
    <xf numFmtId="0" fontId="35" fillId="18" borderId="48" applyAlignment="1" pivotButton="0" quotePrefix="0" xfId="0">
      <alignment horizontal="center" vertical="center" wrapText="1" readingOrder="1"/>
    </xf>
    <xf numFmtId="0" fontId="36" fillId="4" borderId="47" applyAlignment="1" pivotButton="0" quotePrefix="0" xfId="0">
      <alignment horizontal="center" vertical="center" wrapText="1"/>
    </xf>
    <xf numFmtId="0" fontId="36" fillId="4" borderId="18" applyAlignment="1" pivotButton="0" quotePrefix="0" xfId="0">
      <alignment horizontal="center" vertical="center" wrapText="1"/>
    </xf>
    <xf numFmtId="0" fontId="35" fillId="20" borderId="18" applyAlignment="1" pivotButton="0" quotePrefix="0" xfId="0">
      <alignment horizontal="center" vertical="center" wrapText="1" readingOrder="1"/>
    </xf>
    <xf numFmtId="0" fontId="35" fillId="4" borderId="47" applyAlignment="1" pivotButton="0" quotePrefix="0" xfId="0">
      <alignment horizontal="center" vertical="center" wrapText="1" readingOrder="1"/>
    </xf>
    <xf numFmtId="0" fontId="36" fillId="9" borderId="18" applyAlignment="1" pivotButton="0" quotePrefix="0" xfId="0">
      <alignment horizontal="center" vertical="center" wrapText="1"/>
    </xf>
    <xf numFmtId="0" fontId="35" fillId="17" borderId="18" applyAlignment="1" pivotButton="0" quotePrefix="0" xfId="0">
      <alignment horizontal="center" vertical="center" wrapText="1" readingOrder="1"/>
    </xf>
    <xf numFmtId="0" fontId="37" fillId="4" borderId="49" applyAlignment="1" pivotButton="0" quotePrefix="0" xfId="0">
      <alignment horizontal="left" vertical="center" wrapText="1" readingOrder="1"/>
    </xf>
    <xf numFmtId="0" fontId="36" fillId="4" borderId="49" applyAlignment="1" pivotButton="0" quotePrefix="0" xfId="0">
      <alignment vertical="center" wrapText="1"/>
    </xf>
    <xf numFmtId="0" fontId="36" fillId="4" borderId="49" applyAlignment="1" pivotButton="0" quotePrefix="0" xfId="0">
      <alignment horizontal="center" vertical="center" wrapText="1"/>
    </xf>
    <xf numFmtId="0" fontId="37" fillId="4" borderId="49" applyAlignment="1" pivotButton="0" quotePrefix="0" xfId="0">
      <alignment horizontal="center" vertical="center" wrapText="1" readingOrder="1"/>
    </xf>
    <xf numFmtId="0" fontId="35" fillId="9" borderId="49" applyAlignment="1" pivotButton="0" quotePrefix="0" xfId="0">
      <alignment horizontal="center" vertical="center" wrapText="1" readingOrder="1"/>
    </xf>
    <xf numFmtId="0" fontId="36" fillId="9" borderId="49" applyAlignment="1" pivotButton="0" quotePrefix="0" xfId="0">
      <alignment horizontal="center" vertical="center" wrapText="1"/>
    </xf>
    <xf numFmtId="0" fontId="35" fillId="18" borderId="50" applyAlignment="1" pivotButton="0" quotePrefix="0" xfId="0">
      <alignment horizontal="center" vertical="center" wrapText="1" readingOrder="1"/>
    </xf>
    <xf numFmtId="0" fontId="36" fillId="4" borderId="51" applyAlignment="1" pivotButton="0" quotePrefix="0" xfId="0">
      <alignment horizontal="center" vertical="center" wrapText="1"/>
    </xf>
    <xf numFmtId="0" fontId="35" fillId="4" borderId="52" applyAlignment="1" pivotButton="0" quotePrefix="0" xfId="0">
      <alignment horizontal="center" vertical="center" wrapText="1" readingOrder="1"/>
    </xf>
    <xf numFmtId="0" fontId="35" fillId="17" borderId="49" applyAlignment="1" pivotButton="0" quotePrefix="0" xfId="0">
      <alignment horizontal="center" vertical="center" wrapText="1" readingOrder="1"/>
    </xf>
    <xf numFmtId="0" fontId="34" fillId="19" borderId="52" applyAlignment="1" pivotButton="0" quotePrefix="0" xfId="0">
      <alignment horizontal="left" vertical="center" wrapText="1" readingOrder="1"/>
    </xf>
    <xf numFmtId="0" fontId="36" fillId="4" borderId="53" applyAlignment="1" pivotButton="0" quotePrefix="0" xfId="0">
      <alignment vertical="center" wrapText="1"/>
    </xf>
    <xf numFmtId="0" fontId="37" fillId="4" borderId="53" applyAlignment="1" pivotButton="0" quotePrefix="0" xfId="0">
      <alignment horizontal="center" vertical="center" wrapText="1" readingOrder="1"/>
    </xf>
    <xf numFmtId="0" fontId="35" fillId="9" borderId="53" applyAlignment="1" pivotButton="0" quotePrefix="0" xfId="0">
      <alignment horizontal="center" vertical="center" wrapText="1" readingOrder="1"/>
    </xf>
    <xf numFmtId="0" fontId="35" fillId="18" borderId="54" applyAlignment="1" pivotButton="0" quotePrefix="0" xfId="0">
      <alignment horizontal="center" vertical="center" wrapText="1" readingOrder="1"/>
    </xf>
    <xf numFmtId="0" fontId="36" fillId="4" borderId="55" applyAlignment="1" pivotButton="0" quotePrefix="0" xfId="0">
      <alignment horizontal="center" vertical="center" wrapText="1"/>
    </xf>
    <xf numFmtId="0" fontId="35" fillId="4" borderId="56" applyAlignment="1" pivotButton="0" quotePrefix="0" xfId="0">
      <alignment horizontal="center" vertical="center" wrapText="1" readingOrder="1"/>
    </xf>
    <xf numFmtId="0" fontId="35" fillId="4" borderId="53" applyAlignment="1" pivotButton="0" quotePrefix="0" xfId="0">
      <alignment horizontal="center" vertical="center" wrapText="1" readingOrder="1"/>
    </xf>
    <xf numFmtId="0" fontId="11" fillId="15" borderId="58" applyAlignment="1" pivotButton="0" quotePrefix="0" xfId="0">
      <alignment horizontal="center" vertical="center" wrapText="1" readingOrder="1"/>
    </xf>
    <xf numFmtId="0" fontId="25" fillId="5" borderId="43" applyAlignment="1" pivotButton="0" quotePrefix="0" xfId="0">
      <alignment vertical="center" wrapText="1"/>
    </xf>
    <xf numFmtId="0" fontId="38" fillId="17" borderId="59" applyAlignment="1" pivotButton="0" quotePrefix="0" xfId="0">
      <alignment horizontal="center" vertical="center" wrapText="1" readingOrder="1"/>
    </xf>
    <xf numFmtId="0" fontId="11" fillId="15" borderId="42" applyAlignment="1" pivotButton="0" quotePrefix="0" xfId="0">
      <alignment horizontal="center" vertical="center" wrapText="1" readingOrder="1"/>
    </xf>
    <xf numFmtId="0" fontId="38" fillId="18" borderId="57" applyAlignment="1" pivotButton="0" quotePrefix="0" xfId="0">
      <alignment horizontal="center" vertical="center" wrapText="1" readingOrder="1"/>
    </xf>
    <xf numFmtId="0" fontId="11" fillId="15" borderId="60" applyAlignment="1" pivotButton="0" quotePrefix="0" xfId="0">
      <alignment horizontal="center" vertical="center" wrapText="1" readingOrder="1"/>
    </xf>
    <xf numFmtId="0" fontId="25" fillId="5" borderId="43" applyAlignment="1" pivotButton="0" quotePrefix="0" xfId="0">
      <alignment horizontal="center" vertical="center" wrapText="1"/>
    </xf>
    <xf numFmtId="0" fontId="38" fillId="17" borderId="17" applyAlignment="1" pivotButton="0" quotePrefix="0" xfId="0">
      <alignment horizontal="center" vertical="center" wrapText="1" readingOrder="1"/>
    </xf>
    <xf numFmtId="0" fontId="11" fillId="15" borderId="46" applyAlignment="1" pivotButton="0" quotePrefix="0" xfId="0">
      <alignment horizontal="center" vertical="center" wrapText="1" readingOrder="1"/>
    </xf>
    <xf numFmtId="0" fontId="39" fillId="17" borderId="44" applyAlignment="1" pivotButton="0" quotePrefix="0" xfId="0">
      <alignment horizontal="left" vertical="center" wrapText="1" readingOrder="1"/>
    </xf>
    <xf numFmtId="0" fontId="25" fillId="17" borderId="41" applyAlignment="1" pivotButton="0" quotePrefix="0" xfId="0">
      <alignment vertical="center" wrapText="1"/>
    </xf>
    <xf numFmtId="0" fontId="38" fillId="21" borderId="41" applyAlignment="1" pivotButton="0" quotePrefix="0" xfId="0">
      <alignment horizontal="center" vertical="center" wrapText="1" readingOrder="1"/>
    </xf>
    <xf numFmtId="0" fontId="25" fillId="21" borderId="41" applyAlignment="1" pivotButton="0" quotePrefix="0" xfId="0">
      <alignment horizontal="center" vertical="center" wrapText="1"/>
    </xf>
    <xf numFmtId="0" fontId="25" fillId="21" borderId="61" applyAlignment="1" pivotButton="0" quotePrefix="0" xfId="0">
      <alignment horizontal="center" vertical="center" wrapText="1"/>
    </xf>
    <xf numFmtId="0" fontId="38" fillId="17" borderId="55" applyAlignment="1" pivotButton="0" quotePrefix="0" xfId="0">
      <alignment horizontal="center" vertical="center" wrapText="1" readingOrder="1"/>
    </xf>
    <xf numFmtId="0" fontId="25" fillId="21" borderId="47" applyAlignment="1" pivotButton="0" quotePrefix="0" xfId="0">
      <alignment horizontal="center" vertical="center" wrapText="1"/>
    </xf>
    <xf numFmtId="0" fontId="25" fillId="21" borderId="18" applyAlignment="1" pivotButton="0" quotePrefix="0" xfId="0">
      <alignment horizontal="center" vertical="center" wrapText="1"/>
    </xf>
    <xf numFmtId="0" fontId="38" fillId="18" borderId="48" applyAlignment="1" pivotButton="0" quotePrefix="0" xfId="0">
      <alignment horizontal="center" vertical="center" wrapText="1" readingOrder="1"/>
    </xf>
    <xf numFmtId="0" fontId="39" fillId="17" borderId="47" applyAlignment="1" pivotButton="0" quotePrefix="0" xfId="0">
      <alignment horizontal="left" vertical="center" wrapText="1" readingOrder="1"/>
    </xf>
    <xf numFmtId="0" fontId="25" fillId="17" borderId="18" applyAlignment="1" pivotButton="0" quotePrefix="0" xfId="0">
      <alignment vertical="center" wrapText="1"/>
    </xf>
    <xf numFmtId="0" fontId="38" fillId="21" borderId="18" applyAlignment="1" pivotButton="0" quotePrefix="0" xfId="0">
      <alignment horizontal="center" vertical="center" wrapText="1" readingOrder="1"/>
    </xf>
    <xf numFmtId="0" fontId="25" fillId="21" borderId="48" applyAlignment="1" pivotButton="0" quotePrefix="0" xfId="0">
      <alignment horizontal="center" vertical="center" wrapText="1"/>
    </xf>
    <xf numFmtId="0" fontId="38" fillId="17" borderId="43" applyAlignment="1" pivotButton="0" quotePrefix="0" xfId="0">
      <alignment horizontal="center" vertical="center" wrapText="1" readingOrder="1"/>
    </xf>
    <xf numFmtId="0" fontId="39" fillId="20" borderId="47" applyAlignment="1" pivotButton="0" quotePrefix="0" xfId="0">
      <alignment horizontal="left" vertical="center" wrapText="1" readingOrder="1"/>
    </xf>
    <xf numFmtId="0" fontId="25" fillId="20" borderId="18" applyAlignment="1" pivotButton="0" quotePrefix="0" xfId="0">
      <alignment vertical="center" wrapText="1"/>
    </xf>
    <xf numFmtId="0" fontId="39" fillId="20" borderId="18" applyAlignment="1" pivotButton="0" quotePrefix="0" xfId="0">
      <alignment horizontal="left" vertical="center" wrapText="1" readingOrder="1"/>
    </xf>
    <xf numFmtId="0" fontId="38" fillId="20" borderId="43" applyAlignment="1" pivotButton="0" quotePrefix="0" xfId="0">
      <alignment horizontal="center" vertical="center" wrapText="1" readingOrder="1"/>
    </xf>
    <xf numFmtId="0" fontId="38" fillId="20" borderId="18" applyAlignment="1" pivotButton="0" quotePrefix="0" xfId="0">
      <alignment horizontal="center" vertical="center" wrapText="1" readingOrder="1"/>
    </xf>
    <xf numFmtId="0" fontId="38" fillId="21" borderId="48" applyAlignment="1" pivotButton="0" quotePrefix="0" xfId="0">
      <alignment horizontal="center" vertical="center" wrapText="1" readingOrder="1"/>
    </xf>
    <xf numFmtId="0" fontId="39" fillId="20" borderId="52" applyAlignment="1" pivotButton="0" quotePrefix="0" xfId="0">
      <alignment horizontal="left" vertical="center" wrapText="1" readingOrder="1"/>
    </xf>
    <xf numFmtId="0" fontId="25" fillId="20" borderId="49" applyAlignment="1" pivotButton="0" quotePrefix="0" xfId="0">
      <alignment vertical="center" wrapText="1"/>
    </xf>
    <xf numFmtId="0" fontId="39" fillId="20" borderId="49" applyAlignment="1" pivotButton="0" quotePrefix="0" xfId="0">
      <alignment horizontal="left" vertical="center" wrapText="1" readingOrder="1"/>
    </xf>
    <xf numFmtId="0" fontId="38" fillId="21" borderId="49" applyAlignment="1" pivotButton="0" quotePrefix="0" xfId="0">
      <alignment horizontal="center" vertical="center" wrapText="1" readingOrder="1"/>
    </xf>
    <xf numFmtId="0" fontId="25" fillId="21" borderId="49" applyAlignment="1" pivotButton="0" quotePrefix="0" xfId="0">
      <alignment horizontal="center" vertical="center" wrapText="1"/>
    </xf>
    <xf numFmtId="0" fontId="25" fillId="21" borderId="50" applyAlignment="1" pivotButton="0" quotePrefix="0" xfId="0">
      <alignment horizontal="center" vertical="center" wrapText="1"/>
    </xf>
    <xf numFmtId="0" fontId="38" fillId="20" borderId="51" applyAlignment="1" pivotButton="0" quotePrefix="0" xfId="0">
      <alignment horizontal="center" vertical="center" wrapText="1" readingOrder="1"/>
    </xf>
    <xf numFmtId="0" fontId="25" fillId="5" borderId="51" applyAlignment="1" pivotButton="0" quotePrefix="0" xfId="0">
      <alignment horizontal="center" vertical="center" wrapText="1"/>
    </xf>
    <xf numFmtId="0" fontId="25" fillId="21" borderId="52" applyAlignment="1" pivotButton="0" quotePrefix="0" xfId="0">
      <alignment horizontal="center" vertical="center" wrapText="1"/>
    </xf>
    <xf numFmtId="0" fontId="38" fillId="20" borderId="49" applyAlignment="1" pivotButton="0" quotePrefix="0" xfId="0">
      <alignment horizontal="center" vertical="center" wrapText="1" readingOrder="1"/>
    </xf>
    <xf numFmtId="0" fontId="38" fillId="18" borderId="50" applyAlignment="1" pivotButton="0" quotePrefix="0" xfId="0">
      <alignment horizontal="center" vertical="center" wrapText="1" readingOrder="1"/>
    </xf>
    <xf numFmtId="0" fontId="11" fillId="19" borderId="53" applyAlignment="1" pivotButton="0" quotePrefix="0" xfId="0">
      <alignment horizontal="left" vertical="center" wrapText="1" readingOrder="1"/>
    </xf>
    <xf numFmtId="0" fontId="25" fillId="19" borderId="53" applyAlignment="1" pivotButton="0" quotePrefix="0" xfId="0">
      <alignment vertical="center" wrapText="1"/>
    </xf>
    <xf numFmtId="0" fontId="38" fillId="18" borderId="53" applyAlignment="1" pivotButton="0" quotePrefix="0" xfId="0">
      <alignment horizontal="center" vertical="center" wrapText="1" readingOrder="1"/>
    </xf>
    <xf numFmtId="0" fontId="38" fillId="18" borderId="54" applyAlignment="1" pivotButton="0" quotePrefix="0" xfId="0">
      <alignment horizontal="center" vertical="center" wrapText="1" readingOrder="1"/>
    </xf>
    <xf numFmtId="0" fontId="25" fillId="5" borderId="57" applyAlignment="1" pivotButton="0" quotePrefix="0" xfId="0">
      <alignment horizontal="center" vertical="center" wrapText="1"/>
    </xf>
    <xf numFmtId="0" fontId="25" fillId="18" borderId="56" applyAlignment="1" pivotButton="0" quotePrefix="0" xfId="0">
      <alignment horizontal="center" vertical="center" wrapText="1"/>
    </xf>
    <xf numFmtId="0" fontId="25" fillId="18" borderId="53" applyAlignment="1" pivotButton="0" quotePrefix="0" xfId="0">
      <alignment horizontal="center" vertical="center" wrapText="1"/>
    </xf>
    <xf numFmtId="0" fontId="25" fillId="21" borderId="55" applyAlignment="1" pivotButton="0" quotePrefix="0" xfId="0">
      <alignment vertical="center" wrapText="1"/>
    </xf>
    <xf numFmtId="0" fontId="25" fillId="21" borderId="41" applyAlignment="1" pivotButton="0" quotePrefix="0" xfId="0">
      <alignment vertical="center" wrapText="1"/>
    </xf>
    <xf numFmtId="0" fontId="38" fillId="21" borderId="61" applyAlignment="1" pivotButton="0" quotePrefix="0" xfId="0">
      <alignment horizontal="center" vertical="center" wrapText="1" readingOrder="1"/>
    </xf>
    <xf numFmtId="0" fontId="38" fillId="18" borderId="55" applyAlignment="1" pivotButton="0" quotePrefix="0" xfId="0">
      <alignment horizontal="center" vertical="center" wrapText="1" readingOrder="1"/>
    </xf>
    <xf numFmtId="0" fontId="25" fillId="5" borderId="55" applyAlignment="1" pivotButton="0" quotePrefix="0" xfId="0">
      <alignment horizontal="center" vertical="center" wrapText="1"/>
    </xf>
    <xf numFmtId="0" fontId="25" fillId="21" borderId="44" applyAlignment="1" pivotButton="0" quotePrefix="0" xfId="0">
      <alignment horizontal="center" vertical="center" wrapText="1"/>
    </xf>
    <xf numFmtId="0" fontId="38" fillId="18" borderId="61" applyAlignment="1" pivotButton="0" quotePrefix="0" xfId="0">
      <alignment horizontal="center" vertical="center" wrapText="1" readingOrder="1"/>
    </xf>
    <xf numFmtId="0" fontId="25" fillId="21" borderId="51" applyAlignment="1" pivotButton="0" quotePrefix="0" xfId="0">
      <alignment vertical="center" wrapText="1"/>
    </xf>
    <xf numFmtId="0" fontId="25" fillId="21" borderId="49" applyAlignment="1" pivotButton="0" quotePrefix="0" xfId="0">
      <alignment vertical="center" wrapText="1"/>
    </xf>
    <xf numFmtId="0" fontId="38" fillId="18" borderId="51" applyAlignment="1" pivotButton="0" quotePrefix="0" xfId="0">
      <alignment horizontal="center" vertical="center" wrapText="1" readingOrder="1"/>
    </xf>
    <xf numFmtId="0" fontId="38" fillId="18" borderId="56" applyAlignment="1" pivotButton="0" quotePrefix="0" xfId="0">
      <alignment horizontal="center" vertical="center" wrapText="1" readingOrder="1"/>
    </xf>
    <xf numFmtId="0" fontId="40" fillId="0" borderId="0" pivotButton="0" quotePrefix="0" xfId="0"/>
    <xf numFmtId="0" fontId="41" fillId="0" borderId="0" pivotButton="0" quotePrefix="0" xfId="0"/>
    <xf numFmtId="0" fontId="4" fillId="15" borderId="2" applyAlignment="1" pivotButton="0" quotePrefix="0" xfId="0">
      <alignment vertical="center"/>
    </xf>
    <xf numFmtId="0" fontId="33" fillId="0" borderId="2" pivotButton="0" quotePrefix="0" xfId="0"/>
    <xf numFmtId="164" fontId="42" fillId="0" borderId="2" pivotButton="0" quotePrefix="0" xfId="0"/>
    <xf numFmtId="0" fontId="7" fillId="9" borderId="2" pivotButton="0" quotePrefix="0" xfId="0"/>
    <xf numFmtId="164" fontId="7" fillId="9" borderId="2" pivotButton="0" quotePrefix="0" xfId="0"/>
    <xf numFmtId="0" fontId="4" fillId="15" borderId="2" applyAlignment="1" pivotButton="0" quotePrefix="0" xfId="0">
      <alignment horizontal="left" vertical="center"/>
    </xf>
    <xf numFmtId="164" fontId="33" fillId="0" borderId="62" pivotButton="0" quotePrefix="0" xfId="0"/>
    <xf numFmtId="2" fontId="33" fillId="0" borderId="62" pivotButton="0" quotePrefix="0" xfId="0"/>
    <xf numFmtId="0" fontId="51" fillId="0" borderId="0" pivotButton="0" quotePrefix="0" xfId="1"/>
    <xf numFmtId="164" fontId="43" fillId="23" borderId="2" pivotButton="0" quotePrefix="0" xfId="0"/>
    <xf numFmtId="0" fontId="44" fillId="24" borderId="62" pivotButton="0" quotePrefix="0" xfId="0"/>
    <xf numFmtId="164" fontId="44" fillId="24" borderId="62" pivotButton="0" quotePrefix="0" xfId="0"/>
    <xf numFmtId="0" fontId="7" fillId="0" borderId="2" pivotButton="0" quotePrefix="0" xfId="0"/>
    <xf numFmtId="0" fontId="33" fillId="9" borderId="2" pivotButton="0" quotePrefix="0" xfId="0"/>
    <xf numFmtId="0" fontId="6" fillId="23" borderId="2" pivotButton="0" quotePrefix="0" xfId="0"/>
    <xf numFmtId="9" fontId="33" fillId="23" borderId="2" pivotButton="0" quotePrefix="0" xfId="0"/>
    <xf numFmtId="0" fontId="45" fillId="0" borderId="2" pivotButton="0" quotePrefix="0" xfId="0"/>
    <xf numFmtId="164" fontId="46" fillId="23" borderId="2" pivotButton="0" quotePrefix="0" xfId="0"/>
    <xf numFmtId="0" fontId="4" fillId="3" borderId="3" applyAlignment="1" pivotButton="0" quotePrefix="0" xfId="0">
      <alignment horizontal="left" vertical="center"/>
    </xf>
    <xf numFmtId="0" fontId="4" fillId="3" borderId="62" applyAlignment="1" pivotButton="0" quotePrefix="0" xfId="0">
      <alignment horizontal="left" vertical="center"/>
    </xf>
    <xf numFmtId="0" fontId="6" fillId="0" borderId="62" pivotButton="0" quotePrefix="0" xfId="0"/>
    <xf numFmtId="0" fontId="6" fillId="23" borderId="62" pivotButton="0" quotePrefix="0" xfId="0"/>
    <xf numFmtId="9" fontId="33" fillId="23" borderId="62" pivotButton="0" quotePrefix="0" xfId="0"/>
    <xf numFmtId="164" fontId="42" fillId="0" borderId="62" pivotButton="0" quotePrefix="0" xfId="0"/>
    <xf numFmtId="164" fontId="6" fillId="0" borderId="62" pivotButton="0" quotePrefix="0" xfId="0"/>
    <xf numFmtId="0" fontId="45" fillId="0" borderId="62" pivotButton="0" quotePrefix="0" xfId="0"/>
    <xf numFmtId="0" fontId="0" fillId="0" borderId="62" pivotButton="0" quotePrefix="0" xfId="0"/>
    <xf numFmtId="0" fontId="7" fillId="9" borderId="62" pivotButton="0" quotePrefix="0" xfId="0"/>
    <xf numFmtId="164" fontId="7" fillId="9" borderId="62" pivotButton="0" quotePrefix="0" xfId="0"/>
    <xf numFmtId="164" fontId="46" fillId="23" borderId="62" pivotButton="0" quotePrefix="0" xfId="0"/>
    <xf numFmtId="164" fontId="48" fillId="0" borderId="2" pivotButton="0" quotePrefix="0" xfId="0"/>
    <xf numFmtId="164" fontId="43" fillId="23" borderId="62" pivotButton="0" quotePrefix="0" xfId="0"/>
    <xf numFmtId="0" fontId="7" fillId="0" borderId="62" pivotButton="0" quotePrefix="0" xfId="0"/>
    <xf numFmtId="164" fontId="7" fillId="0" borderId="62" pivotButton="0" quotePrefix="0" xfId="0"/>
    <xf numFmtId="0" fontId="4" fillId="3" borderId="65" applyAlignment="1" pivotButton="0" quotePrefix="0" xfId="0">
      <alignment horizontal="left" vertical="center"/>
    </xf>
    <xf numFmtId="0" fontId="6" fillId="0" borderId="66" pivotButton="0" quotePrefix="0" xfId="0"/>
    <xf numFmtId="164" fontId="6" fillId="0" borderId="67" pivotButton="0" quotePrefix="0" xfId="0"/>
    <xf numFmtId="0" fontId="49" fillId="9" borderId="2" pivotButton="0" quotePrefix="0" xfId="0"/>
    <xf numFmtId="0" fontId="0" fillId="0" borderId="68" pivotButton="0" quotePrefix="0" xfId="0"/>
    <xf numFmtId="0" fontId="0" fillId="0" borderId="69" pivotButton="0" quotePrefix="0" xfId="0"/>
    <xf numFmtId="0" fontId="50" fillId="0" borderId="2" pivotButton="0" quotePrefix="0" xfId="0"/>
    <xf numFmtId="164" fontId="50" fillId="0" borderId="2" pivotButton="0" quotePrefix="0" xfId="0"/>
    <xf numFmtId="173" fontId="42" fillId="0" borderId="2" pivotButton="0" quotePrefix="0" xfId="0"/>
    <xf numFmtId="0" fontId="47" fillId="0" borderId="0" pivotButton="0" quotePrefix="0" xfId="0"/>
    <xf numFmtId="0" fontId="0" fillId="25" borderId="0" pivotButton="0" quotePrefix="0" xfId="0"/>
    <xf numFmtId="9" fontId="0" fillId="0" borderId="0" pivotButton="0" quotePrefix="0" xfId="0"/>
    <xf numFmtId="0" fontId="4" fillId="2" borderId="2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7" fillId="6" borderId="4" applyAlignment="1" pivotButton="0" quotePrefix="0" xfId="1">
      <alignment horizontal="left" vertical="center" wrapText="1" indent="1" readingOrder="1"/>
    </xf>
    <xf numFmtId="0" fontId="18" fillId="7" borderId="5" applyAlignment="1" pivotButton="0" quotePrefix="0" xfId="1">
      <alignment horizontal="center" vertical="center" wrapText="1" readingOrder="1"/>
    </xf>
    <xf numFmtId="0" fontId="19" fillId="8" borderId="6" applyAlignment="1" pivotButton="0" quotePrefix="0" xfId="1">
      <alignment horizontal="center" vertical="center" wrapText="1" readingOrder="1"/>
    </xf>
    <xf numFmtId="0" fontId="19" fillId="8" borderId="7" applyAlignment="1" pivotButton="0" quotePrefix="0" xfId="1">
      <alignment horizontal="center" vertical="center" wrapText="1" readingOrder="1"/>
    </xf>
    <xf numFmtId="0" fontId="19" fillId="8" borderId="8" applyAlignment="1" pivotButton="0" quotePrefix="0" xfId="1">
      <alignment horizontal="center" vertical="center" wrapText="1" readingOrder="1"/>
    </xf>
    <xf numFmtId="0" fontId="20" fillId="7" borderId="9" applyAlignment="1" pivotButton="0" quotePrefix="0" xfId="1">
      <alignment horizontal="center" vertical="center" wrapText="1" readingOrder="1"/>
    </xf>
    <xf numFmtId="0" fontId="19" fillId="16" borderId="9" applyAlignment="1" pivotButton="0" quotePrefix="0" xfId="1">
      <alignment horizontal="center" vertical="center" wrapText="1" readingOrder="1"/>
    </xf>
    <xf numFmtId="0" fontId="18" fillId="7" borderId="9" applyAlignment="1" pivotButton="0" quotePrefix="0" xfId="1">
      <alignment horizontal="center" vertical="center" wrapText="1" readingOrder="1"/>
    </xf>
    <xf numFmtId="0" fontId="18" fillId="7" borderId="6" applyAlignment="1" pivotButton="0" quotePrefix="0" xfId="1">
      <alignment horizontal="center" vertical="center" wrapText="1" readingOrder="1"/>
    </xf>
    <xf numFmtId="0" fontId="18" fillId="15" borderId="9" applyAlignment="1" pivotButton="0" quotePrefix="0" xfId="1">
      <alignment horizontal="left" vertical="center" wrapText="1" readingOrder="1"/>
    </xf>
    <xf numFmtId="0" fontId="35" fillId="17" borderId="41" applyAlignment="1" pivotButton="0" quotePrefix="0" xfId="0">
      <alignment horizontal="center" vertical="center" wrapText="1" readingOrder="1"/>
    </xf>
    <xf numFmtId="0" fontId="35" fillId="17" borderId="44" applyAlignment="1" pivotButton="0" quotePrefix="0" xfId="0">
      <alignment horizontal="center" vertical="center" wrapText="1" readingOrder="1"/>
    </xf>
    <xf numFmtId="0" fontId="34" fillId="15" borderId="41" applyAlignment="1" pivotButton="0" quotePrefix="0" xfId="0">
      <alignment horizontal="center" vertical="center" wrapText="1" readingOrder="1"/>
    </xf>
    <xf numFmtId="0" fontId="11" fillId="15" borderId="57" applyAlignment="1" pivotButton="0" quotePrefix="0" xfId="0">
      <alignment horizontal="center" vertical="center" wrapText="1" readingOrder="1"/>
    </xf>
    <xf numFmtId="0" fontId="38" fillId="17" borderId="57" applyAlignment="1" pivotButton="0" quotePrefix="0" xfId="0">
      <alignment horizontal="center" vertical="center" wrapText="1" readingOrder="1"/>
    </xf>
    <xf numFmtId="0" fontId="38" fillId="17" borderId="44" applyAlignment="1" pivotButton="0" quotePrefix="0" xfId="0">
      <alignment horizontal="center" vertical="center" wrapText="1" readingOrder="1"/>
    </xf>
    <xf numFmtId="0" fontId="11" fillId="19" borderId="56" applyAlignment="1" pivotButton="0" quotePrefix="0" xfId="0">
      <alignment horizontal="left" vertical="center" wrapText="1" readingOrder="1"/>
    </xf>
    <xf numFmtId="0" fontId="38" fillId="17" borderId="41" applyAlignment="1" pivotButton="0" quotePrefix="0" xfId="0">
      <alignment horizontal="center" vertical="center" wrapText="1" readingOrder="1"/>
    </xf>
    <xf numFmtId="0" fontId="25" fillId="21" borderId="57" applyAlignment="1" pivotButton="0" quotePrefix="0" xfId="0">
      <alignment horizontal="center" vertical="center" wrapText="1"/>
    </xf>
    <xf numFmtId="0" fontId="39" fillId="21" borderId="44" applyAlignment="1" pivotButton="0" quotePrefix="0" xfId="0">
      <alignment horizontal="left" vertical="center" wrapText="1" readingOrder="1"/>
    </xf>
    <xf numFmtId="0" fontId="39" fillId="21" borderId="52" applyAlignment="1" pivotButton="0" quotePrefix="0" xfId="0">
      <alignment horizontal="left" vertical="center" wrapText="1" readingOrder="1"/>
    </xf>
    <xf numFmtId="0" fontId="4" fillId="15" borderId="2" applyAlignment="1" pivotButton="0" quotePrefix="0" xfId="0">
      <alignment horizontal="left" vertical="center"/>
    </xf>
    <xf numFmtId="0" fontId="33" fillId="22" borderId="62" applyAlignment="1" pivotButton="0" quotePrefix="0" xfId="0">
      <alignment horizontal="center"/>
    </xf>
    <xf numFmtId="0" fontId="4" fillId="15" borderId="63" applyAlignment="1" pivotButton="0" quotePrefix="0" xfId="0">
      <alignment horizontal="left" vertical="center"/>
    </xf>
    <xf numFmtId="0" fontId="4" fillId="15" borderId="1" applyAlignment="1" pivotButton="0" quotePrefix="0" xfId="0">
      <alignment horizontal="left" vertical="center"/>
    </xf>
    <xf numFmtId="0" fontId="33" fillId="22" borderId="64" applyAlignment="1" pivotButton="0" quotePrefix="0" xfId="0">
      <alignment horizontal="center"/>
    </xf>
    <xf numFmtId="0" fontId="4" fillId="15" borderId="62" applyAlignment="1" pivotButton="0" quotePrefix="0" xfId="0">
      <alignment horizontal="left" vertical="center"/>
    </xf>
    <xf numFmtId="0" fontId="47" fillId="22" borderId="64" applyAlignment="1" pivotButton="0" quotePrefix="0" xfId="0">
      <alignment horizontal="left"/>
    </xf>
    <xf numFmtId="0" fontId="33" fillId="22" borderId="64" applyAlignment="1" pivotButton="0" quotePrefix="0" xfId="0">
      <alignment horizontal="left"/>
    </xf>
    <xf numFmtId="0" fontId="4" fillId="15" borderId="2" applyAlignment="1" pivotButton="0" quotePrefix="0" xfId="0">
      <alignment horizontal="center" vertical="center"/>
    </xf>
    <xf numFmtId="0" fontId="33" fillId="22" borderId="62" applyAlignment="1" pivotButton="0" quotePrefix="0" xfId="0">
      <alignment horizontal="left"/>
    </xf>
    <xf numFmtId="0" fontId="4" fillId="15" borderId="62" applyAlignment="1" pivotButton="0" quotePrefix="0" xfId="0">
      <alignment horizontal="left" vertical="top"/>
    </xf>
    <xf numFmtId="0" fontId="52" fillId="22" borderId="64" applyAlignment="1" pivotButton="0" quotePrefix="0" xfId="0">
      <alignment horizontal="center" wrapText="1"/>
    </xf>
    <xf numFmtId="0" fontId="0" fillId="0" borderId="0" pivotButton="0" quotePrefix="0" xfId="0"/>
    <xf numFmtId="0" fontId="6" fillId="23" borderId="0" pivotButton="0" quotePrefix="0" xfId="0"/>
    <xf numFmtId="9" fontId="33" fillId="23" borderId="0" pivotButton="0" quotePrefix="0" xfId="0"/>
    <xf numFmtId="164" fontId="6" fillId="0" borderId="0" pivotButton="0" quotePrefix="0" xfId="0"/>
    <xf numFmtId="0" fontId="55" fillId="0" borderId="2" pivotButton="0" quotePrefix="0" xfId="0"/>
    <xf numFmtId="0" fontId="55" fillId="23" borderId="2" pivotButton="0" quotePrefix="0" xfId="0"/>
    <xf numFmtId="9" fontId="55" fillId="23" borderId="2" pivotButton="0" quotePrefix="0" xfId="0"/>
    <xf numFmtId="0" fontId="55" fillId="0" borderId="62" pivotButton="0" quotePrefix="0" xfId="0"/>
    <xf numFmtId="0" fontId="0" fillId="0" borderId="0" pivotButton="0" quotePrefix="0" xfId="0"/>
    <xf numFmtId="0" fontId="4" fillId="3" borderId="2" applyAlignment="1" pivotButton="0" quotePrefix="0" xfId="0">
      <alignment horizontal="left" vertical="center" wrapText="1"/>
    </xf>
    <xf numFmtId="0" fontId="33" fillId="0" borderId="0" applyAlignment="1" pivotButton="0" quotePrefix="0" xfId="0">
      <alignment wrapText="1"/>
    </xf>
    <xf numFmtId="164" fontId="56" fillId="23" borderId="2" pivotButton="0" quotePrefix="0" xfId="0"/>
    <xf numFmtId="0" fontId="54" fillId="26" borderId="70" applyAlignment="1" pivotButton="0" quotePrefix="0" xfId="0">
      <alignment horizontal="left" vertical="top" wrapText="1"/>
    </xf>
    <xf numFmtId="0" fontId="54" fillId="26" borderId="62" applyAlignment="1" pivotButton="0" quotePrefix="0" xfId="0">
      <alignment horizontal="left" vertical="top" wrapText="1"/>
    </xf>
    <xf numFmtId="0" fontId="1" fillId="27" borderId="62" applyAlignment="1" pivotButton="0" quotePrefix="0" xfId="0">
      <alignment horizontal="left" vertical="top" wrapText="1"/>
    </xf>
    <xf numFmtId="0" fontId="54" fillId="26" borderId="62" applyAlignment="1" pivotButton="0" quotePrefix="0" xfId="3">
      <alignment horizontal="left" vertical="top" wrapText="1"/>
    </xf>
    <xf numFmtId="0" fontId="54" fillId="28" borderId="62" applyAlignment="1" pivotButton="0" quotePrefix="0" xfId="3">
      <alignment horizontal="left" vertical="top" wrapText="1"/>
    </xf>
    <xf numFmtId="0" fontId="54" fillId="28" borderId="62" applyAlignment="1" pivotButton="0" quotePrefix="0" xfId="0">
      <alignment horizontal="left" vertical="top" wrapText="1"/>
    </xf>
    <xf numFmtId="0" fontId="57" fillId="29" borderId="0" pivotButton="0" quotePrefix="0" xfId="0"/>
    <xf numFmtId="0" fontId="1" fillId="0" borderId="0" applyAlignment="1" pivotButton="0" quotePrefix="0" xfId="3">
      <alignment horizontal="left" vertical="top" wrapText="1"/>
    </xf>
    <xf numFmtId="1" fontId="58" fillId="0" borderId="62" applyAlignment="1" pivotButton="0" quotePrefix="0" xfId="0">
      <alignment horizontal="left"/>
    </xf>
    <xf numFmtId="0" fontId="1" fillId="0" borderId="62" pivotButton="0" quotePrefix="0" xfId="3"/>
    <xf numFmtId="0" fontId="58" fillId="0" borderId="62" applyAlignment="1" pivotButton="0" quotePrefix="0" xfId="0">
      <alignment horizontal="left"/>
    </xf>
    <xf numFmtId="0" fontId="1" fillId="0" borderId="0" pivotButton="0" quotePrefix="0" xfId="3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76" pivotButton="0" quotePrefix="0" xfId="0"/>
    <xf numFmtId="0" fontId="1" fillId="30" borderId="62" pivotButton="0" quotePrefix="0" xfId="3"/>
    <xf numFmtId="0" fontId="0" fillId="30" borderId="62" pivotButton="0" quotePrefix="0" xfId="0"/>
    <xf numFmtId="0" fontId="1" fillId="0" borderId="62" applyAlignment="1" pivotButton="0" quotePrefix="0" xfId="3">
      <alignment vertical="top" wrapText="1"/>
    </xf>
    <xf numFmtId="0" fontId="0" fillId="27" borderId="62" pivotButton="0" quotePrefix="0" xfId="0"/>
    <xf numFmtId="0" fontId="0" fillId="0" borderId="77" pivotButton="0" quotePrefix="0" xfId="0"/>
    <xf numFmtId="0" fontId="0" fillId="0" borderId="78" pivotButton="0" quotePrefix="0" xfId="0"/>
    <xf numFmtId="0" fontId="0" fillId="0" borderId="79" pivotButton="0" quotePrefix="0" xfId="0"/>
    <xf numFmtId="0" fontId="0" fillId="31" borderId="62" pivotButton="0" quotePrefix="0" xfId="0"/>
    <xf numFmtId="0" fontId="59" fillId="31" borderId="62" pivotButton="0" quotePrefix="0" xfId="0"/>
    <xf numFmtId="0" fontId="58" fillId="30" borderId="62" applyAlignment="1" pivotButton="0" quotePrefix="0" xfId="0">
      <alignment horizontal="left"/>
    </xf>
    <xf numFmtId="0" fontId="60" fillId="30" borderId="62" pivotButton="0" quotePrefix="0" xfId="0"/>
    <xf numFmtId="0" fontId="1" fillId="31" borderId="62" pivotButton="0" quotePrefix="0" xfId="3"/>
    <xf numFmtId="0" fontId="53" fillId="0" borderId="0" pivotButton="0" quotePrefix="0" xfId="3"/>
    <xf numFmtId="0" fontId="61" fillId="0" borderId="0" pivotButton="0" quotePrefix="0" xfId="3"/>
    <xf numFmtId="1" fontId="58" fillId="31" borderId="62" applyAlignment="1" pivotButton="0" quotePrefix="0" xfId="0">
      <alignment horizontal="left"/>
    </xf>
    <xf numFmtId="0" fontId="58" fillId="31" borderId="62" applyAlignment="1" pivotButton="0" quotePrefix="0" xfId="0">
      <alignment horizontal="left"/>
    </xf>
    <xf numFmtId="0" fontId="1" fillId="31" borderId="0" pivotButton="0" quotePrefix="0" xfId="3"/>
    <xf numFmtId="0" fontId="1" fillId="0" borderId="62" applyAlignment="1" pivotButton="0" quotePrefix="0" xfId="3">
      <alignment horizontal="left" vertical="top" wrapText="1"/>
    </xf>
    <xf numFmtId="0" fontId="1" fillId="32" borderId="0" pivotButton="0" quotePrefix="0" xfId="3"/>
    <xf numFmtId="0" fontId="59" fillId="0" borderId="62" pivotButton="0" quotePrefix="0" xfId="3"/>
    <xf numFmtId="0" fontId="59" fillId="0" borderId="62" applyAlignment="1" pivotButton="0" quotePrefix="0" xfId="3">
      <alignment vertical="top" wrapText="1"/>
    </xf>
    <xf numFmtId="1" fontId="62" fillId="0" borderId="62" applyAlignment="1" pivotButton="0" quotePrefix="0" xfId="0">
      <alignment horizontal="left"/>
    </xf>
    <xf numFmtId="0" fontId="62" fillId="0" borderId="62" pivotButton="0" quotePrefix="0" xfId="0"/>
    <xf numFmtId="0" fontId="61" fillId="0" borderId="62" pivotButton="0" quotePrefix="0" xfId="3"/>
    <xf numFmtId="0" fontId="61" fillId="0" borderId="62" applyAlignment="1" pivotButton="0" quotePrefix="0" xfId="3">
      <alignment vertical="top" wrapText="1"/>
    </xf>
    <xf numFmtId="0" fontId="62" fillId="0" borderId="62" applyAlignment="1" pivotButton="0" quotePrefix="0" xfId="0">
      <alignment horizontal="left"/>
    </xf>
    <xf numFmtId="0" fontId="1" fillId="0" borderId="0" applyAlignment="1" pivotButton="0" quotePrefix="0" xfId="3">
      <alignment vertical="top" wrapText="1"/>
    </xf>
    <xf numFmtId="0" fontId="0" fillId="31" borderId="0" pivotButton="0" quotePrefix="0" xfId="0"/>
    <xf numFmtId="0" fontId="1" fillId="0" borderId="62" pivotButton="0" quotePrefix="0" xfId="0"/>
    <xf numFmtId="1" fontId="58" fillId="27" borderId="62" applyAlignment="1" pivotButton="0" quotePrefix="0" xfId="0">
      <alignment horizontal="left"/>
    </xf>
    <xf numFmtId="0" fontId="0" fillId="27" borderId="0" pivotButton="0" quotePrefix="0" xfId="0"/>
    <xf numFmtId="0" fontId="1" fillId="27" borderId="62" pivotButton="0" quotePrefix="0" xfId="3"/>
    <xf numFmtId="0" fontId="58" fillId="27" borderId="62" applyAlignment="1" pivotButton="0" quotePrefix="0" xfId="0">
      <alignment horizontal="left"/>
    </xf>
    <xf numFmtId="0" fontId="1" fillId="27" borderId="0" pivotButton="0" quotePrefix="0" xfId="3"/>
    <xf numFmtId="0" fontId="53" fillId="0" borderId="62" pivotButton="0" quotePrefix="0" xfId="3"/>
    <xf numFmtId="0" fontId="1" fillId="32" borderId="62" pivotButton="0" quotePrefix="0" xfId="3"/>
    <xf numFmtId="0" fontId="0" fillId="0" borderId="62" applyAlignment="1" pivotButton="0" quotePrefix="0" xfId="0">
      <alignment horizontal="left"/>
    </xf>
    <xf numFmtId="0" fontId="1" fillId="0" borderId="0" applyAlignment="1" pivotButton="0" quotePrefix="0" xfId="3">
      <alignment horizontal="center"/>
    </xf>
    <xf numFmtId="164" fontId="63" fillId="33" borderId="2" pivotButton="0" quotePrefix="0" xfId="0"/>
    <xf numFmtId="0" fontId="0" fillId="0" borderId="85" pivotButton="0" quotePrefix="0" xfId="0"/>
    <xf numFmtId="0" fontId="0" fillId="0" borderId="88" pivotButton="0" quotePrefix="0" xfId="0"/>
    <xf numFmtId="0" fontId="0" fillId="0" borderId="86" pivotButton="0" quotePrefix="0" xfId="0"/>
    <xf numFmtId="0" fontId="0" fillId="0" borderId="39" pivotButton="0" quotePrefix="0" xfId="0"/>
    <xf numFmtId="0" fontId="0" fillId="0" borderId="82" pivotButton="0" quotePrefix="0" xfId="0"/>
    <xf numFmtId="0" fontId="0" fillId="0" borderId="106" pivotButton="0" quotePrefix="0" xfId="0"/>
    <xf numFmtId="0" fontId="0" fillId="0" borderId="99" pivotButton="0" quotePrefix="0" xfId="0"/>
    <xf numFmtId="0" fontId="0" fillId="0" borderId="17" pivotButton="0" quotePrefix="0" xfId="0"/>
    <xf numFmtId="0" fontId="0" fillId="0" borderId="45" pivotButton="0" quotePrefix="0" xfId="0"/>
    <xf numFmtId="0" fontId="0" fillId="0" borderId="89" pivotButton="0" quotePrefix="0" xfId="0"/>
    <xf numFmtId="0" fontId="0" fillId="0" borderId="95" pivotButton="0" quotePrefix="0" xfId="0"/>
    <xf numFmtId="0" fontId="0" fillId="0" borderId="91" pivotButton="0" quotePrefix="0" xfId="0"/>
    <xf numFmtId="0" fontId="0" fillId="0" borderId="104" pivotButton="0" quotePrefix="0" xfId="0"/>
    <xf numFmtId="0" fontId="0" fillId="0" borderId="97" pivotButton="0" quotePrefix="0" xfId="0"/>
    <xf numFmtId="0" fontId="0" fillId="0" borderId="102" pivotButton="0" quotePrefix="0" xfId="0"/>
    <xf numFmtId="0" fontId="0" fillId="0" borderId="98" pivotButton="0" quotePrefix="0" xfId="0"/>
    <xf numFmtId="0" fontId="0" fillId="0" borderId="60" pivotButton="0" quotePrefix="0" xfId="0"/>
    <xf numFmtId="0" fontId="0" fillId="0" borderId="94" pivotButton="0" quotePrefix="0" xfId="0"/>
    <xf numFmtId="0" fontId="0" fillId="0" borderId="96" pivotButton="0" quotePrefix="0" xfId="0"/>
    <xf numFmtId="0" fontId="0" fillId="0" borderId="92" pivotButton="0" quotePrefix="0" xfId="0"/>
    <xf numFmtId="0" fontId="0" fillId="0" borderId="101" pivotButton="0" quotePrefix="0" xfId="0"/>
    <xf numFmtId="0" fontId="0" fillId="0" borderId="107" pivotButton="0" quotePrefix="0" xfId="0"/>
    <xf numFmtId="0" fontId="0" fillId="0" borderId="108" pivotButton="0" quotePrefix="0" xfId="0"/>
    <xf numFmtId="0" fontId="0" fillId="0" borderId="109" pivotButton="0" quotePrefix="0" xfId="0"/>
    <xf numFmtId="0" fontId="0" fillId="0" borderId="110" pivotButton="0" quotePrefix="0" xfId="0"/>
    <xf numFmtId="164" fontId="63" fillId="33" borderId="62" pivotButton="0" quotePrefix="0" xfId="0"/>
    <xf numFmtId="0" fontId="6" fillId="33" borderId="62" pivotButton="0" quotePrefix="0" xfId="0"/>
    <xf numFmtId="9" fontId="63" fillId="33" borderId="62" pivotButton="0" quotePrefix="0" xfId="0"/>
    <xf numFmtId="164" fontId="64" fillId="0" borderId="62" pivotButton="0" quotePrefix="0" xfId="0"/>
    <xf numFmtId="0" fontId="63" fillId="33" borderId="0" pivotButton="0" quotePrefix="0" xfId="0"/>
    <xf numFmtId="0" fontId="6" fillId="34" borderId="2" pivotButton="0" quotePrefix="0" xfId="0"/>
  </cellXfs>
  <cellStyles count="4">
    <cellStyle name="Normal" xfId="0" builtinId="0"/>
    <cellStyle name="Normal 2" xfId="1"/>
    <cellStyle name="Percent 2" xfId="2"/>
    <cellStyle name="Normal 3" xfId="3"/>
  </cellStyles>
  <dxfs count="50"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9C0006"/>
        <sz val="10"/>
      </font>
      <fill>
        <patternFill>
          <bgColor rgb="FFFBE4D5"/>
        </patternFill>
      </fill>
    </dxf>
    <dxf>
      <font>
        <name val="Calibri"/>
        <charset val="1"/>
        <b val="1"/>
        <color rgb="FF006100"/>
        <sz val="10"/>
      </font>
      <fill>
        <patternFill>
          <bgColor rgb="FFE2EFDA"/>
        </patternFill>
      </fill>
    </dxf>
    <dxf>
      <font>
        <b val="1"/>
        <color rgb="FF006100"/>
      </font>
      <fill>
        <patternFill patternType="solid">
          <fgColor rgb="FFE2EFDA"/>
        </patternFill>
      </fill>
    </dxf>
    <dxf>
      <font>
        <b val="1"/>
        <color rgb="FF9C0006"/>
      </font>
      <fill>
        <patternFill patternType="solid">
          <fgColor rgb="FFFBE4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E3D6"/>
      <rgbColor rgb="FFFF00FF"/>
      <rgbColor rgb="FF00FFFF"/>
      <rgbColor rgb="FF9C0006"/>
      <rgbColor rgb="FF008000"/>
      <rgbColor rgb="FF000099"/>
      <rgbColor rgb="FF808000"/>
      <rgbColor rgb="FF800080"/>
      <rgbColor rgb="FF008080"/>
      <rgbColor rgb="FFBFBFBF"/>
      <rgbColor rgb="FF808080"/>
      <rgbColor rgb="FFE7EAED"/>
      <rgbColor rgb="FF993366"/>
      <rgbColor rgb="FFFFF2CC"/>
      <rgbColor rgb="FFDCEAF7"/>
      <rgbColor rgb="FF660066"/>
      <rgbColor rgb="FFFF8080"/>
      <rgbColor rgb="FF1F4E79"/>
      <rgbColor rgb="FFB8D0ED"/>
      <rgbColor rgb="FF18249C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E2EFDA"/>
      <rgbColor rgb="FFFBE4D5"/>
      <rgbColor rgb="FFD9D9D9"/>
      <rgbColor rgb="FFFAC090"/>
      <rgbColor rgb="FFDDD9C3"/>
      <rgbColor rgb="FFF8CBAD"/>
      <rgbColor rgb="FF3366FF"/>
      <rgbColor rgb="FF33CCCC"/>
      <rgbColor rgb="FF92D050"/>
      <rgbColor rgb="FFFFC000"/>
      <rgbColor rgb="FFFF9900"/>
      <rgbColor rgb="FFFF6600"/>
      <rgbColor rgb="FF595959"/>
      <rgbColor rgb="FFAEAEAE"/>
      <rgbColor rgb="FF002F6C"/>
      <rgbColor rgb="FF339966"/>
      <rgbColor rgb="FF151515"/>
      <rgbColor rgb="FF006100"/>
      <rgbColor rgb="FF993300"/>
      <rgbColor rgb="FF993366"/>
      <rgbColor rgb="FF1D2E99"/>
      <rgbColor rgb="FF1F497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pivotCacheDefinition" Target="/xl/pivotCache/pivotCacheDefinition1.xml" Id="rId23" /><Relationship Type="http://schemas.openxmlformats.org/officeDocument/2006/relationships/pivotCacheDefinition" Target="/xl/pivotCache/pivotCacheDefinition2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QA</author>
  </authors>
  <commentList>
    <comment ref="C23" authorId="0" shapeId="0">
      <text>
        <t>COE - Cyber (1.5 AU / 0.5 NZ) rolled into the TDD Cyber bucket: now 2.5 AU / 1.0 NZ = 3.5 total. You said 'the four million' - current numbers give 3.5; adjust here if 4.0 is right.</t>
      </text>
    </comment>
  </commentList>
</comments>
</file>

<file path=xl/comments/comment2.xml><?xml version="1.0" encoding="utf-8"?>
<comments xmlns="http://schemas.openxmlformats.org/spreadsheetml/2006/main">
  <authors>
    <author>QA</author>
  </authors>
  <commentList>
    <comment ref="I15" authorId="0" shapeId="0">
      <text>
        <t>Strategic Programs split: AmPOS stays on Significant Items; EGI Retail moves to the Significant Items EGI line below.</t>
      </text>
    </comment>
    <comment ref="I16" authorId="0" shapeId="0">
      <text>
        <t>EGI Retail strategic-programme cost (row 64).</t>
      </text>
    </comment>
    <comment ref="B32" authorId="0" shapeId="0">
      <text>
        <t>Op-model choice: Merchandising / Supply Chain (C/I M, 9 roles, $1.4m) + Pricing &amp; WFM (C/I S, 6 roles, $0.4m) combined into one Above Store squad (C/I L, 14 roles, $2.1m). Archetype impact: roles 15 to 14 (-1; op-model note says -4 vs current staffing), squad cost $1.8m to $2.1m (+0.3), platform overheads 2x$0.165 to 1x$0.165 (-0.165) - net +$0.135m. Org data already shows an Above Store platform with 7 filled + 9 vacant = 16 seats.</t>
      </text>
    </comment>
  </commentList>
</comments>
</file>

<file path=xl/comments/comment3.xml><?xml version="1.0" encoding="utf-8"?>
<comments xmlns="http://schemas.openxmlformats.org/spreadsheetml/2006/main">
  <authors>
    <author>QA</author>
  </authors>
  <commentList>
    <comment ref="I15" authorId="0" shapeId="0">
      <text>
        <t>EGI Customer strategic-programme cost (row 52) - split out from plain Significant Items per the EGI line-item rule.</t>
      </text>
    </comment>
    <comment ref="F46" authorId="0" shapeId="0">
      <text>
        <t>Fix: this new squad had no Support % or cost formulas and was excluded from every total. Defaulted 20% - adjust.</t>
      </text>
    </comment>
  </commentList>
</comments>
</file>

<file path=xl/comments/comment4.xml><?xml version="1.0" encoding="utf-8"?>
<comments xmlns="http://schemas.openxmlformats.org/spreadsheetml/2006/main">
  <authors>
    <author>QA</author>
  </authors>
  <commentList>
    <comment ref="C8" authorId="0" shapeId="0">
      <text>
        <t>Fix: your new 'Operations' squad (row 25) was missing from the portfolio sums and its Funded-outside formula was gone.</t>
      </text>
    </comment>
  </commentList>
</comments>
</file>

<file path=xl/comments/comment5.xml><?xml version="1.0" encoding="utf-8"?>
<comments xmlns="http://schemas.openxmlformats.org/spreadsheetml/2006/main">
  <authors>
    <author>QA</author>
  </authors>
  <commentList>
    <comment ref="I16" authorId="0" shapeId="0">
      <text>
        <t>EGI strategic-programme cost (row 31).</t>
      </text>
    </comment>
  </commentList>
</comments>
</file>

<file path=xl/comments/comment6.xml><?xml version="1.0" encoding="utf-8"?>
<comments xmlns="http://schemas.openxmlformats.org/spreadsheetml/2006/main">
  <authors>
    <author>QA</author>
  </authors>
  <commentList>
    <comment ref="I16" authorId="0" shapeId="0">
      <text>
        <t>EGI strategic-programme cost (row 31).</t>
      </text>
    </comment>
  </commentList>
</comments>
</file>

<file path=xl/comments/comment7.xml><?xml version="1.0" encoding="utf-8"?>
<comments xmlns="http://schemas.openxmlformats.org/spreadsheetml/2006/main">
  <authors>
    <author>QA</author>
  </authors>
  <commentList>
    <comment ref="I14" authorId="0" shapeId="0">
      <text>
        <t>Left to fund = other cost less TDD Corporate pool funding less Cyber CapEx applied.</t>
      </text>
    </comment>
    <comment ref="H16" authorId="0" shapeId="0">
      <text>
        <t>Cyber CapEx (Monitoring) budget - number still to come; hard-code here.</t>
      </text>
    </comment>
    <comment ref="G24" authorId="0" shapeId="0">
      <text>
        <t>Hard-coded: the rolled-in COE Cyber allocation (2.0) as a starting point - overwrite with the real COE people cost. 100% TDD funded; lower Support % to model recharges to the business.</t>
      </text>
    </comment>
    <comment ref="F25" authorId="0" shapeId="0">
      <text>
        <t>Both squads default to 100% TDD funded ('some is going to be recharged back... I don't think a lot will be') - lower to model recharges. Your 0.1/'Hardcoded' placeholders were superseded by this build.</t>
      </text>
    </comment>
  </commentList>
</comments>
</file>

<file path=xl/comments/comment8.xml><?xml version="1.0" encoding="utf-8"?>
<comments xmlns="http://schemas.openxmlformats.org/spreadsheetml/2006/main">
  <authors>
    <author>QA</author>
  </authors>
  <commentList>
    <comment ref="C18" authorId="0" shapeId="0">
      <text>
        <t>Fix: these COE budget refs were scrambled (pointed at wrong Data Config rows/columns - e.g. a variance cell). Now each row pulls its own allocation; Cyber shows 0 because it rolled into 1.11.</t>
      </text>
    </comment>
  </commentList>
</comments>
</file>

<file path=xl/comments/comment9.xml><?xml version="1.0" encoding="utf-8"?>
<comments xmlns="http://schemas.openxmlformats.org/spreadsheetml/2006/main">
  <authors>
    <author>QA</author>
  </authors>
  <commentList>
    <comment ref="D8" authorId="0" shapeId="0">
      <text>
        <t>Hard-code: how much we plan to spend in this COE. Funded = what has been sourced (allocation / envelopes); Left to fund = planned less funded; Total cost = planned spend.</t>
      </text>
    </comment>
  </commentList>
</comments>
</file>

<file path=xl/comments/comment10.xml><?xml version="1.0" encoding="utf-8"?>
<comments xmlns="http://schemas.openxmlformats.org/spreadsheetml/2006/main">
  <authors>
    <author>QA</author>
  </authors>
  <commentList>
    <comment ref="G77" authorId="0" shapeId="0">
      <text>
        <t>Hard-code the planned FTE for each COE.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ackie Birch" refreshedDate="46223.41999768519" createdVersion="8" refreshedVersion="8" minRefreshableVersion="3" recordCount="539" r:id="rId1">
  <cacheSource type="worksheet">
    <worksheetSource ref="A1:B1048576" sheet="REVIEW - Complete Role Mapping"/>
  </cacheSource>
  <cacheFields count="2">
    <cacheField name="EE Number" uniqueList="1" numFmtId="0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ackie Birch" refreshedDate="46223.42097592592" createdVersion="8" refreshedVersion="8" minRefreshableVersion="3" recordCount="537" r:id="rId1">
  <cacheSource type="worksheet">
    <worksheetSource ref="A1:M538" sheet="REVIEW - Complete Role Mapping"/>
  </cacheSource>
  <cacheFields count="13">
    <cacheField name="EE Number" uniqueList="1" numFmtId="1" sqlType="0" hierarchy="0" level="0" databaseField="1">
      <sharedItems count="0" containsBlank="1" containsInteger="1" containsMixedTypes="1" containsNumber="1" minValue="0" maxValue="9999970029518"/>
    </cacheField>
    <cacheField name="Name" uniqueList="1" numFmtId="0" sqlType="0" hierarchy="0" level="0" databaseField="1">
      <sharedItems count="0" containsBlank="1"/>
    </cacheField>
    <cacheField name="Position Title" uniqueList="1" numFmtId="0" sqlType="0" hierarchy="0" level="0" databaseField="1">
      <sharedItems count="0" containsBlank="1"/>
    </cacheField>
    <cacheField name="Reports to name" uniqueList="1" numFmtId="0" sqlType="0" hierarchy="0" level="0" databaseField="1">
      <sharedItems count="0" containsBlank="1"/>
    </cacheField>
    <cacheField name="Reports to Position" uniqueList="1" numFmtId="0" sqlType="0" hierarchy="0" level="0" databaseField="1">
      <sharedItems count="0" containsBlank="1"/>
    </cacheField>
    <cacheField name="Division (GM)" uniqueList="1" numFmtId="0" sqlType="0" hierarchy="0" level="0" databaseField="1">
      <sharedItems count="0" containsBlank="1"/>
    </cacheField>
    <cacheField name="Department (GM-1)" uniqueList="1" numFmtId="0" sqlType="0" hierarchy="0" level="0" databaseField="1">
      <sharedItems count="0" containsBlank="1"/>
    </cacheField>
    <cacheField name="Team (GM-2)" uniqueList="1" numFmtId="0" sqlType="0" hierarchy="0" level="0" databaseField="1">
      <sharedItems count="0" containsBlank="1"/>
    </cacheField>
    <cacheField name="Portfolio" uniqueList="1" numFmtId="0" sqlType="0" hierarchy="0" level="0" databaseField="1">
      <sharedItems count="0" containsBlank="1"/>
    </cacheField>
    <cacheField name="Platform" uniqueList="1" numFmtId="0" sqlType="0" hierarchy="0" level="0" databaseField="1">
      <sharedItems count="0" containsBlank="1"/>
    </cacheField>
    <cacheField name="Squad" uniqueList="1" numFmtId="0" sqlType="0" hierarchy="0" level="0" databaseField="1">
      <sharedItems count="0" containsBlank="1"/>
    </cacheField>
    <cacheField name="CC" uniqueList="1" numFmtId="0" sqlType="0" hierarchy="0" level="0" databaseField="1">
      <sharedItems count="0" containsBlank="1" containsNonDate="0" containsString="0"/>
    </cacheField>
    <cacheField name="Country" uniqueList="1" numFmtId="0" sqlType="0" hierarchy="0" level="0" databaseField="1">
      <sharedItems count="0" containsBlank="1" containsInteger="1" containsMixedTypes="1" containsNumber="1" minValue="0" maxValue="0"/>
    </cacheField>
  </cacheFields>
</pivotCacheDefinition>
</file>

<file path=xl/pivotCache/pivotCacheRecords1.xml><?xml version="1.0" encoding="utf-8"?>
<pivotCacheRecords xmlns="http://schemas.openxmlformats.org/spreadsheetml/2006/main" count="539">
  <r>
    <n v="99999100977"/>
    <s v="Warren Grieve"/>
  </r>
  <r>
    <n v="99999100975"/>
    <s v="Chris Mitchell"/>
  </r>
  <r>
    <n v="99999102141"/>
    <s v="Christian Guo"/>
  </r>
  <r>
    <n v="99999100432"/>
    <s v="Vanessa King"/>
  </r>
  <r>
    <n v="99999101553"/>
    <s v="Bradley Cunningham"/>
  </r>
  <r>
    <n v="99999101650"/>
    <s v="Sakshi Sachdeva"/>
  </r>
  <r>
    <n v="99999101643"/>
    <s v="Alex Sutherland"/>
  </r>
  <r>
    <n v="109974"/>
    <s v="Gerald Aguas"/>
  </r>
  <r>
    <n v="85136"/>
    <s v="Tuan Edwards"/>
  </r>
  <r>
    <n v="8445"/>
    <s v="Geoff Goddard"/>
  </r>
  <r>
    <n v="90097"/>
    <s v="Patrick Ericson Nario"/>
  </r>
  <r>
    <n v="4534"/>
    <s v="Andrew Whitford"/>
  </r>
  <r>
    <n v="95017"/>
    <s v="Sjoerd Van Sluijs"/>
  </r>
  <r>
    <n v="86604"/>
    <s v="Vanessa Allen"/>
  </r>
  <r>
    <n v="98379"/>
    <s v="Vaishnavi Viswanathan"/>
  </r>
  <r>
    <n v="95285"/>
    <s v="Tracy Lee Reaper"/>
  </r>
  <r>
    <n v="111451"/>
    <s v="Aniket Banerji"/>
  </r>
  <r>
    <n v="95128"/>
    <s v="Deepak Kubendran"/>
  </r>
  <r>
    <n v="11424"/>
    <s v="Sao Keawprasit"/>
  </r>
  <r>
    <n v="114829"/>
    <s v="Zuan Zheng"/>
  </r>
  <r>
    <m/>
    <s v="Vacant"/>
  </r>
  <r>
    <n v="108357"/>
    <s v="Pahul Oberoi"/>
  </r>
  <r>
    <m/>
    <s v="Vacant"/>
  </r>
  <r>
    <m/>
    <s v="Vacant"/>
  </r>
  <r>
    <n v="7001"/>
    <s v="Joseph Maroun"/>
  </r>
  <r>
    <n v="117167"/>
    <s v="Vijay Patel"/>
  </r>
  <r>
    <m/>
    <s v="Vacant"/>
  </r>
  <r>
    <n v="84413"/>
    <s v="Karthick Sathiyamoorthy"/>
  </r>
  <r>
    <n v="99999102104"/>
    <s v="Isuru Herath"/>
  </r>
  <r>
    <n v="99999101222"/>
    <s v="Malachi Ah Hoi"/>
  </r>
  <r>
    <m/>
    <s v="Vacant"/>
  </r>
  <r>
    <m/>
    <s v="Vacant"/>
  </r>
  <r>
    <m/>
    <s v="Vacant"/>
  </r>
  <r>
    <m/>
    <s v="Emma Natoli"/>
  </r>
  <r>
    <n v="98007"/>
    <s v="Sendhil Vinayagam (75% EGI)"/>
  </r>
  <r>
    <m/>
    <s v="Vacant"/>
  </r>
  <r>
    <n v="99999101426"/>
    <s v="Trevor Weaver"/>
  </r>
  <r>
    <n v="9999970029518"/>
    <s v="Anne Pretorius"/>
  </r>
  <r>
    <n v="4259"/>
    <s v="Ephraim Adan"/>
  </r>
  <r>
    <n v="111835"/>
    <s v="Matthew Patane"/>
  </r>
  <r>
    <n v="99999101647"/>
    <s v="Ash Muthumala"/>
  </r>
  <r>
    <n v="91356"/>
    <s v="Javier Aguirre Castellanos"/>
  </r>
  <r>
    <m/>
    <s v="Vacant"/>
  </r>
  <r>
    <n v="99999101214"/>
    <s v="Anna Koot"/>
  </r>
  <r>
    <m/>
    <s v="Manjot Kaur Malli "/>
  </r>
  <r>
    <n v="114990"/>
    <s v="Zhan Zhang"/>
  </r>
  <r>
    <n v="99999101233"/>
    <s v="Chris Wilson"/>
  </r>
  <r>
    <n v="99999102028"/>
    <s v="Lauren Lancaster"/>
  </r>
  <r>
    <n v="110388"/>
    <s v="Adrian Lueng"/>
  </r>
  <r>
    <n v="86743"/>
    <s v="Majdi Abedi"/>
  </r>
  <r>
    <n v="94420"/>
    <s v="Peter Nicolopoulos"/>
  </r>
  <r>
    <m/>
    <s v="Vacant"/>
  </r>
  <r>
    <n v="99999101542"/>
    <s v="Joe Kuttikkatt"/>
  </r>
  <r>
    <m/>
    <s v="Vacant"/>
  </r>
  <r>
    <n v="113783"/>
    <s v="Tabitha Raharadjo"/>
  </r>
  <r>
    <n v="99999100418"/>
    <s v="Callan McLaughlin"/>
  </r>
  <r>
    <m/>
    <s v="Vacant"/>
  </r>
  <r>
    <n v="99999101620"/>
    <s v="Johanah Gloria"/>
  </r>
  <r>
    <m/>
    <s v="Vacant"/>
  </r>
  <r>
    <m/>
    <s v="Vacant"/>
  </r>
  <r>
    <m/>
    <s v="Vacant"/>
  </r>
  <r>
    <m/>
    <s v="Vacant"/>
  </r>
  <r>
    <m/>
    <s v="Vacant"/>
  </r>
  <r>
    <n v="99999101668"/>
    <s v="McKenzie Tournquist"/>
  </r>
  <r>
    <m/>
    <s v="Vacant"/>
  </r>
  <r>
    <n v="99999102123"/>
    <s v="Jodie Marquez"/>
  </r>
  <r>
    <n v="9999922690"/>
    <s v="Tim Gurnsey"/>
  </r>
  <r>
    <n v="97847"/>
    <s v="Beenu Murali"/>
  </r>
  <r>
    <m/>
    <s v="Vacant"/>
  </r>
  <r>
    <n v="8904"/>
    <s v="Vedran Jukic"/>
  </r>
  <r>
    <n v="0"/>
    <s v="Kanti Hirani"/>
  </r>
  <r>
    <n v="99999102110"/>
    <s v="Eugene Yeo"/>
  </r>
  <r>
    <n v="99999101959"/>
    <s v="Brian Lai"/>
  </r>
  <r>
    <n v="99999100476"/>
    <s v="Kelly Russell"/>
  </r>
  <r>
    <m/>
    <s v="Vacant"/>
  </r>
  <r>
    <n v="99999101333"/>
    <s v="Benjamin Sheffield"/>
  </r>
  <r>
    <n v="99999170431"/>
    <s v="Mark Dickson"/>
  </r>
  <r>
    <n v="99999101533"/>
    <s v="Adrian Alcance"/>
  </r>
  <r>
    <n v="99999101548"/>
    <s v="Allana Arbuckle"/>
  </r>
  <r>
    <m/>
    <s v="Vacant"/>
  </r>
  <r>
    <n v="99999102111"/>
    <s v="Gayan Liyana Arachchige"/>
  </r>
  <r>
    <m/>
    <s v="Vacant"/>
  </r>
  <r>
    <m/>
    <s v="Vacant"/>
  </r>
  <r>
    <n v="99999100699"/>
    <s v="Helen Jones"/>
  </r>
  <r>
    <n v="104050"/>
    <s v="Violeta Trajkovski"/>
  </r>
  <r>
    <n v="99999101623"/>
    <s v="Michael Dasan"/>
  </r>
  <r>
    <m/>
    <s v="Vacant"/>
  </r>
  <r>
    <m/>
    <s v="Vacant"/>
  </r>
  <r>
    <m/>
    <s v="Vacant"/>
  </r>
  <r>
    <n v="0"/>
    <s v="Viren Khatri"/>
  </r>
  <r>
    <n v="85137"/>
    <s v="Mick Standen"/>
  </r>
  <r>
    <m/>
    <s v="Vacant"/>
  </r>
  <r>
    <n v="85321"/>
    <s v="Karthikeyan Kuppan"/>
  </r>
  <r>
    <n v="114003"/>
    <s v="Sayan Kar"/>
  </r>
  <r>
    <n v="99999101804"/>
    <s v="Kate Johnstone"/>
  </r>
  <r>
    <n v="110852"/>
    <s v="Madan Murthy"/>
  </r>
  <r>
    <m/>
    <s v="Vacant"/>
  </r>
  <r>
    <n v="0"/>
    <s v="Alex Prakhiy"/>
  </r>
  <r>
    <n v="0"/>
    <s v="Bhaskar Nandi"/>
  </r>
  <r>
    <m/>
    <s v="Vacant"/>
  </r>
  <r>
    <n v="110704"/>
    <s v="Irfan Zavahir"/>
  </r>
  <r>
    <m/>
    <s v="Vacant"/>
  </r>
  <r>
    <m/>
    <s v="Vacant"/>
  </r>
  <r>
    <n v="97784"/>
    <s v="Balaji Murugan"/>
  </r>
  <r>
    <m/>
    <s v="Vacant"/>
  </r>
  <r>
    <m/>
    <s v="Vacant"/>
  </r>
  <r>
    <n v="115831"/>
    <s v="Venkat Kedharanathan"/>
  </r>
  <r>
    <n v="98158"/>
    <s v="Vanessa Trujillo Munoz"/>
  </r>
  <r>
    <n v="114616"/>
    <s v="Marty O'Shea"/>
  </r>
  <r>
    <n v="110197"/>
    <s v="Anthony Dumbrell"/>
  </r>
  <r>
    <n v="107164"/>
    <s v="Santiago Hernandez Arevalo"/>
  </r>
  <r>
    <n v="95286"/>
    <s v="Navneet Singh"/>
  </r>
  <r>
    <m/>
    <s v="Vacant"/>
  </r>
  <r>
    <m/>
    <s v="Vacant"/>
  </r>
  <r>
    <n v="99999102079"/>
    <s v="Sam Turnball"/>
  </r>
  <r>
    <n v="99999101676"/>
    <s v="Ants Jackson"/>
  </r>
  <r>
    <n v="98015"/>
    <s v="Ethan Laffan"/>
  </r>
  <r>
    <n v="113463"/>
    <s v="Alisha Allport"/>
  </r>
  <r>
    <n v="99999101757"/>
    <s v="Tim Corin"/>
  </r>
  <r>
    <n v="116714"/>
    <s v="Maria Salman"/>
  </r>
  <r>
    <n v="0"/>
    <s v="Adam Anticaglia"/>
  </r>
  <r>
    <m/>
    <s v="Vacant"/>
  </r>
  <r>
    <n v="99999101543"/>
    <s v="Shona Paul"/>
  </r>
  <r>
    <m/>
    <s v="Vacant"/>
  </r>
  <r>
    <n v="98144"/>
    <s v="Angie Ng"/>
  </r>
  <r>
    <n v="99999101672"/>
    <s v="Kaye Javier"/>
  </r>
  <r>
    <n v="99999101500"/>
    <s v="Bharat Talreja"/>
  </r>
  <r>
    <m/>
    <s v="Vacant"/>
  </r>
  <r>
    <n v="99999101633"/>
    <s v="Kishore Ganesan"/>
  </r>
  <r>
    <n v="99999101656"/>
    <s v="Carianne Monast"/>
  </r>
  <r>
    <n v="97357"/>
    <s v="Daniel Arban"/>
  </r>
  <r>
    <n v="106200"/>
    <s v="Emile Violi"/>
  </r>
  <r>
    <n v="116957"/>
    <s v="Raj Ganesan"/>
  </r>
  <r>
    <m/>
    <s v="Shreema Das"/>
  </r>
  <r>
    <n v="0"/>
    <s v="Jordan Askwith"/>
  </r>
  <r>
    <n v="107781"/>
    <s v="Ramez Haider"/>
  </r>
  <r>
    <n v="0"/>
    <s v="Annabel Phu"/>
  </r>
  <r>
    <n v="108287"/>
    <s v="Binumon Mathai"/>
  </r>
  <r>
    <n v="0"/>
    <s v="Sheetal Karkera"/>
  </r>
  <r>
    <n v="115964"/>
    <s v="Toby Clark"/>
  </r>
  <r>
    <n v="99999101220"/>
    <s v="Byron Thornhill"/>
  </r>
  <r>
    <m/>
    <s v="Vacant"/>
  </r>
  <r>
    <m/>
    <s v="Vacant (B2B)"/>
  </r>
  <r>
    <n v="117173"/>
    <s v="Ashwini Gaikwad"/>
  </r>
  <r>
    <n v="0"/>
    <s v="Phillip Kewley"/>
  </r>
  <r>
    <n v="99999101454"/>
    <s v="Celia Voysey"/>
  </r>
  <r>
    <m/>
    <s v="Vacant"/>
  </r>
  <r>
    <n v="99999101891"/>
    <s v="Shinal Chamberlain"/>
  </r>
  <r>
    <n v="99999101370"/>
    <s v="Denise Esguerra"/>
  </r>
  <r>
    <n v="0"/>
    <s v="Waheed Malek"/>
  </r>
  <r>
    <m/>
    <s v="Vacant"/>
  </r>
  <r>
    <m/>
    <s v="Vacant"/>
  </r>
  <r>
    <n v="97200"/>
    <s v="Mitesh Shah"/>
  </r>
  <r>
    <n v="99999100279"/>
    <s v="Kris Hamilton"/>
  </r>
  <r>
    <n v="0"/>
    <s v="Aaron Lu"/>
  </r>
  <r>
    <n v="0"/>
    <s v="Safiq Iqbal"/>
  </r>
  <r>
    <m/>
    <s v="Vacant"/>
  </r>
  <r>
    <m/>
    <s v="Vacant (B2B)"/>
  </r>
  <r>
    <m/>
    <s v="Vacant"/>
  </r>
  <r>
    <n v="99999101612"/>
    <s v="Shane Abrahams"/>
  </r>
  <r>
    <n v="4781"/>
    <s v="Mark Wilson"/>
  </r>
  <r>
    <n v="115607"/>
    <s v="Zohan Sim"/>
  </r>
  <r>
    <m/>
    <s v="Vacant"/>
  </r>
  <r>
    <m/>
    <s v="Vacant"/>
  </r>
  <r>
    <n v="114395"/>
    <s v="Rishabh Bhatia"/>
  </r>
  <r>
    <m/>
    <s v="Vacant"/>
  </r>
  <r>
    <n v="99999101730"/>
    <s v="Scott Cullen"/>
  </r>
  <r>
    <n v="97634"/>
    <s v="Khalid Mahmud"/>
  </r>
  <r>
    <n v="107144"/>
    <s v="Jasper Na"/>
  </r>
  <r>
    <m/>
    <s v="Vacant"/>
  </r>
  <r>
    <m/>
    <s v="Vacant"/>
  </r>
  <r>
    <n v="99999101324"/>
    <s v="Angela Gilbert"/>
  </r>
  <r>
    <n v="109041"/>
    <s v="Darwin Morales"/>
  </r>
  <r>
    <n v="116387"/>
    <s v="Christian Lazano"/>
  </r>
  <r>
    <n v="116408"/>
    <s v="Abhilash Reddy"/>
  </r>
  <r>
    <n v="99999102164"/>
    <s v="anthonty gen"/>
  </r>
  <r>
    <n v="111777"/>
    <s v="Jeremy Xu"/>
  </r>
  <r>
    <m/>
    <s v="Sri Balan Raj"/>
  </r>
  <r>
    <m/>
    <s v="Vacant"/>
  </r>
  <r>
    <n v="94663"/>
    <s v="Penny Pennisi"/>
  </r>
  <r>
    <n v="108384"/>
    <s v="Saugata Acharya"/>
  </r>
  <r>
    <n v="99999100621"/>
    <s v="Kellie Gathergood"/>
  </r>
  <r>
    <m/>
    <s v="Vacant"/>
  </r>
  <r>
    <n v="0"/>
    <s v="Lily Fong"/>
  </r>
  <r>
    <m/>
    <s v="Vacant"/>
  </r>
  <r>
    <n v="0"/>
    <s v="Swapnil Pithwa"/>
  </r>
  <r>
    <m/>
    <s v="Vacant"/>
  </r>
  <r>
    <n v="0"/>
    <s v="Rob Jadrjevic"/>
  </r>
  <r>
    <n v="0"/>
    <s v="Andy Stewart"/>
  </r>
  <r>
    <n v="99999100847"/>
    <s v="Nimi Rose"/>
  </r>
  <r>
    <n v="114650"/>
    <s v="Jin Zhong"/>
  </r>
  <r>
    <n v="99999101540"/>
    <s v="James Nicolle"/>
  </r>
  <r>
    <m/>
    <s v="Vacant"/>
  </r>
  <r>
    <n v="99999101312"/>
    <s v="Megan Rodgers"/>
  </r>
  <r>
    <n v="99999102155"/>
    <s v="Yash Thakkar"/>
  </r>
  <r>
    <n v="0"/>
    <s v="Alan Peng"/>
  </r>
  <r>
    <n v="114411"/>
    <s v="Vacant"/>
  </r>
  <r>
    <n v="0"/>
    <s v="Anup Antony"/>
  </r>
  <r>
    <m/>
    <s v="Dasha Fothergill"/>
  </r>
  <r>
    <m/>
    <s v="Vacant"/>
  </r>
  <r>
    <n v="99999101601"/>
    <s v="Jordan Kettles"/>
  </r>
  <r>
    <m/>
    <s v="Vacant "/>
  </r>
  <r>
    <n v="96830"/>
    <s v="Lynda Niewidok"/>
  </r>
  <r>
    <n v="92681"/>
    <s v="Mark Pearson"/>
  </r>
  <r>
    <m/>
    <s v="Vacant"/>
  </r>
  <r>
    <n v="99999101697"/>
    <s v="Vanessa Castro"/>
  </r>
  <r>
    <n v="114683"/>
    <s v="Prashanth Chandran"/>
  </r>
  <r>
    <n v="109491"/>
    <s v="Pooja Kuperkar"/>
  </r>
  <r>
    <n v="98823"/>
    <s v="Brian Gates"/>
  </r>
  <r>
    <n v="101700"/>
    <s v="Diya Thomas"/>
  </r>
  <r>
    <n v="100825"/>
    <s v="James Byrne"/>
  </r>
  <r>
    <n v="97592"/>
    <s v="Kevin Sheerin"/>
  </r>
  <r>
    <n v="108809"/>
    <s v="Joe Nahma"/>
  </r>
  <r>
    <n v="101830"/>
    <s v="Vivienne Vasak"/>
  </r>
  <r>
    <n v="86962"/>
    <s v="Cameron Watman"/>
  </r>
  <r>
    <n v="116241"/>
    <s v="Raymond Cheung"/>
  </r>
  <r>
    <n v="102385"/>
    <s v="Chris Lyons"/>
  </r>
  <r>
    <n v="99707"/>
    <s v="Darshan Suvama"/>
  </r>
  <r>
    <n v="104966"/>
    <s v="Rahul Sahni"/>
  </r>
  <r>
    <m/>
    <s v="Vacant"/>
  </r>
  <r>
    <n v="113382"/>
    <s v="Jack Jenkins"/>
  </r>
  <r>
    <n v="104555"/>
    <s v="Ritika Salaria"/>
  </r>
  <r>
    <n v="114354"/>
    <s v="Kaaviya Salai Manimudian"/>
  </r>
  <r>
    <m/>
    <s v="Vacant (SYD)"/>
  </r>
  <r>
    <n v="108727"/>
    <s v="Jas Mann"/>
  </r>
  <r>
    <n v="108013"/>
    <s v="Vacant"/>
  </r>
  <r>
    <m/>
    <s v="Vacant"/>
  </r>
  <r>
    <n v="99999101684"/>
    <s v="Ashley Mueller"/>
  </r>
  <r>
    <m/>
    <s v="Vacant"/>
  </r>
  <r>
    <n v="6307"/>
    <s v="Darren Koller"/>
  </r>
  <r>
    <n v="99999101673"/>
    <s v="Lisa Ng"/>
  </r>
  <r>
    <n v="98371"/>
    <s v="Stafford Dowling"/>
  </r>
  <r>
    <n v="97425"/>
    <s v="Nischal Bhusal"/>
  </r>
  <r>
    <n v="99999101321"/>
    <s v="Sameer Pattanaik"/>
  </r>
  <r>
    <n v="98924"/>
    <s v="Dan Balsamo"/>
  </r>
  <r>
    <n v="87951"/>
    <s v="Iwan Wibisono"/>
  </r>
  <r>
    <n v="108728"/>
    <s v="Remya Pookat"/>
  </r>
  <r>
    <n v="113900"/>
    <s v="Mick Collins"/>
  </r>
  <r>
    <n v="99999100770"/>
    <s v="Spoilagi Bhutwala"/>
  </r>
  <r>
    <n v="99999101346"/>
    <s v="Shomiya Shayal"/>
  </r>
  <r>
    <m/>
    <s v="Vacant"/>
  </r>
  <r>
    <n v="90096"/>
    <s v="Mary-Grace Rivera"/>
  </r>
  <r>
    <n v="105647"/>
    <s v="Rajini Onteddu Reddy"/>
  </r>
  <r>
    <n v="106511"/>
    <s v="Catherine Gire"/>
  </r>
  <r>
    <n v="99999102157"/>
    <s v="Ethan Lamhert (FT)"/>
  </r>
  <r>
    <m/>
    <s v="Vacant  (AKL )"/>
  </r>
  <r>
    <n v="110204"/>
    <s v="Daniel Jolley"/>
  </r>
  <r>
    <m/>
    <s v="Vacant "/>
  </r>
  <r>
    <n v="84274"/>
    <s v="Chris Rojas"/>
  </r>
  <r>
    <n v="101504"/>
    <s v="Steven Atcheson"/>
  </r>
  <r>
    <n v="104805"/>
    <s v="Shruti Manchanda"/>
  </r>
  <r>
    <m/>
    <s v="Vacant"/>
  </r>
  <r>
    <n v="114383"/>
    <s v="Tony Keeler"/>
  </r>
  <r>
    <n v="0"/>
    <s v="Niall Greene"/>
  </r>
  <r>
    <n v="0"/>
    <s v="Winnie Fernandes"/>
  </r>
  <r>
    <n v="0"/>
    <s v="Areum Kim Lee"/>
  </r>
  <r>
    <n v="113935"/>
    <s v="Thomas Reid"/>
  </r>
  <r>
    <m/>
    <s v="Vacant"/>
  </r>
  <r>
    <m/>
    <s v="Vacant"/>
  </r>
  <r>
    <m/>
    <s v="Vacant"/>
  </r>
  <r>
    <m/>
    <s v="Vacant "/>
  </r>
  <r>
    <m/>
    <s v="Vacant "/>
  </r>
  <r>
    <n v="12992"/>
    <s v="Jeannie Chu"/>
  </r>
  <r>
    <n v="5607"/>
    <s v="Maria Somera"/>
  </r>
  <r>
    <n v="83658"/>
    <s v="Sam Chan"/>
  </r>
  <r>
    <n v="116540"/>
    <s v="Neil Reilly"/>
  </r>
  <r>
    <m/>
    <s v="Vacant"/>
  </r>
  <r>
    <n v="95835"/>
    <s v="Briony Scott"/>
  </r>
  <r>
    <n v="99999170371"/>
    <s v="Helen Ngu"/>
  </r>
  <r>
    <n v="101862"/>
    <s v="Vaughn Scott"/>
  </r>
  <r>
    <n v="82561"/>
    <s v="Jenny Chan"/>
  </r>
  <r>
    <m/>
    <s v="Vacant"/>
  </r>
  <r>
    <n v="99999102029"/>
    <s v="Matt Saunders"/>
  </r>
  <r>
    <n v="0"/>
    <s v="Malcolm Deare"/>
  </r>
  <r>
    <n v="113835"/>
    <s v="Ruth Chou"/>
  </r>
  <r>
    <m/>
    <s v="Vacant"/>
  </r>
  <r>
    <n v="99999102144"/>
    <s v="Shelley Crawford"/>
  </r>
  <r>
    <n v="102411"/>
    <s v="Vacant"/>
  </r>
  <r>
    <m/>
    <s v="Vacant"/>
  </r>
  <r>
    <n v="113362"/>
    <s v="Vacant"/>
  </r>
  <r>
    <m/>
    <s v="Vacant"/>
  </r>
  <r>
    <m/>
    <s v="Vacant"/>
  </r>
  <r>
    <m/>
    <s v="Vacant"/>
  </r>
  <r>
    <m/>
    <s v="Vacant"/>
  </r>
  <r>
    <m/>
    <s v="ring fenced"/>
  </r>
  <r>
    <m/>
    <s v="ring fenced"/>
  </r>
  <r>
    <m/>
    <s v="ring fenced"/>
  </r>
  <r>
    <m/>
    <s v="ring fenced"/>
  </r>
  <r>
    <m/>
    <s v="Sanjay Tikoo"/>
  </r>
  <r>
    <n v="99999102152"/>
    <s v="Vacant"/>
  </r>
  <r>
    <n v="113956"/>
    <s v="Deepali Mahajan"/>
  </r>
  <r>
    <m/>
    <s v="Vacant"/>
  </r>
  <r>
    <n v="114147"/>
    <s v="Sumathi Manikkampichai"/>
  </r>
  <r>
    <n v="99999101674"/>
    <s v="Roozbeh Shahbazirad"/>
  </r>
  <r>
    <m/>
    <s v="Vacant"/>
  </r>
  <r>
    <n v="80477"/>
    <s v="Vacant"/>
  </r>
  <r>
    <n v="94631"/>
    <s v="Rihan Schalkwyk"/>
  </r>
  <r>
    <m/>
    <s v="Vacant"/>
  </r>
  <r>
    <n v="99999101251"/>
    <s v="Tim Snedden"/>
  </r>
  <r>
    <n v="101166"/>
    <s v="Yu Chen"/>
  </r>
  <r>
    <m/>
    <s v="Vacant"/>
  </r>
  <r>
    <n v="107048"/>
    <s v="Om Singh"/>
  </r>
  <r>
    <m/>
    <s v="Vacant"/>
  </r>
  <r>
    <n v="99999101507"/>
    <s v="Vacant"/>
  </r>
  <r>
    <m/>
    <s v="Vacant"/>
  </r>
  <r>
    <n v="80469"/>
    <s v="James Holgate"/>
  </r>
  <r>
    <n v="113381"/>
    <s v="Joel Vijayakumar"/>
  </r>
  <r>
    <m/>
    <s v="Vacant"/>
  </r>
  <r>
    <m/>
    <s v="Vacant (contract)"/>
  </r>
  <r>
    <n v="106026"/>
    <s v="Vincent Lu"/>
  </r>
  <r>
    <m/>
    <s v="vacant  (Contract)"/>
  </r>
  <r>
    <n v="116032"/>
    <s v="Abdul Ghaffar"/>
  </r>
  <r>
    <n v="80549"/>
    <s v="Steve Murray"/>
  </r>
  <r>
    <n v="83092"/>
    <s v="Rakshit Kaul"/>
  </r>
  <r>
    <n v="98599"/>
    <s v="Raymond Bai"/>
  </r>
  <r>
    <n v="99522"/>
    <s v="Mitchell Clarke"/>
  </r>
  <r>
    <m/>
    <s v="Vacant"/>
  </r>
  <r>
    <n v="99999101535"/>
    <s v="Lynn Yiew"/>
  </r>
  <r>
    <n v="110146"/>
    <s v="Renosh Matthew Thomas"/>
  </r>
  <r>
    <n v="100330"/>
    <s v="Milan Patel"/>
  </r>
  <r>
    <m/>
    <s v="Vacant"/>
  </r>
  <r>
    <n v="114067"/>
    <s v="Jonathan Robinson"/>
  </r>
  <r>
    <m/>
    <s v="Vacant"/>
  </r>
  <r>
    <n v="107154"/>
    <s v="Prashant Tataskar"/>
  </r>
  <r>
    <m/>
    <s v="ring fenced"/>
  </r>
  <r>
    <m/>
    <s v="Vacant"/>
  </r>
  <r>
    <n v="12010"/>
    <s v="Sai Konka"/>
  </r>
  <r>
    <m/>
    <s v="Vacant"/>
  </r>
  <r>
    <m/>
    <s v="Vacant"/>
  </r>
  <r>
    <n v="109802"/>
    <s v="Roger Blazey"/>
  </r>
  <r>
    <m/>
    <s v="Vacant"/>
  </r>
  <r>
    <m/>
    <s v="Vacant"/>
  </r>
  <r>
    <m/>
    <s v="Vacant"/>
  </r>
  <r>
    <n v="102098"/>
    <s v="Bobby Mason"/>
  </r>
  <r>
    <m/>
    <s v="Vacant"/>
  </r>
  <r>
    <n v="0"/>
    <s v="Dinesh Chandrasekaran"/>
  </r>
  <r>
    <n v="113451"/>
    <s v="Prashanth Krishnankutty"/>
  </r>
  <r>
    <m/>
    <s v="ring fenced"/>
  </r>
  <r>
    <n v="96283"/>
    <s v="Ed Tacey"/>
  </r>
  <r>
    <m/>
    <s v="ring fenced"/>
  </r>
  <r>
    <m/>
    <s v="Vacant"/>
  </r>
  <r>
    <m/>
    <s v="Vacant"/>
  </r>
  <r>
    <n v="116312"/>
    <s v="Trung Truong"/>
  </r>
  <r>
    <n v="6511"/>
    <s v="Leo Machin"/>
  </r>
  <r>
    <n v="11661"/>
    <s v="Kevin Li"/>
  </r>
  <r>
    <n v="115836"/>
    <s v="JR Panganiban"/>
  </r>
  <r>
    <n v="14920"/>
    <s v="Poch Fernandez"/>
  </r>
  <r>
    <n v="14013"/>
    <s v="Jem Cruz"/>
  </r>
  <r>
    <n v="106547"/>
    <s v="Chin Fang Kwek"/>
  </r>
  <r>
    <m/>
    <s v="Vacant"/>
  </r>
  <r>
    <n v="109475"/>
    <s v="Jaya Ganasan"/>
  </r>
  <r>
    <m/>
    <s v="Vacant"/>
  </r>
  <r>
    <n v="106201"/>
    <s v="George Moun"/>
  </r>
  <r>
    <n v="99999101636"/>
    <s v="Rod Santillan"/>
  </r>
  <r>
    <n v="90813"/>
    <s v="Vacant  (Contract)"/>
  </r>
  <r>
    <n v="99691"/>
    <s v="Frank Liang"/>
  </r>
  <r>
    <n v="105799"/>
    <s v="Lindsay Baipas"/>
  </r>
  <r>
    <n v="99999101912"/>
    <s v="Alex Abelita"/>
  </r>
  <r>
    <n v="114366"/>
    <s v="Allyn Puente"/>
  </r>
  <r>
    <n v="109362"/>
    <s v="Scott Hasson"/>
  </r>
  <r>
    <n v="92699"/>
    <s v="Vacant"/>
  </r>
  <r>
    <n v="110040"/>
    <s v="Tyler Meggs"/>
  </r>
  <r>
    <n v="98087"/>
    <s v="Victor Olasanoye"/>
  </r>
  <r>
    <m/>
    <s v="Vacant "/>
  </r>
  <r>
    <n v="0"/>
    <s v="Chris Camacho"/>
  </r>
  <r>
    <n v="116090"/>
    <s v="Fabian Moreno Cortes"/>
  </r>
  <r>
    <n v="97776"/>
    <s v="Anvitha Kurra"/>
  </r>
  <r>
    <n v="81395"/>
    <s v="Angus Gibson"/>
  </r>
  <r>
    <n v="113202"/>
    <s v="Rohan Patel"/>
  </r>
  <r>
    <n v="101059"/>
    <s v="Sriramani Deyyala"/>
  </r>
  <r>
    <n v="101539"/>
    <s v="Vacant"/>
  </r>
  <r>
    <n v="6748"/>
    <s v="Elle Spencer"/>
  </r>
  <r>
    <m/>
    <s v="Vacant"/>
  </r>
  <r>
    <m/>
    <s v="Vacant"/>
  </r>
  <r>
    <m/>
    <s v="Vacant"/>
  </r>
  <r>
    <m/>
    <s v="Vacant"/>
  </r>
  <r>
    <m/>
    <s v="Vacant"/>
  </r>
  <r>
    <n v="106404"/>
    <s v="Carl Russo"/>
  </r>
  <r>
    <n v="97098"/>
    <s v="Amish Pandit"/>
  </r>
  <r>
    <n v="99999101304"/>
    <s v="Liesl Tye"/>
  </r>
  <r>
    <n v="99999101224"/>
    <s v="Nakul Bharade"/>
  </r>
  <r>
    <n v="14100"/>
    <s v="Belinda Ford"/>
  </r>
  <r>
    <m/>
    <s v="Vacant"/>
  </r>
  <r>
    <n v="116253"/>
    <s v="Siva Chimmani"/>
  </r>
  <r>
    <m/>
    <s v="Vacant"/>
  </r>
  <r>
    <n v="106791"/>
    <s v="Victor Beuk"/>
  </r>
  <r>
    <n v="105532"/>
    <s v="Debbie Gor"/>
  </r>
  <r>
    <m/>
    <s v="Vacant"/>
  </r>
  <r>
    <n v="107550"/>
    <s v="Gunjan Vasudeva"/>
  </r>
  <r>
    <m/>
    <s v="Vacant"/>
  </r>
  <r>
    <m/>
    <s v="Vacant"/>
  </r>
  <r>
    <n v="99999101545"/>
    <s v="Josh Campbell"/>
  </r>
  <r>
    <m/>
    <s v="Vacant"/>
  </r>
  <r>
    <m/>
    <s v="Vacant"/>
  </r>
  <r>
    <n v="96270"/>
    <s v="Zhan Liu"/>
  </r>
  <r>
    <n v="107463"/>
    <s v="Deepa Kaur"/>
  </r>
  <r>
    <n v="99999101325"/>
    <s v="Laura Roberts"/>
  </r>
  <r>
    <m/>
    <s v="Vacant (anaplan)"/>
  </r>
  <r>
    <n v="99999101752"/>
    <s v="Amanda Turnbull"/>
  </r>
  <r>
    <s v="Mike Gilbert"/>
    <s v="Byron Leung"/>
  </r>
  <r>
    <n v="99999101568"/>
    <s v="Anie Camerino"/>
  </r>
  <r>
    <s v="Craig Ambrose"/>
    <s v="Tom Moore"/>
  </r>
  <r>
    <n v="85491"/>
    <s v="Mick DaSilva"/>
  </r>
  <r>
    <n v="106555"/>
    <s v="Karla Orozco Loza"/>
  </r>
  <r>
    <n v="103651"/>
    <s v="Hari Maneti"/>
  </r>
  <r>
    <n v="13925"/>
    <s v="Allan Francia"/>
  </r>
  <r>
    <n v="99999101908"/>
    <s v="Oliver Shanks"/>
  </r>
  <r>
    <n v="99999100769"/>
    <s v="Gokila Mylsamy"/>
  </r>
  <r>
    <n v="114717"/>
    <s v="Fransiscus Setiawan"/>
  </r>
  <r>
    <n v="10572"/>
    <s v="Stevani Kho"/>
  </r>
  <r>
    <m/>
    <s v="Vacant"/>
  </r>
  <r>
    <n v="6851"/>
    <s v="Ann Aquino"/>
  </r>
  <r>
    <n v="0"/>
    <s v="Simrat Singh"/>
  </r>
  <r>
    <n v="102576"/>
    <s v="Glenn Earl"/>
  </r>
  <r>
    <m/>
    <s v="Vacant"/>
  </r>
  <r>
    <n v="115935"/>
    <s v="Rick Abainza"/>
  </r>
  <r>
    <m/>
    <s v="Vacant"/>
  </r>
  <r>
    <n v="110185"/>
    <s v="Soumya Choudhury"/>
  </r>
  <r>
    <n v="113039"/>
    <s v="Anusha Viswanatha"/>
  </r>
  <r>
    <n v="106907"/>
    <s v="Oz Shaaban"/>
  </r>
  <r>
    <m/>
    <s v="Nico Lender"/>
  </r>
  <r>
    <n v="115847"/>
    <s v="Jonathan Wong"/>
  </r>
  <r>
    <m/>
    <s v="Vacant "/>
  </r>
  <r>
    <n v="102187"/>
    <s v="Sijin Zhu"/>
  </r>
  <r>
    <n v="8367"/>
    <s v="Marcela Gonzalez"/>
  </r>
  <r>
    <m/>
    <s v="Vacant"/>
  </r>
  <r>
    <n v="99999101013"/>
    <s v="Chantal Lynch"/>
  </r>
  <r>
    <m/>
    <s v="Vacant "/>
  </r>
  <r>
    <n v="101157"/>
    <s v="Jessica Calla"/>
  </r>
  <r>
    <m/>
    <s v="Vacant"/>
  </r>
  <r>
    <m/>
    <s v="Zijie Zhang"/>
  </r>
  <r>
    <n v="115723"/>
    <s v="Kumar Siva"/>
  </r>
  <r>
    <m/>
    <s v="Vacant "/>
  </r>
  <r>
    <n v="110044"/>
    <s v="Kevin Nelson"/>
  </r>
  <r>
    <m/>
    <s v="Vacant"/>
  </r>
  <r>
    <n v="105531"/>
    <s v="Jodi Higgins"/>
  </r>
  <r>
    <n v="99999100072"/>
    <s v="Angela Ross"/>
  </r>
  <r>
    <n v="114723"/>
    <s v="Ming Shao"/>
  </r>
  <r>
    <n v="99999101505"/>
    <s v="Vacant"/>
  </r>
  <r>
    <n v="97973"/>
    <s v="Vacant"/>
  </r>
  <r>
    <n v="111319"/>
    <s v="Arun Prakash Jayaprakasam"/>
  </r>
  <r>
    <n v="105488"/>
    <s v="Louis Ballington"/>
  </r>
  <r>
    <n v="99999101143"/>
    <s v="Hayden Corney"/>
  </r>
  <r>
    <n v="104159"/>
    <s v="Vacant"/>
  </r>
  <r>
    <m/>
    <s v="Vacant"/>
  </r>
  <r>
    <n v="97884"/>
    <s v="Vacant"/>
  </r>
  <r>
    <n v="107588"/>
    <s v="Vacant"/>
  </r>
  <r>
    <n v="99999101895"/>
    <s v="Caitlin Naylor"/>
  </r>
  <r>
    <m/>
    <s v="Vacant"/>
  </r>
  <r>
    <n v="108033"/>
    <s v="Ayushi Agarwal"/>
  </r>
  <r>
    <m/>
    <s v="Vacant"/>
  </r>
  <r>
    <n v="106221"/>
    <s v="Vacant"/>
  </r>
  <r>
    <n v="99999101421"/>
    <s v="Lana Wagner"/>
  </r>
  <r>
    <n v="108075"/>
    <s v="Vacant"/>
  </r>
  <r>
    <m/>
    <s v="Vacant"/>
  </r>
  <r>
    <n v="105823"/>
    <s v="Hardik Trivedi"/>
  </r>
  <r>
    <n v="106829"/>
    <s v="C K Lau"/>
  </r>
  <r>
    <n v="99999101516"/>
    <s v="Fan Zhang"/>
  </r>
  <r>
    <m/>
    <s v="Vacant"/>
  </r>
  <r>
    <m/>
    <s v="Johnny Li"/>
  </r>
  <r>
    <n v="6591"/>
    <s v="Steven Yong"/>
  </r>
  <r>
    <n v="97625"/>
    <s v="Satish Chowdhary"/>
  </r>
  <r>
    <n v="106117"/>
    <s v="Muhammad Abubaker"/>
  </r>
  <r>
    <m/>
    <s v="Axel Soh"/>
  </r>
  <r>
    <n v="97800"/>
    <s v="John McCormack"/>
  </r>
  <r>
    <m/>
    <s v="Pierre Spee"/>
  </r>
  <r>
    <m/>
    <s v="John Badia"/>
  </r>
  <r>
    <m/>
    <s v="Vacant"/>
  </r>
  <r>
    <m/>
    <s v="Vacant"/>
  </r>
  <r>
    <m/>
    <s v="Vacant"/>
  </r>
  <r>
    <n v="99999101441"/>
    <s v="Luke Hamer"/>
  </r>
  <r>
    <n v="116057"/>
    <s v="Lucas Wang"/>
  </r>
  <r>
    <m/>
    <s v="Vacant"/>
  </r>
  <r>
    <n v="99999101958"/>
    <s v="Mike Lealamanu"/>
  </r>
  <r>
    <n v="99999102120"/>
    <s v="Sunny Arya"/>
  </r>
  <r>
    <n v="14148"/>
    <s v="Ee Lynn Yap"/>
  </r>
  <r>
    <n v="113067"/>
    <s v="Vikram Chhahira"/>
  </r>
  <r>
    <n v="0"/>
    <s v="Arun Tahlan"/>
  </r>
  <r>
    <n v="99999102153"/>
    <s v="Kris Thornley"/>
  </r>
  <r>
    <n v="99999101466"/>
    <s v="Shobhit Mittal"/>
  </r>
  <r>
    <n v="109092"/>
    <s v="Anjali Patra"/>
  </r>
  <r>
    <n v="110830"/>
    <s v="Jason Satoso"/>
  </r>
  <r>
    <n v="91635"/>
    <s v="Bala Thiruvadi"/>
  </r>
  <r>
    <m/>
    <s v="Vacant"/>
  </r>
  <r>
    <n v="99999101879"/>
    <s v="Lisa Rademakers"/>
  </r>
  <r>
    <n v="99999101273"/>
    <s v="Michael Weng"/>
  </r>
  <r>
    <n v="114367"/>
    <s v="Thandava Krishna Kakarala"/>
  </r>
  <r>
    <m/>
    <s v="Vacant"/>
  </r>
  <r>
    <n v="99999101058"/>
    <s v="Mike Seales"/>
  </r>
  <r>
    <n v="99999101879"/>
    <s v="Lisa Rademakers"/>
  </r>
  <r>
    <n v="99999101069"/>
    <s v="Vacant"/>
  </r>
  <r>
    <n v="109863"/>
    <s v="Shane Ker"/>
  </r>
  <r>
    <m/>
    <s v="Vacant"/>
  </r>
  <r>
    <n v="4818"/>
    <s v="Vaso Vukovic"/>
  </r>
  <r>
    <m/>
    <s v="Vacant"/>
  </r>
  <r>
    <m/>
    <s v="Vacant"/>
  </r>
  <r>
    <n v="99999100381"/>
    <s v="Nakul Bharade"/>
  </r>
  <r>
    <m/>
    <s v="Murray Mitchell"/>
  </r>
  <r>
    <m/>
    <s v="Vacant"/>
  </r>
  <r>
    <m/>
    <s v="Vacant"/>
  </r>
  <r>
    <m/>
    <s v="Vacant"/>
  </r>
  <r>
    <n v="114573"/>
    <s v="Vacant"/>
  </r>
  <r>
    <n v="99999170438"/>
    <s v="Leilanie Avilla"/>
  </r>
  <r>
    <m/>
    <s v="Ring fenced"/>
  </r>
  <r>
    <m/>
    <s v="Ring fenced"/>
  </r>
  <r>
    <n v="99999100336"/>
    <s v="Lydia Pritchard"/>
  </r>
  <r>
    <m/>
    <s v="Vacant"/>
  </r>
  <r>
    <n v="83003"/>
    <s v="Grace Hadiwijaya"/>
  </r>
  <r>
    <m/>
    <s v="Vacant"/>
  </r>
  <r>
    <n v="93476"/>
    <s v="Prerna Sharma"/>
  </r>
  <r>
    <m/>
    <s v="Vacant"/>
  </r>
  <r>
    <n v="108123"/>
    <s v="Maadhu Suresh"/>
  </r>
  <r>
    <n v="99999101403"/>
    <s v="Michael Pollock"/>
  </r>
  <r>
    <m/>
    <s v="Vacant"/>
  </r>
  <r>
    <n v="99876"/>
    <s v="Thai Pung"/>
  </r>
  <r>
    <m/>
    <s v="Vacant"/>
  </r>
  <r>
    <n v="0"/>
    <s v="Kurniaty Widjaya"/>
  </r>
  <r>
    <m/>
    <s v="Vacant"/>
  </r>
  <r>
    <m/>
    <s v="Vacant"/>
  </r>
  <r>
    <m/>
    <s v="Vacant"/>
  </r>
  <r>
    <m/>
    <s v="Vacant"/>
  </r>
  <r>
    <m/>
    <s v="Vacant"/>
  </r>
  <r>
    <m/>
    <s v="Vacant"/>
  </r>
  <r>
    <m/>
    <s v="Vacant"/>
  </r>
  <r>
    <n v="4251"/>
    <s v="Maudud Chaudhury"/>
  </r>
  <r>
    <m/>
    <s v="Vacant"/>
  </r>
  <r>
    <n v="11241"/>
    <s v="Julma Bhagwani"/>
  </r>
  <r>
    <m/>
    <s v="Vacant "/>
  </r>
  <r>
    <m/>
    <s v="John Forde"/>
  </r>
  <r>
    <m/>
    <s v="Vacant"/>
  </r>
  <r>
    <n v="99999101446"/>
    <s v="Rob Struthers"/>
  </r>
  <r>
    <n v="99999101229"/>
    <s v="Billie Connolly"/>
  </r>
  <r>
    <m/>
    <s v="Vacant"/>
  </r>
  <r>
    <n v="95018"/>
    <s v="Ken Thomson"/>
  </r>
  <r>
    <n v="106024"/>
    <s v="Nicholas McKay"/>
  </r>
  <r>
    <m/>
    <s v="Vacant"/>
  </r>
  <r>
    <n v="99999102124"/>
    <m/>
  </r>
  <r>
    <m/>
    <m/>
  </r>
  <r>
    <m/>
    <m/>
  </r>
</pivotCacheRecords>
</file>

<file path=xl/pivotCache/pivotCacheRecords2.xml><?xml version="1.0" encoding="utf-8"?>
<pivotCacheRecords xmlns="http://schemas.openxmlformats.org/spreadsheetml/2006/main" count="537">
  <r>
    <n v="99999100977"/>
    <s v="Warren Grieve"/>
    <s v="Senior Site Systems Analyst"/>
    <s v="Callan McLaughlin"/>
    <s v="Technology Manager,  Site Systems"/>
    <s v="Ampol Retail &amp; Z"/>
    <s v="Z &amp; Group Retail"/>
    <s v="Z &amp; Group Retail, Site Systems"/>
    <s v="Z"/>
    <s v="Z Customer"/>
    <s v="Site Systems"/>
    <m/>
    <s v="NZ"/>
  </r>
  <r>
    <n v="99999100975"/>
    <s v="Chris Mitchell"/>
    <s v="Deployment Lead"/>
    <s v="Callan McLaughlin"/>
    <s v="Technology Manager,  Site Systems"/>
    <s v="Ampol Retail &amp; Z"/>
    <s v="Z &amp; Group Retail"/>
    <s v="Z &amp; Group Retail, Site Systems"/>
    <s v="Z"/>
    <s v="Z Customer"/>
    <s v="Site Systems"/>
    <m/>
    <s v="NZ"/>
  </r>
  <r>
    <n v="99999102141"/>
    <s v="Christian Guo"/>
    <s v="Solution Architect"/>
    <s v="Callan McLaughlin"/>
    <s v="Technology Manager,  Site Systems"/>
    <s v="Ampol Retail &amp; Z"/>
    <s v="Z &amp; Group Retail"/>
    <s v="Z &amp; Group Retail, Site Systems"/>
    <s v="Z"/>
    <s v="Z Customer"/>
    <s v="Z Retail Backend &amp; Supply"/>
    <m/>
    <s v="NZ"/>
  </r>
  <r>
    <n v="99999100432"/>
    <s v="Vanessa King"/>
    <s v="Lead Quality Assurance"/>
    <s v="Callan McLaughlin"/>
    <s v="Technology Manager,  Site Systems"/>
    <s v="Ampol Retail &amp; Z"/>
    <s v="Z &amp; Group Retail"/>
    <s v="Z &amp; Group Retail, Site Systems"/>
    <s v="Z"/>
    <s v="Z Customer"/>
    <s v="Site Systems"/>
    <m/>
    <s v="NZ"/>
  </r>
  <r>
    <n v="99999101553"/>
    <s v="Bradley Cunningham"/>
    <s v="Site Systems Analyst"/>
    <s v="Callan McLaughlin"/>
    <s v="Technology Manager,  Site Systems"/>
    <s v="Ampol Retail &amp; Z"/>
    <s v="Z &amp; Group Retail"/>
    <s v="Z &amp; Group Retail, Site Systems"/>
    <s v="Z"/>
    <s v="Z Customer"/>
    <s v="Site Systems"/>
    <m/>
    <s v="NZ"/>
  </r>
  <r>
    <n v="99999101650"/>
    <s v="Sakshi Sachdeva"/>
    <s v="Senior Quality Assurance "/>
    <s v="Callan McLaughlin"/>
    <s v="Technology Manager,  Site Systems"/>
    <s v="Ampol Retail &amp; Z"/>
    <s v="Z &amp; Group Retail"/>
    <s v="Z &amp; Group Retail, Site Systems"/>
    <s v="Z"/>
    <s v="Z Customer"/>
    <s v="Site Systems"/>
    <m/>
    <s v="NZ"/>
  </r>
  <r>
    <n v="99999101643"/>
    <s v="Alex Sutherland"/>
    <s v="Site Systems Analyst"/>
    <s v="Callan McLaughlin"/>
    <s v="Technology Manager,  Site Systems"/>
    <s v="Ampol Retail &amp; Z"/>
    <s v="Z &amp; Group Retail"/>
    <s v="Z &amp; Group Retail, Site Systems"/>
    <s v="Z"/>
    <s v="Z Customer"/>
    <s v="Site Systems"/>
    <m/>
    <s v="NZ"/>
  </r>
  <r>
    <n v="109974"/>
    <s v="Gerald Aguas"/>
    <s v="Field Systems Operations Lead - NSW"/>
    <s v="Ephraim Adan"/>
    <s v="Manager, AU Retail Operations"/>
    <s v="Ampol Retail &amp; Z"/>
    <s v="Ampol Retail"/>
    <s v="Ampol Retail, Technology"/>
    <s v="Retail"/>
    <s v="Store Operations"/>
    <s v="Store Operations"/>
    <m/>
    <s v="Australia"/>
  </r>
  <r>
    <n v="85136"/>
    <s v="Tuan Edwards"/>
    <s v="Field Systems Operations Lead - QLD"/>
    <s v="Ephraim Adan"/>
    <s v="Manager, AU Retail Operations"/>
    <s v="Ampol Retail &amp; Z"/>
    <s v="Ampol Retail"/>
    <s v="Ampol Retail, Technology"/>
    <s v="Retail"/>
    <s v="Store Operations"/>
    <s v="Store Operations"/>
    <m/>
    <s v="Australia"/>
  </r>
  <r>
    <n v="8445"/>
    <s v="Geoff Goddard"/>
    <s v="Field Systems Operations Lead - VIC"/>
    <s v="Ephraim Adan"/>
    <s v="Manager, AU Retail Operations"/>
    <s v="Ampol Retail &amp; Z"/>
    <s v="Ampol Retail"/>
    <s v="Ampol Retail, Technology"/>
    <s v="Retail"/>
    <s v="Store Operations"/>
    <s v="Store Operations"/>
    <m/>
    <s v="Australia"/>
  </r>
  <r>
    <n v="90097"/>
    <s v="Patrick Ericson Nario"/>
    <s v="Support Analyst - Field Operations"/>
    <s v="Ephriam Adan"/>
    <s v="Manager, AU Retail Operations"/>
    <s v="Ampol Retail &amp; Z"/>
    <s v="Ampol Retail"/>
    <s v="Ampol Retail, Technology"/>
    <s v="Retail"/>
    <s v="Store Operations"/>
    <s v="Store Operations"/>
    <m/>
    <s v="Australia"/>
  </r>
  <r>
    <n v="4534"/>
    <s v="Andrew Whitford"/>
    <s v="Field Systems Operations Lead - WA"/>
    <s v="Ephriam Adan"/>
    <s v="Manager, AU Retail Operations"/>
    <s v="Ampol Retail &amp; Z"/>
    <s v="Ampol Retail"/>
    <s v="Ampol Retail, Technology"/>
    <s v="Retail"/>
    <s v="Store Operations"/>
    <s v="Store Operations"/>
    <m/>
    <s v="Australia"/>
  </r>
  <r>
    <n v="95017"/>
    <s v="Sjoerd Van Sluijs"/>
    <s v="Senior PM PEP1, PEP18"/>
    <s v="Greg Cassis"/>
    <s v="GM TDD, EGI"/>
    <s v="Ampol Retail &amp; Z"/>
    <s v="EGI"/>
    <m/>
    <s v="EGI Integration"/>
    <s v="EGI"/>
    <s v="EGI Retail"/>
    <m/>
    <s v="Australia"/>
  </r>
  <r>
    <n v="86604"/>
    <s v="Vanessa Allen"/>
    <s v="Delivery Manager"/>
    <s v="Madan Murthy"/>
    <s v="Head of Technology,  Ampol Retail"/>
    <s v="Ampol Retail &amp; Z"/>
    <s v="Ampol Retail"/>
    <s v="Ampol Retail, Delivery"/>
    <s v="Retail"/>
    <s v="(All Retail)"/>
    <s v="Leadership"/>
    <m/>
    <s v="Australia"/>
  </r>
  <r>
    <n v="98379"/>
    <s v="Vaishnavi Viswanathan"/>
    <s v="Technology Manager, Store Platform"/>
    <s v="Madan Murthy"/>
    <s v="Head of Technology,  Ampol Retail"/>
    <s v="Ampol Retail &amp; Z"/>
    <s v="Ampol Retail"/>
    <s v="Ampol Retail, Store Platforms"/>
    <s v="Retail"/>
    <s v="Store Operations, Payments, POS"/>
    <s v="Leadership"/>
    <m/>
    <s v="Australia"/>
  </r>
  <r>
    <n v="95285"/>
    <s v="Tracy Lee Reaper"/>
    <s v="Technology Manager, Merchandising &amp; WFM"/>
    <s v="Madan Murthy"/>
    <s v="Head of Technology,  Ampol Retail"/>
    <s v="Ampol Retail &amp; Z"/>
    <s v="Ampol Retail"/>
    <s v="Ampol Retail, Merch &amp; RTA"/>
    <s v="Retail"/>
    <s v="Merch / Supply Chain"/>
    <s v="Leadership"/>
    <m/>
    <s v="Australia"/>
  </r>
  <r>
    <n v="111451"/>
    <s v="Aniket Banerji"/>
    <s v="Deployment Lead"/>
    <s v="Matthew Patane"/>
    <s v="Release &amp; Deployment Manager"/>
    <s v="Ampol Retail &amp; Z"/>
    <s v="Ampol Retail"/>
    <s v="Ampol Retail, Technology"/>
    <s v="Retail"/>
    <s v="Store Operations"/>
    <s v="Deployment"/>
    <m/>
    <s v="Australia"/>
  </r>
  <r>
    <n v="95128"/>
    <s v="Deepak Kubendran"/>
    <s v="Project Manager – Deployments"/>
    <s v="Matthew Patane"/>
    <s v="Release &amp; Deployment Manager"/>
    <s v="Ampol Retail &amp; Z"/>
    <s v="Ampol Retail"/>
    <s v="Ampol Retail, Technology"/>
    <s v="Retail"/>
    <s v="Store Operations"/>
    <s v="Deployment"/>
    <m/>
    <s v="Australia"/>
  </r>
  <r>
    <n v="11424"/>
    <s v="Sao Keawprasit"/>
    <s v="Systems Analyst"/>
    <s v="Tracy Lee Reaper"/>
    <s v="Tech Manager, Merchandising &amp; WFM"/>
    <s v="Ampol Retail &amp; Z"/>
    <s v="Ampol Retail"/>
    <s v="Ampol Retail, Merch &amp; RTA"/>
    <s v="Retail"/>
    <s v="Merch / Supply Chain"/>
    <s v="Merchandising &amp; Supply Chain"/>
    <m/>
    <s v="Australia"/>
  </r>
  <r>
    <n v="114829"/>
    <s v="Zuan Zheng"/>
    <s v="Systems Analyst"/>
    <s v="Tracy Lee Reaper"/>
    <s v="Tech Manager, Merchandising &amp; WFM"/>
    <s v="Ampol Retail &amp; Z"/>
    <s v="Ampol Retail"/>
    <s v="Ampol Retail, Merch &amp; RTA"/>
    <s v="Retail"/>
    <s v="Merch / Supply Chain"/>
    <s v="Merchandising &amp; Supply Chain"/>
    <m/>
    <s v="Singapore"/>
  </r>
  <r>
    <m/>
    <s v="Vacant"/>
    <s v="Systems Analyst"/>
    <s v="Tracy Lee Reaper"/>
    <s v="Tech Manager, Merchandising &amp; WFM"/>
    <s v="Ampol Retail &amp; Z"/>
    <s v="Ampol Retail"/>
    <s v="Ampol Retail, Merch &amp; RTA"/>
    <s v="Retail"/>
    <s v="Merch / Supply Chain"/>
    <s v="Merchandising &amp; Supply Chain"/>
    <m/>
    <m/>
  </r>
  <r>
    <n v="108357"/>
    <s v="Pahul Oberoi"/>
    <s v="Systems Analyst"/>
    <s v="Tracy Lee Reaper"/>
    <s v="Tech Manager, Merchandising &amp; WFM"/>
    <s v="Ampol Retail &amp; Z"/>
    <s v="Ampol Retail"/>
    <s v="Ampol Retail, Merch &amp; RTA"/>
    <s v="Retail"/>
    <s v="Merch / Supply Chain"/>
    <s v="Merchandising &amp; Supply Chain"/>
    <m/>
    <s v="Australia"/>
  </r>
  <r>
    <m/>
    <s v="Vacant"/>
    <s v="Quality Assurance"/>
    <s v="Tracy Lee Reaper"/>
    <s v="Tech Manager, Merchandising &amp; WFM"/>
    <s v="Ampol Retail &amp; Z"/>
    <s v="Ampol Retail"/>
    <s v="Ampol Retail, Merch &amp; RTA"/>
    <s v="Retail"/>
    <s v="Merch / Supply Chain"/>
    <s v="Merchandising &amp; Supply Chain"/>
    <m/>
    <m/>
  </r>
  <r>
    <m/>
    <s v="Vacant"/>
    <s v="Engineer - Integration"/>
    <s v="Tracy Lee Reaper"/>
    <s v="Tech Manager, Merchandising &amp; WFM"/>
    <s v="Ampol Retail &amp; Z"/>
    <s v="Ampol Retail"/>
    <s v="Ampol Retail, Merch &amp; RTA"/>
    <s v="Retail"/>
    <s v="Merch / Supply Chain"/>
    <s v="Merchandising &amp; Supply Chain"/>
    <m/>
    <m/>
  </r>
  <r>
    <n v="7001"/>
    <s v="Joseph Maroun"/>
    <s v="Delivery Lead, Integrations"/>
    <s v="Tracy Lee Reaper"/>
    <s v="Tech Manager, Merchandising &amp; WFM"/>
    <s v="Ampol Retail &amp; Z"/>
    <s v="Ampol Retail"/>
    <s v="Ampol Retail, Merch &amp; RTA"/>
    <s v="Retail"/>
    <s v="Merch / Supply Chain"/>
    <s v="Merchandising &amp; Supply Chain"/>
    <m/>
    <s v="Australia"/>
  </r>
  <r>
    <n v="117167"/>
    <s v="Vijay Patel"/>
    <s v="Systems Analyst"/>
    <s v="Tracy Lee Reaper"/>
    <s v="Tech Manager, Merchandising &amp; WFM"/>
    <s v="Ampol Retail &amp; Z"/>
    <s v="Ampol Retail"/>
    <s v="Ampol Retail, Store Platforms"/>
    <s v="Retail"/>
    <s v="Pricing / WFM"/>
    <s v="Pricing &amp; WFM"/>
    <m/>
    <s v="Australia"/>
  </r>
  <r>
    <m/>
    <s v="Vacant"/>
    <s v="Quality Assurance"/>
    <s v="Tracy Lee Reaper"/>
    <s v="Tech Manager, Merchandising &amp; WFM"/>
    <s v="Ampol Retail &amp; Z"/>
    <s v="Ampol Retail"/>
    <s v="Ampol Retail, Merch &amp; RTA"/>
    <s v="Retail"/>
    <s v="Pricing / WFM"/>
    <s v="Pricing &amp; WFM"/>
    <m/>
    <m/>
  </r>
  <r>
    <n v="84413"/>
    <s v="Karthick Sathiyamoorthy"/>
    <s v="Quality Assurance"/>
    <s v="Vacant"/>
    <s v="Lead Quality Assurance"/>
    <s v="Ampol Retail &amp; Z"/>
    <s v="Ampol Retail"/>
    <s v="Ampol Retail, Store Platforms"/>
    <s v="Retail"/>
    <s v="AMPOS"/>
    <s v="AmPos"/>
    <m/>
    <s v="Australia"/>
  </r>
  <r>
    <n v="99999102104"/>
    <s v="Isuru Herath"/>
    <s v="Senior Engineer - Software"/>
    <s v="Vacant"/>
    <s v="Technology Manager, Engineering"/>
    <s v="Ampol Retail &amp; Z"/>
    <s v="Z &amp; Group Retail"/>
    <s v="Z &amp; Group Retail, Engineering"/>
    <s v="Z"/>
    <s v="Z Supply"/>
    <s v="Z Supply"/>
    <m/>
    <s v="NZ"/>
  </r>
  <r>
    <n v="99999101222"/>
    <s v="Malachi Ah Hoi"/>
    <s v="Senior Quality Assurance"/>
    <s v="Vacant"/>
    <s v="Technology Manager, Engineering"/>
    <s v="Ampol Retail &amp; Z"/>
    <s v="Z &amp; Group Retail"/>
    <s v="Z &amp; Group Retail, Engineering"/>
    <s v="Z"/>
    <s v="Z Customer"/>
    <s v="Z Retail Backend "/>
    <m/>
    <s v="NZ"/>
  </r>
  <r>
    <m/>
    <s v="Vacant"/>
    <s v="Delivery Manager"/>
    <s v="Vacant"/>
    <s v="Head of Technology, Z and Group Retail Platforms"/>
    <s v="Ampol Retail &amp; Z"/>
    <s v="Z &amp; Group Retail"/>
    <s v="Z &amp; Group Retail, Delivery"/>
    <s v="Z"/>
    <s v="Z Customer &amp; Z Supply"/>
    <s v="Leadership"/>
    <m/>
    <m/>
  </r>
  <r>
    <m/>
    <s v="Vacant"/>
    <s v="Quality Assurance"/>
    <s v="Vacant"/>
    <s v="Technology Manager, Engineering"/>
    <s v="Ampol Retail &amp; Z"/>
    <s v="Z &amp; Group Retail"/>
    <s v="Z &amp; Group Retail, Engineering"/>
    <s v="Z"/>
    <s v="Z Supply"/>
    <s v="Z Supply"/>
    <m/>
    <m/>
  </r>
  <r>
    <m/>
    <s v="Vacant"/>
    <s v="Systems Analyst"/>
    <s v="Vacant"/>
    <s v="Technology Manager, Retail"/>
    <s v="Ampol Retail &amp; Z"/>
    <s v="Ampol Retail"/>
    <s v="Ampol Retail, Technology"/>
    <s v="Retail"/>
    <s v="Network/QSR"/>
    <s v="Network &amp; QSR"/>
    <m/>
    <m/>
  </r>
  <r>
    <m/>
    <s v="Emma Natoli"/>
    <s v="Technology Manager, Engineering"/>
    <s v="Vacant"/>
    <s v="Head of Technology, Z and Group Retail Platforms"/>
    <s v="Ampol Retail &amp; Z"/>
    <s v="Z &amp; Group Retail"/>
    <s v="Z &amp; Group Retail, Engineering"/>
    <s v="Z"/>
    <s v="Z Customer &amp; Z Supply"/>
    <s v="Leadership"/>
    <m/>
    <s v="NZ"/>
  </r>
  <r>
    <n v="98007"/>
    <s v="Sendhil Vinayagam (75% EGI)"/>
    <s v="Solution Architect"/>
    <s v="Vacant"/>
    <s v="Technology Manager, Retail"/>
    <s v="Ampol Retail &amp; Z"/>
    <s v="Ampol Retail"/>
    <s v="Ampol Retail, Technology"/>
    <s v="EGI Integration"/>
    <s v="EGI"/>
    <s v="EGI Retail"/>
    <m/>
    <s v="Australia"/>
  </r>
  <r>
    <m/>
    <s v="Vacant"/>
    <s v="Delivery Lead"/>
    <s v="Vacant"/>
    <s v="Delivery Manager, Z and Retail Data"/>
    <s v="Ampol Retail &amp; Z"/>
    <s v="Z &amp; Group Retail"/>
    <s v="Z &amp; Group Retail, Delivery"/>
    <s v="Z"/>
    <s v="Z Customer &amp; Z Supply"/>
    <s v="Data - NZ"/>
    <m/>
    <m/>
  </r>
  <r>
    <n v="99999101426"/>
    <s v="Trevor Weaver"/>
    <s v="Lead  Engineer - Software"/>
    <s v="Vacant"/>
    <s v="Technology Manager, Engineering"/>
    <s v="Ampol Retail &amp; Z"/>
    <s v="Z &amp; Group Retail"/>
    <s v="Z &amp; Group Retail, Engineering"/>
    <s v="Z"/>
    <s v="Z Customer"/>
    <s v="Z Retail Backend"/>
    <m/>
    <s v="NZ"/>
  </r>
  <r>
    <n v="9999970029518"/>
    <s v="Anne Pretorius"/>
    <s v="Lead Business Analyst"/>
    <s v="Vacant"/>
    <s v="Delivery Manager, Z and Retail Data"/>
    <s v="Ampol Retail &amp; Z"/>
    <s v="Z &amp; Group Retail"/>
    <s v="Z &amp; Group Retail, Delivery"/>
    <s v="EGI Integration"/>
    <s v="EGI"/>
    <s v="EGI"/>
    <m/>
    <s v="NZ"/>
  </r>
  <r>
    <n v="4259"/>
    <s v="Ephraim Adan"/>
    <s v="Manager - AU Retail Operations"/>
    <s v="Vacant"/>
    <s v="Technology Manager, Retail"/>
    <s v="Ampol Retail &amp; Z"/>
    <s v="Ampol Retail"/>
    <s v="Ampol Retail, Technology"/>
    <s v="Retail"/>
    <s v="Store Operations"/>
    <s v="Retail Operations"/>
    <m/>
    <s v="Australia"/>
  </r>
  <r>
    <n v="111835"/>
    <s v="Matthew Patane"/>
    <s v="Release &amp; Deployment Manager"/>
    <s v="Vacant"/>
    <s v="Technology Manager, Retail"/>
    <s v="Ampol Retail &amp; Z"/>
    <s v="Ampol Retail"/>
    <s v="Ampol Retail, Technology"/>
    <s v="Retail"/>
    <s v="Store Operations"/>
    <s v="Deployment "/>
    <m/>
    <s v="Australia"/>
  </r>
  <r>
    <n v="99999101647"/>
    <s v="Ash Muthumala"/>
    <s v="Senior QA Analyst"/>
    <s v="Vacant"/>
    <s v="Technology Manager, Data"/>
    <s v="Ampol Retail &amp; Z"/>
    <s v="Z &amp; Group Retail"/>
    <s v="Delivery, Commercial Fuels"/>
    <s v="Z"/>
    <s v="Z Customer &amp; Z Supply"/>
    <s v="Data - NZ"/>
    <m/>
    <s v="NZ"/>
  </r>
  <r>
    <n v="91356"/>
    <s v="Javier Aguirre Castellanos"/>
    <s v="Solution Architect"/>
    <s v="Vacant"/>
    <s v="Technology Manager, Retail"/>
    <s v="Ampol Retail &amp; Z"/>
    <s v="Ampol Retail"/>
    <s v="Ampol Retail, Technology"/>
    <s v="Retail"/>
    <s v="Network/QSR"/>
    <s v="Network &amp; QSR"/>
    <m/>
    <s v="Australia"/>
  </r>
  <r>
    <m/>
    <s v="Vacant"/>
    <s v="Data Analyst"/>
    <s v="Vacant"/>
    <s v="Technology Manager, Data"/>
    <s v="Ampol Retail &amp; Z"/>
    <s v="Z &amp; Group Retail"/>
    <s v="Z &amp; Group Retail, Data"/>
    <s v="Retail"/>
    <s v="(All Retail)"/>
    <s v="Data - AU"/>
    <m/>
    <m/>
  </r>
  <r>
    <n v="99999101214"/>
    <s v="Anna Koot"/>
    <s v="Senior Business Analyst"/>
    <s v="Vacant"/>
    <s v="Delivery Manager, Z and Retail Data"/>
    <s v="Ampol Retail &amp; Z"/>
    <s v="Z &amp; Group Retail"/>
    <s v="Z &amp; Group Retail, Delivery"/>
    <s v="Z"/>
    <s v="Z Supply"/>
    <s v="Z Supply"/>
    <m/>
    <s v="NZ"/>
  </r>
  <r>
    <m/>
    <s v="Manjot Kaur Malli "/>
    <s v="Technology Manager, Data"/>
    <s v="Vacant"/>
    <s v="Head of Technology, Z and Group Retail Platforms"/>
    <s v="Ampol Retail &amp; Z"/>
    <s v="Z &amp; Group Retail"/>
    <s v="Z &amp; Group Retail, Data"/>
    <s v="Z"/>
    <s v="Z Customer &amp; Z Supply"/>
    <s v="Merchandising &amp; Supply Chain"/>
    <m/>
    <s v="Australia"/>
  </r>
  <r>
    <n v="114990"/>
    <s v="Zhan Zhang"/>
    <s v="Solution Architect"/>
    <s v="Vacant"/>
    <s v="Technology Manager, Retail"/>
    <s v="Ampol Retail &amp; Z"/>
    <s v="Ampol Retail"/>
    <s v="Ampol Retail, Technology"/>
    <s v="Retail"/>
    <s v="Merch / Supply Chain"/>
    <s v="Merchandising &amp; Supply Chain"/>
    <m/>
    <s v="Australia"/>
  </r>
  <r>
    <n v="99999101233"/>
    <s v="Chris Wilson"/>
    <s v="Solution Architect"/>
    <s v="Vacant"/>
    <s v="Technology Manager,  Site Systems"/>
    <s v="Ampol Retail &amp; Z"/>
    <s v="Z &amp; Group Retail"/>
    <s v="Z &amp; Group Retail, Site Systems"/>
    <s v="Z"/>
    <s v="Z Customer"/>
    <s v="Merchandising &amp; Supply Chain"/>
    <m/>
    <s v="NZ"/>
  </r>
  <r>
    <n v="99999102028"/>
    <s v="Lauren Lancaster"/>
    <s v="Associate Engineer - Software"/>
    <s v="Vacant"/>
    <s v="Technology Manager, Engineering"/>
    <s v="Ampol Retail &amp; Z"/>
    <s v="Z &amp; Group Retail"/>
    <s v="Z &amp; Group Retail, Engineering"/>
    <s v="Z"/>
    <s v="Z Customer"/>
    <s v="Merchandising &amp; Supply Chain"/>
    <m/>
    <s v="NZ"/>
  </r>
  <r>
    <n v="110388"/>
    <s v="Adrian Lueng"/>
    <s v="Quality Assurance"/>
    <s v="Vacant"/>
    <s v="Technology Manager, Retail"/>
    <s v="Ampol Retail &amp; Z"/>
    <s v="Ampol Retail"/>
    <s v="Ampol Retail, Technology"/>
    <s v="Retail"/>
    <s v="Network/QSR"/>
    <s v="Merchandising &amp; Supply Chain"/>
    <m/>
    <s v="Australia"/>
  </r>
  <r>
    <n v="86743"/>
    <s v="Majdi Abedi"/>
    <s v="Systems Analyst"/>
    <s v="Vacant"/>
    <s v="Tech Manager, Merchandising &amp; WFM"/>
    <s v="Ampol Retail &amp; Z"/>
    <s v="Ampol Retail"/>
    <s v="Ampol Retail, Merch &amp; RTA"/>
    <s v="Retail"/>
    <s v="Pricing / WFM"/>
    <s v="Merchandising &amp; Supply Chain"/>
    <m/>
    <s v="Australia"/>
  </r>
  <r>
    <n v="94420"/>
    <s v="Peter Nicolopoulos"/>
    <s v="Systems Analyst"/>
    <s v="Vacant"/>
    <s v="Technology Manager, Store Platform"/>
    <s v="Ampol Retail &amp; Z"/>
    <s v="Ampol Retail"/>
    <s v="Ampol  Retail, Store Platforms"/>
    <s v="Retail"/>
    <s v="AMPOS"/>
    <s v="Merchandising &amp; Supply Chain"/>
    <m/>
    <s v="Australia"/>
  </r>
  <r>
    <m/>
    <s v="Vacant"/>
    <s v="Data Analyst"/>
    <s v="Vacant"/>
    <s v="Technology Manager, Data"/>
    <s v="Ampol Retail &amp; Z"/>
    <s v="Z &amp; Group Retail"/>
    <s v="Z &amp; Group Retail, Data"/>
    <s v="Retail"/>
    <s v="(All Retail)"/>
    <s v="Merchandising &amp; Supply Chain"/>
    <m/>
    <m/>
  </r>
  <r>
    <n v="99999101542"/>
    <s v="Joe Kuttikkatt"/>
    <s v="Senior Quality Assurance"/>
    <s v="Vacant"/>
    <s v="Technology Manager, Engineering"/>
    <s v="Ampol Retail &amp; Z"/>
    <s v="Z &amp; Group Retail"/>
    <s v="Z &amp; Group Retail, Engineering"/>
    <s v="Z"/>
    <s v="Energy Solutions"/>
    <s v="Merchandising &amp; Supply Chain"/>
    <m/>
    <s v="NZ"/>
  </r>
  <r>
    <m/>
    <s v="Vacant"/>
    <s v="Engineer - Data"/>
    <s v="Vacant"/>
    <s v="Technology Manager, Data"/>
    <s v="Ampol Retail &amp; Z"/>
    <s v="Z &amp; Group Retail"/>
    <s v="Z &amp; Group Retail, Data"/>
    <s v="Z"/>
    <s v="Z Customer &amp; Z Supply"/>
    <s v="Merchandising &amp; Supply Chain"/>
    <m/>
    <m/>
  </r>
  <r>
    <n v="113783"/>
    <s v="Tabitha Raharadjo"/>
    <s v="Project Coordinator"/>
    <s v="Vacant"/>
    <s v="Delivery Manager, Ampol Retail"/>
    <s v="Ampol Retail &amp; Z"/>
    <s v="Z &amp; Group Retail"/>
    <s v="Ampol Retail, Delivery"/>
    <s v="Retail"/>
    <s v="AMPOS"/>
    <s v="AmPos"/>
    <m/>
    <s v="Australia"/>
  </r>
  <r>
    <n v="99999100418"/>
    <s v="Callan McLaughlin"/>
    <s v="Technology Manager, Site Systems"/>
    <s v="Vacant"/>
    <s v="Head of Technology, Z and Group Retail Platforms"/>
    <s v="Ampol Retail &amp; Z"/>
    <s v="Z &amp; Group Retail"/>
    <s v="Z &amp; Group Retail, Site Systems"/>
    <s v="Z"/>
    <s v="Z Customer &amp; Z Supply"/>
    <s v="Leadership"/>
    <m/>
    <s v="NZ"/>
  </r>
  <r>
    <m/>
    <s v="Vacant"/>
    <s v="Systems Analyst"/>
    <s v="Vacant"/>
    <s v="Technology Manager, Store Platform"/>
    <s v="Ampol Retail &amp; Z"/>
    <s v="Ampol Retail"/>
    <s v="Ampol  Retail, Store Platforms"/>
    <s v="Retail"/>
    <s v="Store Operations"/>
    <s v="Payments"/>
    <m/>
    <m/>
  </r>
  <r>
    <n v="99999101620"/>
    <s v="Johanah Gloria"/>
    <s v="Engineer - Software"/>
    <s v="Vacant"/>
    <s v="Technology Manager, Engineering"/>
    <s v="Ampol Retail &amp; Z"/>
    <s v="Z &amp; Group Retail"/>
    <s v="Z &amp; Group Retail, Engineering"/>
    <s v="Z"/>
    <s v="Z Supply"/>
    <s v="Z Supply"/>
    <m/>
    <s v="NZ"/>
  </r>
  <r>
    <m/>
    <s v="Vacant"/>
    <s v="Release &amp; Environments Manager"/>
    <s v="Vacant"/>
    <s v="Lead Quality Assurance"/>
    <s v="Ampol Retail &amp; Z"/>
    <s v="Ampol Retail"/>
    <s v="Ampol Retail, Store Platforms"/>
    <s v="Retail"/>
    <s v="AMPOS"/>
    <s v="AmPos"/>
    <m/>
    <m/>
  </r>
  <r>
    <m/>
    <s v="Vacant"/>
    <s v="Lead Quality Assurance"/>
    <s v="Vacant"/>
    <s v="Technology Manager, Store Platform"/>
    <s v="Ampol Retail &amp; Z"/>
    <s v="Ampol Retail"/>
    <s v="Ampol  Retail, Store Platforms"/>
    <s v="Retail"/>
    <s v="Store Operations"/>
    <s v="POS"/>
    <m/>
    <m/>
  </r>
  <r>
    <m/>
    <s v="Vacant"/>
    <s v="Systems Analyst"/>
    <s v="Vacant"/>
    <s v="Tech Manager, Merchandising &amp; WFM"/>
    <s v="Ampol Retail &amp; Z"/>
    <s v="Ampol Retail"/>
    <s v="Ampol Retail, Merch &amp; RTA"/>
    <s v="Retail"/>
    <s v="Pricing / WFM"/>
    <s v="Pricing &amp; WFM"/>
    <m/>
    <m/>
  </r>
  <r>
    <m/>
    <s v="Vacant"/>
    <s v="Systems Analyst"/>
    <s v="Vacant"/>
    <s v="Technology Manager, Store Platform"/>
    <s v="Ampol Retail &amp; Z"/>
    <s v="Ampol Retail"/>
    <s v="Ampol  Retail, Store Platforms"/>
    <s v="Retail"/>
    <s v="Store Operations"/>
    <s v="POS   "/>
    <m/>
    <m/>
  </r>
  <r>
    <m/>
    <s v="Vacant"/>
    <s v="Delivery Lead"/>
    <s v="Vacant"/>
    <s v="Delivery Manager, Z and Retail Data"/>
    <s v="Ampol Retail &amp; Z"/>
    <s v="Z &amp; Group Retail"/>
    <s v="Z &amp; Group Retail, Delivery"/>
    <s v="Retail"/>
    <s v="(All Retail)"/>
    <s v="Data - AU"/>
    <m/>
    <m/>
  </r>
  <r>
    <n v="99999101668"/>
    <s v="McKenzie Tournquist"/>
    <s v="Data Analyst"/>
    <s v="Vacant"/>
    <s v="Technology Manager, Data"/>
    <s v="Ampol Retail &amp; Z"/>
    <s v="Z &amp; Group Retail"/>
    <s v="Z &amp; Group Retail, Data"/>
    <s v="Z"/>
    <s v="Z Customer &amp; Z Supply"/>
    <s v="Data - NZ"/>
    <m/>
    <s v="NZ"/>
  </r>
  <r>
    <m/>
    <s v="Vacant"/>
    <s v="Lead Quality Assurance"/>
    <s v="Vacant"/>
    <s v="Technology Manager, Engineering"/>
    <s v="Ampol Retail &amp; Z"/>
    <s v="Z &amp; Group Retail"/>
    <s v="Z &amp; Group Retail, Engineering"/>
    <s v="Z"/>
    <s v="Z Customer"/>
    <s v="Z Retail Backend "/>
    <m/>
    <m/>
  </r>
  <r>
    <n v="99999102123"/>
    <s v="Jodie Marquez"/>
    <s v="Data Analyst"/>
    <s v="Vacant"/>
    <s v="Technology Manager, Data"/>
    <s v="Ampol Retail &amp; Z"/>
    <s v="Z &amp; Group Retail"/>
    <s v="Z &amp; Group Retail, Data"/>
    <s v="Z"/>
    <s v="Z Customer &amp; Z Supply"/>
    <s v="Data - NZ"/>
    <m/>
    <s v="NZ"/>
  </r>
  <r>
    <n v="9999922690"/>
    <s v="Tim Gurnsey"/>
    <s v="Delivery Lead"/>
    <s v="Vacant"/>
    <s v="Delivery Manager, Z and Retail Data"/>
    <s v="Ampol Retail &amp; Z"/>
    <s v="Z &amp; Group Retail"/>
    <s v="Z &amp; Group Retail, Delivery"/>
    <s v="Z"/>
    <s v="Z Customer"/>
    <s v="Site Systems"/>
    <m/>
    <s v="NZ"/>
  </r>
  <r>
    <n v="97847"/>
    <s v="Beenu Murali"/>
    <s v="Quality Assurance"/>
    <s v="Vacant"/>
    <s v="Lead Quality Assurance"/>
    <s v="Ampol Retail &amp; Z"/>
    <s v="Ampol Retail"/>
    <s v="Ampol Retail, Store Platforms"/>
    <s v="Retail"/>
    <s v="Store Operations"/>
    <s v="Payments"/>
    <m/>
    <s v="Australia"/>
  </r>
  <r>
    <m/>
    <s v="Vacant"/>
    <s v="Support Analyst -Retail"/>
    <s v="Vacant"/>
    <s v="Technology Manager, Store Platform"/>
    <s v="Ampol Retail &amp; Z"/>
    <s v="Ampol Retail"/>
    <s v="Ampol  Retail, Store Platforms"/>
    <s v="Retail"/>
    <s v="Store Operations"/>
    <s v="Retail Operations"/>
    <m/>
    <m/>
  </r>
  <r>
    <n v="8904"/>
    <s v="Vedran Jukic"/>
    <s v="Technology Manager, Retail"/>
    <s v="Vacant"/>
    <s v="Head of Technology,  Ampol Retail"/>
    <s v="Ampol Retail &amp; Z"/>
    <s v="Ampol Retail"/>
    <s v="Ampol Retail, Technology"/>
    <s v="Retail"/>
    <s v="Store Operations, Network &amp; QSR, Deployment"/>
    <s v="Leadership"/>
    <m/>
    <s v="Australia"/>
  </r>
  <r>
    <n v="0"/>
    <s v="Kanti Hirani"/>
    <s v="Business Analyst (PEP13 UK)"/>
    <s v="Vacant"/>
    <s v="Delivery Manager, Ampol Retail"/>
    <s v="Ampol Retail &amp; Z"/>
    <s v="Ampol Retail"/>
    <s v="Delivery, Commercial Fuels"/>
    <s v="EGI Integration"/>
    <s v="EGI"/>
    <s v="EGI"/>
    <m/>
    <n v="0"/>
  </r>
  <r>
    <n v="99999102110"/>
    <s v="Eugene Yeo"/>
    <s v="Engineer - DevOps"/>
    <s v="Vacant"/>
    <s v="Technology Manager, Engineering"/>
    <s v="Ampol Retail &amp; Z"/>
    <s v="Z &amp; Group Retail"/>
    <s v="Delivery, Commercial Fuels"/>
    <s v="Z"/>
    <s v="Z Supply"/>
    <s v="Z Supply"/>
    <m/>
    <s v="NZ"/>
  </r>
  <r>
    <n v="99999101959"/>
    <s v="Brian Lai"/>
    <s v="Engineer - Data"/>
    <s v="Vacant"/>
    <s v="Technology Manager, Data"/>
    <s v="Ampol Retail &amp; Z"/>
    <s v="Z &amp; Group Retail"/>
    <s v="Technology, CF Engineering"/>
    <s v="Z"/>
    <s v="Z Customer &amp; Z Supply"/>
    <s v="Data - NZ"/>
    <m/>
    <s v="NZ"/>
  </r>
  <r>
    <n v="99999100476"/>
    <s v="Kelly Russell"/>
    <s v="Lead Quality Assurance"/>
    <s v="Vacant"/>
    <s v="Technology Manager,  Site Systems"/>
    <s v="Ampol Retail &amp; Z"/>
    <s v="Z &amp; Group Retail"/>
    <s v="Technology, CF Engineering"/>
    <s v="Z"/>
    <s v="Z Customer"/>
    <s v="Site Systems"/>
    <m/>
    <s v="NZ"/>
  </r>
  <r>
    <m/>
    <s v="Vacant"/>
    <s v="Engineer - Data"/>
    <s v="Vacant"/>
    <s v="Technology Manager, Data"/>
    <s v="Ampol Retail &amp; Z"/>
    <s v="Z &amp; Group Retail"/>
    <s v="Z &amp; Group Retail, Data"/>
    <s v="Retail"/>
    <s v="(All Retail)"/>
    <s v="Data - AU"/>
    <m/>
    <m/>
  </r>
  <r>
    <n v="99999101333"/>
    <s v="Benjamin Sheffield"/>
    <s v="Lead Engineer - Software"/>
    <s v="Vacant"/>
    <s v="Technology Manager, Engineering"/>
    <s v="Ampol Retail &amp; Z"/>
    <s v="Z &amp; Group Retail"/>
    <s v="Z &amp; Group Retail, Engineering"/>
    <s v="Z"/>
    <s v="Z Supply"/>
    <s v="Z Supply"/>
    <m/>
    <s v="NZ"/>
  </r>
  <r>
    <n v="99999170431"/>
    <s v="Mark Dickson"/>
    <s v="Delivery Lead"/>
    <s v="Vacant"/>
    <s v="Delivery Manager, Z and Retail Data"/>
    <s v="Ampol Retail &amp; Z"/>
    <s v="Z &amp; Group Retail"/>
    <s v="Z &amp; Group Retail, Delivery"/>
    <s v="Z"/>
    <s v="Z Customer"/>
    <s v="Z Retail Backend"/>
    <m/>
    <s v="NZ"/>
  </r>
  <r>
    <n v="99999101533"/>
    <s v="Adrian Alcance"/>
    <s v="Senior Engineer - DevOps"/>
    <s v="Vacant"/>
    <s v="Technology Manager, Engineering"/>
    <s v="Ampol Retail &amp; Z"/>
    <s v="Z &amp; Group Retail"/>
    <s v="Z &amp; Group Retail, Engineering"/>
    <s v="Z"/>
    <s v="Z Customer"/>
    <s v="Z Retail Backend "/>
    <m/>
    <s v="NZ"/>
  </r>
  <r>
    <n v="99999101548"/>
    <s v="Allana Arbuckle"/>
    <s v="Business Analyst"/>
    <s v="Vacant"/>
    <s v="Delivery Manager, Z and Retail Data"/>
    <s v="Ampol Retail &amp; Z"/>
    <s v="Z &amp; Group Retail"/>
    <s v="Z &amp; Group Retail, Delivery"/>
    <s v="Z"/>
    <s v="Z Customer"/>
    <s v="Z Retail Backend "/>
    <m/>
    <s v="NZ"/>
  </r>
  <r>
    <m/>
    <s v="Vacant"/>
    <s v="Engineer - Data"/>
    <s v="Vacant"/>
    <s v="Technology Manager, Data"/>
    <s v="Ampol Retail &amp; Z"/>
    <s v="Z &amp; Group Retail"/>
    <s v="Z &amp; Group Retail, Data"/>
    <s v="Retail"/>
    <s v="(All Retail)"/>
    <s v="Data - AU"/>
    <m/>
    <m/>
  </r>
  <r>
    <n v="99999102111"/>
    <s v="Gayan Liyana Arachchige"/>
    <s v="Engineer - DevOps"/>
    <s v="Vacant"/>
    <s v="Technology Manager, Engineering"/>
    <s v="Ampol Retail &amp; Z"/>
    <s v="Z &amp; Group Retail"/>
    <s v="Z &amp; Group Retail, Engineering"/>
    <s v="Z"/>
    <s v="Z Supply"/>
    <s v="Z Supply"/>
    <m/>
    <s v="NZ"/>
  </r>
  <r>
    <m/>
    <s v="Vacant"/>
    <s v="Quality Assurance"/>
    <s v="Vacant"/>
    <s v="Lead Quality Assurance"/>
    <s v="Ampol Retail &amp; Z"/>
    <s v="Ampol Retail"/>
    <s v="Ampol Retail, Store Platforms"/>
    <s v="Retail"/>
    <s v="AMPOS"/>
    <s v="AmPos"/>
    <m/>
    <m/>
  </r>
  <r>
    <m/>
    <s v="Vacant"/>
    <s v="Engineer - Software"/>
    <s v="Vacant"/>
    <s v="Technology Manager, Engineering"/>
    <s v="Ampol Retail &amp; Z"/>
    <s v="Z &amp; Group Retail"/>
    <s v="Z &amp; Group Retail, Engineering"/>
    <s v="Z"/>
    <s v="Z Customer"/>
    <s v="Z Retail Backend "/>
    <m/>
    <m/>
  </r>
  <r>
    <n v="99999100699"/>
    <s v="Helen Jones"/>
    <s v="Delivery Lead"/>
    <s v="Vacant"/>
    <s v="Delivery Manager, Z and Retail Data"/>
    <s v="Ampol Retail &amp; Z"/>
    <s v="Z &amp; Group Retail"/>
    <s v="Z &amp; Group Retail, Delivery"/>
    <s v="Z"/>
    <s v="Z Supply"/>
    <s v="Z Supply"/>
    <m/>
    <s v="NZ"/>
  </r>
  <r>
    <n v="104050"/>
    <s v="Violeta Trajkovski"/>
    <s v="Deployment Coordinator"/>
    <s v="Vacant"/>
    <s v="Release &amp; Deployment Manager"/>
    <s v="Ampol Retail &amp; Z"/>
    <s v="Ampol Retail"/>
    <s v="Ampol Retail, Technology"/>
    <s v="Retail"/>
    <s v="Store Operations"/>
    <s v="Deployment"/>
    <m/>
    <s v="Australia"/>
  </r>
  <r>
    <n v="99999101623"/>
    <s v="Michael Dasan"/>
    <s v="Engineer - Data"/>
    <s v="Vacant"/>
    <s v="Technology Manager, Data"/>
    <s v="Ampol Retail &amp; Z"/>
    <s v="Z &amp; Group Retail"/>
    <s v="Z &amp; Group Retail, Data"/>
    <s v="Z"/>
    <s v="Z Customer &amp; Z Supply"/>
    <s v="Data - NZ"/>
    <m/>
    <s v="NZ"/>
  </r>
  <r>
    <m/>
    <s v="Vacant"/>
    <s v="Quality Assurance"/>
    <s v="Vacant"/>
    <s v="Lead Quality Assurance"/>
    <s v="Ampol Retail &amp; Z"/>
    <s v="Ampol Retail"/>
    <s v="Ampol Retail, Store Platforms"/>
    <s v="Retail"/>
    <s v="AMPOS"/>
    <s v="AmPos"/>
    <m/>
    <m/>
  </r>
  <r>
    <m/>
    <s v="Vacant"/>
    <s v="Quality Assurance"/>
    <s v="Vacant"/>
    <s v="Lead Quality Assurance"/>
    <s v="Ampol Retail &amp; Z"/>
    <s v="Ampol Retail"/>
    <s v="Ampol Retail, Store Platforms"/>
    <s v="Retail"/>
    <s v="AMPOS"/>
    <s v="AmPos"/>
    <m/>
    <m/>
  </r>
  <r>
    <m/>
    <s v="Vacant"/>
    <s v="Engineer - Data"/>
    <s v="Vacant"/>
    <s v="Technology Manager, Data"/>
    <s v="Ampol Retail &amp; Z"/>
    <s v="Z &amp; Group Retail"/>
    <s v="Z &amp; Group Retail, Data"/>
    <s v="Retail"/>
    <s v="(All Retail)"/>
    <s v="Data - AU"/>
    <m/>
    <m/>
  </r>
  <r>
    <n v="0"/>
    <s v="Viren Khatri"/>
    <s v="Data Migration Lead"/>
    <s v="Vacant"/>
    <s v="Technology Manager, Data"/>
    <s v="Ampol Retail &amp; Z"/>
    <s v="Z &amp; Group Retail"/>
    <s v="Z &amp; Group Retail, Data"/>
    <s v="EGI Integration"/>
    <s v="EGI"/>
    <s v="EGI TDD"/>
    <m/>
    <n v="0"/>
  </r>
  <r>
    <n v="85137"/>
    <s v="Mick Standen"/>
    <s v="Systems Analyst"/>
    <s v="Vaishnavi Viswanathan"/>
    <s v="Technology Manager, Store Platform"/>
    <s v="Ampol Retail &amp; Z"/>
    <s v="Ampol Retail"/>
    <s v="Ampol  Retail, Store Platforms"/>
    <s v="Retail"/>
    <s v="AMPOS"/>
    <s v="AmPos"/>
    <m/>
    <s v="Australia"/>
  </r>
  <r>
    <m/>
    <s v="Vacant"/>
    <s v="Engineer Integration"/>
    <s v="Vaishnavi Viswanathan"/>
    <s v="Technology Manager, Store Platform"/>
    <s v="Ampol Retail &amp; Z"/>
    <s v="Ampol Retail"/>
    <s v="Ampol  Retail, Store Platforms"/>
    <s v="Retail"/>
    <s v="Store Operations"/>
    <s v="POS, Payments"/>
    <m/>
    <m/>
  </r>
  <r>
    <n v="85321"/>
    <s v="Karthikeyan Kuppan"/>
    <s v="Lead - AU Retail Operations"/>
    <s v="Vaishnavi Viswanathan"/>
    <s v="Technology Manager, Store Platform"/>
    <s v="Ampol Retail &amp; Z"/>
    <s v="Ampol Retail"/>
    <s v="Ampol  Retail, Store Platforms"/>
    <s v="Retail"/>
    <s v="Store Operations"/>
    <s v="Retail Operations"/>
    <m/>
    <s v="Australia"/>
  </r>
  <r>
    <n v="114003"/>
    <s v="Sayan Kar"/>
    <s v="Systems Analyst"/>
    <s v="Vaishnavi Viswanathan"/>
    <s v="Technology Manager, Store Platform"/>
    <s v="Ampol Retail &amp; Z"/>
    <s v="Ampol Retail"/>
    <s v="Ampol  Retail, Store Platforms"/>
    <s v="Retail"/>
    <s v="Store Operations"/>
    <s v="Payments"/>
    <m/>
    <s v="Australia"/>
  </r>
  <r>
    <n v="99999101804"/>
    <s v="Kate Johnstone"/>
    <s v="Program Manager POS"/>
    <s v="Vance Anderson"/>
    <s v="GM TDD, Ampol Retail &amp; Z"/>
    <s v="Ampol Retail &amp; Z"/>
    <s v="Program Management"/>
    <m/>
    <s v="Retail"/>
    <s v="AMPOS"/>
    <s v="AmPos"/>
    <m/>
    <s v="NZ"/>
  </r>
  <r>
    <n v="110852"/>
    <s v="Madan Murthy"/>
    <s v="Head of Technology, AU Retail"/>
    <s v="Vance Anderson"/>
    <s v="GM TDD, Ampol Retail &amp; Z"/>
    <s v="Ampol Retail &amp; Z"/>
    <s v="Ampol Retail"/>
    <s v="na"/>
    <s v="Retail"/>
    <s v="(All Retail)"/>
    <s v="Merchandising &amp; Supply Chain"/>
    <m/>
    <s v="Australia"/>
  </r>
  <r>
    <m/>
    <s v="Vacant"/>
    <s v="Head of Technology, Z and Group Retail Platforms"/>
    <s v="Vance Anderson"/>
    <s v="GM TDD, Ampol Retail &amp; Z"/>
    <s v="Ampol Retail &amp; Z"/>
    <s v="Z &amp; Group Retail"/>
    <s v="Delivery, Commercial Fuels"/>
    <s v="Z"/>
    <s v="Z Customer &amp; Z Supply"/>
    <s v="Leadership"/>
    <m/>
    <m/>
  </r>
  <r>
    <n v="0"/>
    <s v="Alex Prakhiy"/>
    <s v="Business Analyst"/>
    <s v="Vanessa Allen"/>
    <s v="Delivery Manager, Ampol Retail"/>
    <s v="Ampol Retail &amp; Z"/>
    <s v="Ampol Retail"/>
    <s v="Ampol Retail, Delivery"/>
    <s v="EGI Integration"/>
    <s v="EGI"/>
    <s v="EGI"/>
    <m/>
    <n v="0"/>
  </r>
  <r>
    <n v="0"/>
    <s v="Bhaskar Nandi"/>
    <s v="Business Analyst"/>
    <s v="Vanessa Allen"/>
    <s v="Delivery Manager, Ampol Retail"/>
    <s v="Ampol Retail &amp; Z"/>
    <s v="Ampol Retail"/>
    <s v="Ampol Retail, Delivery"/>
    <s v="EGI Integration"/>
    <s v="EGI"/>
    <s v="EGI"/>
    <m/>
    <n v="0"/>
  </r>
  <r>
    <m/>
    <s v="Vacant"/>
    <s v="Delivery Lead"/>
    <s v="Vanessa Allen"/>
    <s v="Delivery Manager, Ampol Retail"/>
    <s v="Ampol Retail &amp; Z"/>
    <s v="Ampol Retail"/>
    <s v="Ampol Retail, Delivery"/>
    <s v="Retail"/>
    <s v="Pricing / WFM"/>
    <s v="Pricing &amp; WFM"/>
    <m/>
    <m/>
  </r>
  <r>
    <n v="110704"/>
    <s v="Irfan Zavahir"/>
    <s v="Delivery Lead"/>
    <s v="Vanessa Allen"/>
    <s v="Delivery Manager, Ampol Retail"/>
    <s v="Ampol Retail &amp; Z"/>
    <s v="Ampol Retail"/>
    <s v="Ampol Retail, Delivery"/>
    <s v="Retail"/>
    <s v="AMPOS"/>
    <s v="AmPos"/>
    <m/>
    <s v="Australia"/>
  </r>
  <r>
    <m/>
    <s v="Vacant"/>
    <s v="Business Analyst"/>
    <s v="Vanessa Allen"/>
    <s v="Delivery Manager, Ampol Retail"/>
    <s v="Ampol Retail &amp; Z"/>
    <s v="Ampol Retail"/>
    <s v="Ampol Retail, Delivery"/>
    <s v="Retail"/>
    <s v="Store Operations"/>
    <s v="Merchandising &amp; Supply Chain"/>
    <m/>
    <m/>
  </r>
  <r>
    <m/>
    <s v="Vacant"/>
    <s v="Business Analyst"/>
    <s v="Vanessa Allen"/>
    <s v="Delivery Manager, Ampol Retail"/>
    <s v="Ampol Retail &amp; Z"/>
    <s v="Ampol Retail"/>
    <s v="Ampol Retail, Delivery"/>
    <s v="Retail"/>
    <s v="Pricing / WFM"/>
    <s v="Pricing &amp; WFM"/>
    <m/>
    <m/>
  </r>
  <r>
    <n v="97784"/>
    <s v="Balaji Murugan"/>
    <s v="Delivery Lead"/>
    <s v="Vanessa Allen"/>
    <s v="Delivery Manager, Ampol Retail"/>
    <s v="Ampol Retail &amp; Z"/>
    <s v="Ampol Retail"/>
    <s v="Ampol Retail, Delivery"/>
    <s v="Retail"/>
    <s v="AMPOS"/>
    <s v="AmPos"/>
    <m/>
    <s v="Australia"/>
  </r>
  <r>
    <m/>
    <s v="Vacant"/>
    <s v="Business Analyst"/>
    <s v="Vanessa Allen"/>
    <s v="Delivery Manager, Ampol Retail"/>
    <s v="Ampol Retail &amp; Z"/>
    <s v="Ampol Retail"/>
    <s v="Ampol Retail, Delivery"/>
    <s v="Retail"/>
    <s v="Trading &amp; Shipping"/>
    <s v="Network &amp; QSR"/>
    <m/>
    <m/>
  </r>
  <r>
    <m/>
    <s v="Vacant"/>
    <s v="Business Analyst"/>
    <s v="Vanessa Allen"/>
    <s v="Delivery Manager, Ampol Retail"/>
    <s v="Ampol Retail &amp; Z"/>
    <s v="Ampol Retail"/>
    <s v="Ampol Retail, Delivery"/>
    <s v="Retail"/>
    <s v="Merch / Supply Chain"/>
    <s v="Merchandising &amp; Supply Chain"/>
    <m/>
    <m/>
  </r>
  <r>
    <n v="115831"/>
    <s v="Venkat Kedharanathan"/>
    <s v="Senior Business Analyst"/>
    <s v="Vanessa Allen"/>
    <s v="Delivery Manager, Ampol Retail"/>
    <s v="Ampol Retail &amp; Z"/>
    <s v="Ampol Retail"/>
    <s v="Ampol Retail, Delivery"/>
    <s v="Retail"/>
    <s v="Store Operations"/>
    <s v="Payments"/>
    <m/>
    <s v="Australia"/>
  </r>
  <r>
    <n v="98158"/>
    <s v="Vanessa Trujillo Munoz"/>
    <s v="Delivery Lead"/>
    <s v="Vanessa Allen"/>
    <s v="Delivery Manager, Ampol Retail"/>
    <s v="Ampol Retail &amp; Z"/>
    <s v="Ampol Retail"/>
    <s v="Ampol Retail, Delivery"/>
    <s v="Retail"/>
    <s v="Network/QSR"/>
    <s v="Network &amp; QSR"/>
    <m/>
    <s v="Australia"/>
  </r>
  <r>
    <n v="114616"/>
    <s v="Marty O'Shea"/>
    <s v="Systems Analyst"/>
    <s v="Vedran Jukic"/>
    <s v="Technology Manager, Retail"/>
    <s v="Ampol Retail &amp; Z"/>
    <s v="Ampol Retail"/>
    <s v="Ampol Retail, Technology"/>
    <s v="Retail"/>
    <s v="Network/QSR"/>
    <s v="Network &amp; QSR"/>
    <m/>
    <s v="Australia"/>
  </r>
  <r>
    <n v="110197"/>
    <s v="Anthony Dumbrell"/>
    <s v="Technology &amp; Lab Specialist Stores"/>
    <s v="Vedran Jukic"/>
    <s v="Technology Manager, Retail"/>
    <s v="Ampol Retail &amp; Z"/>
    <s v="Ampol Retail"/>
    <s v="Ampol Retail, Technology"/>
    <s v="Retail"/>
    <s v="Store Operations"/>
    <s v="Deployment "/>
    <m/>
    <s v="Australia"/>
  </r>
  <r>
    <n v="107164"/>
    <s v="Santiago Hernandez Arevalo"/>
    <s v="Systems Analyst"/>
    <s v="Vedran Jukic"/>
    <s v="Technology Manager, Retail"/>
    <s v="Ampol Retail &amp; Z"/>
    <s v="Ampol Retail"/>
    <s v="Ampol Retail, Store Platforms"/>
    <s v="Retail"/>
    <s v="Network/QSR"/>
    <s v="Network &amp; QSR"/>
    <m/>
    <s v="Australia"/>
  </r>
  <r>
    <n v="95286"/>
    <s v="Navneet Singh"/>
    <s v="Solution Architect"/>
    <s v="Vedran Jukic"/>
    <s v="Technology Manager, Retail"/>
    <s v="Ampol Retail &amp; Z"/>
    <s v="Ampol Retail"/>
    <s v="Ampol Retail, Technology"/>
    <s v="EGI Integration"/>
    <s v="EGI"/>
    <s v="EGI Retail"/>
    <m/>
    <s v="Australia"/>
  </r>
  <r>
    <m/>
    <s v="Vacant"/>
    <s v="Engineer - Integration"/>
    <s v="Vedran Jukic"/>
    <s v="Technology Manager, Retail"/>
    <s v="Ampol Retail &amp; Z"/>
    <s v="Ampol Retail"/>
    <s v="Ampol Retail, Technology"/>
    <s v="Retail"/>
    <s v="Network/QSR"/>
    <s v="Network &amp; QSR"/>
    <m/>
    <m/>
  </r>
  <r>
    <m/>
    <s v="Vacant"/>
    <s v="Delivery Manager"/>
    <s v="Andy Stewart"/>
    <s v="Head of Technology, Loyalty &amp; Martech"/>
    <s v="Customer"/>
    <s v="Loyalty &amp; Martech"/>
    <s v="Loyalty, Delivery "/>
    <s v="Customer"/>
    <s v="Customer Z, Group Customer Platforms"/>
    <s v="Leadership"/>
    <m/>
    <m/>
  </r>
  <r>
    <n v="99999102079"/>
    <s v="Sam Turnball"/>
    <s v="Associate Experience Designer"/>
    <s v="Byron Thornhill"/>
    <s v="Design Manager"/>
    <s v="Customer"/>
    <s v="Digital"/>
    <s v="Digital, Design"/>
    <s v="Customer"/>
    <s v="Customer Z"/>
    <s v="Z Energy Apps"/>
    <m/>
    <s v="NZ"/>
  </r>
  <r>
    <n v="99999101676"/>
    <s v="Ants Jackson"/>
    <s v="Experience Designer"/>
    <s v="Byron Thornhill"/>
    <s v="Design Manager"/>
    <s v="Customer"/>
    <s v="Digital"/>
    <s v="Digital, Design"/>
    <s v="Customer"/>
    <s v="Customer Z"/>
    <s v="Z Energy Apps"/>
    <m/>
    <s v="NZ"/>
  </r>
  <r>
    <n v="98015"/>
    <s v="Ethan Laffan"/>
    <s v="Associate Experience Designer"/>
    <s v="Byron Thornhill"/>
    <s v="Design Manager"/>
    <s v="Customer"/>
    <s v="Digital"/>
    <s v="Digital, Design"/>
    <s v="Customer"/>
    <s v="Ampol Digital"/>
    <s v="Ampol App"/>
    <m/>
    <s v="Australia"/>
  </r>
  <r>
    <n v="113463"/>
    <s v="Alisha Allport"/>
    <s v="Principal Experience Designer"/>
    <s v="Byron Thornhill"/>
    <s v="Design Manager"/>
    <s v="Customer"/>
    <s v="Loyalty &amp; Martech"/>
    <s v="Digital, Design"/>
    <s v="Customer"/>
    <s v="Ampol Digital"/>
    <s v="Ampol App"/>
    <m/>
    <s v="Australia"/>
  </r>
  <r>
    <n v="99999101757"/>
    <s v="Tim Corin"/>
    <s v="Experience Designer"/>
    <s v="Byron Thornhill"/>
    <s v="Design Manager"/>
    <s v="Customer"/>
    <s v="Digital"/>
    <s v="Ampol Retail, Store Platforms"/>
    <s v="Customer"/>
    <s v="Customer Z"/>
    <s v="Z Energy Apps"/>
    <m/>
    <s v="NZ"/>
  </r>
  <r>
    <n v="116714"/>
    <s v="Maria Salman"/>
    <s v="Experience Designer"/>
    <s v="Byron Thornhill"/>
    <s v="Design Manager"/>
    <s v="Customer"/>
    <s v="Digital"/>
    <s v="Digital, Design"/>
    <s v="Customer"/>
    <s v="Ampol Digital"/>
    <s v="Ampol App"/>
    <m/>
    <s v="Australia"/>
  </r>
  <r>
    <n v="0"/>
    <s v="Adam Anticaglia"/>
    <s v="Experience Designer (CMS)"/>
    <s v="Byron Thornhill"/>
    <s v="Design Manager"/>
    <s v="Customer"/>
    <s v="Digital"/>
    <s v="Digital, Design"/>
    <s v="Customer"/>
    <s v="Ampol Digital"/>
    <s v="Ampol Web"/>
    <m/>
    <s v="Australia"/>
  </r>
  <r>
    <m/>
    <s v="Vacant"/>
    <s v="Program Manager"/>
    <s v="Harley Giles"/>
    <s v="GM TDD, Customer"/>
    <s v="Customer"/>
    <s v="Customer, PMO"/>
    <m/>
    <s v="Customer"/>
    <s v="Ampol Digital, Group Customer Platforms"/>
    <s v="Leadership"/>
    <m/>
    <m/>
  </r>
  <r>
    <n v="99999101543"/>
    <s v="Shona Paul"/>
    <s v="Head of Technology - Digital"/>
    <s v="Harley Giles"/>
    <s v="GM TDD, Customer"/>
    <s v="Customer"/>
    <s v="Digital"/>
    <m/>
    <s v="Customer"/>
    <s v="(All Customer)"/>
    <s v="Leadership"/>
    <m/>
    <s v="NZ"/>
  </r>
  <r>
    <m/>
    <s v="Vacant"/>
    <s v="engineer - BE"/>
    <s v="Khalid Mahmud"/>
    <s v="Lead Engineer - BE"/>
    <s v="Customer"/>
    <s v="Digital"/>
    <s v="Tech, Digital Engineering"/>
    <s v="Customer"/>
    <s v="Ampol Digital"/>
    <s v="Energy"/>
    <m/>
    <s v="Australia"/>
  </r>
  <r>
    <n v="98144"/>
    <s v="Angie Ng"/>
    <s v="Snr Engineer - BE"/>
    <s v="Khalid Mahmud"/>
    <s v="Lead Engineer - BE"/>
    <s v="Customer"/>
    <s v="Digital"/>
    <s v="Technology, T&amp;S Data"/>
    <s v="EGI Integration"/>
    <s v="EGI"/>
    <s v="EGI Customer"/>
    <m/>
    <s v="Australia"/>
  </r>
  <r>
    <n v="99999101672"/>
    <s v="Kaye Javier"/>
    <s v="QA Analyst"/>
    <s v="Kris Hamilton"/>
    <s v="Technology Manager, Loyalty &amp; Martech"/>
    <s v="Customer"/>
    <s v="Loyatly &amp; Martec"/>
    <s v="Loyalty, Tech"/>
    <s v="Customer"/>
    <s v="Customer Z"/>
    <s v="Z Energy Martech"/>
    <m/>
    <s v="NZ"/>
  </r>
  <r>
    <n v="99999101500"/>
    <s v="Bharat Talreja"/>
    <s v="Marketing Technology Lead"/>
    <s v="Kris Hamilton"/>
    <s v="Technology Manager, Loyalty &amp; Martech"/>
    <s v="Customer"/>
    <s v="Loyatly &amp; Martec"/>
    <s v="Loyalty, Tech"/>
    <s v="Customer"/>
    <s v="Customer Z"/>
    <s v="Z Energy Martech"/>
    <m/>
    <s v="NZ"/>
  </r>
  <r>
    <m/>
    <s v="Vacant"/>
    <s v="Solution Architect"/>
    <s v="Kris Hamilton"/>
    <s v="Technology Manager, Loyalty &amp; Martech"/>
    <s v="Customer"/>
    <s v="Loyatly &amp; Martec"/>
    <s v="Loyalty, Tech"/>
    <s v="Customer"/>
    <s v="Customer Z"/>
    <s v="Z Energy Martech"/>
    <m/>
    <m/>
  </r>
  <r>
    <n v="99999101633"/>
    <s v="Kishore Ganesan"/>
    <s v="Intermediate Quality Assurance"/>
    <s v="Kris Hamilton"/>
    <s v="Technology Manager, Loyalty &amp; Martech"/>
    <s v="Customer"/>
    <s v="Loyatly &amp; Martec"/>
    <s v="Loyalty, Tech"/>
    <s v="Customer"/>
    <s v="Customer Z"/>
    <s v="Z Energy Martech"/>
    <m/>
    <s v="NZ"/>
  </r>
  <r>
    <n v="99999101656"/>
    <s v="Carianne Monast"/>
    <s v="Martech Specialist"/>
    <s v="Kris Hamilton"/>
    <s v="Technology Manager, Loyalty &amp; Martech"/>
    <s v="Customer"/>
    <s v="Loyatly &amp; Martec"/>
    <s v="Loyalty, Tech"/>
    <s v="Customer"/>
    <s v="Customer Z"/>
    <s v="Z Energy Martech"/>
    <m/>
    <s v="NZ"/>
  </r>
  <r>
    <n v="97357"/>
    <s v="Daniel Arban"/>
    <s v="Service Delivery Lead"/>
    <s v="Mark Wilson"/>
    <s v="Digital Support Manager(AU)"/>
    <s v="Customer"/>
    <s v="Digital"/>
    <s v="Digital Support (AU)"/>
    <s v="Customer"/>
    <s v="Ampol Digital"/>
    <s v="Digital Ops Support"/>
    <m/>
    <s v="Australia"/>
  </r>
  <r>
    <n v="106200"/>
    <s v="Emile Violi"/>
    <s v="Engineer - BE"/>
    <s v="Mark Wilson"/>
    <s v="Digital Support Manager(AU)"/>
    <s v="Customer"/>
    <s v="Digital"/>
    <s v="Digital Support (AU)"/>
    <s v="Customer"/>
    <s v="Ampol Digital"/>
    <s v="Digital Ops Support"/>
    <m/>
    <s v="Australia"/>
  </r>
  <r>
    <n v="116957"/>
    <s v="Raj Ganesan"/>
    <s v="Engineer - Mobile (ios)"/>
    <s v="Mitesh Shah"/>
    <s v="Technology Manager, Digitial"/>
    <s v="Customer"/>
    <s v="Digital"/>
    <s v="Tech, Digital"/>
    <s v="Customer"/>
    <s v="Ampol Digital"/>
    <s v="Ampol App"/>
    <m/>
    <s v="Australia"/>
  </r>
  <r>
    <m/>
    <s v="Shreema Das"/>
    <s v="Solution Architect"/>
    <s v="Mitesh Shah"/>
    <s v="Technology Manager, Digitial"/>
    <s v="Customer"/>
    <s v="Digital"/>
    <s v="Digital, Tech"/>
    <s v="Customer"/>
    <s v="Ampol Digital"/>
    <s v="Digital Ops Support"/>
    <m/>
    <s v="Australia"/>
  </r>
  <r>
    <n v="0"/>
    <s v="Jordan Askwith"/>
    <s v="Solution Architect"/>
    <s v="Mitesh Shah"/>
    <s v="Technology Manager, Digitial"/>
    <s v="Customer"/>
    <s v="Digital"/>
    <s v="Digital, Tech"/>
    <s v="Customer"/>
    <s v="Ampol Digital"/>
    <s v="Ampol Web"/>
    <m/>
    <s v="Australia"/>
  </r>
  <r>
    <n v="107781"/>
    <s v="Ramez Haider"/>
    <s v="Solution Architect"/>
    <s v="Mitesh Shah"/>
    <s v="Technology Manager, Digitial"/>
    <s v="Customer"/>
    <s v="Digital"/>
    <s v="Digital, Tech"/>
    <s v="EGI Integration"/>
    <s v="EGI"/>
    <s v="EGI Customer"/>
    <m/>
    <s v="Australia"/>
  </r>
  <r>
    <n v="0"/>
    <s v="Annabel Phu"/>
    <s v="Engineer - Mobile"/>
    <s v="Mitesh Shah"/>
    <s v="Technology Manager, Digitial"/>
    <s v="Customer"/>
    <s v="Digital"/>
    <s v="Digital, Tech"/>
    <s v="Customer"/>
    <s v="Ampol Digital"/>
    <s v="Ampol App"/>
    <m/>
    <s v="Australia"/>
  </r>
  <r>
    <n v="108287"/>
    <s v="Binumon Mathai"/>
    <s v="Senior Quality Assurance"/>
    <s v="Mitesh Shah"/>
    <s v="Technology Manager, Digitial"/>
    <s v="Customer"/>
    <s v="Digital"/>
    <s v="Digital, Tech"/>
    <s v="Customer"/>
    <s v="Ampol Digital"/>
    <s v="Ampol App"/>
    <m/>
    <s v="Australia"/>
  </r>
  <r>
    <n v="0"/>
    <s v="Sheetal Karkera"/>
    <s v="Lead Engineer - Mobile"/>
    <s v="Mitesh Shah"/>
    <s v="Technology Manager, Digitial"/>
    <s v="Customer"/>
    <s v="Digital"/>
    <s v="Digital, Tech"/>
    <s v="Customer"/>
    <s v="Ampol Digital"/>
    <s v="Ampol App"/>
    <m/>
    <s v="Australia"/>
  </r>
  <r>
    <n v="115964"/>
    <s v="Toby Clark"/>
    <s v="Engineer - Mobile (iOS)"/>
    <s v="Mitesh Shah"/>
    <s v="Technology Manager, Digitial"/>
    <s v="Customer"/>
    <s v="Digital"/>
    <s v="Digital, Tech"/>
    <s v="Customer"/>
    <s v="Ampol Digital"/>
    <s v="Ampol App"/>
    <m/>
    <s v="Australia"/>
  </r>
  <r>
    <n v="99999101220"/>
    <s v="Byron Thornhill"/>
    <s v="Design Manager"/>
    <s v="Shona Paul"/>
    <s v="Head of Technology, Digital"/>
    <s v="Customer"/>
    <s v="Digital"/>
    <s v="Digital, Design"/>
    <s v="Customer"/>
    <s v="Customer Z, Ampol Digital"/>
    <s v="Leadership"/>
    <m/>
    <s v="NZ"/>
  </r>
  <r>
    <m/>
    <s v="Vacant"/>
    <s v="Delivery Manager"/>
    <s v="Shona Paul"/>
    <s v="Head of Technology, Digital"/>
    <s v="Customer"/>
    <s v="Digital"/>
    <s v="Digital, Delivery"/>
    <s v="Customer"/>
    <s v="Ampol Digital"/>
    <s v="Leadership"/>
    <m/>
    <s v="Australia"/>
  </r>
  <r>
    <m/>
    <s v="Vacant (B2B)"/>
    <s v="Engineer - BE"/>
    <s v="Vacant"/>
    <s v="Technology Manager, Digital Engineering"/>
    <s v="Customer"/>
    <s v="Digital"/>
    <s v="Tech, Digital Engineering"/>
    <s v="Customer"/>
    <s v="Ampol Digital"/>
    <s v="B2B"/>
    <m/>
    <s v="Australia"/>
  </r>
  <r>
    <n v="117173"/>
    <s v="Ashwini Gaikwad"/>
    <s v="Quality Assurance"/>
    <s v="Vacant"/>
    <s v="Technology Manager, Digitial"/>
    <s v="Customer"/>
    <s v="Digital"/>
    <s v="Digital, Tech"/>
    <s v="Customer"/>
    <s v="Ampol Digital"/>
    <s v="Ampol Web"/>
    <m/>
    <s v="Australia"/>
  </r>
  <r>
    <n v="0"/>
    <s v="Phillip Kewley"/>
    <s v="Quality Assurance"/>
    <s v="Vacant"/>
    <s v="Technology Manager, Digitial"/>
    <s v="Customer"/>
    <s v="Digital"/>
    <s v="Digital, Tech"/>
    <s v="Customer"/>
    <s v="Ampol Digital"/>
    <s v="Ampol App"/>
    <m/>
    <s v="Australia"/>
  </r>
  <r>
    <n v="99999101454"/>
    <s v="Celia Voysey"/>
    <s v="Delivery Lead"/>
    <s v="Vacant"/>
    <s v="Delivery Manager, Loyalty"/>
    <s v="Customer"/>
    <s v="Loyatly &amp; Martec"/>
    <s v="Loyalty, Delivery "/>
    <s v="Customer"/>
    <s v="Customer Z"/>
    <s v="Z Energy Martech"/>
    <m/>
    <s v="NZ"/>
  </r>
  <r>
    <m/>
    <s v="Vacant"/>
    <s v="System Specialist"/>
    <s v="Vacant"/>
    <s v="Delivery Manager, Loyalty"/>
    <s v="Customer"/>
    <s v="Loyatly &amp; Martec"/>
    <s v="Loyalty, Delivery "/>
    <s v="Customer"/>
    <s v="Group Customer"/>
    <s v="AU CRM &amp; Martech"/>
    <m/>
    <m/>
  </r>
  <r>
    <n v="99999101891"/>
    <s v="Shinal Chamberlain"/>
    <s v="Business Analyst"/>
    <s v="Vacant"/>
    <s v="Delivery Manager, Loyalty"/>
    <s v="Customer"/>
    <s v="Loyatly &amp; Martec"/>
    <s v="Loyalty, Delivery "/>
    <s v="Customer"/>
    <s v="Group Customer"/>
    <s v="AU CRM &amp; Martech"/>
    <m/>
    <s v="NZ"/>
  </r>
  <r>
    <n v="99999101370"/>
    <s v="Denise Esguerra"/>
    <s v="Martech Specialist"/>
    <s v="Vacant"/>
    <s v="Technology Manager, Loyalty &amp; Martech"/>
    <s v="Customer"/>
    <s v="Loyatly &amp; Martec"/>
    <s v="Loyalty, Tech"/>
    <s v="Customer"/>
    <s v="(All Customer)"/>
    <s v="Z Energy Martech"/>
    <m/>
    <s v="NZ"/>
  </r>
  <r>
    <n v="0"/>
    <s v="Waheed Malek"/>
    <s v="Quality Assurance"/>
    <s v="Vacant"/>
    <s v="Technology Manager, Digitial"/>
    <s v="Customer"/>
    <s v="Loyalty &amp; Martech"/>
    <s v="Digital, Tech"/>
    <s v="EGI Integration"/>
    <s v="EGI"/>
    <s v="EGI Customer"/>
    <m/>
    <s v="Australia"/>
  </r>
  <r>
    <m/>
    <s v="Vacant"/>
    <s v="Technology Manager – Data &amp; Engineering"/>
    <s v="Vacant"/>
    <s v="Head of Technology, Loyalty &amp; Martech"/>
    <s v="Customer"/>
    <s v="Loyalty &amp; Martech"/>
    <s v="Loyalty, Data &amp; Engineering"/>
    <s v="Customer"/>
    <s v="Customer Z, Group Customer Platforms"/>
    <s v="Leadership"/>
    <m/>
    <m/>
  </r>
  <r>
    <m/>
    <s v="Vacant"/>
    <s v="Engineer Data (Snowflake)"/>
    <s v="Vacant"/>
    <s v="Technology Manager, Data &amp; Engineering"/>
    <s v="Customer"/>
    <s v="Loyatly &amp; Martec"/>
    <s v="Loyalty, Data &amp; Engineering"/>
    <s v="Customer"/>
    <s v="Group Customer"/>
    <s v="AU CRM &amp; Martech"/>
    <m/>
    <m/>
  </r>
  <r>
    <n v="97200"/>
    <s v="Mitesh Shah"/>
    <s v="Technology Manager - Digital"/>
    <s v="Vacant"/>
    <s v="Head of Technology, Digital"/>
    <s v="Customer"/>
    <s v="Digital"/>
    <s v="Tech, Digital"/>
    <s v="Customer"/>
    <s v="Ampol Digital"/>
    <s v="Leadership"/>
    <m/>
    <s v="Australia"/>
  </r>
  <r>
    <n v="99999100279"/>
    <s v="Kris Hamilton"/>
    <s v="Technology Manager - Loyalty &amp; Martech"/>
    <s v="Vacant"/>
    <s v="Head of Technology, Loyalty &amp; Martech"/>
    <s v="Customer"/>
    <s v="Loyalty &amp; Martech"/>
    <s v="Loyalty, Tech"/>
    <s v="Customer"/>
    <s v="Customer Z, Group Customer Platforms"/>
    <s v="Leadership"/>
    <m/>
    <s v="NZ"/>
  </r>
  <r>
    <n v="0"/>
    <s v="Aaron Lu"/>
    <s v="Engineer - BE"/>
    <s v="Vacant"/>
    <s v="Technology Manager, Digital Engineering"/>
    <s v="Customer"/>
    <s v="Digital"/>
    <s v="Tech, Digital Engineering"/>
    <s v="Customer"/>
    <s v="Ampol Digital"/>
    <s v="Ampol Web"/>
    <m/>
    <s v="Australia"/>
  </r>
  <r>
    <n v="0"/>
    <s v="Safiq Iqbal"/>
    <s v="Principal Engineer"/>
    <s v="Vacant"/>
    <s v="Head of Technology, Digital"/>
    <s v="Customer"/>
    <s v="Digital"/>
    <s v="EGI"/>
    <s v="EGI Integration"/>
    <s v="EGI"/>
    <s v="EGI Customer"/>
    <m/>
    <s v="Australia"/>
  </r>
  <r>
    <m/>
    <s v="Vacant"/>
    <s v="Snr Engineer, (TBD"/>
    <s v="Vacant"/>
    <s v="AI Enablement Lead"/>
    <s v="Customer"/>
    <s v="Customer, AI Enablement"/>
    <m/>
    <s v="Customer"/>
    <s v="(All Customer)"/>
    <s v="Customer, AI"/>
    <m/>
    <m/>
  </r>
  <r>
    <m/>
    <s v="Vacant (B2B)"/>
    <s v="Engineer - BE"/>
    <s v="Vacant"/>
    <s v="Technology Manager, Digital Engineering"/>
    <s v="Customer"/>
    <s v="Digital"/>
    <s v="Tech, Digital Engineering"/>
    <s v="Customer"/>
    <s v="Ampol Digital"/>
    <s v="B2B"/>
    <m/>
    <s v="Australia"/>
  </r>
  <r>
    <m/>
    <s v="Vacant"/>
    <s v="AI Enablement Lead"/>
    <s v="Vacant"/>
    <s v="GM TDD, Customer"/>
    <s v="Customer"/>
    <s v="Customer, AI Enablement"/>
    <m/>
    <s v="Customer"/>
    <s v="(All Customer)"/>
    <s v="Leadership"/>
    <m/>
    <m/>
  </r>
  <r>
    <n v="99999101612"/>
    <s v="Shane Abrahams"/>
    <s v="Digital Support Manager - NZ"/>
    <s v="Vacant"/>
    <s v="Head of Technology, Digital"/>
    <s v="Customer"/>
    <s v="Digital"/>
    <s v="Digital Support (NZ)"/>
    <s v="Customer"/>
    <s v="Customer Z"/>
    <s v="Z Energy Apps"/>
    <m/>
    <s v="NZ"/>
  </r>
  <r>
    <n v="4781"/>
    <s v="Mark Wilson"/>
    <s v="Digital Support Manager (AU)"/>
    <s v="Vacant"/>
    <s v="Head of Technology, Digital"/>
    <s v="Customer"/>
    <s v="Digital"/>
    <s v="Digital Support (AU)"/>
    <s v="Customer"/>
    <s v="Ampol Digital"/>
    <s v="Digital Ops Support"/>
    <m/>
    <s v="Australia"/>
  </r>
  <r>
    <n v="115607"/>
    <s v="Zohan Sim"/>
    <s v="Engineer - BE"/>
    <s v="Vacant"/>
    <s v="Lead Engineer - BE"/>
    <s v="Customer"/>
    <s v="Digital"/>
    <s v="Tech, Digital Engineering"/>
    <s v="Customer"/>
    <s v="Ampol Digital"/>
    <s v="Ampol Web"/>
    <m/>
    <s v="Australia"/>
  </r>
  <r>
    <m/>
    <s v="Vacant"/>
    <s v="Engineer - BE"/>
    <s v="Vacant"/>
    <s v="Digital Support Manager(AU)"/>
    <s v="Customer"/>
    <s v="Digital"/>
    <s v="Delivery, Commercial Fuels"/>
    <s v="Customer"/>
    <s v="Ampol Digital"/>
    <s v="Digital Ops Support"/>
    <m/>
    <s v="Australia"/>
  </r>
  <r>
    <m/>
    <s v="Vacant"/>
    <s v="Engineer, (TBD)"/>
    <s v="Vacant"/>
    <s v="AI Enablement Lead"/>
    <s v="Customer"/>
    <s v="Customer, AI Enablement"/>
    <m/>
    <s v="Customer"/>
    <s v="(All Customer)"/>
    <s v="Customer, AI"/>
    <m/>
    <m/>
  </r>
  <r>
    <n v="114395"/>
    <s v="Rishabh Bhatia"/>
    <s v="Engineer - Mobile (Android)"/>
    <s v="Vacant"/>
    <s v="Technology Manager, Digitial"/>
    <s v="Customer"/>
    <s v="Digital"/>
    <s v="Digital, Tech"/>
    <s v="EGI Integration"/>
    <s v="EGI"/>
    <s v="EGI Customer"/>
    <m/>
    <s v="Australia"/>
  </r>
  <r>
    <m/>
    <s v="Vacant"/>
    <s v="Engineer - BE"/>
    <s v="Vacant"/>
    <s v="Digital Support Manager(AU)"/>
    <s v="Customer"/>
    <s v="Digital"/>
    <s v="Digital Support (AU)"/>
    <s v="Customer"/>
    <s v="Ampol Digital"/>
    <s v="Digital Ops Support"/>
    <m/>
    <s v="Australia"/>
  </r>
  <r>
    <n v="99999101730"/>
    <s v="Scott Cullen"/>
    <s v="Engineer, Dev Ops"/>
    <s v="Vacant"/>
    <s v="Technology Manager, Data &amp; Engineering"/>
    <s v="Customer"/>
    <s v="Loyatly &amp; Martec"/>
    <s v="Loyalty, Data &amp; Engineering"/>
    <s v="Customer"/>
    <s v="Customer Z"/>
    <s v="Z Energy Martech"/>
    <m/>
    <s v="NZ"/>
  </r>
  <r>
    <n v="97634"/>
    <s v="Khalid Mahmud"/>
    <s v="Lead Engineer - BE"/>
    <s v="Vacant"/>
    <s v="Technology Manager, Digital Engineering"/>
    <s v="Customer"/>
    <s v="Digital"/>
    <s v="Tech, Digital Engineering"/>
    <s v="Customer"/>
    <s v="Ampol Digital"/>
    <s v="Ampol App"/>
    <m/>
    <s v="Australia"/>
  </r>
  <r>
    <n v="107144"/>
    <s v="Jasper Na"/>
    <s v="Associate Engineer - BE"/>
    <s v="Vacant"/>
    <s v="Lead Engineer - BE"/>
    <s v="Customer"/>
    <s v="Digital"/>
    <s v="Tech, Digital Engineering"/>
    <s v="Customer"/>
    <s v="Ampol Digital"/>
    <s v="Energy"/>
    <m/>
    <s v="Australia"/>
  </r>
  <r>
    <m/>
    <s v="Vacant"/>
    <s v="Snr Engineer - BE"/>
    <s v="Vacant"/>
    <s v="Lead Engineer - BE"/>
    <s v="Customer"/>
    <s v="Digital"/>
    <s v="Tech, Digital Engineering"/>
    <s v="Customer"/>
    <s v="Ampol Digital"/>
    <s v="Ampol Web"/>
    <m/>
    <s v="Australia"/>
  </r>
  <r>
    <m/>
    <s v="Vacant"/>
    <s v="Data Analyst"/>
    <s v="Vacant"/>
    <s v="Technology Manager, Data &amp; Engineering"/>
    <s v="Customer"/>
    <s v="Loyatly &amp; Martec"/>
    <s v="Loyalty, Data &amp; Engineering"/>
    <s v="Customer"/>
    <s v="Group Customer"/>
    <s v="AU CRM &amp; Martech"/>
    <m/>
    <m/>
  </r>
  <r>
    <n v="99999101324"/>
    <s v="Angela Gilbert"/>
    <s v="Martech Lead - Dynamics"/>
    <s v="Vacant"/>
    <s v="Delivery Manager, Loyalty"/>
    <s v="Customer"/>
    <s v="Loyatly &amp; Martec"/>
    <s v="Loyalty, Delivery "/>
    <s v="Customer"/>
    <s v="Group Customer"/>
    <s v="AU CRM &amp; Martech"/>
    <m/>
    <s v="NZ"/>
  </r>
  <r>
    <n v="109041"/>
    <s v="Darwin Morales"/>
    <s v="Snr Engineer - FE"/>
    <s v="Vacant"/>
    <s v="Technology Manager, Digitial"/>
    <s v="Customer"/>
    <s v="Digital"/>
    <s v="Digital, Tech"/>
    <s v="Customer"/>
    <s v="Ampol Digital"/>
    <s v="Ampol Web"/>
    <m/>
    <s v="Australia"/>
  </r>
  <r>
    <n v="116387"/>
    <s v="Christian Lazano"/>
    <s v="Business Analyst"/>
    <s v="Vacant"/>
    <s v="customer, program manager"/>
    <s v="Customer"/>
    <s v="Customer, PMO"/>
    <m/>
    <s v="Customer"/>
    <s v="(All Customer)"/>
    <s v="Leadership"/>
    <m/>
    <s v="Australia"/>
  </r>
  <r>
    <n v="116408"/>
    <s v="Abhilash Reddy"/>
    <s v="Project Manager"/>
    <s v="Vacant"/>
    <s v="Program Manager"/>
    <s v="Customer"/>
    <s v="Customer, PMO"/>
    <m/>
    <s v="Customer"/>
    <s v="Ampol Digital"/>
    <s v="Leadership"/>
    <m/>
    <s v="Australia"/>
  </r>
  <r>
    <n v="99999102164"/>
    <s v="anthonty gen"/>
    <s v="Data Analyst"/>
    <s v="Vacant"/>
    <s v="Technology Manager, Data &amp; Engineering"/>
    <s v="Customer"/>
    <s v="Loyatly &amp; Martec"/>
    <s v="Loyalty, Data &amp; Engineering"/>
    <s v="Customer"/>
    <s v="Group Customer"/>
    <s v="Z Energy Martech"/>
    <m/>
    <s v="NZ"/>
  </r>
  <r>
    <n v="111777"/>
    <s v="Jeremy Xu"/>
    <s v="Data Analyst"/>
    <s v="Vacant"/>
    <s v="Technology Manager, Data &amp; Engineering"/>
    <s v="Customer"/>
    <s v="Loyatly &amp; Martec"/>
    <s v="Loyalty, Data &amp; Engineering"/>
    <s v="Customer"/>
    <s v="Group Customer"/>
    <s v="AU CRM &amp; Martech"/>
    <m/>
    <s v="Australia"/>
  </r>
  <r>
    <m/>
    <s v="Sri Balan Raj"/>
    <s v="Business Analyst"/>
    <s v="Vacant"/>
    <s v="Delivery Manager, Digital"/>
    <s v="Customer"/>
    <s v="Digital"/>
    <s v="Digital, Delivery"/>
    <s v="EGI Integration"/>
    <s v="EGI"/>
    <s v="EGI Customer"/>
    <m/>
    <s v="Australia"/>
  </r>
  <r>
    <m/>
    <s v="Vacant"/>
    <s v="Snr Engineer, Data"/>
    <s v="Vacant"/>
    <s v="Technology Manager, Data &amp; Engineering"/>
    <s v="Customer"/>
    <s v="Loyatly &amp; Martec"/>
    <s v="Loyalty, Data &amp; Engineering"/>
    <s v="Customer"/>
    <s v="Customer Z"/>
    <s v="Z Energy Martech"/>
    <m/>
    <m/>
  </r>
  <r>
    <n v="94663"/>
    <s v="Penny Pennisi"/>
    <s v="Delivery Lead"/>
    <s v="Vacant"/>
    <s v="Delivery Manager, Digital"/>
    <s v="Customer"/>
    <s v="Digital"/>
    <s v="Digital, Delivery"/>
    <s v="Customer"/>
    <s v="Ampol Digital"/>
    <s v="Ampol App"/>
    <m/>
    <s v="Australia"/>
  </r>
  <r>
    <n v="108384"/>
    <s v="Saugata Acharya"/>
    <s v="Delivery Lead"/>
    <s v="Vacant"/>
    <s v="Delivery Manager, Digital"/>
    <s v="Customer"/>
    <s v="Digital"/>
    <s v="Digital, Delivery"/>
    <s v="Customer"/>
    <s v="Ampol Digital"/>
    <s v="Ampol Web"/>
    <m/>
    <s v="Australia"/>
  </r>
  <r>
    <n v="99999100621"/>
    <s v="Kellie Gathergood"/>
    <s v="Lead Quality Assurance"/>
    <s v="Vacant"/>
    <s v="Technology Manager, Loyalty &amp; Martech"/>
    <s v="Customer"/>
    <s v="Loyatly &amp; Martec"/>
    <s v="Loyalty, Tech"/>
    <s v="Customer"/>
    <s v="Customer Z"/>
    <s v="Z Energy Martech"/>
    <m/>
    <s v="NZ"/>
  </r>
  <r>
    <m/>
    <s v="Vacant"/>
    <s v="Quality Assurance"/>
    <s v="Vacant"/>
    <s v="Digital Support Manager(AU)"/>
    <s v="Customer"/>
    <s v="Digital"/>
    <s v="Digital Support (AU)"/>
    <s v="Customer"/>
    <s v="Ampol Digital"/>
    <s v="Digital Ops Support"/>
    <m/>
    <s v="Australia"/>
  </r>
  <r>
    <n v="0"/>
    <s v="Lily Fong"/>
    <s v="Snr Business Analyst"/>
    <s v="Vacant"/>
    <s v="Delivery Manager, Digital"/>
    <s v="Customer"/>
    <s v="Digital"/>
    <s v="Ampol Retail, Store Platforms"/>
    <s v="Customer"/>
    <s v="Ampol Digital"/>
    <s v="Ampol Web"/>
    <m/>
    <s v="Australia"/>
  </r>
  <r>
    <m/>
    <s v="Vacant"/>
    <s v="Quality Assurance"/>
    <s v="Vacant"/>
    <s v="Delivery Manager, Loyalty"/>
    <s v="Customer"/>
    <s v="Loyalty &amp; Martech"/>
    <s v="Loyalty, Delivery "/>
    <s v="Customer"/>
    <s v="Group Customer"/>
    <s v="AU CRM &amp; Martech"/>
    <m/>
    <m/>
  </r>
  <r>
    <n v="0"/>
    <s v="Swapnil Pithwa"/>
    <s v="Engineer - BE"/>
    <s v="Vacant"/>
    <s v="Technology Manager, Digital Engineering"/>
    <s v="Customer"/>
    <s v="Digital"/>
    <s v="Tech, Digital Engineering"/>
    <s v="Commercial Fuels"/>
    <s v="CTRM"/>
    <s v="CTRM"/>
    <m/>
    <s v="Australia"/>
  </r>
  <r>
    <m/>
    <s v="Vacant"/>
    <s v="Technology Manager, Engineering"/>
    <s v="Vacant"/>
    <s v="Head of Technology, Digital"/>
    <s v="Customer"/>
    <s v="Loyalty &amp; Martech"/>
    <s v="Tech, Digital Engineering"/>
    <s v="Customer"/>
    <s v="Ampol Digital"/>
    <s v="Leadership"/>
    <m/>
    <s v="Australia"/>
  </r>
  <r>
    <n v="0"/>
    <s v="Rob Jadrjevic"/>
    <s v="Engineer - BE"/>
    <s v="Vacant"/>
    <s v="Technology Manager, Digital Engineering"/>
    <s v="Customer"/>
    <s v="Digital"/>
    <s v="Delivery, Commercial Fuels"/>
    <s v="EGI Integration"/>
    <s v="EGI"/>
    <s v="EGI Customer"/>
    <m/>
    <s v="Australia"/>
  </r>
  <r>
    <n v="0"/>
    <s v="Andy Stewart"/>
    <s v="Head of Technology, Loyalty &amp; Martech"/>
    <s v="Vacant"/>
    <s v="GM TDD, Customer"/>
    <s v="Customer"/>
    <s v="Loyalty &amp; Martech"/>
    <m/>
    <s v="Customer"/>
    <s v="Customer Z, Group Customer Platforms"/>
    <s v="Leadership"/>
    <m/>
    <n v="0"/>
  </r>
  <r>
    <n v="99999100847"/>
    <s v="Nimi Rose"/>
    <s v="Marketing Technology Lead"/>
    <s v="Vacant"/>
    <s v="Technology Manager, Loyalty &amp; Martech"/>
    <s v="Customer"/>
    <s v="Loyatly &amp; Martec"/>
    <s v="Loyalty, Tech"/>
    <s v="Customer"/>
    <s v="Customer Z"/>
    <s v="Z Energy Martech"/>
    <m/>
    <s v="NZ"/>
  </r>
  <r>
    <n v="114650"/>
    <s v="Jin Zhong"/>
    <s v="Lead Engineer - BE"/>
    <s v="Vacant"/>
    <s v="Technology Manager, Digital Engineering"/>
    <s v="Customer"/>
    <s v="Digital"/>
    <s v="Tech, Digital Engineering"/>
    <s v="Customer"/>
    <s v="Ampol Digital"/>
    <s v="Ampol Web"/>
    <m/>
    <s v="Australia"/>
  </r>
  <r>
    <n v="99999101540"/>
    <s v="James Nicolle"/>
    <s v="Delivery Lead"/>
    <s v="Vacant"/>
    <s v="Delivery Manager, Digital"/>
    <s v="Customer"/>
    <s v="Digital"/>
    <s v="Digital, Delivery"/>
    <s v="Customer"/>
    <s v="Customer Z"/>
    <s v="Z Energy Apps"/>
    <m/>
    <s v="NZ"/>
  </r>
  <r>
    <m/>
    <s v="Vacant"/>
    <s v="Engineer, Software"/>
    <s v="Vacant"/>
    <s v="Technology Manager, Data &amp; Engineering"/>
    <s v="Customer"/>
    <s v="Loyatly &amp; Martec"/>
    <s v="Loyalty, Data &amp; Engineering"/>
    <s v="Customer"/>
    <s v="Customer Z"/>
    <s v="Z Energy Martech"/>
    <m/>
    <m/>
  </r>
  <r>
    <n v="99999101312"/>
    <s v="Megan Rodgers"/>
    <s v="Business Analyst"/>
    <s v="Vacant"/>
    <s v="Delivery Manager, Loyalty"/>
    <s v="Customer"/>
    <s v="Loyatly &amp; Martec"/>
    <s v="Loyalty, Delivery "/>
    <s v="Customer"/>
    <s v="Customer Z"/>
    <s v="Z Energy Martech"/>
    <m/>
    <s v="NZ"/>
  </r>
  <r>
    <n v="99999102155"/>
    <s v="Yash Thakkar"/>
    <s v="Martech Specialist"/>
    <s v="Vacant"/>
    <s v="Technology Manager, Loyalty &amp; Martech"/>
    <s v="Customer"/>
    <s v="Loyatly &amp; Martec"/>
    <s v="Loyalty, Tech"/>
    <s v="Customer"/>
    <s v="(All Customer)"/>
    <s v="Z Energy Martech"/>
    <m/>
    <s v="NZ"/>
  </r>
  <r>
    <n v="0"/>
    <s v="Alan Peng"/>
    <s v="Delivery Lead"/>
    <s v="Vacant"/>
    <s v="Delivery Manager, Digital"/>
    <s v="Customer"/>
    <s v="Digital"/>
    <s v="Digital, Delivery"/>
    <s v="EGI Integration"/>
    <s v="EGI"/>
    <s v="EGI Customer"/>
    <m/>
    <s v="Australia"/>
  </r>
  <r>
    <n v="114411"/>
    <s v="Vacant"/>
    <s v="Senior Engineer - BE"/>
    <s v="Vacant"/>
    <s v="Lead Engineer - BE"/>
    <s v="Customer"/>
    <s v="Digital"/>
    <s v="Tech, Digital Engineering"/>
    <s v="Customer"/>
    <s v="Ampol Digital"/>
    <s v="Ampol App"/>
    <m/>
    <s v="Australia"/>
  </r>
  <r>
    <n v="0"/>
    <s v="Anup Antony"/>
    <s v="Engineer - BE"/>
    <s v="Vacant"/>
    <s v="Technology Manager, Digital Engineering"/>
    <s v="Customer"/>
    <s v="Digital"/>
    <s v="Tech, Digital Engineering"/>
    <s v="Customer"/>
    <s v="Ampol Digital"/>
    <s v="Ampol App"/>
    <m/>
    <s v="Australia"/>
  </r>
  <r>
    <m/>
    <s v="Dasha Fothergill"/>
    <s v="Data Analyst"/>
    <s v="Vacant"/>
    <s v="Technology Manager, Data &amp; Engineering"/>
    <s v="Customer"/>
    <s v="Loyatly &amp; Martec"/>
    <s v="Ampol Retail, Store Platforms"/>
    <s v="EGI Integration"/>
    <s v="EGI"/>
    <s v="EGI Customer"/>
    <m/>
    <s v="NZ"/>
  </r>
  <r>
    <m/>
    <s v="Vacant"/>
    <s v="Snr Business Analyst"/>
    <s v="Vacant"/>
    <s v="Delivery Manager, Digital"/>
    <s v="Customer"/>
    <s v="Digital"/>
    <s v="Technology, CF Engineering"/>
    <s v="Customer"/>
    <s v="Leadership"/>
    <s v="Leadership"/>
    <m/>
    <s v="Australia"/>
  </r>
  <r>
    <n v="99999101601"/>
    <s v="Jordan Kettles"/>
    <s v="Engineer, Sotware"/>
    <s v="Vacant"/>
    <s v="Technology Manager, Data &amp; Engineering"/>
    <s v="Customer"/>
    <s v="Loyatly &amp; Martec"/>
    <s v="Loyalty, Data &amp; Engineering"/>
    <s v="Customer"/>
    <s v="Customer Z"/>
    <s v="Z Energy Martech"/>
    <m/>
    <s v="NZ"/>
  </r>
  <r>
    <m/>
    <s v="Vacant "/>
    <s v="Data Risk Analyst"/>
    <s v="Brian Gates"/>
    <m/>
    <s v="Cyber, Risk &amp; Operations"/>
    <s v="Cyber Risk"/>
    <s v="Ampol Retail, Store Platforms"/>
    <s v="NA"/>
    <s v="NA"/>
    <s v="NA"/>
    <m/>
    <m/>
  </r>
  <r>
    <n v="96830"/>
    <s v="Lynda Niewidok"/>
    <s v="Lead – Service Desk"/>
    <s v="Chris Rojas"/>
    <s v="CISO "/>
    <s v="Cyber, Risk &amp; Operations"/>
    <s v="Service Op &amp; Assurance"/>
    <s v="na"/>
    <s v="NA"/>
    <s v="NA"/>
    <s v="NA"/>
    <m/>
    <s v="Australia"/>
  </r>
  <r>
    <n v="92681"/>
    <s v="Mark Pearson"/>
    <s v="Lead – Technology Support"/>
    <s v="Chris Rojas"/>
    <s v="Manager Service Management &amp; Major Incident Management Lead "/>
    <s v="Cyber, Risk &amp; Operations"/>
    <s v="Service Op &amp; Assurance"/>
    <s v="na"/>
    <s v="NA"/>
    <s v="NA"/>
    <s v="NA"/>
    <m/>
    <s v="Australia"/>
  </r>
  <r>
    <m/>
    <s v="Vacant"/>
    <s v="Lead – Problem Management"/>
    <s v="Darren Koller"/>
    <s v="Manager Cyber Security GRC"/>
    <s v="Cyber, Risk &amp; Operations"/>
    <s v="Service Op &amp; Assurance"/>
    <s v="na"/>
    <s v="NA"/>
    <s v="NA"/>
    <s v="NA"/>
    <m/>
    <m/>
  </r>
  <r>
    <n v="99999101697"/>
    <s v="Vanessa Castro"/>
    <s v="Cyber GRC Analyst"/>
    <s v="Diya Thomas"/>
    <m/>
    <s v="Cyber, Risk &amp; Operations"/>
    <s v="Cyber GRC"/>
    <s v="na"/>
    <s v="NA"/>
    <s v="NA"/>
    <s v="NA"/>
    <m/>
    <s v="NZ"/>
  </r>
  <r>
    <n v="114683"/>
    <s v="Prashanth Chandran"/>
    <s v="Senior Cyber GRC Specialist"/>
    <s v="Diya Thomas"/>
    <s v="Manager Cyber Security GRC"/>
    <s v="Cyber, Risk &amp; Operations"/>
    <s v="Cyber GRC"/>
    <s v="na"/>
    <s v="NA"/>
    <s v="NA"/>
    <s v="NA"/>
    <m/>
    <s v="Australia"/>
  </r>
  <r>
    <n v="109491"/>
    <s v="Pooja Kuperkar"/>
    <s v="Cyber GRC Analyst"/>
    <s v="Diya Thomas"/>
    <m/>
    <s v="Cyber, Risk &amp; Operations"/>
    <s v="Cyber GRC"/>
    <s v="na"/>
    <s v="NA"/>
    <s v="NA"/>
    <s v="NA"/>
    <m/>
    <s v="Australia"/>
  </r>
  <r>
    <n v="98823"/>
    <s v="Brian Gates"/>
    <s v="Manager Risk &amp; Resilience"/>
    <s v="Frances Bouzo"/>
    <s v="CISO "/>
    <s v="Cyber, Risk &amp; Operations"/>
    <s v="Cyber Risk"/>
    <s v="Risk &amp; Resilience "/>
    <s v="NA"/>
    <s v="NA"/>
    <s v="NA"/>
    <m/>
    <s v="Australia"/>
  </r>
  <r>
    <n v="101700"/>
    <s v="Diya Thomas"/>
    <s v="Manager Cyber Security GRC"/>
    <s v="Frances Bouzo"/>
    <s v="Manager Cyber Security Operations "/>
    <s v="Cyber, Risk &amp; Operations"/>
    <s v="Loyalty &amp; Martech"/>
    <s v="na"/>
    <s v="NA"/>
    <s v="NA"/>
    <s v="NA"/>
    <m/>
    <s v="Australia"/>
  </r>
  <r>
    <n v="100825"/>
    <s v="James Byrne"/>
    <s v="Head of Cyber Strategy &amp; Technology"/>
    <s v="Frances Bouzo"/>
    <s v="Manager Customer Support Operations "/>
    <s v="Cyber, Risk &amp; Operations"/>
    <s v="Cyber Strat &amp; Tech"/>
    <s v="na"/>
    <s v="EGI Integration"/>
    <s v="EGI"/>
    <s v="EGI Retail"/>
    <m/>
    <s v="Australia"/>
  </r>
  <r>
    <n v="97592"/>
    <s v="Kevin Sheerin"/>
    <s v="Cyber Architecture Lead"/>
    <s v="James Byrne"/>
    <m/>
    <s v="Cyber, Risk &amp; Operations"/>
    <s v="Cyber Strat &amp; Tech"/>
    <s v="na"/>
    <s v="NA"/>
    <s v="NA"/>
    <s v="NA"/>
    <m/>
    <s v="Australia"/>
  </r>
  <r>
    <n v="108809"/>
    <s v="Joe Nahma"/>
    <s v="Manager Identity &amp; Access Management"/>
    <s v="James Byrne"/>
    <s v="Manager Cyber Security GRC"/>
    <s v="Cyber, Risk &amp; Operations"/>
    <s v="Cyber Strat &amp; Tech"/>
    <s v="na"/>
    <s v="NA"/>
    <s v="NA"/>
    <s v="NA"/>
    <m/>
    <s v="Australia"/>
  </r>
  <r>
    <n v="101830"/>
    <s v="Vivienne Vasak"/>
    <s v="Portfolio Manager Cyber Security"/>
    <s v="James Byrne"/>
    <s v="Manager Service Perforance &amp; Assurance "/>
    <s v="Cyber, Risk &amp; Operations"/>
    <s v="Cyber Strat &amp; Tech"/>
    <s v="na"/>
    <s v="NA"/>
    <s v="NA"/>
    <s v="NA"/>
    <m/>
    <s v="Australia"/>
  </r>
  <r>
    <n v="86962"/>
    <s v="Cameron Watman"/>
    <s v="Engineer - IDAM"/>
    <s v="Joe Nahma"/>
    <s v="Head of Cyber Strategy &amp; Technology "/>
    <s v="Cyber, Risk &amp; Operations"/>
    <s v="Cyber Strat &amp; Tech"/>
    <s v="Identity &amp; Access Management "/>
    <s v="NA"/>
    <s v="NA"/>
    <s v="NA"/>
    <m/>
    <s v="Australia"/>
  </r>
  <r>
    <n v="116241"/>
    <s v="Raymond Cheung"/>
    <s v="Engineer - IDAM"/>
    <s v="Joe Nahma"/>
    <s v="Head Cyber Strategy &amp; Technology "/>
    <s v="Cyber, Risk &amp; Operations"/>
    <s v="Cyber Strat &amp; Tech"/>
    <s v="na"/>
    <s v="NA"/>
    <s v="NA"/>
    <s v="NA"/>
    <m/>
    <s v="Australia"/>
  </r>
  <r>
    <n v="102385"/>
    <s v="Chris Lyons"/>
    <s v="Cyber Security Architect"/>
    <s v="Kevin Sheerin"/>
    <s v="Head of Cyber Strategy &amp; Technology "/>
    <s v="Cyber, Risk &amp; Operations"/>
    <s v="Cyber Strat &amp; Tech"/>
    <s v="na"/>
    <s v="NA"/>
    <s v="NA"/>
    <s v="NA"/>
    <m/>
    <s v="Australia"/>
  </r>
  <r>
    <n v="99707"/>
    <s v="Darshan Suvama"/>
    <s v="Cyber Offensive Security Lead"/>
    <s v="Kevin Sheerin"/>
    <s v="Cyber Architecture Lead"/>
    <s v="Cyber, Risk &amp; Operations"/>
    <s v="Cyber Strat &amp; Tech"/>
    <s v="na"/>
    <s v="NA"/>
    <s v="NA"/>
    <s v="NA"/>
    <m/>
    <s v="Australia"/>
  </r>
  <r>
    <n v="104966"/>
    <s v="Rahul Sahni"/>
    <s v="Cyber Security Architect"/>
    <s v="Kevin Sheerin"/>
    <m/>
    <s v="Cyber, Risk &amp; Operations"/>
    <s v="Cyber Strat &amp; Tech"/>
    <s v="na"/>
    <s v="NA"/>
    <s v="NA"/>
    <s v="NA"/>
    <m/>
    <s v="Australia"/>
  </r>
  <r>
    <m/>
    <s v="Vacant"/>
    <s v="Cyber Architect (backfill for EGI Secondment)"/>
    <s v="Kevin Sheerin"/>
    <m/>
    <s v="Cyber, Risk &amp; Operations"/>
    <s v="Cyber Strat &amp; Tech"/>
    <s v="na"/>
    <s v="NA"/>
    <s v="NA"/>
    <s v="NA"/>
    <m/>
    <m/>
  </r>
  <r>
    <n v="113382"/>
    <s v="Jack Jenkins"/>
    <s v="Asset Analyst"/>
    <s v="Lead – Asset &amp; Configuration (Vacant)"/>
    <m/>
    <s v="Cyber, Risk &amp; Operations"/>
    <s v="Service Op &amp; Assurance"/>
    <s v="na"/>
    <s v="NA"/>
    <s v="NA"/>
    <s v="NA"/>
    <m/>
    <s v="Australia"/>
  </r>
  <r>
    <n v="104555"/>
    <s v="Ritika Salaria"/>
    <s v="Configuration Analyst"/>
    <s v="Lead – Asset &amp; Configuration (Vacant)"/>
    <m/>
    <s v="Cyber, Risk &amp; Operations"/>
    <s v="Service Op &amp; Assurance"/>
    <s v="na"/>
    <s v="NA"/>
    <s v="NA"/>
    <s v="NA"/>
    <m/>
    <s v="Australia"/>
  </r>
  <r>
    <n v="114354"/>
    <s v="Kaaviya Salai Manimudian"/>
    <s v="Graduate"/>
    <s v="Lynda Niewidok"/>
    <s v="Manager Customer Support Operations "/>
    <s v="Cyber, Risk &amp; Operations"/>
    <s v="Service Op &amp; Assurance"/>
    <s v="na"/>
    <s v="NA"/>
    <s v="NA"/>
    <s v="NA"/>
    <m/>
    <s v="Australia"/>
  </r>
  <r>
    <m/>
    <s v="Vacant (SYD)"/>
    <s v="Tech Support Technician"/>
    <s v="Mark Pearson"/>
    <m/>
    <s v="Cyber, Risk &amp; Operations"/>
    <s v="Service Op &amp; Assurance"/>
    <s v="na"/>
    <s v="NA"/>
    <s v="NA"/>
    <s v="NA"/>
    <m/>
    <m/>
  </r>
  <r>
    <n v="108727"/>
    <s v="Jas Mann"/>
    <s v="Technology Support Engineer"/>
    <s v="Mark Pearson"/>
    <s v="Lead Technology Support "/>
    <s v="Cyber, Risk &amp; Operations"/>
    <s v="Service Op &amp; Assurance"/>
    <s v="na"/>
    <s v="NA"/>
    <s v="NA"/>
    <s v="NA"/>
    <m/>
    <s v="Australia"/>
  </r>
  <r>
    <n v="108013"/>
    <s v="Vacant"/>
    <s v="Technology Support Engineer"/>
    <s v="Mark Pearson"/>
    <s v="Lead Technology Support "/>
    <s v="Cyber, Risk &amp; Operations"/>
    <s v="Service Op &amp; Assurance"/>
    <s v="Technology Support "/>
    <s v="NA"/>
    <s v="NA"/>
    <s v="NA"/>
    <m/>
    <s v="Australia"/>
  </r>
  <r>
    <m/>
    <s v="Vacant"/>
    <s v="Operations Analyst"/>
    <s v="Mick Collins"/>
    <s v="Manager Service Management &amp; Major Incident Management Lead "/>
    <s v="Cyber, Risk &amp; Operations"/>
    <s v="Loyalty &amp; Martech"/>
    <s v="na"/>
    <s v="NA"/>
    <s v="NA"/>
    <s v="NA"/>
    <m/>
    <m/>
  </r>
  <r>
    <n v="99999101684"/>
    <s v="Ashley Mueller"/>
    <s v="Lead – Service Assurance"/>
    <s v="Mick Collins"/>
    <s v="Cyber Architecture Lead"/>
    <s v="Cyber, Risk &amp; Operations"/>
    <s v="Service Op &amp; Assurance"/>
    <s v="Service Performance &amp; Assurance "/>
    <s v="NA"/>
    <s v="NA"/>
    <s v="NA"/>
    <m/>
    <s v="NZ"/>
  </r>
  <r>
    <m/>
    <s v="Vacant"/>
    <s v="Lead – Asset &amp; Configuration"/>
    <s v="Mick Collins"/>
    <s v="Manager Cyber Security Operations "/>
    <s v="Cyber, Risk &amp; Operations"/>
    <s v="Service Op &amp; Assurance"/>
    <s v="na"/>
    <s v="NA"/>
    <s v="NA"/>
    <s v="NA"/>
    <m/>
    <m/>
  </r>
  <r>
    <n v="6307"/>
    <s v="Darren Koller"/>
    <s v="Manager, Service Management &amp; Major Incident Mgmt Lead"/>
    <s v="Rajini Onteddu Reddy"/>
    <s v="Head of Service Operatoins &amp; Assurance"/>
    <s v="Cyber, Risk &amp; Operations"/>
    <s v="Service Op &amp; Assurance"/>
    <s v="na"/>
    <s v="NA"/>
    <s v="NA"/>
    <s v="NA"/>
    <m/>
    <s v="Australia"/>
  </r>
  <r>
    <n v="99999101673"/>
    <s v="Lisa Ng"/>
    <s v="Cyber Security Analyst"/>
    <s v="Steven Atcheson"/>
    <m/>
    <s v="Cyber, Risk &amp; Operations"/>
    <s v="Cyber Sec Ops"/>
    <s v="na"/>
    <s v="NA"/>
    <s v="NA"/>
    <s v="NA"/>
    <m/>
    <s v="NZ"/>
  </r>
  <r>
    <n v="98371"/>
    <s v="Stafford Dowling"/>
    <s v="Cyber Security Analyst"/>
    <s v="Steven Atcheson"/>
    <m/>
    <s v="Cyber, Risk &amp; Operations"/>
    <s v="Cyber Sec Ops"/>
    <s v="na"/>
    <s v="NA"/>
    <s v="NA"/>
    <s v="NA"/>
    <m/>
    <s v="Australia"/>
  </r>
  <r>
    <n v="97425"/>
    <s v="Nischal Bhusal"/>
    <s v="Cyber Security Analyst"/>
    <s v="Steven Atcheson"/>
    <m/>
    <s v="Cyber, Risk &amp; Operations"/>
    <s v="Cyber Sec Ops"/>
    <s v="na"/>
    <s v="NA"/>
    <s v="NA"/>
    <s v="NA"/>
    <m/>
    <s v="Australia"/>
  </r>
  <r>
    <n v="99999101321"/>
    <s v="Sameer Pattanaik"/>
    <s v="Cyber Security Operations Lead"/>
    <s v="Steven Atcheson"/>
    <m/>
    <s v="Cyber, Risk &amp; Operations"/>
    <s v="Cyber Sec Ops"/>
    <s v="na"/>
    <s v="NA"/>
    <s v="NA"/>
    <s v="NA"/>
    <m/>
    <s v="NZ"/>
  </r>
  <r>
    <n v="98924"/>
    <s v="Dan Balsamo"/>
    <s v="Senior Cyber Project Manager"/>
    <s v="Vacant"/>
    <s v="Head of Cyber Strategy &amp; Technology "/>
    <s v="Cyber, Risk &amp; Operations"/>
    <s v="Cyber Strat &amp; Tech"/>
    <s v="na"/>
    <s v="NA"/>
    <s v="NA"/>
    <s v="NA"/>
    <m/>
    <s v="Australia"/>
  </r>
  <r>
    <n v="87951"/>
    <s v="Iwan Wibisono"/>
    <s v="Engineer - IDAM"/>
    <s v="Vacant"/>
    <s v="Lead Service Desk "/>
    <s v="Cyber, Risk &amp; Operations"/>
    <s v="Cyber Strat &amp; Tech"/>
    <s v="na"/>
    <s v="NA"/>
    <s v="NA"/>
    <s v="NA"/>
    <m/>
    <s v="Australia"/>
  </r>
  <r>
    <n v="108728"/>
    <s v="Remya Pookat"/>
    <s v="Lead – Change &amp; Release Management"/>
    <s v="Vacant"/>
    <s v="Manager Cyber Security GRC"/>
    <s v="Cyber, Risk &amp; Operations"/>
    <s v="Service Op &amp; Assurance"/>
    <s v="na"/>
    <s v="NA"/>
    <s v="NA"/>
    <s v="NA"/>
    <m/>
    <s v="Australia"/>
  </r>
  <r>
    <n v="113900"/>
    <s v="Mick Collins"/>
    <s v="Manager, Service Performance &amp; Assurance"/>
    <s v="Vacant"/>
    <m/>
    <s v="Cyber, Risk &amp; Operations"/>
    <s v="Service Op &amp; Assurance"/>
    <s v="na"/>
    <s v="NA"/>
    <s v="NA"/>
    <s v="NA"/>
    <m/>
    <s v="Australia"/>
  </r>
  <r>
    <n v="99999100770"/>
    <s v="Spoilagi Bhutwala"/>
    <s v="Tech Support Technician"/>
    <s v="Vacant"/>
    <s v="Lead Technology Support "/>
    <s v="Cyber, Risk &amp; Operations"/>
    <s v="Service Op &amp; Assurance"/>
    <s v="na"/>
    <s v="NA"/>
    <s v="NA"/>
    <s v="NA"/>
    <m/>
    <s v="NZ"/>
  </r>
  <r>
    <n v="99999101346"/>
    <s v="Shomiya Shayal"/>
    <s v="Risk &amp; Resilience Lead"/>
    <s v="Vacant"/>
    <s v="Manager Risk &amp; Resilience "/>
    <s v="Cyber, Risk &amp; Operations"/>
    <s v="Cyber Risk"/>
    <s v="na"/>
    <s v="NA"/>
    <s v="NA"/>
    <s v="NA"/>
    <m/>
    <s v="NZ"/>
  </r>
  <r>
    <m/>
    <s v="Vacant"/>
    <s v="Operations Analyst"/>
    <s v="Vacant"/>
    <s v="Cyber Architecture Lead"/>
    <s v="Cyber, Risk &amp; Operations"/>
    <s v="Service Op &amp; Assurance"/>
    <s v="na"/>
    <s v="NA"/>
    <s v="NA"/>
    <s v="NA"/>
    <m/>
    <m/>
  </r>
  <r>
    <n v="90096"/>
    <s v="Mary-Grace Rivera"/>
    <s v="Lead, Service Management"/>
    <s v="Vacant"/>
    <s v="Darren Koller"/>
    <s v="Cyber, Risk &amp; Operations"/>
    <s v="Service Op &amp; Assurance"/>
    <s v="na"/>
    <s v="NA"/>
    <s v="NA"/>
    <s v="NA"/>
    <m/>
    <s v="Australia"/>
  </r>
  <r>
    <n v="105647"/>
    <s v="Rajini Onteddu Reddy"/>
    <s v="Head of Service Operations &amp; Assurance"/>
    <s v="Vacant"/>
    <s v="Manager Service Management &amp; Major Incident Management Lead "/>
    <s v="Cyber, Risk &amp; Operations"/>
    <s v="Service Op &amp; Assurance"/>
    <s v="na"/>
    <s v="NA"/>
    <s v="NA"/>
    <s v="NA"/>
    <m/>
    <s v="Australia"/>
  </r>
  <r>
    <n v="106511"/>
    <s v="Catherine Gire"/>
    <s v="Cyber Technical Business Analyst"/>
    <s v="Vacant"/>
    <s v="Portfolio Manger Cyber Security "/>
    <s v="Cyber, Risk &amp; Operations"/>
    <s v="Cyber Strat &amp; Tech"/>
    <s v="Cyber Security Uplift Program"/>
    <s v="NA"/>
    <s v="NA"/>
    <s v="NA"/>
    <m/>
    <s v="Australia"/>
  </r>
  <r>
    <n v="99999102157"/>
    <s v="Ethan Lamhert (FT)"/>
    <s v="Tech Support Technician"/>
    <s v="Vacant"/>
    <s v="Lead Technology Support "/>
    <s v="Cyber, Risk &amp; Operations"/>
    <s v="Service Op &amp; Assurance"/>
    <s v="na"/>
    <s v="NA"/>
    <s v="NA"/>
    <s v="NA"/>
    <m/>
    <s v="NZ"/>
  </r>
  <r>
    <m/>
    <s v="Vacant  (AKL )"/>
    <s v="Tech Support Technician"/>
    <s v="Vacant"/>
    <m/>
    <s v="Cyber, Risk &amp; Operations"/>
    <s v="Service Op &amp; Assurance"/>
    <s v="na"/>
    <s v="NA"/>
    <s v="NA"/>
    <s v="NA"/>
    <m/>
    <m/>
  </r>
  <r>
    <n v="110204"/>
    <s v="Daniel Jolley"/>
    <s v="Tech Support Technician"/>
    <s v="Vacant"/>
    <s v="Lead Technology Support "/>
    <s v="Cyber, Risk &amp; Operations"/>
    <s v="Service Op &amp; Assurance"/>
    <s v="na"/>
    <s v="NA"/>
    <s v="NA"/>
    <s v="NA"/>
    <m/>
    <s v="Australia"/>
  </r>
  <r>
    <m/>
    <s v="Vacant "/>
    <s v="Data Risk Analyst"/>
    <s v="Vacant"/>
    <m/>
    <s v="Cyber, Risk &amp; Operations"/>
    <s v="Cyber Risk"/>
    <s v="na"/>
    <s v="NA"/>
    <s v="NA"/>
    <s v="NA"/>
    <m/>
    <m/>
  </r>
  <r>
    <n v="84274"/>
    <s v="Chris Rojas"/>
    <s v="Manager, Customer Support Operations"/>
    <s v="Vacant"/>
    <s v="Manager Cyber Security Operations "/>
    <s v="Cyber, Risk &amp; Operations"/>
    <s v="Service Op &amp; Assurance"/>
    <s v="na"/>
    <s v="NA"/>
    <s v="NA"/>
    <s v="NA"/>
    <m/>
    <s v="Australia"/>
  </r>
  <r>
    <n v="101504"/>
    <s v="Steven Atcheson"/>
    <s v="Manager Cyber Security Operations"/>
    <s v="Vacant"/>
    <s v="Manager, Risk &amp; Resilience "/>
    <s v="Cyber, Risk &amp; Operations"/>
    <s v="Cyber Sec Ops"/>
    <s v="na"/>
    <s v="NA"/>
    <s v="NA"/>
    <s v="NA"/>
    <m/>
    <s v="Australia"/>
  </r>
  <r>
    <n v="104805"/>
    <s v="Shruti Manchanda"/>
    <s v="Cyber GRC Analyst"/>
    <s v="Vacant"/>
    <m/>
    <s v="Cyber, Risk &amp; Operations"/>
    <s v="Cyber GRC"/>
    <s v="Technology, Trading &amp; Shipping"/>
    <s v="NA"/>
    <s v="Leadership"/>
    <s v="Leadership"/>
    <m/>
    <s v="Australia"/>
  </r>
  <r>
    <m/>
    <s v="Vacant"/>
    <s v="Lead – Service Performance &amp; Insights"/>
    <s v="Vacant"/>
    <s v="Manager Identity &amp; Access Management "/>
    <s v="Cyber, Risk &amp; Operations"/>
    <s v="Service Op &amp; Assurance"/>
    <s v="na"/>
    <s v="NA"/>
    <s v="NA"/>
    <s v="NA"/>
    <m/>
    <m/>
  </r>
  <r>
    <n v="114383"/>
    <s v="Tony Keeler"/>
    <s v="Cyber Business Analyst"/>
    <s v="Vivienne Vasak"/>
    <s v="Portfolio Manger Cyber Security "/>
    <s v="Cyber, Risk &amp; Operations"/>
    <s v="Cyber Strat &amp; Tech"/>
    <s v="na"/>
    <s v="NA"/>
    <s v="NA"/>
    <s v="NA"/>
    <m/>
    <s v="Australia"/>
  </r>
  <r>
    <n v="0"/>
    <s v="Niall Greene"/>
    <s v="Project Manager (PEP13-EGI-UKG)"/>
    <s v="Vacant"/>
    <m/>
    <s v="EGI"/>
    <m/>
    <m/>
    <s v="EGI"/>
    <s v="EGI"/>
    <s v="EGI"/>
    <m/>
    <n v="0"/>
  </r>
  <r>
    <n v="0"/>
    <s v="Winnie Fernandes"/>
    <s v="Delivery Lead"/>
    <s v="Vacant"/>
    <m/>
    <s v="EGI"/>
    <m/>
    <m/>
    <s v="EGI"/>
    <s v="EGI"/>
    <s v="EGI"/>
    <m/>
    <n v="0"/>
  </r>
  <r>
    <n v="0"/>
    <s v="Areum Kim Lee"/>
    <s v="Program Manager (PEP13-EGI-UKG)"/>
    <m/>
    <m/>
    <s v="EGI"/>
    <m/>
    <m/>
    <s v="EGI"/>
    <s v="EGI"/>
    <s v="EGI"/>
    <m/>
    <n v="0"/>
  </r>
  <r>
    <n v="113935"/>
    <s v="Thomas Reid"/>
    <s v="TDD BP - Retail &amp; Customer - Store Digital"/>
    <s v="Michael Schofield"/>
    <s v="GM TDD, Partnering &amp; Transformation"/>
    <s v="Partnering &amp; Transformation"/>
    <s v="TDD Business Partner"/>
    <s v="na"/>
    <s v="NA"/>
    <s v="NA"/>
    <s v="NA"/>
    <m/>
    <s v="Australia"/>
  </r>
  <r>
    <m/>
    <s v="Vacant"/>
    <s v="Head of Transformation"/>
    <s v="Michael Schofield"/>
    <s v="Head of Service Operatoins &amp; Assurance"/>
    <s v="Partnering &amp; Transformation"/>
    <s v="Transformation"/>
    <s v="na"/>
    <s v="NA"/>
    <s v="NA"/>
    <s v="NA"/>
    <m/>
    <m/>
  </r>
  <r>
    <m/>
    <s v="Vacant"/>
    <s v="Commercial Director"/>
    <s v="Michael Schofield"/>
    <s v="GM TDD, Partnering &amp; Transformation"/>
    <s v="Partnering &amp; Transformation"/>
    <s v="Commercial"/>
    <s v="na"/>
    <s v="NA"/>
    <s v="NA"/>
    <s v="NA"/>
    <m/>
    <m/>
  </r>
  <r>
    <m/>
    <s v="Vacant"/>
    <s v="Delivery Systems Analyst"/>
    <s v="Ruth Chou"/>
    <s v="Portfolio Reporting Manger"/>
    <s v="Partnering &amp; Transformation"/>
    <s v="Transformation"/>
    <s v="na"/>
    <s v="NA"/>
    <s v="NA"/>
    <s v="NA"/>
    <m/>
    <m/>
  </r>
  <r>
    <m/>
    <s v="Vacant "/>
    <s v="Portfolio Analyst"/>
    <s v="Ruth Chou"/>
    <s v="Manager Service Perforance &amp; Assurance "/>
    <s v="Partnering &amp; Transformation"/>
    <s v="Transformation"/>
    <s v="na"/>
    <s v="NA"/>
    <s v="NA"/>
    <s v="NA"/>
    <m/>
    <m/>
  </r>
  <r>
    <m/>
    <s v="Vacant "/>
    <s v="Portfolio Analyst"/>
    <s v="Ruth Chou"/>
    <s v="Manager Service Perforance &amp; Assurance "/>
    <s v="Partnering &amp; Transformation"/>
    <s v="Transformation"/>
    <s v="na"/>
    <s v="NA"/>
    <s v="NA"/>
    <s v="NA"/>
    <m/>
    <m/>
  </r>
  <r>
    <n v="12992"/>
    <s v="Jeannie Chu"/>
    <s v="Snr Finance Support Administrator"/>
    <s v="Sam Chan"/>
    <s v="Fin Ops Manager"/>
    <s v="Partnering &amp; Transformation"/>
    <s v="Transformation"/>
    <s v="na"/>
    <s v="NA"/>
    <s v="NA"/>
    <s v="NA"/>
    <m/>
    <s v="Australia"/>
  </r>
  <r>
    <n v="5607"/>
    <s v="Maria Somera"/>
    <s v="Technology Finance Analyst"/>
    <s v="Sam Chan"/>
    <s v="Fin Ops Manager"/>
    <s v="Partnering &amp; Transformation"/>
    <s v="Transformation"/>
    <s v="na"/>
    <s v="NA"/>
    <s v="NA"/>
    <s v="NA"/>
    <m/>
    <s v="Australia"/>
  </r>
  <r>
    <n v="83658"/>
    <s v="Sam Chan"/>
    <s v="FinOps Manager"/>
    <s v="Vacant"/>
    <s v="Manager Cyber Security Operations "/>
    <s v="Partnering &amp; Transformation"/>
    <s v="Transformation"/>
    <s v="na"/>
    <s v="NA"/>
    <s v="NA"/>
    <s v="NA"/>
    <m/>
    <s v="Australia"/>
  </r>
  <r>
    <n v="116540"/>
    <s v="Neil Reilly"/>
    <s v="TDD BP - T&amp;S"/>
    <s v="Vacant"/>
    <s v="GM TDD, Partnering &amp; Transformation"/>
    <s v="Partnering &amp; Transformation"/>
    <s v="TDD Business Partner"/>
    <s v="na"/>
    <s v="NA"/>
    <s v="NA"/>
    <s v="NA"/>
    <m/>
    <s v="Singapore"/>
  </r>
  <r>
    <m/>
    <s v="Vacant"/>
    <s v="Business Analysis Practice Lead"/>
    <s v="Vacant"/>
    <s v="Delivery Excellence Manager"/>
    <s v="Partnering &amp; Transformation"/>
    <s v="Transformation"/>
    <s v="na"/>
    <s v="NA"/>
    <s v="NA"/>
    <s v="NA"/>
    <m/>
    <m/>
  </r>
  <r>
    <n v="95835"/>
    <s v="Briony Scott"/>
    <s v="Service &amp; Contract Specialist AU"/>
    <s v="Vacant"/>
    <s v="Commercial Director"/>
    <s v="Partnering &amp; Transformation"/>
    <s v="Commercial"/>
    <s v="na"/>
    <s v="NA"/>
    <s v="NA"/>
    <s v="NA"/>
    <m/>
    <s v="Australia"/>
  </r>
  <r>
    <n v="99999170371"/>
    <s v="Helen Ngu"/>
    <s v="Service &amp; Contract Specialist NZ"/>
    <s v="Vacant"/>
    <s v="Commercial Director"/>
    <s v="Partnering &amp; Transformation"/>
    <s v="Commercial"/>
    <s v="na"/>
    <s v="NA"/>
    <s v="NA"/>
    <s v="NA"/>
    <m/>
    <s v="NZ"/>
  </r>
  <r>
    <n v="101862"/>
    <s v="Vaughn Scott"/>
    <s v="TDD BP - ES"/>
    <s v="Vacant"/>
    <s v="GM TDD, Partnering &amp; Transformation"/>
    <s v="Partnering &amp; Transformation"/>
    <s v="TDD Business Partner"/>
    <s v="na"/>
    <s v="NA"/>
    <s v="NA"/>
    <s v="NA"/>
    <m/>
    <s v="Australia"/>
  </r>
  <r>
    <n v="82561"/>
    <s v="Jenny Chan"/>
    <s v="Project Finance Lead"/>
    <s v="Vacant"/>
    <s v="Manager Risk &amp; Resilience "/>
    <s v="Partnering &amp; Transformation"/>
    <s v="Transformation"/>
    <s v="Technology, CF Engineering"/>
    <s v="NA"/>
    <s v="NA"/>
    <s v="NA"/>
    <m/>
    <s v="Australia"/>
  </r>
  <r>
    <m/>
    <s v="Vacant"/>
    <s v="Scrum Master"/>
    <s v="Vacant"/>
    <s v="Lead Technology Support "/>
    <s v="Partnering &amp; Transformation"/>
    <s v="Loyalty &amp; Martech"/>
    <s v="na"/>
    <s v="NA"/>
    <s v="NA"/>
    <s v="NA"/>
    <m/>
    <m/>
  </r>
  <r>
    <n v="99999102029"/>
    <s v="Matt Saunders"/>
    <s v="Scrum Master"/>
    <s v="Vacant"/>
    <s v="Lead Technology Support "/>
    <s v="Partnering &amp; Transformation"/>
    <s v="Transformation"/>
    <s v="na"/>
    <s v="NA"/>
    <s v="NA"/>
    <s v="NA"/>
    <m/>
    <s v="NZ"/>
  </r>
  <r>
    <n v="0"/>
    <s v="Malcolm Deare"/>
    <s v="TDD BP, Group Functions"/>
    <s v="Vacant"/>
    <s v="GM TDD, Partnering &amp; Transformation"/>
    <s v="Partnering &amp; Transformation"/>
    <s v="TDD Business Partner"/>
    <s v="na"/>
    <s v="NA"/>
    <s v="NA"/>
    <s v="NA"/>
    <m/>
    <n v="0"/>
  </r>
  <r>
    <n v="113835"/>
    <s v="Ruth Chou"/>
    <s v="Portfolio Reporting Manager"/>
    <s v="Vacant"/>
    <s v="Manager Service Perforance &amp; Assurance "/>
    <s v="Partnering &amp; Transformation"/>
    <s v="Loyalty &amp; Martech"/>
    <s v="na"/>
    <s v="NA"/>
    <s v="NA"/>
    <s v="NA"/>
    <m/>
    <s v="Australia"/>
  </r>
  <r>
    <m/>
    <s v="Vacant"/>
    <s v="Delivery Capacity &amp; Assurance Lead"/>
    <s v="Vacant"/>
    <s v="vacant"/>
    <s v="Partnering &amp; Transformation"/>
    <s v="Transformation"/>
    <s v="na"/>
    <s v="NA"/>
    <s v="NA"/>
    <s v="NA"/>
    <m/>
    <m/>
  </r>
  <r>
    <n v="99999102144"/>
    <s v="Shelley Crawford"/>
    <s v="TDD BP - Z"/>
    <s v="Vacant"/>
    <s v="GM TDD, Partnering &amp; Transformation"/>
    <s v="Partnering &amp; Transformation"/>
    <s v="TDD Business Partner"/>
    <s v="na"/>
    <s v="NA"/>
    <s v="NA"/>
    <s v="NA"/>
    <m/>
    <s v="NZ"/>
  </r>
  <r>
    <n v="102411"/>
    <s v="Vacant"/>
    <s v="TDD BP - Infrastructure"/>
    <s v="Vacant"/>
    <s v="GM TDD, Partnering &amp; Transformation"/>
    <s v="Partnering &amp; Transformation"/>
    <s v="TDD Business Partner"/>
    <s v="na"/>
    <s v="NA"/>
    <s v="NA"/>
    <s v="NA"/>
    <m/>
    <s v="Australia"/>
  </r>
  <r>
    <m/>
    <s v="Vacant"/>
    <s v="Delivery Assurance Manager"/>
    <s v="Vacant"/>
    <s v="Manager Identity &amp; Access Management "/>
    <s v="Partnering &amp; Transformation"/>
    <s v="Transformation"/>
    <s v="na"/>
    <s v="NA"/>
    <s v="NA"/>
    <s v="NA"/>
    <m/>
    <m/>
  </r>
  <r>
    <n v="113362"/>
    <s v="Vacant"/>
    <s v="Software Asset Specialist"/>
    <s v="Vacant"/>
    <s v="Commercial Director"/>
    <s v="Partnering &amp; Transformation"/>
    <s v="Commercial"/>
    <s v="na"/>
    <s v="NA"/>
    <s v="NA"/>
    <s v="NA"/>
    <m/>
    <s v="Australia"/>
  </r>
  <r>
    <m/>
    <s v="Vacant"/>
    <s v="Delivery Excellence Manager"/>
    <s v="Vacant"/>
    <s v="CISO "/>
    <s v="Partnering &amp; Transformation"/>
    <s v="Transformation"/>
    <s v="na"/>
    <s v="NA"/>
    <s v="NA"/>
    <s v="NA"/>
    <m/>
    <m/>
  </r>
  <r>
    <m/>
    <s v="Vacant"/>
    <s v="Service Transition Lead"/>
    <s v="Deepali Mahajan"/>
    <s v="Data Operations Manager"/>
    <s v="Strategy, Architecture &amp; Data"/>
    <s v="Group Data"/>
    <s v="Data Operations"/>
    <s v="Enterprise Data"/>
    <m/>
    <s v="COE, Data Operations"/>
    <m/>
    <m/>
  </r>
  <r>
    <m/>
    <s v="Vacant"/>
    <s v="Engineer Data - Reporting"/>
    <s v="Dinesh Chandrasekaran"/>
    <s v="Lead Engineer (Snowflake)"/>
    <s v="Strategy, Architecture &amp; Data"/>
    <s v="Group Data"/>
    <s v="Data Engineering &amp; Platforms"/>
    <s v="Enterprise Data"/>
    <s v="Group Data"/>
    <s v="Reporting &amp; Analytics"/>
    <m/>
    <m/>
  </r>
  <r>
    <m/>
    <s v="Vacant"/>
    <s v="Engineer Data  "/>
    <s v="Dinesh Chandrasekaran"/>
    <s v="Lead Engineer (Snowflake)"/>
    <s v="Strategy, Architecture &amp; Data"/>
    <s v="Group Data"/>
    <s v="Data Engineering &amp; Platforms"/>
    <s v="Enterprise Data"/>
    <s v="Group Data"/>
    <s v="Data Platform"/>
    <m/>
    <m/>
  </r>
  <r>
    <m/>
    <s v="ring fenced"/>
    <s v="Enterprise Architect"/>
    <s v="Ed Tacey"/>
    <s v="Head of Architecture"/>
    <s v="Strategy, Architecture &amp; Data"/>
    <s v="Architecture"/>
    <s v="Architecture"/>
    <m/>
    <m/>
    <s v="COE, Architecture"/>
    <m/>
    <m/>
  </r>
  <r>
    <m/>
    <s v="ring fenced"/>
    <s v="Domain Architect - Customer &amp; Digital Tech"/>
    <s v="Ed Tacey"/>
    <s v="Head of Architecture"/>
    <s v="Strategy, Architecture &amp; Data"/>
    <s v="Architecture"/>
    <s v="Architecture"/>
    <m/>
    <m/>
    <s v="COE, Architecture"/>
    <m/>
    <m/>
  </r>
  <r>
    <m/>
    <s v="ring fenced"/>
    <s v="Domain Architect - Group Functions"/>
    <s v="Ed Tacey"/>
    <s v="Head of Architecture"/>
    <s v="Strategy, Architecture &amp; Data"/>
    <s v="Architecture"/>
    <s v="Architecture"/>
    <m/>
    <m/>
    <s v="COE, Architecture"/>
    <m/>
    <m/>
  </r>
  <r>
    <m/>
    <s v="ring fenced"/>
    <s v="Domain Architect - TDD"/>
    <s v="Ed Tacey"/>
    <s v="Head of Architecture"/>
    <s v="Strategy, Architecture &amp; Data"/>
    <s v="Architecture"/>
    <s v="Architecture"/>
    <m/>
    <m/>
    <s v="COE, Architecture"/>
    <m/>
    <m/>
  </r>
  <r>
    <m/>
    <s v="Sanjay Tikoo"/>
    <s v="Principal, Data Architecture &amp; Governance"/>
    <s v="James Holgate"/>
    <s v="Head of Technology,  Group Data"/>
    <s v="Strategy, Architecture &amp; Data"/>
    <s v="Group Data"/>
    <s v="Data Capability"/>
    <m/>
    <m/>
    <s v="COE, Leadership"/>
    <m/>
    <s v="Australia"/>
  </r>
  <r>
    <n v="99999102152"/>
    <s v="Vacant"/>
    <s v="Technology Manager, Data Engineering &amp; Platforms"/>
    <s v="James Holgate"/>
    <s v="Head of Technology,  Group Data"/>
    <s v="Strategy, Architecture &amp; Data"/>
    <s v="Group Data"/>
    <s v="Data Engineering &amp; Platforms"/>
    <s v="Enterprise Data"/>
    <s v="Group Data"/>
    <s v="COE, Leadership"/>
    <m/>
    <s v="NZ"/>
  </r>
  <r>
    <n v="113956"/>
    <s v="Deepali Mahajan"/>
    <s v="Data Operations Manager"/>
    <s v="James Holgate"/>
    <s v="Head of Technology,  Group Data"/>
    <s v="Strategy, Architecture &amp; Data"/>
    <s v="Group Data"/>
    <s v="Data Operations"/>
    <s v="Enterprise Data"/>
    <m/>
    <s v="COE, Data Operations"/>
    <m/>
    <s v="Australia"/>
  </r>
  <r>
    <m/>
    <s v="Vacant"/>
    <s v="Engineer - DevOps"/>
    <s v="Jason Gleason"/>
    <s v="Technology Manager, Data Engineering &amp; Platforms"/>
    <s v="Strategy, Architecture &amp; Data"/>
    <s v="Group Data"/>
    <s v="Data Engineering &amp; Platforms"/>
    <s v="Enterprise Data"/>
    <s v="Group Data"/>
    <s v="Data Platform"/>
    <m/>
    <m/>
  </r>
  <r>
    <n v="114147"/>
    <s v="Sumathi Manikkampichai"/>
    <s v="Data Architect"/>
    <s v="Jason Gleason"/>
    <s v="Technology Manager, Data Engineering &amp; Platforms"/>
    <s v="Strategy, Architecture &amp; Data"/>
    <s v="Group Data"/>
    <s v="Data Engineering &amp; Platforms"/>
    <s v="Enterprise Data"/>
    <s v="EGI"/>
    <s v="Reporting &amp; Analytics"/>
    <m/>
    <s v="Australia"/>
  </r>
  <r>
    <n v="99999101674"/>
    <s v="Roozbeh Shahbazirad"/>
    <s v="Lead Engineer"/>
    <s v="Jason Gleason"/>
    <s v="Technology Manager, Data Engineering &amp; Platforms"/>
    <s v="Strategy, Architecture &amp; Data"/>
    <s v="Group Data"/>
    <s v="Data Engineering &amp; Platforms"/>
    <s v="Enterprise Data"/>
    <s v="An"/>
    <s v="Data Platform"/>
    <m/>
    <s v="NZ"/>
  </r>
  <r>
    <m/>
    <s v="Vacant"/>
    <s v="Business Analyst"/>
    <s v="Joel Vijayakumar"/>
    <s v="Delivery Manager, Strategy, Architecture &amp; Data"/>
    <s v="Strategy, Architecture &amp; Data"/>
    <s v="Delivery, SADA"/>
    <m/>
    <s v="Enterprise Data"/>
    <s v="EGI"/>
    <s v="Reporting &amp; Analytics"/>
    <m/>
    <m/>
  </r>
  <r>
    <n v="80477"/>
    <s v="Vacant"/>
    <s v="Delivery Lead"/>
    <s v="Joel Vijayakumar"/>
    <s v="Delivery Manager, Strategy, Architecture &amp; Data"/>
    <s v="Strategy, Architecture &amp; Data"/>
    <s v="Delivery, SADA"/>
    <m/>
    <s v="Enterprise Data"/>
    <s v="Group Data"/>
    <s v="Reporting &amp; Analytics"/>
    <m/>
    <s v="Australia"/>
  </r>
  <r>
    <n v="94631"/>
    <s v="Rihan Schalkwyk"/>
    <s v="Senior Business Analyst"/>
    <s v="Joel Vijayakumar"/>
    <s v="Delivery Manager, Strategy, Architecture &amp; Data"/>
    <s v="Strategy, Architecture &amp; Data"/>
    <s v="Delivery, SADA"/>
    <s v=" "/>
    <m/>
    <m/>
    <s v="COE"/>
    <m/>
    <s v="Australia"/>
  </r>
  <r>
    <m/>
    <s v="Vacant"/>
    <s v="Business Analyst"/>
    <s v="Joel Vijayakumar"/>
    <s v="Delivery Manager, Strategy, Architecture &amp; Data"/>
    <s v="Strategy, Architecture &amp; Data"/>
    <s v="Delivery, SADA"/>
    <m/>
    <s v="Enterprise Data"/>
    <s v="Group Data"/>
    <s v="Data Platform"/>
    <m/>
    <m/>
  </r>
  <r>
    <n v="99999101251"/>
    <s v="Tim Snedden"/>
    <s v="Delivery Lead"/>
    <s v="Joel Vijayakumar"/>
    <s v="Delivery Manager, Strategy, Architecture &amp; Data"/>
    <s v="Strategy, Architecture &amp; Data"/>
    <s v="Delivery, SADA"/>
    <m/>
    <s v="Enterprise Data"/>
    <s v="Group Data"/>
    <s v="Data Platform"/>
    <m/>
    <s v="NZ"/>
  </r>
  <r>
    <n v="101166"/>
    <s v="Yu Chen"/>
    <s v="Senior Data Scientist"/>
    <s v="Jonathan Robinson"/>
    <s v="Technology Manager, Data Science"/>
    <s v="Strategy, Architecture &amp; Data"/>
    <s v="Group Data"/>
    <s v="Data Science"/>
    <s v="Enterprise Data"/>
    <s v="Group Data"/>
    <s v="COE, Data Science"/>
    <m/>
    <s v="Australia"/>
  </r>
  <r>
    <m/>
    <s v="Vacant"/>
    <s v="Data Analyst"/>
    <s v="Jonathan Robinson"/>
    <s v="Technology Manager, Data Science"/>
    <s v="Strategy, Architecture &amp; Data"/>
    <s v="Group Data"/>
    <s v="Ampol Retail, Store Platforms"/>
    <s v="Enterprise Data"/>
    <s v="Group Data"/>
    <s v="COE, Data Science"/>
    <m/>
    <m/>
  </r>
  <r>
    <n v="107048"/>
    <s v="Om Singh"/>
    <s v="Data Scientist"/>
    <s v="Jonathan Robinson"/>
    <s v="Technology Manager, Data Science"/>
    <s v="Strategy, Architecture &amp; Data"/>
    <s v="Group Data"/>
    <s v="Data Science"/>
    <s v="Enterprise Data"/>
    <s v="Group Data"/>
    <s v="COE, Data Science"/>
    <m/>
    <s v="Australia"/>
  </r>
  <r>
    <m/>
    <s v="Vacant"/>
    <s v="Data Scientist"/>
    <s v="Jonathan Robinson"/>
    <s v="Technology Manager, Data Science"/>
    <s v="Strategy, Architecture &amp; Data"/>
    <s v="Group Data"/>
    <s v="Data Science"/>
    <s v="Enterprise Data"/>
    <s v="Group Data"/>
    <s v="COE, Data Science"/>
    <m/>
    <m/>
  </r>
  <r>
    <n v="99999101507"/>
    <s v="Vacant"/>
    <s v="Senior Data Scientist"/>
    <s v="Jonathan Robinson"/>
    <s v="Technology Manager, Data Science"/>
    <s v="Strategy, Architecture &amp; Data"/>
    <s v="Group Data"/>
    <s v="Data Science"/>
    <s v="Enterprise Data"/>
    <s v="Group Data"/>
    <s v="COE, Data Science"/>
    <m/>
    <s v="NZ"/>
  </r>
  <r>
    <m/>
    <s v="Vacant"/>
    <s v="Senior Communications Advisor"/>
    <s v="Matt Ashley"/>
    <s v="GM TDD, Strategy, Architecture, Data"/>
    <s v="Strategy, Architecture &amp; Data"/>
    <s v="na"/>
    <m/>
    <m/>
    <m/>
    <s v="Leadership"/>
    <m/>
    <m/>
  </r>
  <r>
    <n v="80469"/>
    <s v="James Holgate"/>
    <s v="Head of Technology,  Group Data"/>
    <s v="Matt Ashley"/>
    <s v="GM TDD, Strategy, Architecture, Data"/>
    <s v="Strategy, Architecture &amp; Data"/>
    <s v="Group Data"/>
    <m/>
    <m/>
    <m/>
    <s v="Leadership"/>
    <m/>
    <s v="Australia"/>
  </r>
  <r>
    <n v="113381"/>
    <s v="Joel Vijayakumar"/>
    <s v="Delivery Manager, Strategy, Architecture &amp; Data"/>
    <s v="Matt Ashley"/>
    <s v="GM TDD, Strategy, Architecture, Data"/>
    <s v="Strategy, Architecture &amp; Data"/>
    <s v="Delivery, SADA"/>
    <m/>
    <m/>
    <m/>
    <s v="Leadership"/>
    <m/>
    <s v="Australia"/>
  </r>
  <r>
    <m/>
    <s v="Vacant"/>
    <s v="Head of Technology Strategy &amp; AI Capability"/>
    <s v="Matt Ashley"/>
    <s v="GM TDD, Strategy, Architecture, Data"/>
    <s v="Strategy, Architecture &amp; Data"/>
    <s v="Technology Strategy &amp; AI Capability"/>
    <m/>
    <m/>
    <m/>
    <s v="Leadership"/>
    <m/>
    <m/>
  </r>
  <r>
    <m/>
    <s v="Vacant (contract)"/>
    <s v="Reporting analysts - Strategic Programs"/>
    <s v="Prashanth Krishnankutty"/>
    <s v="Lead, Reporting &amp; Insights"/>
    <s v="Strategy, Architecture &amp; Data"/>
    <s v="Group Data"/>
    <s v="Data Engineering &amp; Platforms"/>
    <s v="Enterprise Data"/>
    <s v="Group Data"/>
    <s v="Reporting &amp; Analytics"/>
    <m/>
    <m/>
  </r>
  <r>
    <n v="106026"/>
    <s v="Vincent Lu"/>
    <s v="Reporting Analyst"/>
    <s v="Prashanth Krishnankutty"/>
    <s v="Lead, Reporting &amp; Insights"/>
    <s v="Strategy, Architecture &amp; Data"/>
    <s v="Group Data"/>
    <s v="Data Engineering &amp; Platforms"/>
    <s v="Enterprise Data"/>
    <s v="Group Data"/>
    <s v="Reporting &amp; Analytics"/>
    <m/>
    <s v="Australia"/>
  </r>
  <r>
    <m/>
    <s v="vacant  (Contract)"/>
    <s v="Applications Specialist - Strategic Programs"/>
    <s v="Sai Konka"/>
    <s v="Applications &amp; Analytics Manager"/>
    <s v="Strategy, Architecture &amp; Data"/>
    <s v="Group Data"/>
    <s v="Data Engineering &amp; Platforms"/>
    <s v="Enterprise Data"/>
    <s v="EGI"/>
    <s v="Reporting &amp; Analytics"/>
    <m/>
    <m/>
  </r>
  <r>
    <n v="116032"/>
    <s v="Abdul Ghaffar"/>
    <s v="Applications Specialist - Demand Planning"/>
    <s v="Sai Konka"/>
    <s v="Applications &amp; Analytics Manager"/>
    <s v="Strategy, Architecture &amp; Data"/>
    <s v="Group Data"/>
    <s v="Data Engineering &amp; Platforms"/>
    <s v="Enterprise Data"/>
    <s v="EGI"/>
    <s v="Reporting &amp; Analytics"/>
    <m/>
    <s v="Australia"/>
  </r>
  <r>
    <n v="80549"/>
    <s v="Steve Murray"/>
    <s v="Applications Specialist"/>
    <s v="Sai Konka"/>
    <s v="Applications &amp; Analytics Manager"/>
    <s v="Strategy, Architecture &amp; Data"/>
    <s v="Group Data"/>
    <s v="Data Engineering &amp; Platforms"/>
    <s v="Enterprise Data"/>
    <s v="EGI"/>
    <s v="Reporting &amp; Analytics"/>
    <m/>
    <s v="Australia"/>
  </r>
  <r>
    <n v="83092"/>
    <s v="Rakshit Kaul"/>
    <s v="Applications Specialist"/>
    <s v="Sai Konka"/>
    <s v="Applications &amp; Analytics Manager"/>
    <s v="Strategy, Architecture &amp; Data"/>
    <s v="Group Data"/>
    <s v="Data Engineering &amp; Platforms"/>
    <s v="Enterprise Data"/>
    <s v="EGI"/>
    <s v="Reporting &amp; Analytics"/>
    <m/>
    <s v="Australia"/>
  </r>
  <r>
    <n v="98599"/>
    <s v="Raymond Bai"/>
    <s v="Data Adoption Specialist"/>
    <s v="Sanjay Tikoo"/>
    <s v="Lead Engineer (Databricks)"/>
    <s v="Strategy, Architecture &amp; Data"/>
    <s v="Group Data"/>
    <s v="Data Capability"/>
    <s v="Enterprise Data"/>
    <s v="Group Data"/>
    <s v="COE, Data Capability"/>
    <m/>
    <s v="Australia"/>
  </r>
  <r>
    <n v="99522"/>
    <s v="Mitchell Clarke"/>
    <s v="Snr Data Governance Specialist"/>
    <s v="Sanjay Tikoo"/>
    <s v="Data Capability Manager"/>
    <s v="Strategy, Architecture &amp; Data"/>
    <s v="Group Data"/>
    <s v="Delivery, Commercial Fuels"/>
    <s v="Enterprise Data"/>
    <s v="Leadership"/>
    <s v="Leadership"/>
    <m/>
    <s v="Australia"/>
  </r>
  <r>
    <m/>
    <s v="Vacant"/>
    <s v="Data Governance Lead"/>
    <s v="Sanjay Tikoo"/>
    <s v="Data Capability Manager"/>
    <s v="Strategy, Architecture &amp; Data"/>
    <s v="Group Data"/>
    <s v="Data Capability"/>
    <s v="Enterprise Data"/>
    <m/>
    <s v="COE, Data Capability"/>
    <m/>
    <m/>
  </r>
  <r>
    <n v="99999101535"/>
    <s v="Lynn Yiew"/>
    <s v="Data Governance Specialist"/>
    <s v="Sanjay Tikoo"/>
    <s v="Data Capability Manager"/>
    <s v="Strategy, Architecture &amp; Data"/>
    <s v="Group Data"/>
    <s v="Data Capability"/>
    <s v="Enterprise Data"/>
    <m/>
    <s v="COE, Data Capability"/>
    <m/>
    <s v="NZ"/>
  </r>
  <r>
    <n v="110146"/>
    <s v="Renosh Matthew Thomas"/>
    <s v="Data Enablement Lead"/>
    <s v="Sanjay Tikoo"/>
    <s v="Data Capability Manager"/>
    <s v="Strategy, Architecture &amp; Data"/>
    <s v="Group Data"/>
    <s v="Data Capability"/>
    <s v="Enterprise Data"/>
    <s v="Group Data"/>
    <s v="COE, Data Capability"/>
    <m/>
    <s v="Australia"/>
  </r>
  <r>
    <n v="100330"/>
    <s v="Milan Patel"/>
    <s v="Platform Architect"/>
    <s v="Sanjay Tikoo"/>
    <s v="Data Capability Manager"/>
    <s v="Strategy, Architecture &amp; Data"/>
    <s v="Group Data"/>
    <s v="Data Capability"/>
    <m/>
    <m/>
    <s v="Data Platform"/>
    <m/>
    <s v="Australia"/>
  </r>
  <r>
    <m/>
    <s v="Vacant"/>
    <s v="Enterprise Data Architect"/>
    <s v="Vacant"/>
    <s v="Lead – Asset &amp; Configuration (Vacant)"/>
    <s v="Strategy, Architecture &amp; Data"/>
    <s v="Group Data"/>
    <s v="Data Capability"/>
    <m/>
    <m/>
    <s v="COE"/>
    <m/>
    <m/>
  </r>
  <r>
    <n v="114067"/>
    <s v="Jonathan Robinson"/>
    <s v="Technology Manager  Data Science"/>
    <s v="Vacant"/>
    <s v="Head of Technology,  Group Data"/>
    <s v="Strategy, Architecture &amp; Data"/>
    <s v="Group Data"/>
    <s v="Data Science"/>
    <s v="Enterprise Data"/>
    <s v="Group Data"/>
    <s v="COE, Leadership"/>
    <m/>
    <s v="Australia"/>
  </r>
  <r>
    <m/>
    <s v="Vacant"/>
    <s v="Reporting Lead "/>
    <s v="Vacant"/>
    <s v="Lead, Reporting &amp; Insights"/>
    <s v="Strategy, Architecture &amp; Data"/>
    <s v="Loyalty &amp; Martech"/>
    <s v="Data Engineering &amp; Platforms"/>
    <s v="Enterprise Data"/>
    <s v="Group Data"/>
    <s v="Reporting &amp; Analytics"/>
    <m/>
    <m/>
  </r>
  <r>
    <n v="107154"/>
    <s v="Prashant Tataskar"/>
    <s v="Data Scientist"/>
    <s v="Vacant"/>
    <s v="Technology Manager, Data Science"/>
    <s v="Strategy, Architecture &amp; Data"/>
    <s v="Group Data"/>
    <s v="Data Science"/>
    <s v="Enterprise Data"/>
    <s v="Group Data"/>
    <s v="COE, Data Science"/>
    <m/>
    <s v="Australia"/>
  </r>
  <r>
    <m/>
    <s v="ring fenced"/>
    <s v="Domain Architect - CFE &amp; Infrastructure "/>
    <s v="Vacant"/>
    <s v="Head of Architecture"/>
    <s v="Strategy, Architecture &amp; Data"/>
    <s v="Architecture"/>
    <s v="Architecture"/>
    <m/>
    <m/>
    <s v="COE, Architecture"/>
    <m/>
    <m/>
  </r>
  <r>
    <m/>
    <s v="Vacant"/>
    <s v="AI Capability Lead"/>
    <s v="Vacant"/>
    <s v="Head of Technology  Strategy &amp; AI Capability"/>
    <s v="Strategy, Architecture &amp; Data"/>
    <s v="Technology Strategy &amp; AI Capability"/>
    <s v="Technology Strategy &amp; AI Capability"/>
    <m/>
    <m/>
    <s v="COE"/>
    <m/>
    <m/>
  </r>
  <r>
    <n v="12010"/>
    <s v="Sai Konka"/>
    <s v="Application &amp; Analytics Manager"/>
    <s v="Vacant"/>
    <s v="Technology Manager, Data Engineering &amp; Platforms"/>
    <s v="Strategy, Architecture &amp; Data"/>
    <s v="Group Data"/>
    <s v="Data Engineering &amp; Platforms"/>
    <s v="Enterprise Data"/>
    <s v="EGI"/>
    <s v="Reporting &amp; Analytics"/>
    <m/>
    <s v="Australia"/>
  </r>
  <r>
    <m/>
    <s v="Vacant"/>
    <s v="Quality Assurance"/>
    <s v="Vacant"/>
    <s v="Lead Engineer (Snowflake)"/>
    <s v="Strategy, Architecture &amp; Data"/>
    <s v="Group Data"/>
    <s v="Data Engineering &amp; Platforms"/>
    <s v="Enterprise Data"/>
    <s v="Group Data"/>
    <s v="Data Platform"/>
    <m/>
    <m/>
  </r>
  <r>
    <m/>
    <s v="Vacant"/>
    <s v="Quality Assurance"/>
    <s v="Vacant"/>
    <s v="Lead Engineer (Databricks)"/>
    <s v="Strategy, Architecture &amp; Data"/>
    <s v="Group Data"/>
    <s v="Data Engineering &amp; Platforms"/>
    <s v="Enterprise Data"/>
    <s v="EGI"/>
    <s v="Data Platform"/>
    <m/>
    <m/>
  </r>
  <r>
    <n v="109802"/>
    <s v="Roger Blazey"/>
    <s v="Architect (AI Innovation)"/>
    <s v="Vacant"/>
    <s v="Head of Technology  Strategy &amp; AI Capability"/>
    <s v="Strategy, Architecture &amp; Data"/>
    <s v="Technology Strategy &amp; AI Capability"/>
    <s v="Technology Strategy &amp; AI Capability"/>
    <m/>
    <m/>
    <s v="COE"/>
    <m/>
    <s v="Australia"/>
  </r>
  <r>
    <m/>
    <s v="Vacant"/>
    <s v="Engineer - Data"/>
    <s v="Vacant"/>
    <s v="Lead Engineer (Databricks)"/>
    <s v="Strategy, Architecture &amp; Data"/>
    <s v="Group Data"/>
    <s v="Data Engineering &amp; Platforms"/>
    <s v="Enterprise Data"/>
    <s v="Group Data"/>
    <s v="Data Platform"/>
    <m/>
    <m/>
  </r>
  <r>
    <m/>
    <s v="Vacant"/>
    <s v="Enterprise Process Lead"/>
    <s v="Vacant"/>
    <s v="Head of Technology  Strategy &amp; AI Capability"/>
    <s v="Strategy, Architecture &amp; Data"/>
    <s v="Technology Strategy &amp; AI Capability"/>
    <s v="Technology Strategy &amp; AI Capability"/>
    <m/>
    <m/>
    <s v="COE"/>
    <m/>
    <m/>
  </r>
  <r>
    <m/>
    <s v="Vacant"/>
    <s v="EnterpriseProcess Analyst"/>
    <s v="Vacant"/>
    <s v="Enterprise Process Lead"/>
    <s v="Strategy, Architecture &amp; Data"/>
    <s v="Technology Strategy &amp; AI Capability"/>
    <s v="Technology Strategy &amp; AI Capability"/>
    <m/>
    <m/>
    <s v="COE"/>
    <m/>
    <m/>
  </r>
  <r>
    <n v="102098"/>
    <s v="Bobby Mason"/>
    <s v="Reporting Analyst"/>
    <s v="Vacant"/>
    <s v="Lead, Reporting &amp; Insights"/>
    <s v="Strategy, Architecture &amp; Data"/>
    <s v="Group Data"/>
    <s v="Technology, CF Engineering"/>
    <s v="Enterprise Data"/>
    <s v="Group Data"/>
    <s v="Reporting &amp; Analytics"/>
    <m/>
    <s v="Australia"/>
  </r>
  <r>
    <m/>
    <s v="Vacant"/>
    <s v="Data Analyst"/>
    <s v="Vacant"/>
    <s v="Technology Manager, Data Science"/>
    <s v="Strategy, Architecture &amp; Data"/>
    <s v="Group Data"/>
    <s v="Data Science"/>
    <s v="Enterprise Data"/>
    <s v="Group Data"/>
    <s v="COE, Data Science"/>
    <m/>
    <m/>
  </r>
  <r>
    <n v="0"/>
    <s v="Dinesh Chandrasekaran"/>
    <s v="Lead Engineer (Snowflake)"/>
    <s v="Vacant"/>
    <s v="Technology Manager, Data Engineering &amp; Platforms"/>
    <s v="Strategy, Architecture &amp; Data"/>
    <s v="Group Data"/>
    <s v="Data Engineering &amp; Platforms"/>
    <s v="Enterprise Data"/>
    <s v="Group Data"/>
    <s v="Data Platform"/>
    <m/>
    <n v="0"/>
  </r>
  <r>
    <n v="113451"/>
    <s v="Prashanth Krishnankutty"/>
    <s v="Lead Reporting &amp; Insights"/>
    <s v="Vacant"/>
    <s v="Technology Manager, Data Engineering &amp; Platforms"/>
    <s v="Strategy, Architecture &amp; Data"/>
    <s v="Group Data"/>
    <s v="Data Engineering &amp; Platforms"/>
    <s v="Enterprise Data"/>
    <s v="Group Data"/>
    <s v="Reporting &amp; Analytics"/>
    <m/>
    <s v="Australia"/>
  </r>
  <r>
    <m/>
    <s v="ring fenced"/>
    <s v="Domain Architect - Retail &amp; Z"/>
    <s v="Vacant"/>
    <s v="Head of Architecture"/>
    <s v="Strategy, Architecture &amp; Data"/>
    <s v="Architecture"/>
    <s v="Architecture"/>
    <m/>
    <m/>
    <s v="COE, Architecture"/>
    <m/>
    <m/>
  </r>
  <r>
    <n v="96283"/>
    <s v="Ed Tacey"/>
    <s v="Head of Architecture"/>
    <s v="Vacant"/>
    <s v="GM TDD, Strategy, Architecture, Data"/>
    <s v="Strategy, Architecture &amp; Data"/>
    <s v="Architecture"/>
    <m/>
    <m/>
    <m/>
    <s v="Leadership"/>
    <m/>
    <s v="Australia"/>
  </r>
  <r>
    <m/>
    <s v="ring fenced"/>
    <s v="Enterprise Architect"/>
    <s v="Vacant"/>
    <s v="Head of Architecture"/>
    <s v="Strategy, Architecture &amp; Data"/>
    <s v="Architecture"/>
    <s v="Architecture"/>
    <m/>
    <m/>
    <s v="COE, Architecture"/>
    <m/>
    <m/>
  </r>
  <r>
    <m/>
    <s v="Vacant"/>
    <s v="Strategy Analyst"/>
    <s v="Vacant"/>
    <s v="Head of Technology  Strategy &amp; AI Capability"/>
    <s v="Strategy, Architecture &amp; Data"/>
    <s v="Technology Strategy &amp; AI Capability"/>
    <s v="Technology Strategy &amp; AI Capability"/>
    <m/>
    <m/>
    <s v="COE"/>
    <m/>
    <m/>
  </r>
  <r>
    <m/>
    <s v="Vacant"/>
    <s v="Tech Support Technician"/>
    <s v="Allan Francia"/>
    <s v="Technology Manager, T&amp;S"/>
    <s v="TDD CFE&amp;I"/>
    <s v="Commercial Fuels"/>
    <s v="Technology, Trading &amp; Shipping"/>
    <s v="Commercial Fuels"/>
    <s v="Trading &amp; Shipping"/>
    <s v="Trading &amp; Shipping"/>
    <m/>
    <m/>
  </r>
  <r>
    <n v="116312"/>
    <s v="Trung Truong"/>
    <s v="Engineer Applications"/>
    <s v="Allan Francia"/>
    <s v="Technology Manager, T&amp;S"/>
    <s v="TDD CFE&amp;I"/>
    <s v="Commercial Fuels"/>
    <s v="Trading &amp; Shipping"/>
    <s v="Commercial Fuels"/>
    <s v="CTRM"/>
    <s v="CTRM"/>
    <m/>
    <s v="Singapore"/>
  </r>
  <r>
    <n v="6511"/>
    <s v="Leo Machin"/>
    <s v="Lead Engineer Applications"/>
    <s v="Allan Francia"/>
    <s v="Technology Manager, T&amp;S"/>
    <s v="TDD CFE&amp;I"/>
    <s v="Commercial Fuels"/>
    <s v="Technology, Trading &amp; Shipping"/>
    <s v="Commercial Fuels"/>
    <s v="Ampol Digital"/>
    <s v="Trading &amp; Shipping"/>
    <m/>
    <s v="Australia"/>
  </r>
  <r>
    <n v="11661"/>
    <s v="Kevin Li"/>
    <s v="System Specialist"/>
    <s v="Allan Francia"/>
    <s v="Technology Manager, T&amp;S"/>
    <s v="TDD CFE&amp;I"/>
    <s v="Commercial Fuels"/>
    <s v="Technology, Trading &amp; Shipping"/>
    <s v="Commercial Fuels"/>
    <s v="Trading &amp; Shipping"/>
    <s v="Trading &amp; Shipping"/>
    <m/>
    <s v="Australia"/>
  </r>
  <r>
    <n v="115836"/>
    <s v="JR Panganiban"/>
    <s v="Technology Support Engineer"/>
    <s v="Allan Francia"/>
    <s v="Technology Manager, T&amp;S"/>
    <s v="TDD CFE&amp;I"/>
    <s v="Commercial Fuels"/>
    <s v="Technology, Trading &amp; Shipping"/>
    <s v="Commercial Fuels"/>
    <s v="Trading &amp; Shipping"/>
    <s v="Trading &amp; Shipping"/>
    <m/>
    <s v="USA"/>
  </r>
  <r>
    <n v="14920"/>
    <s v="Poch Fernandez"/>
    <s v="Lead Technology Support  "/>
    <s v="Allan Francia"/>
    <s v="Technology Manager, T&amp;S"/>
    <s v="TDD CFE&amp;I"/>
    <s v="Commercial Fuels"/>
    <s v="Technology, Trading &amp; Shipping"/>
    <s v="Commercial Fuels"/>
    <s v="Trading &amp; Shipping"/>
    <s v="Trading &amp; Shipping"/>
    <m/>
    <s v="Singapore"/>
  </r>
  <r>
    <n v="14013"/>
    <s v="Jem Cruz"/>
    <s v="System Specialist"/>
    <s v="Allan Francia"/>
    <s v="Technology Manager, T&amp;S"/>
    <s v="TDD CFE&amp;I"/>
    <s v="Commercial Fuels"/>
    <s v="Technology, Trading &amp; Shipping"/>
    <s v="Commercial Fuels"/>
    <s v="Trading &amp; Shipping"/>
    <s v="Trading &amp; Shipping"/>
    <m/>
    <s v="Australia"/>
  </r>
  <r>
    <n v="106547"/>
    <s v="Chin Fang Kwek"/>
    <s v="System Analyst"/>
    <s v="Allan Francia"/>
    <s v="Technology Manager, T&amp;S"/>
    <s v="TDD CFE&amp;I"/>
    <s v="Commercial Fuels"/>
    <s v="Technology, Trading &amp; Shipping"/>
    <s v="Commercial Fuels"/>
    <s v="Trading &amp; Shipping"/>
    <s v="Trading &amp; Shipping"/>
    <m/>
    <s v="Singapore"/>
  </r>
  <r>
    <m/>
    <s v="Vacant"/>
    <s v="Technology Manager Data"/>
    <s v="Amish Pandit"/>
    <s v="Head of Technology, Fuel Infrastructure"/>
    <s v="TDD CFE&amp;I"/>
    <s v="Fuel Infrastructure"/>
    <s v="Fuel Infrastructure, Data"/>
    <s v="Infrastructure"/>
    <s v="Leadership"/>
    <s v="Leadership"/>
    <m/>
    <m/>
  </r>
  <r>
    <n v="109475"/>
    <s v="Jaya Ganasan"/>
    <s v="B2B &amp; Energy+B452:I452"/>
    <s v="Amish Pandit"/>
    <s v="Head of Technology, Fuel Infrastructure"/>
    <s v="TDD CFE&amp;I"/>
    <s v="Fuel Infrastructure"/>
    <s v="Refinery Applications"/>
    <s v="Infrastructure"/>
    <s v="Manufacturing"/>
    <s v="Manufacturing Group Projects"/>
    <m/>
    <s v="Australia"/>
  </r>
  <r>
    <m/>
    <s v="Vacant"/>
    <s v="Delivery Manager"/>
    <s v="Amish Pandit"/>
    <s v="Head of Technology, Fuel Infrastructure"/>
    <s v="TDD CFE&amp;I"/>
    <s v="Fuel Infrastructure"/>
    <s v="Fuel Infrastructure, Delivery"/>
    <s v="Infrastructure"/>
    <s v="Leadership "/>
    <s v="Leadership"/>
    <m/>
    <m/>
  </r>
  <r>
    <n v="106201"/>
    <s v="George Moun"/>
    <s v="Solution Architect"/>
    <s v="Amish Pandit"/>
    <s v="Head of Technology, Infrastructure"/>
    <s v="TDD CFE&amp;I"/>
    <s v="Fuel Infrastructure"/>
    <s v="Fuel Infrastructure"/>
    <s v="Infrastructure"/>
    <s v="Leadership "/>
    <s v="Leadership"/>
    <m/>
    <s v="Australia"/>
  </r>
  <r>
    <n v="99999101636"/>
    <s v="Rod Santillan"/>
    <s v="Snr Engineer Software"/>
    <s v="Elle Spencer"/>
    <s v="Technology Manager, Energy Solutions"/>
    <s v="TDD CFE&amp;I"/>
    <s v="B2B &amp; Energy Solutions"/>
    <s v="Technology B2B"/>
    <s v="B2B &amp; Energy Solutions"/>
    <s v="B2B"/>
    <s v="B2B"/>
    <m/>
    <s v="NZ"/>
  </r>
  <r>
    <n v="90813"/>
    <s v="Vacant  (Contract)"/>
    <s v="Senior Systems Analyst - Card"/>
    <s v="Elle Spencer"/>
    <s v="Technology Manager, Energy Solutions"/>
    <s v="TDD CFE&amp;I"/>
    <s v="B2B &amp; Energy Solutions"/>
    <s v="Technology B2B"/>
    <s v="B2B &amp; Energy Solutions"/>
    <s v="B2B"/>
    <s v="B2B"/>
    <m/>
    <s v="Australia"/>
  </r>
  <r>
    <n v="99691"/>
    <s v="Frank Liang"/>
    <s v="Senior Systems Analyst"/>
    <s v="Elle Spencer"/>
    <s v="Technology Manager, Energy Solutions"/>
    <s v="TDD CFE&amp;I"/>
    <s v="B2B &amp; Energy Solutions"/>
    <s v="Technology B2B"/>
    <s v="B2B &amp; Energy Solutions"/>
    <s v="B2B"/>
    <s v="B2B"/>
    <m/>
    <s v="Australia"/>
  </r>
  <r>
    <n v="105799"/>
    <s v="Lindsay Baipas"/>
    <s v="System Analyst Card"/>
    <s v="Elle Spencer"/>
    <s v="Technology Manager, Energy Solutions"/>
    <s v="TDD CFE&amp;I"/>
    <s v="B2B &amp; Energy Solutions"/>
    <s v="Technology B2B"/>
    <s v="B2B &amp; Energy Solutions"/>
    <s v="B2B"/>
    <s v="B2B"/>
    <m/>
    <s v="Australia"/>
  </r>
  <r>
    <n v="99999101912"/>
    <s v="Alex Abelita"/>
    <s v="Associate Engineer - Automation Testing"/>
    <s v="Elle Spencer"/>
    <s v="Technology Manager, Energy Solutions"/>
    <s v="TDD CFE&amp;I"/>
    <s v="B2B &amp; Energy Solutions"/>
    <s v="Technology B2B"/>
    <s v="B2B &amp; Energy Solutions"/>
    <s v="B2B"/>
    <s v="B2B"/>
    <m/>
    <s v="NZ"/>
  </r>
  <r>
    <n v="114366"/>
    <s v="Allyn Puente"/>
    <s v="Graduate"/>
    <s v="Elle Spencer"/>
    <s v="Technology Manager, Energy Solutions"/>
    <s v="TDD CFE&amp;I"/>
    <s v="B2B &amp; Energy Solutions"/>
    <s v="Technology B2B"/>
    <s v="B2B &amp; Energy Solutions"/>
    <s v="B2B"/>
    <s v="B2B"/>
    <m/>
    <s v="Australia"/>
  </r>
  <r>
    <n v="109362"/>
    <s v="Scott Hasson"/>
    <s v="Technology Support Engineer - Infrastructure"/>
    <s v="Glenn Earl"/>
    <s v="Lead Support, Infrastructure"/>
    <s v="TDD CFE&amp;I"/>
    <s v="Fuel Infrastructure"/>
    <s v="Refinery Applications"/>
    <s v="Infrastructure"/>
    <s v="Fuel Infrastructure"/>
    <s v="Technology Suport"/>
    <m/>
    <s v="Australia"/>
  </r>
  <r>
    <n v="92699"/>
    <s v="Vacant"/>
    <s v="Technology Support Engineer - Infrastructure"/>
    <s v="Glenn Earl"/>
    <s v="Lead Support, Infrastructure"/>
    <s v="TDD CFE&amp;I"/>
    <s v="Fuel Infrastructure"/>
    <s v="Refinery Applications"/>
    <s v="Infrastructure"/>
    <s v="Fuel Infrastructure"/>
    <s v="Technology Suport"/>
    <m/>
    <s v="Australia"/>
  </r>
  <r>
    <n v="110040"/>
    <s v="Tyler Meggs"/>
    <s v="System Analyst"/>
    <s v="Jaya Ganasan"/>
    <s v="Technology Manager, TDD Refinery"/>
    <s v="TDD CFE&amp;I"/>
    <s v="Fuel Infrastructure"/>
    <s v="Refinery Applications"/>
    <s v="Infrastructure"/>
    <s v="Manufacturing"/>
    <s v="Manufacturing Group Projects"/>
    <m/>
    <s v="Australia"/>
  </r>
  <r>
    <n v="98087"/>
    <s v="Victor Olasanoye"/>
    <s v="Senior Systems Analyst"/>
    <s v="Jaya Ganasan"/>
    <s v="Technology Manager, TDD Refinery"/>
    <s v="TDD CFE&amp;I"/>
    <s v="Fuel Infrastructure"/>
    <s v="Refinery Applications"/>
    <s v="Infrastructure"/>
    <s v="Manufacturing"/>
    <s v="Manuacturing Group Projects"/>
    <m/>
    <s v="Australia"/>
  </r>
  <r>
    <m/>
    <s v="Vacant "/>
    <s v="Solution Architect"/>
    <s v="Jaya Ganasan"/>
    <s v="Technology Manager, TDD Refinery"/>
    <s v="TDD CFE&amp;I"/>
    <s v="Fuel Infrastructure"/>
    <s v="Refinery Applications"/>
    <s v="Infrastructure"/>
    <s v="Manufacturing"/>
    <s v="Manufacturing Group Projects"/>
    <m/>
    <m/>
  </r>
  <r>
    <n v="0"/>
    <s v="Chris Camacho"/>
    <s v="Senior Systems Analyst"/>
    <s v="Jaya Ganasan"/>
    <s v="Technology Manager, TDD Refinery"/>
    <s v="TDD CFE&amp;I"/>
    <s v="Fuel Infrastructure"/>
    <s v="Refinery Applications"/>
    <s v="Infrastructure"/>
    <s v="Manufacturing"/>
    <s v="Manuacturing Group Projects"/>
    <m/>
    <n v="0"/>
  </r>
  <r>
    <n v="116090"/>
    <s v="Fabian Moreno Cortes"/>
    <s v="Engineer - Software"/>
    <s v="Jaya Ganasan"/>
    <s v="Technology Manager, TDD Refinery"/>
    <s v="TDD CFE&amp;I"/>
    <s v="Fuel Infrastructure"/>
    <s v="Refinery Applications"/>
    <s v="Infrastructure"/>
    <s v="Manufacturing"/>
    <s v="Manuacturing Group Projects"/>
    <m/>
    <s v="Australia"/>
  </r>
  <r>
    <n v="97776"/>
    <s v="Anvitha Kurra"/>
    <s v="Senior Systems Analyst"/>
    <s v="Karla Orozco Loza"/>
    <s v="Technology Manager, Future Infrastructure"/>
    <s v="TDD CFE&amp;I"/>
    <s v="Fuel Infrastructure"/>
    <s v="Technology - Distribution"/>
    <s v="Infrastructure"/>
    <s v="Distribution"/>
    <s v="Distribution, Sales &amp; Services"/>
    <m/>
    <s v="Australia"/>
  </r>
  <r>
    <n v="81395"/>
    <s v="Angus Gibson"/>
    <s v="Senior Systems Analyst"/>
    <s v="Karla Orozco Loza"/>
    <s v="Technology Manager, Future Infrastructure"/>
    <s v="TDD CFE&amp;I"/>
    <s v="Fuel Infrastructure"/>
    <s v="Technology - Distribution"/>
    <s v="Infrastructure"/>
    <s v="Distribution"/>
    <s v="Distribution, Sales &amp; Services"/>
    <m/>
    <s v="Australia"/>
  </r>
  <r>
    <n v="113202"/>
    <s v="Rohan Patel"/>
    <s v="Senior Systems Analyst"/>
    <s v="Karla Orozco Loza"/>
    <s v="Technology Manager, Future Infrastructure"/>
    <s v="TDD CFE&amp;I"/>
    <s v="Fuel Infrastructure"/>
    <s v="Technology - Distribution"/>
    <s v="Infrastructure"/>
    <s v="Distribution"/>
    <s v="Distribution, Sales &amp; Services"/>
    <m/>
    <s v="Australia"/>
  </r>
  <r>
    <n v="101059"/>
    <s v="Sriramani Deyyala"/>
    <s v="Systems Analyst"/>
    <s v="Karla Orozco Loza"/>
    <s v="Technology Manager, Future Infrastructure"/>
    <s v="TDD CFE&amp;I"/>
    <s v="Fuel Infrastructure"/>
    <s v="Technology - Distribution"/>
    <s v="Infrastructure"/>
    <s v="Distribution"/>
    <s v="Distribution, Sales &amp; Services"/>
    <m/>
    <s v="Australia"/>
  </r>
  <r>
    <n v="101539"/>
    <s v="Vacant"/>
    <s v="Systems Analyst"/>
    <s v="Karla Orozco Loza"/>
    <s v="Technology Manager, Future Infrastructure"/>
    <s v="TDD CFE&amp;I"/>
    <s v="Fuel Infrastructure"/>
    <s v="Fuel Infrastructure"/>
    <s v="Infrastructure"/>
    <s v="Distribution"/>
    <s v="Distribution, Sales &amp; Services"/>
    <m/>
    <s v="Australia"/>
  </r>
  <r>
    <n v="6748"/>
    <s v="Elle Spencer"/>
    <s v="Technology Manager - B2B"/>
    <s v="Liesl Tye"/>
    <s v="Head of Technology, B2B &amp; Energy Solutions"/>
    <s v="TDD CFE&amp;I"/>
    <s v="B2B &amp; Energy Solutions"/>
    <s v="Technology, B2B"/>
    <s v="B2B &amp; Energy Solutions"/>
    <s v="Leadership"/>
    <s v="Leadership"/>
    <m/>
    <s v="Australia"/>
  </r>
  <r>
    <m/>
    <s v="Vacant"/>
    <s v="Technology Manager, Energy Solutions"/>
    <s v="Liesl Tye"/>
    <s v="Head of Technology, B2B &amp; Energy Solutions"/>
    <s v="TDD CFE&amp;I"/>
    <s v="Loyalty &amp; Martech"/>
    <s v="Technology Energy Solutions"/>
    <m/>
    <m/>
    <m/>
    <m/>
    <m/>
  </r>
  <r>
    <m/>
    <s v="Vacant"/>
    <s v="Delivery Manager"/>
    <s v="Liesl Tye"/>
    <s v="Head of Technology, B2B &amp; Energy Solutions"/>
    <s v="TDD CFE&amp;I"/>
    <s v="B2B &amp; Energy Solutions"/>
    <s v="Leadership"/>
    <s v="B2B &amp; Energy Solutions"/>
    <s v="Leadership"/>
    <s v="Leadership"/>
    <m/>
    <m/>
  </r>
  <r>
    <m/>
    <s v="Vacant"/>
    <s v="Technology Manager, Engineering"/>
    <s v="Nakul Bharade"/>
    <s v="Head of Technology, Commercial Fuels"/>
    <s v="TDD CFE&amp;I"/>
    <s v="Loyalty &amp; Martech"/>
    <s v="Trading &amp; Shipping"/>
    <s v="Commercial Fuels"/>
    <m/>
    <m/>
    <m/>
    <m/>
  </r>
  <r>
    <m/>
    <s v="Vacant"/>
    <s v="Delivery Manager"/>
    <s v="Nakul Bharade"/>
    <s v="Head of Technology, Commercial Fuels"/>
    <s v="TDD CFE&amp;I"/>
    <s v="Commercial Fuels"/>
    <s v="Trading &amp; Shipping"/>
    <s v="Commercial Fuels"/>
    <m/>
    <m/>
    <m/>
    <m/>
  </r>
  <r>
    <m/>
    <s v="Vacant"/>
    <s v="Technology Manager, Data"/>
    <s v="Nakul Bharade"/>
    <s v="Head of Technology, Commercial Fuels"/>
    <s v="TDD CFE&amp;I"/>
    <s v="Commercial Fuels"/>
    <s v="Trading &amp; Shipping"/>
    <s v="Commercial Fuels"/>
    <m/>
    <m/>
    <m/>
    <m/>
  </r>
  <r>
    <n v="106404"/>
    <s v="Carl Russo"/>
    <s v="Program Manager - CTRM"/>
    <s v="Roanne Steele"/>
    <s v="GM TDD, CFE&amp;I"/>
    <s v="TDD CFE&amp;I"/>
    <s v="Leadership"/>
    <s v="Leadership"/>
    <m/>
    <m/>
    <m/>
    <m/>
    <s v="Australia"/>
  </r>
  <r>
    <n v="97098"/>
    <s v="Amish Pandit"/>
    <s v="Head of Technology, Fuel Infrastructure"/>
    <s v="Roanne Steele"/>
    <s v="GM TDD, CFE&amp;I"/>
    <s v="TDD CFE&amp;I"/>
    <s v="Fuel Infrastructure"/>
    <s v="Leadership"/>
    <s v="Infrastructure"/>
    <s v="Leadership "/>
    <s v="Leadership"/>
    <m/>
    <s v="Australia"/>
  </r>
  <r>
    <n v="99999101304"/>
    <s v="Liesl Tye"/>
    <s v="Head of Technology, B2B &amp; Energy Solutions"/>
    <s v="Roanne Steele "/>
    <s v="GM TDD, CFE&amp;I"/>
    <s v="TDD CFE&amp;I"/>
    <s v="B2B &amp; Energy Solutions"/>
    <s v="Leadership"/>
    <s v="B2B &amp; Energy Solutions"/>
    <s v="Leadership"/>
    <s v="Leadership"/>
    <m/>
    <s v="NZ"/>
  </r>
  <r>
    <n v="99999101224"/>
    <s v="Nakul Bharade"/>
    <s v="Head of Technology, Commercial Fuels"/>
    <s v="Roanne Steele "/>
    <s v="GM TDD, CFE&amp;I"/>
    <s v="TDD CFE&amp;I"/>
    <s v="Commercial Fuels"/>
    <m/>
    <s v="Commercial Fuels"/>
    <s v="Ampol Digital"/>
    <s v="Trading &amp; Shipping"/>
    <m/>
    <s v="NZ"/>
  </r>
  <r>
    <n v="14100"/>
    <s v="Belinda Ford"/>
    <s v="Quality Assurance"/>
    <s v="Vacant"/>
    <s v="Technology Manager, Energy Solutions"/>
    <s v="TDD CFE&amp;I"/>
    <s v="B2B &amp; Energy Solutions"/>
    <s v="Technology, CF Engineering"/>
    <s v="B2B &amp; Energy Solutions"/>
    <s v="B2B"/>
    <s v="B2B"/>
    <m/>
    <s v="Australia"/>
  </r>
  <r>
    <m/>
    <s v="Vacant"/>
    <s v="Quality Assurance"/>
    <s v="Vacant"/>
    <s v="Technology Manager, Engineering"/>
    <s v="TDD CFE&amp;I"/>
    <s v="Commercial Fuels"/>
    <s v="Technology, Engineering"/>
    <s v="Commercial Fuels"/>
    <s v="Trading &amp; Shipping"/>
    <s v="Trading &amp; Shipping"/>
    <m/>
    <m/>
  </r>
  <r>
    <n v="116253"/>
    <s v="Siva Chimmani"/>
    <s v="Senior Engineer"/>
    <s v="Vacant"/>
    <s v="Technology Manager, Future Infrastructure"/>
    <s v="TDD CFE&amp;I"/>
    <s v="Fuel Infrastructure"/>
    <s v="Technology - Distribution"/>
    <s v="Infrastructure"/>
    <s v="Distribution"/>
    <s v="Distribution, Sales &amp; Services"/>
    <m/>
    <s v="Australia"/>
  </r>
  <r>
    <m/>
    <s v="Vacant"/>
    <s v="System Specialist"/>
    <s v="Vacant"/>
    <s v="Technology Manager, T&amp;S"/>
    <s v="TDD CFE&amp;I"/>
    <s v="Commercial Fuels"/>
    <s v="Technology, Trading &amp; Shipping"/>
    <s v="Commercial Fuels"/>
    <s v="Supply"/>
    <s v="Supply"/>
    <m/>
    <m/>
  </r>
  <r>
    <n v="106791"/>
    <s v="Victor Beuk"/>
    <s v="Delivery Lead"/>
    <s v="Vacant"/>
    <s v="Delivery Manager"/>
    <s v="TDD CFE&amp;I"/>
    <s v="B2B &amp; Energy Solutions"/>
    <s v="Delivery"/>
    <s v="Retail"/>
    <s v="AMPOS"/>
    <s v="AmPos"/>
    <m/>
    <s v="Australia"/>
  </r>
  <r>
    <n v="105532"/>
    <s v="Debbie Gor"/>
    <s v="Delivery Lead"/>
    <s v="Vacant"/>
    <s v="Delivery Manager"/>
    <s v="TDD CFE&amp;I"/>
    <s v="B2B &amp; Energy Solutions"/>
    <s v="Delivery"/>
    <s v="B2B &amp; Energy Solutions"/>
    <s v="B2B"/>
    <s v="B2B"/>
    <m/>
    <s v="Australia"/>
  </r>
  <r>
    <m/>
    <s v="Vacant"/>
    <s v="Delivery Lead"/>
    <s v="Vacant"/>
    <s v="Delivery Manager"/>
    <s v="TDD CFE&amp;I"/>
    <s v="Commercial Fuels"/>
    <s v="Trading &amp; Shipping"/>
    <s v="Commercial Fuels"/>
    <s v="Supply"/>
    <s v="Supply"/>
    <m/>
    <m/>
  </r>
  <r>
    <n v="107550"/>
    <s v="Gunjan Vasudeva"/>
    <s v="Lead Quality Assurance"/>
    <s v="Vacant"/>
    <s v="Technology Manager, Energy Solutions"/>
    <s v="TDD CFE&amp;I"/>
    <s v="B2B &amp; Energy Solutions"/>
    <s v="Technology Energy Solutions"/>
    <s v="B2B &amp; Energy Solutions"/>
    <s v="Energy Solutions"/>
    <s v="Energy"/>
    <m/>
    <s v="Australia"/>
  </r>
  <r>
    <m/>
    <s v="Vacant"/>
    <s v="Engineer Software"/>
    <s v="Vacant"/>
    <s v="Technology Manager, Energy Solutions"/>
    <s v="TDD CFE&amp;I"/>
    <s v="Loyalty &amp; Martech"/>
    <s v="Technology B2B"/>
    <s v="B2B &amp; Energy Solutions"/>
    <s v="B2B"/>
    <s v="B2B"/>
    <m/>
    <m/>
  </r>
  <r>
    <m/>
    <s v="Vacant"/>
    <s v="Engineer Automation - Testing"/>
    <s v="Vacant"/>
    <s v="Technology Manager, Energy Solutions"/>
    <s v="TDD CFE&amp;I"/>
    <s v="B2B &amp; Energy Solutions"/>
    <s v="Technology Energy Solutions"/>
    <s v="B2B &amp; Energy Solutions"/>
    <s v="Ampol Digital"/>
    <s v="Energy"/>
    <m/>
    <m/>
  </r>
  <r>
    <n v="99999101545"/>
    <s v="Josh Campbell"/>
    <s v="Engineer Software"/>
    <s v="Vacant"/>
    <s v="Technology Manager, Energy Solutions"/>
    <s v="TDD CFE&amp;I"/>
    <s v="B2B &amp; Energy Solutions"/>
    <s v="Technology Energy Solutions"/>
    <s v="B2B &amp; Energy Solutions"/>
    <s v="Energy Solutions"/>
    <s v="EVCI"/>
    <m/>
    <s v="NZ"/>
  </r>
  <r>
    <m/>
    <s v="Vacant"/>
    <s v="Snr Engineer Software"/>
    <s v="Vacant"/>
    <s v="Technology Manager, Energy Solutions"/>
    <s v="TDD CFE&amp;I"/>
    <s v="B2B &amp; Energy Solutions"/>
    <s v="Technology Energy Solutions"/>
    <s v="B2B &amp; Energy Solutions"/>
    <s v="Energy Solutions"/>
    <s v="Energy"/>
    <m/>
    <m/>
  </r>
  <r>
    <m/>
    <s v="Vacant"/>
    <s v="Solution Architect"/>
    <s v="Vacant"/>
    <s v="Technology Manager, Energy Solutions"/>
    <s v="TDD CFE&amp;I"/>
    <s v="B2B &amp; Energy Solutions"/>
    <s v="Technology B2B"/>
    <s v="B2B &amp; Energy Solutions"/>
    <s v="B2B"/>
    <s v="B2B"/>
    <m/>
    <m/>
  </r>
  <r>
    <n v="96270"/>
    <s v="Zhan Liu"/>
    <s v="Engineer Applications"/>
    <s v="Vacant"/>
    <s v="Technology Manager, T&amp;S"/>
    <s v="TDD CFE&amp;I"/>
    <s v="Commercial Fuels"/>
    <s v="Trading &amp; Shipping"/>
    <s v="Commercial Fuels"/>
    <s v="CTRM"/>
    <s v="CTRM"/>
    <m/>
    <s v="Australia"/>
  </r>
  <r>
    <n v="107463"/>
    <s v="Deepa Kaur"/>
    <s v="Senior Engineer Automation Testing"/>
    <s v="Vacant"/>
    <s v="Technology Manager, Engineering"/>
    <s v="TDD CFE&amp;I"/>
    <s v="Commercial Fuels"/>
    <s v="Trading &amp; Shipping"/>
    <s v="Commercial Fuels"/>
    <s v="CTRM"/>
    <s v="CTRM"/>
    <m/>
    <s v="Australia"/>
  </r>
  <r>
    <n v="99999101325"/>
    <s v="Laura Roberts"/>
    <s v="Senior Engineer Software"/>
    <s v="Vacant"/>
    <s v="Technology Manager, Engineering"/>
    <s v="TDD CFE&amp;I"/>
    <s v="Commercial Fuels"/>
    <s v="Delivery, Commercial Fuels"/>
    <s v="Commercial Fuels"/>
    <s v="CTRM"/>
    <s v="CTRM"/>
    <m/>
    <s v="NZ"/>
  </r>
  <r>
    <m/>
    <s v="Vacant (anaplan)"/>
    <s v="System Specialist"/>
    <s v="Vacant"/>
    <s v="Technology Manager, T&amp;S"/>
    <s v="TDD CFE&amp;I"/>
    <s v="Commercial Fuels"/>
    <s v="Technology, Trading &amp; Shipping"/>
    <s v="Commercial Fuels"/>
    <s v="Supply"/>
    <s v="Supply"/>
    <m/>
    <m/>
  </r>
  <r>
    <n v="99999101752"/>
    <s v="Amanda Turnbull"/>
    <s v="Engineer Software"/>
    <s v="Vacant"/>
    <s v="Technology Manager, Engineering"/>
    <s v="TDD CFE&amp;I"/>
    <s v="Commercial Fuels"/>
    <s v="Trading &amp; Shipping"/>
    <s v="Commercial Fuels"/>
    <s v="CTRM"/>
    <s v="CTRM"/>
    <m/>
    <s v="NZ"/>
  </r>
  <r>
    <s v="Mike Gilbert"/>
    <s v="Byron Leung"/>
    <s v="Solution Architect"/>
    <s v="Vacant"/>
    <s v="Technology Manager, Engineering"/>
    <s v="TDD CFE&amp;I"/>
    <s v="Commercial Fuels"/>
    <s v="Trading &amp; Shipping"/>
    <s v="Commercial Fuels"/>
    <s v="CTRM"/>
    <s v="CTRM"/>
    <m/>
    <s v="Australia"/>
  </r>
  <r>
    <n v="99999101568"/>
    <s v="Anie Camerino"/>
    <s v="Snr Quality Assurance"/>
    <s v="Vacant"/>
    <s v="Technology Manager, Energy Solutions"/>
    <s v="TDD CFE&amp;I"/>
    <s v="B2B &amp; Energy Solutions"/>
    <s v="Technology Energy Solutions"/>
    <s v="B2B &amp; Energy Solutions"/>
    <s v="Energy Solutions"/>
    <s v="EVCI"/>
    <m/>
    <s v="NZ"/>
  </r>
  <r>
    <s v="Craig Ambrose"/>
    <s v="Tom Moore"/>
    <s v="Technology Support Engineer - Infrastructure"/>
    <s v="Vacant"/>
    <s v="Lead Support, Infrastructure"/>
    <s v="TDD CFE&amp;I"/>
    <s v="Fuel Infrastructure"/>
    <s v="Refinery Applications"/>
    <s v="Infrastructure"/>
    <s v="Fuel Infrastructure"/>
    <s v="Technology Suport"/>
    <m/>
    <s v="Australia"/>
  </r>
  <r>
    <n v="85491"/>
    <s v="Mick DaSilva"/>
    <s v="Senior Business Analyst"/>
    <s v="Vacant"/>
    <s v="Delivery Manager"/>
    <s v="TDD CFE&amp;I"/>
    <s v="B2B &amp; Energy Solutions"/>
    <s v="Delivery"/>
    <s v="B2B &amp; Energy Solutions"/>
    <s v="B2B"/>
    <s v="B2B"/>
    <m/>
    <s v="Australia"/>
  </r>
  <r>
    <n v="106555"/>
    <s v="Karla Orozco Loza"/>
    <s v="Technology Manager, Future Infrastructure "/>
    <s v="Vacant"/>
    <s v="Head of Technology, Fuel Infrastructure"/>
    <s v="TDD CFE&amp;I"/>
    <s v="Fuel Infrastructure"/>
    <s v="Technology - Distribution"/>
    <s v="Infrastructure"/>
    <s v="Distribution"/>
    <s v="Leadership"/>
    <m/>
    <s v="Australia"/>
  </r>
  <r>
    <n v="103651"/>
    <s v="Hari Maneti"/>
    <s v="Systems Analyst"/>
    <s v="Vacant"/>
    <s v="Technology Manager, T&amp;S"/>
    <s v="TDD CFE&amp;I"/>
    <s v="Commercial Fuels"/>
    <s v="Technology, Trading &amp; Shipping"/>
    <s v="Commercial Fuels"/>
    <s v="Trading &amp; Shipping"/>
    <s v="Trading &amp; Shipping"/>
    <m/>
    <s v="Singapore"/>
  </r>
  <r>
    <n v="13925"/>
    <s v="Allan Francia"/>
    <s v="Technology Manager - T&amp;S"/>
    <s v="Vacant"/>
    <s v="Head of Technology, Commercial Fuels"/>
    <s v="TDD CFE&amp;I"/>
    <s v="Commercial Fuels"/>
    <s v="Trading &amp; Shipping"/>
    <s v="Commercial Fuels"/>
    <s v="Trading &amp; Shipping"/>
    <s v="Trading &amp; Shipping"/>
    <m/>
    <s v="Australia"/>
  </r>
  <r>
    <n v="99999101908"/>
    <s v="Oliver Shanks"/>
    <s v="Associate Engineer Software"/>
    <s v="Vacant"/>
    <s v="Technology Manager, Engineering"/>
    <s v="TDD CFE&amp;I"/>
    <s v="Commercial Fuels"/>
    <s v="Trading &amp; Shipping"/>
    <s v="Commercial Fuels"/>
    <s v="CTRM"/>
    <s v="CTRM"/>
    <m/>
    <s v="NZ"/>
  </r>
  <r>
    <n v="99999100769"/>
    <s v="Gokila Mylsamy"/>
    <s v="Lead Engineer Software"/>
    <s v="Vacant"/>
    <s v="Technology Manager, Energy Solutions"/>
    <s v="TDD CFE&amp;I"/>
    <s v="B2B &amp; Energy Solutions"/>
    <s v="Technology Energy Solutions"/>
    <s v="B2B &amp; Energy Solutions"/>
    <s v="Energy Solutions"/>
    <s v="EVCI"/>
    <m/>
    <s v="NZ"/>
  </r>
  <r>
    <n v="114717"/>
    <s v="Fransiscus Setiawan"/>
    <s v="Integration Architect   "/>
    <s v="Vacant"/>
    <s v="Technology Manager, Engineering"/>
    <s v="TDD CFE&amp;I"/>
    <s v="Commercial Fuels"/>
    <s v="Trading &amp; Shipping"/>
    <s v="Commercial Fuels"/>
    <s v="CTRM"/>
    <s v="CTRM"/>
    <m/>
    <s v="Australia"/>
  </r>
  <r>
    <n v="10572"/>
    <s v="Stevani Kho"/>
    <s v="Delivery Lead"/>
    <s v="Vacant"/>
    <s v="Technology Manger, Data"/>
    <s v="TDD CFE&amp;I"/>
    <s v="Fuel Infrastructure"/>
    <s v="Technology, Trading &amp; Shipping"/>
    <s v="Infrastructure"/>
    <s v="Data &amp; Insights "/>
    <s v="Data &amp; Insights "/>
    <m/>
    <s v="Australia"/>
  </r>
  <r>
    <m/>
    <s v="Vacant"/>
    <s v="Senior Engineer Data"/>
    <s v="Vacant"/>
    <s v="Technology Manger, Data"/>
    <s v="TDD CFE&amp;I"/>
    <s v="Fuel Infrastructure"/>
    <s v="Technology, CF Engineering"/>
    <s v="Infrastructure"/>
    <s v="Data &amp; Insights "/>
    <s v="Data &amp; Insights "/>
    <m/>
    <m/>
  </r>
  <r>
    <n v="6851"/>
    <s v="Ann Aquino"/>
    <s v="Senior Business Analyst"/>
    <s v="Vacant"/>
    <s v="Delivery Manager"/>
    <s v="TDD CFE&amp;I"/>
    <s v="Commercial Fuels"/>
    <s v="Trading &amp; Shipping"/>
    <s v="Commercial Fuels"/>
    <s v="Supply"/>
    <s v="Supply"/>
    <m/>
    <s v="Australia"/>
  </r>
  <r>
    <n v="0"/>
    <s v="Simrat Singh"/>
    <s v="Reporting Analyst"/>
    <s v="Vacant"/>
    <s v="Technology Manager, TDD Refinery"/>
    <s v="TDD CFE&amp;I"/>
    <s v="Fuel Infrastructure"/>
    <s v="Refinery Applications"/>
    <s v="Infrastructure"/>
    <s v="Data &amp; Insights "/>
    <s v="Data &amp; Insights "/>
    <m/>
    <n v="0"/>
  </r>
  <r>
    <n v="102576"/>
    <s v="Glenn Earl"/>
    <s v="Lead Technology Support - Infrastructure"/>
    <s v="Vacant"/>
    <s v="Technology Manager, TDD Refinery"/>
    <s v="TDD CFE&amp;I"/>
    <s v="Fuel Infrastructure"/>
    <s v="Refinery Applications"/>
    <s v="Infrastructure"/>
    <s v="Fuel Infrastructure"/>
    <s v="Technology Suport"/>
    <m/>
    <s v="Australia"/>
  </r>
  <r>
    <m/>
    <s v="Vacant"/>
    <s v="Lead Data Analyst"/>
    <s v="Vacant"/>
    <s v="Technology Manger, Data"/>
    <s v="TDD CFE&amp;I"/>
    <s v="Fuel Infrastructure"/>
    <s v="Fuel Infrastructure, Data"/>
    <s v="Infrastructure"/>
    <s v="Data &amp; Insights "/>
    <s v="Data &amp; Insights "/>
    <m/>
    <m/>
  </r>
  <r>
    <n v="115935"/>
    <s v="Rick Abainza"/>
    <s v="Lead Business Analyst"/>
    <s v="Vacant"/>
    <s v="Delivery Manager"/>
    <s v="TDD CFE&amp;I"/>
    <s v="Commercial Fuels"/>
    <s v="Delivery"/>
    <s v="Commercial Fuels"/>
    <s v="CTRM"/>
    <s v="CTRM"/>
    <m/>
    <s v="Singapore"/>
  </r>
  <r>
    <m/>
    <s v="Vacant"/>
    <s v="Delivery Manager"/>
    <s v="Vacant"/>
    <s v="Head of Technology, B2B &amp; Energy Solutions"/>
    <s v="TDD CFE&amp;I"/>
    <s v="B2B &amp; Energy Solutions"/>
    <s v="Leadership"/>
    <m/>
    <m/>
    <m/>
    <m/>
    <m/>
  </r>
  <r>
    <n v="110185"/>
    <s v="Soumya Choudhury"/>
    <s v="Data Application Specialist "/>
    <s v="Vacant"/>
    <s v="Technology Manager, Data"/>
    <s v="TDD CFE&amp;I"/>
    <s v="Commercial Fuels"/>
    <s v="Technology, T&amp;S Data"/>
    <s v="Commercial Fuels"/>
    <s v="Trading &amp; Shipping"/>
    <s v="Trading &amp; Shipping Data"/>
    <m/>
    <s v="Singapore"/>
  </r>
  <r>
    <n v="113039"/>
    <s v="Anusha Viswanatha"/>
    <s v="Delivery Lead"/>
    <s v="Vacant"/>
    <s v="Technology Manager, Data"/>
    <s v="TDD CFE&amp;I"/>
    <s v="Commercial Fuels"/>
    <s v="Technology, T&amp;S Data"/>
    <s v="Commercial Fuels"/>
    <s v="Trading &amp; Shipping"/>
    <s v="Trading &amp; Shipping Data"/>
    <m/>
    <s v="Singapore"/>
  </r>
  <r>
    <n v="106907"/>
    <s v="Oz Shaaban"/>
    <s v="Delivery Lead"/>
    <s v="Vacant"/>
    <s v="Delivery Manager"/>
    <s v="TDD CFE&amp;I"/>
    <s v="Commercial Fuels"/>
    <s v="Delivery"/>
    <s v="Commercial Fuels"/>
    <s v="CTRM"/>
    <s v="CTRM"/>
    <m/>
    <s v="Australia"/>
  </r>
  <r>
    <m/>
    <s v="Nico Lender"/>
    <s v="Solution Architect"/>
    <s v="Vacant"/>
    <s v="Technology Manager, Energy Solutions"/>
    <s v="TDD CFE&amp;I"/>
    <s v="B2B &amp; Energy Solutions"/>
    <s v="Technology Energy Solutions"/>
    <s v="B2B &amp; Energy Solutions"/>
    <s v="Energy Solutions"/>
    <s v="Energy"/>
    <m/>
    <m/>
  </r>
  <r>
    <n v="115847"/>
    <s v="Jonathan Wong"/>
    <s v="Senior Business Analyst"/>
    <s v="Vacant"/>
    <s v="Technology Manager, Data"/>
    <s v="TDD CFE&amp;I"/>
    <s v="Commercial Fuels"/>
    <s v="Technology, T&amp;S Data"/>
    <s v="Commercial Fuels"/>
    <s v="Trading &amp; Shipping"/>
    <s v="Trading &amp; Shipping Data"/>
    <m/>
    <s v="Singapore"/>
  </r>
  <r>
    <m/>
    <s v="Vacant "/>
    <s v="Engineer Software"/>
    <s v="Vacant"/>
    <s v="Technology Manager, Engineering"/>
    <s v="TDD CFE&amp;I"/>
    <s v="Commercial Fuels"/>
    <s v="Technology, Engineering"/>
    <s v="Commercial Fuels"/>
    <s v="Supply"/>
    <s v="Supply"/>
    <m/>
    <m/>
  </r>
  <r>
    <n v="102187"/>
    <s v="Sijin Zhu"/>
    <s v="Business Analyst"/>
    <s v="Vacant"/>
    <s v="Delivery Manager"/>
    <s v="TDD CFE&amp;I"/>
    <s v="Commercial Fuels"/>
    <s v="Delivery"/>
    <s v="Commercial Fuels"/>
    <s v="CTRM"/>
    <s v="CTRM"/>
    <m/>
    <s v="Singapore"/>
  </r>
  <r>
    <n v="8367"/>
    <s v="Marcela Gonzalez"/>
    <s v="Energy Platforms Lead"/>
    <s v="Vacant"/>
    <s v="Technology Manager, Energy Solutions"/>
    <s v="TDD CFE&amp;I"/>
    <s v="B2B &amp; Energy Solutions"/>
    <s v="Technology Energy Solutions"/>
    <s v="B2B &amp; Energy Solutions"/>
    <s v="Ampol Digital"/>
    <s v="Ampol App"/>
    <m/>
    <s v="Australia"/>
  </r>
  <r>
    <m/>
    <s v="Vacant"/>
    <s v="Reporting Analyst"/>
    <s v="Vacant"/>
    <s v="Technology Manger, Data"/>
    <s v="TDD CFE&amp;I"/>
    <s v="Fuel Infrastructure"/>
    <s v="Fuel Infrastructure, Data"/>
    <s v="Infrastructure"/>
    <s v="Data &amp; Insights "/>
    <s v="Data &amp; Insights "/>
    <m/>
    <m/>
  </r>
  <r>
    <n v="99999101013"/>
    <s v="Chantal Lynch"/>
    <s v="Lead Quality Assurance"/>
    <s v="Vacant"/>
    <s v="Technology Manager, Engineering"/>
    <s v="TDD CFE&amp;I"/>
    <s v="Commercial Fuels"/>
    <s v="Trading &amp; Shipping"/>
    <s v="Commercial Fuels"/>
    <s v="CTRM"/>
    <s v="CTRM"/>
    <m/>
    <s v="NZ"/>
  </r>
  <r>
    <m/>
    <s v="Vacant "/>
    <s v="Business Analyst"/>
    <s v="Vacant"/>
    <s v="Delivery Manager"/>
    <s v="TDD CFE&amp;I"/>
    <s v="B2B &amp; Energy Solutions"/>
    <s v="Delivery"/>
    <s v="B2B &amp; Energy Solutions"/>
    <s v="Energy Solutions"/>
    <s v="Energy"/>
    <m/>
    <m/>
  </r>
  <r>
    <n v="101157"/>
    <s v="Jessica Calla"/>
    <s v="System Analyst Card"/>
    <s v="Vacant"/>
    <s v="Technology Manager, Energy Solutions"/>
    <s v="TDD CFE&amp;I"/>
    <s v="B2B &amp; Energy Solutions"/>
    <s v="Technology B2B"/>
    <s v="B2B &amp; Energy Solutions"/>
    <s v="B2B"/>
    <s v="B2B"/>
    <m/>
    <s v="Australia"/>
  </r>
  <r>
    <m/>
    <s v="Vacant"/>
    <s v="Quality Assurance"/>
    <s v="Vacant"/>
    <s v="Technology Manager, Future Infrastructure"/>
    <s v="TDD CFE&amp;I"/>
    <s v="Fuel Infrastructure"/>
    <s v="Technology - Distribution"/>
    <s v="Infrastructure"/>
    <s v="Distribution"/>
    <s v="Distribution, Sales &amp; Services"/>
    <m/>
    <m/>
  </r>
  <r>
    <m/>
    <s v="Zijie Zhang"/>
    <s v="Senior Data Analyst"/>
    <s v="Vacant"/>
    <s v="Technology Manager, Data"/>
    <s v="TDD CFE&amp;I"/>
    <s v="Commercial Fuels"/>
    <s v="Trading &amp; Shipping"/>
    <s v="Commercial Fuels"/>
    <s v="Trading &amp; Shipping"/>
    <s v="Trading &amp; Shipping Data"/>
    <m/>
    <m/>
  </r>
  <r>
    <n v="115723"/>
    <s v="Kumar Siva"/>
    <s v="Lead engineer Data"/>
    <s v="Vacant"/>
    <s v="Technology Manager, Data"/>
    <s v="TDD CFE&amp;I"/>
    <s v="Commercial Fuels"/>
    <s v="Technology, T&amp;S Data"/>
    <s v="Commercial Fuels"/>
    <s v="Trading &amp; Shipping"/>
    <s v="Trading &amp; Shipping Data"/>
    <m/>
    <s v="Singapore"/>
  </r>
  <r>
    <m/>
    <s v="Vacant "/>
    <s v="Business Analyst"/>
    <s v="Vacant"/>
    <s v="Delivery Manager"/>
    <s v="TDD CFE&amp;I"/>
    <s v="B2B &amp; Energy Solutions"/>
    <s v="Delivery"/>
    <s v="B2B &amp; Energy Solutions"/>
    <s v="B2B"/>
    <s v="B2B"/>
    <m/>
    <m/>
  </r>
  <r>
    <n v="110044"/>
    <s v="Kevin Nelson"/>
    <s v="Delivery Lead"/>
    <s v="Vacant"/>
    <s v="Delivery Manager"/>
    <s v="TDD CFE&amp;I"/>
    <s v="Fuel Infrastructure"/>
    <s v="Fuel Infrastructure, Delivery"/>
    <s v="Retail"/>
    <s v="AMPOS"/>
    <s v="AmPos"/>
    <m/>
    <s v="Australia"/>
  </r>
  <r>
    <m/>
    <s v="Vacant"/>
    <s v="Quality Assurance"/>
    <s v="Vacant"/>
    <s v="Technology Manager, TDD Refinery"/>
    <s v="TDD CFE&amp;I"/>
    <s v="Fuel Infrastructure"/>
    <s v="Refinery Applications"/>
    <s v="Infrastructure"/>
    <s v="Manufacturing"/>
    <s v="Manufacturing Group Projects"/>
    <m/>
    <m/>
  </r>
  <r>
    <n v="105531"/>
    <s v="Jodi Higgins"/>
    <s v="Delivery Lead"/>
    <s v="Vacant"/>
    <s v="Delivery Manager"/>
    <s v="TDD CFE&amp;I"/>
    <s v="Fuel Infrastructure"/>
    <s v="Fuel Infrastructure, Delivery"/>
    <s v="Infrastructure"/>
    <s v="Distribution"/>
    <s v="Distribution, Sales &amp; Services"/>
    <m/>
    <s v="Australia"/>
  </r>
  <r>
    <n v="99999100072"/>
    <s v="Angela Ross"/>
    <s v="Delivery Lead"/>
    <s v="Vacant"/>
    <s v="Delivery Manager"/>
    <s v="TDD CFE&amp;I"/>
    <s v="B2B &amp; Energy Solutions"/>
    <s v="Delivery"/>
    <s v="B2B &amp; Energy Solutions"/>
    <s v="Energy Solutions"/>
    <s v="EVCI"/>
    <m/>
    <s v="NZ"/>
  </r>
  <r>
    <n v="114723"/>
    <s v="Ming Shao"/>
    <s v="Senior Systems Analyst Card"/>
    <s v="Vacant"/>
    <s v="Technology Manager, Energy Solutions"/>
    <s v="TDD CFE&amp;I"/>
    <s v="B2B &amp; Energy Solutions"/>
    <s v="Technology B2B"/>
    <s v="B2B &amp; Energy Solutions"/>
    <s v="B2B"/>
    <s v="B2B"/>
    <m/>
    <s v="Australia"/>
  </r>
  <r>
    <n v="99999101505"/>
    <s v="Vacant"/>
    <s v="Snr Engineer Software"/>
    <s v="Vacant"/>
    <s v="Technology Manager, Energy Solutions"/>
    <s v="TDD CFE&amp;I"/>
    <s v="B2B &amp; Energy Solutions"/>
    <s v="Technology Energy Solutions"/>
    <s v="B2B &amp; Energy Solutions"/>
    <s v="Energy Solutions"/>
    <s v="EVCI"/>
    <m/>
    <s v="NZ"/>
  </r>
  <r>
    <n v="97973"/>
    <s v="Vacant"/>
    <s v="System Specialist"/>
    <s v="Vacant"/>
    <s v="Technology Manager, Energy Solutions"/>
    <s v="TDD CFE&amp;I"/>
    <s v="Loyalty &amp; Martech"/>
    <s v="Technology Energy Solutions"/>
    <s v="B2B &amp; Energy Solutions"/>
    <s v="Energy Solutions"/>
    <s v="Energy"/>
    <m/>
    <s v="Australia"/>
  </r>
  <r>
    <n v="111319"/>
    <s v="Arun Prakash Jayaprakasam"/>
    <s v="Data Engineer Analyst"/>
    <s v="Vacant"/>
    <s v="Technology Manager, Data"/>
    <s v="TDD CFE&amp;I"/>
    <s v="Commercial Fuels"/>
    <s v="Technology, T&amp;S Data"/>
    <s v="Commercial Fuels"/>
    <s v="Trading &amp; Shipping"/>
    <s v="Trading &amp; Shipping Data"/>
    <m/>
    <s v="Singapore"/>
  </r>
  <r>
    <n v="105488"/>
    <s v="Louis Ballington"/>
    <s v="Delivery Lead"/>
    <s v="Vacant"/>
    <s v="Delivery Manager"/>
    <s v="TDD CFE&amp;I"/>
    <s v="Fuel Infrastructure"/>
    <s v="Technology, CF Engineering"/>
    <s v="Infrastructure"/>
    <s v="Manufacturing"/>
    <s v="Manuacturing Group Projects"/>
    <m/>
    <s v="Australia"/>
  </r>
  <r>
    <n v="99999101143"/>
    <s v="Hayden Corney"/>
    <s v="Lead Engineer Software"/>
    <s v="Vacant"/>
    <s v="Technology Manager, Engineering"/>
    <s v="TDD CFE&amp;I"/>
    <s v="Commercial Fuels"/>
    <s v="Trading &amp; Shipping"/>
    <s v="Commercial Fuels"/>
    <s v="CTRM"/>
    <s v="CTRM"/>
    <m/>
    <s v="NZ"/>
  </r>
  <r>
    <n v="104159"/>
    <s v="Vacant"/>
    <s v="System Specialist"/>
    <s v="Vacant"/>
    <s v="Technology Manager, Energy Solutions"/>
    <s v="TDD CFE&amp;I"/>
    <s v="Loyalty &amp; Martech"/>
    <s v="Technology Energy Solutions"/>
    <s v="B2B &amp; Energy Solutions"/>
    <s v="Energy Solutions"/>
    <s v="Energy"/>
    <m/>
    <s v="Australia"/>
  </r>
  <r>
    <m/>
    <s v="Vacant"/>
    <s v="Data Analyst"/>
    <s v="Vacant"/>
    <s v="Technology Manger, Data"/>
    <s v="TDD CFE&amp;I"/>
    <s v="Fuel Infrastructure"/>
    <s v="Fuel Infrastructure, Data"/>
    <s v="Infrastructure"/>
    <s v="Data &amp; Insights "/>
    <s v="Data &amp; Insights "/>
    <m/>
    <m/>
  </r>
  <r>
    <n v="97884"/>
    <s v="Vacant"/>
    <s v="Snr Business Analyst"/>
    <s v="Vacant"/>
    <s v="Delivery Manager"/>
    <s v="TDD CFE&amp;I"/>
    <s v="Fuel Infrastructure"/>
    <s v="Ampol Retail, Store Platforms"/>
    <s v="Infrastructure"/>
    <s v="Distribution"/>
    <s v="Distribution, Sales &amp; Services"/>
    <m/>
    <s v="Australia"/>
  </r>
  <r>
    <n v="107588"/>
    <s v="Vacant"/>
    <s v="Snr Business Analyst"/>
    <s v="Vacant"/>
    <s v="Delivery Manager"/>
    <s v="TDD CFE&amp;I"/>
    <s v="Fuel Infrastructure"/>
    <s v="Ampol Retail, Store Platforms"/>
    <s v="Infrastructure"/>
    <s v="Manufacturing"/>
    <s v="Manufacturing Group Projects"/>
    <m/>
    <s v="Australia"/>
  </r>
  <r>
    <n v="99999101895"/>
    <s v="Caitlin Naylor"/>
    <s v="Associate Engineer- Software"/>
    <s v="Vacant"/>
    <s v="Technology Manager, Energy Solutions"/>
    <s v="TDD CFE&amp;I"/>
    <s v="B2B &amp; Energy Solutions"/>
    <s v="Technology Energy Solutions"/>
    <s v="B2B &amp; Energy Solutions"/>
    <s v="Energy Solutions"/>
    <s v="Energy"/>
    <m/>
    <s v="NZ"/>
  </r>
  <r>
    <m/>
    <s v="Vacant"/>
    <s v="Engineer Data"/>
    <s v="Vacant"/>
    <s v="Technology Manger, Data"/>
    <s v="TDD CFE&amp;I"/>
    <s v="Fuel Infrastructure"/>
    <s v="Fuel Infrastructure, Data"/>
    <s v="Infrastructure"/>
    <s v="Data &amp; Insights "/>
    <s v="Data &amp; Insights "/>
    <m/>
    <m/>
  </r>
  <r>
    <n v="108033"/>
    <s v="Ayushi Agarwal"/>
    <s v="Engineer Data"/>
    <s v="Vacant"/>
    <s v="Technology Manager, Data"/>
    <s v="TDD CFE&amp;I"/>
    <s v="Commercial Fuels"/>
    <s v="Technology, T&amp;S Data"/>
    <s v="Commercial Fuels"/>
    <s v="Trading &amp; Shipping"/>
    <s v="Trading &amp; Shipping Data"/>
    <m/>
    <s v="Singapore"/>
  </r>
  <r>
    <m/>
    <s v="Vacant"/>
    <s v="Business Analyst"/>
    <s v="Vacant"/>
    <s v="Delivery Manager"/>
    <s v="TDD CFE&amp;I"/>
    <s v="Fuel Infrastructure"/>
    <s v="Fuel Infrastructure, Delivery"/>
    <s v="Infrastructure"/>
    <s v="Distribution"/>
    <s v="Distribution, Sales &amp; Services"/>
    <m/>
    <s v="Australia"/>
  </r>
  <r>
    <n v="106221"/>
    <s v="Vacant"/>
    <s v="Senior Business Analyst"/>
    <s v="Vacant"/>
    <s v="Delivery Manager"/>
    <s v="TDD CFE&amp;I"/>
    <s v="Commercial Fuels"/>
    <s v="Delivery"/>
    <s v="Commercial Fuels"/>
    <s v="Trading &amp; Shipping"/>
    <s v="Trading &amp; Shipping"/>
    <m/>
    <s v="Singapore"/>
  </r>
  <r>
    <n v="99999101421"/>
    <s v="Lana Wagner"/>
    <s v="Senior Business Analyst"/>
    <s v="Vacant"/>
    <s v="Delivery Manager"/>
    <s v="TDD CFE&amp;I"/>
    <s v="B2B &amp; Energy Solutions"/>
    <s v="Delivery"/>
    <s v="B2B &amp; Energy Solutions"/>
    <s v="Energy Solutions"/>
    <s v="EVCI"/>
    <m/>
    <s v="NZ"/>
  </r>
  <r>
    <n v="108075"/>
    <s v="Vacant"/>
    <s v="Senior Business Analyst"/>
    <s v="Vacant"/>
    <s v="Delivery Manager"/>
    <s v="TDD CFE&amp;I"/>
    <s v="Commercial Fuels"/>
    <s v="Trading &amp; Shipping"/>
    <s v="Commercial Fuels"/>
    <s v="Trading &amp; Shipping"/>
    <s v="Trading &amp; Shipping"/>
    <m/>
    <s v="Australia"/>
  </r>
  <r>
    <m/>
    <s v="Vacant"/>
    <s v="Delivery Lead"/>
    <s v="Vacant"/>
    <s v="Delivery Manager"/>
    <s v="TDD CFE&amp;I"/>
    <s v="Commercial Fuels"/>
    <s v="Trading &amp; Shipping"/>
    <s v="Commercial Fuels"/>
    <s v="Trading &amp; Shipping"/>
    <s v="Trading &amp; Shipping"/>
    <m/>
    <m/>
  </r>
  <r>
    <n v="105823"/>
    <s v="Hardik Trivedi"/>
    <s v="Snr Business Analyst"/>
    <s v="Vacant"/>
    <s v="Delivery Manager "/>
    <s v="TDD Group Functions"/>
    <s v="TDD &amp; Engineering"/>
    <s v="Delivery, TDD &amp; Engineering"/>
    <s v="Retail"/>
    <s v="AMPOS"/>
    <s v="AmPos"/>
    <m/>
    <s v="Australia"/>
  </r>
  <r>
    <n v="106829"/>
    <s v="C K Lau"/>
    <s v="Delivery Lead (Cloud &amp; Network)"/>
    <s v="Vacant"/>
    <s v="Delivery Manager"/>
    <s v="TDD Group Functions"/>
    <s v="TDD &amp; Engineering "/>
    <s v="Delivery, TDD &amp; Engineering"/>
    <s v="TDD"/>
    <s v="TDD"/>
    <s v="Cloud Network &amp; Infra Ops"/>
    <m/>
    <s v="Australia"/>
  </r>
  <r>
    <n v="99999101516"/>
    <s v="Fan Zhang"/>
    <s v="Infrastructure Engineer"/>
    <s v="John McCormack"/>
    <s v="Manager - Infrastructure Operations"/>
    <s v="TDD Group Functions"/>
    <s v="TDD &amp; Engineering"/>
    <s v="Cloud, Network &amp; Infra"/>
    <s v="TDD"/>
    <s v="TDD"/>
    <s v="Cloud, Network &amp; Infra Ops"/>
    <m/>
    <s v="NZ"/>
  </r>
  <r>
    <m/>
    <s v="Vacant"/>
    <s v="Infrastructure Operations Lead"/>
    <s v="John McCormack"/>
    <s v="Manager - Infrastructure Operations"/>
    <s v="TDD Group Functions"/>
    <s v="TDD &amp; Engineering"/>
    <s v="Cloud, Network &amp; Infra"/>
    <s v="TDD"/>
    <s v="TDD"/>
    <s v="Cloud, Network &amp; Infra Ops"/>
    <m/>
    <m/>
  </r>
  <r>
    <m/>
    <s v="Johnny Li"/>
    <s v="Cloud Solutions Architect"/>
    <s v="Vacant"/>
    <s v="Technology Manager - Cloud, Network &amp; Infrastructure Operations"/>
    <s v="TDD Group Functions"/>
    <s v="TDD &amp; Engineering"/>
    <s v="Cloud, Network &amp; Infra"/>
    <s v="TDD"/>
    <s v="TDD"/>
    <s v="Cloud, Network &amp; Infra Ops"/>
    <m/>
    <m/>
  </r>
  <r>
    <n v="6591"/>
    <s v="Steven Yong"/>
    <s v="Nework Architect"/>
    <s v="Vacant"/>
    <s v="Technology Manager - Cloud, Network &amp; Infrastructure Operations"/>
    <s v="TDD Group Functions"/>
    <s v="TDD &amp; Engineering"/>
    <s v="Cloud, Network &amp; Infra"/>
    <s v="TDD"/>
    <s v="TDD"/>
    <s v="Cloud, Network &amp; Infra Ops"/>
    <m/>
    <s v="Australia"/>
  </r>
  <r>
    <n v="97625"/>
    <s v="Satish Chowdhary"/>
    <s v="Nework Architect"/>
    <s v="Vacant"/>
    <s v="Technology Manager - Cloud, Network &amp; Infrastructure Operations"/>
    <s v="TDD Group Functions"/>
    <s v="TDD &amp; Engineering"/>
    <s v="Cloud, Network &amp; Infra"/>
    <s v="TDD"/>
    <s v="TDD"/>
    <s v="Cloud, Network &amp; Infra Ops"/>
    <m/>
    <s v="Australia"/>
  </r>
  <r>
    <n v="106117"/>
    <s v="Muhammad Abubaker"/>
    <s v="Network Operations Engineer"/>
    <s v="Vacant"/>
    <s v="Manager - Infrastructure Operations"/>
    <s v="TDD Group Functions"/>
    <s v="Loyalty &amp; Martech"/>
    <s v="Cloud, Network &amp; Infra"/>
    <s v="TDD"/>
    <s v="TDD"/>
    <s v="Cloud, Network &amp; Infra Ops"/>
    <m/>
    <s v="Australia"/>
  </r>
  <r>
    <m/>
    <s v="Axel Soh"/>
    <s v="Cloud Solutions Architect"/>
    <s v="Vacant"/>
    <s v="Technology Manager - Cloud, Network &amp; Infrastructure Operations"/>
    <s v="TDD Group Functions"/>
    <s v="TDD &amp; Engineering"/>
    <s v="Cloud, Network &amp; Infra"/>
    <s v="TDD"/>
    <s v="TDD"/>
    <s v="Cloud, Network &amp; Infra Ops"/>
    <m/>
    <m/>
  </r>
  <r>
    <n v="97800"/>
    <s v="John McCormack"/>
    <s v="Manager - Infrastructure Operations"/>
    <s v="Vacant"/>
    <s v="Technology Manager - Cloud, Network &amp; Infrastructure Operations"/>
    <s v="TDD Group Functions"/>
    <s v="TDD &amp; Engineering"/>
    <s v="Cloud, Network &amp; Infra"/>
    <s v="TDD"/>
    <s v="TDD"/>
    <s v="Cloud, Network &amp; Infra Ops"/>
    <m/>
    <s v="Australia"/>
  </r>
  <r>
    <m/>
    <s v="Pierre Spee"/>
    <s v="Cloud Solutions Architect"/>
    <s v="Vacant"/>
    <s v="Technology Manager - Cloud, Network &amp; Infrastructure Operations"/>
    <s v="TDD Group Functions"/>
    <s v="TDD &amp; Engineering"/>
    <s v="Cloud, Network &amp; Infra"/>
    <s v="TDD"/>
    <s v="TDD"/>
    <s v="Cloud, Network &amp; Infra Ops"/>
    <m/>
    <m/>
  </r>
  <r>
    <m/>
    <s v="John Badia"/>
    <s v="Cloud Solutions Architect"/>
    <s v="Vacant"/>
    <s v="Technology Manager - Cloud, Network &amp; Infrastructure Operations"/>
    <s v="TDD Group Functions"/>
    <s v="TDD &amp; Engineering"/>
    <s v="Cloud, Network &amp; Infra"/>
    <s v="TDD"/>
    <s v="TDD"/>
    <s v="Cloud, Network &amp; Infra Ops"/>
    <m/>
    <m/>
  </r>
  <r>
    <m/>
    <s v="Vacant"/>
    <s v="Lead Engineer Software"/>
    <s v="Vacant"/>
    <s v="Technology Manager – DevOps and Quality Engineering"/>
    <s v="TDD Group Functions"/>
    <s v="TDD &amp; Engineering"/>
    <s v="DevOps &amp; QE"/>
    <s v="TDD"/>
    <s v="TDD"/>
    <s v="DevOps &amp; QE"/>
    <m/>
    <m/>
  </r>
  <r>
    <m/>
    <s v="Vacant"/>
    <s v="Senior Engineer (Automation Test)"/>
    <s v="Vacant"/>
    <s v="Lead Engineer (Automation Test)"/>
    <s v="TDD Group Functions"/>
    <s v="TDD &amp; Engineering"/>
    <s v="DevOps &amp; QE"/>
    <s v="TDD"/>
    <s v="TDD"/>
    <s v="DevOps &amp; QE"/>
    <m/>
    <m/>
  </r>
  <r>
    <m/>
    <s v="Vacant"/>
    <s v="Lead Engineer (Automation Test)"/>
    <s v="Vacant"/>
    <s v="Technology Manager – DevOps and Quality Engineering"/>
    <s v="TDD Group Functions"/>
    <s v="TDD &amp; Engineering"/>
    <s v="Technology, CF Engineering"/>
    <s v="TDD"/>
    <s v="TDD"/>
    <s v="DevOps &amp; QE"/>
    <m/>
    <m/>
  </r>
  <r>
    <n v="99999101441"/>
    <s v="Luke Hamer"/>
    <s v="Lead Engineer - Devops"/>
    <s v="Vacant"/>
    <s v="Technology Manager – DevOps and Quality Engineering"/>
    <s v="TDD Group Functions"/>
    <s v="TDD &amp; Engineering"/>
    <s v="Technology, CF Engineering"/>
    <s v="TDD"/>
    <s v="TDD"/>
    <s v="DevOps &amp; QE"/>
    <m/>
    <s v="NZ"/>
  </r>
  <r>
    <n v="116057"/>
    <s v="Lucas Wang"/>
    <s v="Senior Engineer (Automation Test)"/>
    <s v="Vacant"/>
    <s v="Lead Engineer (Automation Test)"/>
    <s v="TDD Group Functions"/>
    <s v="TDD &amp; Engineering"/>
    <s v="DevOps &amp; QE"/>
    <s v="TDD"/>
    <s v="TDD"/>
    <s v="DevOps &amp; QE"/>
    <m/>
    <s v="Australia"/>
  </r>
  <r>
    <m/>
    <s v="Vacant"/>
    <s v="Environments and Test Data Manager"/>
    <s v="Vacant"/>
    <s v="Technology Manager – DevOps and Quality Engineering"/>
    <s v="TDD Group Functions"/>
    <s v="TDD &amp; Engineering"/>
    <s v="DevOps &amp; QE"/>
    <s v="TDD"/>
    <s v="TDD"/>
    <s v="DevOps &amp; QE"/>
    <m/>
    <m/>
  </r>
  <r>
    <n v="99999101958"/>
    <s v="Mike Lealamanu"/>
    <s v="Quality Assurance"/>
    <s v="Vacant"/>
    <s v="Technology Manager – DevOps and Quality Engineering"/>
    <s v="TDD Group Functions"/>
    <s v="TDD &amp; Engineering"/>
    <s v="DevOps &amp; QE"/>
    <s v="TDD"/>
    <s v="TDD"/>
    <s v="DevOps &amp; QE"/>
    <m/>
    <s v="NZ"/>
  </r>
  <r>
    <n v="99999102120"/>
    <s v="Sunny Arya"/>
    <s v="Lead Engineer, Devops"/>
    <s v="Vacant"/>
    <s v="Technology Manager – DevOps and Quality Engineering"/>
    <s v="TDD Group Functions"/>
    <s v="TDD &amp; Engineering"/>
    <s v="DevOps &amp; QE"/>
    <s v="TDD"/>
    <s v="TDD"/>
    <s v="DevOps &amp; QE"/>
    <m/>
    <s v="NZ"/>
  </r>
  <r>
    <n v="14148"/>
    <s v="Ee Lynn Yap"/>
    <s v="SAP ERP Application Lead"/>
    <s v="Shane Ker"/>
    <s v="Technology Manager Finance Platforms"/>
    <s v="TDD Group Functions"/>
    <s v="P&amp;C, Finance &amp; Legal"/>
    <s v="Tech, Finance Platforms"/>
    <s v="EGI"/>
    <s v="EGI"/>
    <s v="EGI Finance"/>
    <m/>
    <s v="Australia"/>
  </r>
  <r>
    <n v="113067"/>
    <s v="Vikram Chhahira"/>
    <s v="Delivery Lead, EGI"/>
    <s v="Vacant"/>
    <s v="Delivery Manager, P&amp;C, Finance &amp; Legal"/>
    <s v="TDD Group Functions"/>
    <s v="EGI"/>
    <m/>
    <s v="EGI"/>
    <s v="EGI"/>
    <s v="EGI P&amp;C"/>
    <m/>
    <s v="Australia"/>
  </r>
  <r>
    <n v="0"/>
    <s v="Arun Tahlan"/>
    <s v="Integration Architect (C) - Boomi"/>
    <s v="Mike Seales"/>
    <s v="Technology Manager Integration &amp; Process Managemetn"/>
    <s v="TDD Group Functions"/>
    <s v="TDD &amp; Engineering "/>
    <s v="Technology, Trading &amp; Shipping"/>
    <s v="EGI"/>
    <s v="EGI"/>
    <s v="EGI TDD"/>
    <m/>
    <n v="0"/>
  </r>
  <r>
    <n v="99999102153"/>
    <s v="Kris Thornley"/>
    <s v="Integration Architect (C)"/>
    <s v="Mike Seales"/>
    <s v="Technology Manager Integration &amp; Process Managemetn"/>
    <s v="TDD Group Functions"/>
    <s v="TDD &amp; Engineering "/>
    <s v="Integration &amp; Process Management"/>
    <s v="EGI"/>
    <s v="EGI "/>
    <s v="EGI TDD"/>
    <m/>
    <s v="NZ"/>
  </r>
  <r>
    <n v="99999101466"/>
    <s v="Shobhit Mittal"/>
    <s v="Lead Engineer - Automation Test"/>
    <s v="Vacant"/>
    <s v="Technology Manager – DevOps and Quality Engineering"/>
    <s v="TDD Group Functions"/>
    <s v="Loyalty &amp; Martech"/>
    <s v="Dev Ops  &amp; QE"/>
    <s v="EGI"/>
    <s v="EGI"/>
    <s v="EGI TDD"/>
    <m/>
    <s v="NZ"/>
  </r>
  <r>
    <n v="109092"/>
    <s v="Anjali Patra"/>
    <s v="Delivery Lead - EGI"/>
    <s v="Vacant"/>
    <s v="Delivery Manager "/>
    <s v="TDD Group Functions"/>
    <s v="TDD &amp; Engineering"/>
    <s v="Delivery, TDD &amp; Engineering"/>
    <s v="EGI"/>
    <s v="EGI"/>
    <s v="EGI TDD"/>
    <m/>
    <s v="Australia"/>
  </r>
  <r>
    <n v="110830"/>
    <s v="Jason Satoso"/>
    <s v="Cloud Operations Engineer"/>
    <s v="Vacant"/>
    <s v="Manager - Infrastructure Operations"/>
    <s v="TDD Group Functions"/>
    <s v="TDD &amp; Engineering"/>
    <s v="Cloud, Network &amp; Infra"/>
    <s v="TDD"/>
    <s v="Energy Solutions"/>
    <s v="Energy"/>
    <m/>
    <s v="Australia"/>
  </r>
  <r>
    <n v="91635"/>
    <s v="Bala Thiruvadi"/>
    <s v="Integration Architect - Boomi"/>
    <s v="Mike Seales"/>
    <s v="Technology Manager Integration &amp; Process Managemetn"/>
    <s v="TDD Group Functions"/>
    <s v="TDD &amp; Engineering "/>
    <s v="Integration &amp; Process Management"/>
    <s v="TDD"/>
    <s v="TDD"/>
    <s v="Integration &amp; Process automation"/>
    <m/>
    <s v="Australia"/>
  </r>
  <r>
    <m/>
    <s v="Vacant"/>
    <s v="RPA Lead"/>
    <s v="Mike Seales"/>
    <s v="Technology Manager Integration &amp; Process Managemetn"/>
    <s v="TDD Group Functions"/>
    <s v="TDD &amp; Engineering "/>
    <s v="Integration &amp; Process Management"/>
    <s v="TDD"/>
    <s v="TDD"/>
    <s v="Integration &amp; Process automation"/>
    <m/>
    <m/>
  </r>
  <r>
    <n v="99999101879"/>
    <s v="Lisa Rademakers"/>
    <s v="Delivery Lead (Integrations)"/>
    <s v="Vacant"/>
    <s v="Delivery Manager"/>
    <s v="TDD Group Functions"/>
    <s v="TDD &amp; Engineering "/>
    <s v="Delivery, TDD &amp; Engineering"/>
    <s v="TDD"/>
    <s v="TDD"/>
    <s v="Integration &amp; Process Automation"/>
    <m/>
    <s v="NZ"/>
  </r>
  <r>
    <n v="99999101273"/>
    <s v="Michael Weng"/>
    <s v="Solution Architect"/>
    <s v="Vacant"/>
    <s v="Technology Manager Integration &amp; Process Managemetn"/>
    <s v="TDD Group Functions"/>
    <s v="TDD &amp; Engineering "/>
    <s v="Integration &amp; Process Management"/>
    <s v="TDD"/>
    <s v="TDD"/>
    <s v="Integration &amp; Process automation"/>
    <m/>
    <s v="NZ"/>
  </r>
  <r>
    <n v="114367"/>
    <s v="Thandava Krishna Kakarala"/>
    <s v="Snr Engineer - Boomi"/>
    <s v="Vacant"/>
    <s v="Technology Manager Integration &amp; Process Managemetn"/>
    <s v="TDD Group Functions"/>
    <s v="TDD &amp; Engineering "/>
    <s v="Integration &amp; Process Management"/>
    <s v="TDD"/>
    <s v="TDD"/>
    <s v="Integration &amp; Process automation"/>
    <m/>
    <s v="Australia"/>
  </r>
  <r>
    <m/>
    <s v="Vacant"/>
    <s v="Business Analyst (Integrations)"/>
    <s v="Vacant"/>
    <s v="Delivery Manager"/>
    <s v="TDD Group Functions"/>
    <s v="TDD &amp; Engineering "/>
    <s v="Delivery, TDD &amp; Engineering"/>
    <s v="TDD"/>
    <s v="TDD"/>
    <s v="Integration &amp; Process Automation"/>
    <m/>
    <m/>
  </r>
  <r>
    <n v="99999101058"/>
    <s v="Mike Seales"/>
    <s v="Technology Manager, Integration &amp; Process Automation"/>
    <s v="Vacant"/>
    <s v="Head of Technology - TDD &amp; Engineering Capability Lead"/>
    <s v="TDD Group Functions"/>
    <s v="TDD &amp; Engineering "/>
    <s v="Integration &amp; Process Management"/>
    <s v="TDD"/>
    <s v="TDD"/>
    <s v="Integration &amp; Process automation"/>
    <m/>
    <s v="NZ"/>
  </r>
  <r>
    <n v="99999101879"/>
    <s v="Lisa Rademakers"/>
    <s v="Delivery Lead- Integrations"/>
    <m/>
    <s v="Delivery Manager"/>
    <s v="TDD Group Functions"/>
    <s v="TDD &amp; Engineering"/>
    <s v="Delivery, TDD &amp; Engineering"/>
    <s v="TDD"/>
    <s v="TDD"/>
    <s v="Integration &amp; Process automation"/>
    <m/>
    <s v="NZ"/>
  </r>
  <r>
    <n v="99999101069"/>
    <s v="Vacant"/>
    <s v="Snr Engineer"/>
    <s v="Vacant"/>
    <s v="RPA Lead"/>
    <s v="TDD Group Functions"/>
    <s v="TDD &amp; Engineering "/>
    <s v="Integration &amp; Process automation"/>
    <s v="B2B &amp; Energy Solutions"/>
    <s v="Leadership"/>
    <s v="Leadership"/>
    <m/>
    <s v="NZ"/>
  </r>
  <r>
    <n v="109863"/>
    <s v="Shane Ker"/>
    <s v="Technology Manger - Finance Platfoms"/>
    <s v="Vaso Vukovic"/>
    <s v="Head of Technology - P&amp;C, Finance &amp; Legal"/>
    <s v="TDD Group Functions"/>
    <s v="P&amp;C, Finance &amp; Legal"/>
    <s v="Tech, Finance Platforms"/>
    <s v="Finance"/>
    <s v="Finance"/>
    <s v="Leadership"/>
    <m/>
    <s v="Australia"/>
  </r>
  <r>
    <m/>
    <s v="Vacant"/>
    <s v="Technology Manager – P&amp;C Platforms"/>
    <s v="Vacant"/>
    <s v="Head of Technology - P&amp;C, Finance &amp; Legal"/>
    <s v="TDD Group Functions"/>
    <s v="P&amp;C, Finance &amp; Legal"/>
    <s v="Tech, P&amp;C Platforms"/>
    <s v="P&amp;C"/>
    <s v="P&amp;C"/>
    <s v="Leadership"/>
    <m/>
    <m/>
  </r>
  <r>
    <n v="4818"/>
    <s v="Vaso Vukovic"/>
    <s v="Head of Technology - P&amp;C, Finance &amp; Legal"/>
    <s v="Emily Mogic"/>
    <s v="GM TDD, Group Function"/>
    <s v="TDD Group Functions"/>
    <s v="P&amp;C, Finance &amp; Legal"/>
    <s v="Technology, CF Engineering"/>
    <s v="P&amp;C, Finance &amp; Legal"/>
    <s v="P&amp;C, Finance &amp; Legal"/>
    <s v="Leadership"/>
    <m/>
    <s v="Australia"/>
  </r>
  <r>
    <m/>
    <s v="Vacant"/>
    <s v="Delivery Manager"/>
    <s v="Vacant"/>
    <s v="Head of Technology - P&amp;C, Finance &amp; Legal"/>
    <s v="TDD Group Functions"/>
    <s v="P&amp;C, Finance &amp; Legal"/>
    <s v="Delivery, Commercial Fuels"/>
    <s v="P&amp;C, Finance &amp; Legal"/>
    <s v="P&amp;C, Finance &amp; Legal"/>
    <s v="Leadership"/>
    <m/>
    <m/>
  </r>
  <r>
    <m/>
    <s v="Vacant"/>
    <s v="Head of Technology - TDD &amp; Engineering Capability Lead"/>
    <s v="Emily Mogic"/>
    <s v="GM TDD, Group Function"/>
    <s v="TDD Group Functions"/>
    <s v="TDD &amp; Engineering "/>
    <s v="na"/>
    <s v="TDD"/>
    <s v="TDD"/>
    <s v="Leadership"/>
    <m/>
    <m/>
  </r>
  <r>
    <n v="99999100381"/>
    <s v="Nakul Bharade"/>
    <s v="Lead Engineer Software"/>
    <s v="Mike Seales"/>
    <s v="Technology Manager Integration &amp; Process Managemetn"/>
    <s v="TDD Group Functions"/>
    <s v="TDD &amp; Engineering "/>
    <s v="Leadership"/>
    <s v="TDD"/>
    <s v="Leadership"/>
    <s v="Leadership"/>
    <m/>
    <s v="NZ"/>
  </r>
  <r>
    <m/>
    <s v="Murray Mitchell"/>
    <s v="Technology Manager, Workplace and Enterprise Tooling"/>
    <s v="Vacant"/>
    <s v="Head of Technology - TDD &amp; Engineering Capability Lead"/>
    <s v="TDD Group Functions"/>
    <s v="TDD &amp; Engineering "/>
    <m/>
    <s v="TDD"/>
    <s v="TDD"/>
    <s v="Leadership"/>
    <m/>
    <m/>
  </r>
  <r>
    <m/>
    <s v="Vacant"/>
    <s v="Technology Manager – DevOps and Quality Engineering"/>
    <s v="Vacant"/>
    <s v="Head of Technology- TDD &amp; Engineering Capability"/>
    <s v="TDD Group Functions"/>
    <s v="TDD &amp; Engineering"/>
    <m/>
    <s v="TDD"/>
    <s v="TDD"/>
    <s v="Leadership"/>
    <m/>
    <m/>
  </r>
  <r>
    <m/>
    <s v="Vacant"/>
    <s v="Delivery Manager"/>
    <s v="Vacant"/>
    <s v="Head of Technology - TDD &amp; Engineering Capability Lead"/>
    <s v="TDD Group Functions"/>
    <s v="TDD &amp; Engineering "/>
    <m/>
    <s v="TDD"/>
    <s v="TDD"/>
    <s v="Leadership"/>
    <m/>
    <m/>
  </r>
  <r>
    <m/>
    <s v="Vacant"/>
    <s v="Technology Manager – Cloud, Network and Infrastructure Operations"/>
    <s v="Vacant"/>
    <s v="Head of Technology - TDD &amp; Engineering Capability Lead"/>
    <s v="TDD Group Functions"/>
    <s v="TDD &amp; Engineering"/>
    <s v="Cloud Network &amp; Infra Ops"/>
    <s v="TDD"/>
    <s v="TDD"/>
    <s v="Leadership"/>
    <m/>
    <m/>
  </r>
  <r>
    <n v="114573"/>
    <s v="Vacant"/>
    <s v="Snr Engineer"/>
    <s v="Vacant"/>
    <s v="RPA Lead"/>
    <s v="TDD Group Functions"/>
    <s v="TDD &amp; Engineering "/>
    <s v="Technology, T&amp;S Data"/>
    <s v="TDD"/>
    <s v="Leadership"/>
    <s v="Leadership"/>
    <m/>
    <s v="Australia"/>
  </r>
  <r>
    <n v="99999170438"/>
    <s v="Leilanie Avilla"/>
    <s v="JDE Systems Specialist"/>
    <s v="Lydia Pritchard"/>
    <s v="Lead JDE System Specialist"/>
    <s v="TDD Group Functions"/>
    <s v="P&amp;C, Finance &amp; Legal"/>
    <s v="Tech, Finance Platforms"/>
    <s v="Finance"/>
    <s v="NZ Finance"/>
    <s v="NZ Finance"/>
    <m/>
    <s v="NZ"/>
  </r>
  <r>
    <m/>
    <s v="Ring fenced"/>
    <s v="JDE Senior Systems Specialist"/>
    <s v="Lydia Pritchard"/>
    <s v="Lead JDE System Specialist"/>
    <s v="TDD Group Functions"/>
    <s v="P&amp;C, Finance &amp; Legal"/>
    <s v="Tech, Finance Platforms"/>
    <s v="Finance"/>
    <s v="NZ Finance"/>
    <s v="NZ Finance"/>
    <m/>
    <m/>
  </r>
  <r>
    <m/>
    <s v="Ring fenced"/>
    <s v="JDE Senior Systems Specialist"/>
    <s v="Lydia Pritchard"/>
    <s v="Lead JDE System Specialist"/>
    <s v="TDD Group Functions"/>
    <s v="P&amp;C, Finance &amp; Legal"/>
    <s v="Tech, Finance Platforms"/>
    <s v="Finance"/>
    <s v="NZ Finance"/>
    <s v="NZ Finance"/>
    <m/>
    <m/>
  </r>
  <r>
    <n v="99999100336"/>
    <s v="Lydia Pritchard"/>
    <s v="Lead JDE Systems Specialist"/>
    <s v="Shane Ker"/>
    <s v="Technology Manager Finance Platforms"/>
    <s v="TDD Group Functions"/>
    <s v="P&amp;C, Finance &amp; Legal"/>
    <s v="Tech, Finance Platforms"/>
    <s v="Finance"/>
    <s v="NZ Finance"/>
    <s v="NZ Finance"/>
    <m/>
    <s v="NZ"/>
  </r>
  <r>
    <m/>
    <s v="Vacant"/>
    <s v="Delivery Lead (JDE)"/>
    <s v="Vacant"/>
    <s v="Delivery Manager, P&amp;C, Finance &amp; Legal"/>
    <s v="TDD Group Functions"/>
    <s v="P&amp;C, Finance &amp; Legal"/>
    <s v="Delivery, P&amp;C, Finance &amp; Legal"/>
    <s v="Finance"/>
    <s v="NZ Finance"/>
    <s v="NZ Finance"/>
    <m/>
    <m/>
  </r>
  <r>
    <n v="83003"/>
    <s v="Grace Hadiwijaya"/>
    <s v="Lead P&amp;C Platforms"/>
    <s v="Vacant"/>
    <s v="Technology Manager P&amp;C Platforms"/>
    <s v="TDD Group Functions"/>
    <s v="Loyalty &amp; Martech"/>
    <s v="Tech, P&amp;C Platforms"/>
    <s v="P&amp;C"/>
    <s v="P&amp;C"/>
    <s v="P&amp;C"/>
    <m/>
    <s v="Australia"/>
  </r>
  <r>
    <m/>
    <s v="Vacant"/>
    <s v="Quality Assurance"/>
    <s v="Vacant"/>
    <s v="Technology Manager P&amp;C Platforms"/>
    <s v="TDD Group Functions"/>
    <s v="P&amp;C, Finance &amp; Legal"/>
    <s v="Tech, P&amp;C Platforms"/>
    <s v="P&amp;C"/>
    <s v="P&amp;C"/>
    <s v="P&amp;C"/>
    <m/>
    <m/>
  </r>
  <r>
    <n v="93476"/>
    <s v="Prerna Sharma"/>
    <s v="SAP HR Specialist"/>
    <s v="Vacant"/>
    <s v="Technology Manager P&amp;C Platforms"/>
    <s v="TDD Group Functions"/>
    <s v="P&amp;C, Finance &amp; Legal"/>
    <s v="Tech, P&amp;C Platforms"/>
    <s v="P&amp;C"/>
    <s v="P&amp;C"/>
    <s v="P&amp;C"/>
    <m/>
    <s v="Australia"/>
  </r>
  <r>
    <m/>
    <s v="Vacant"/>
    <s v="Engineer"/>
    <s v="Vacant"/>
    <s v="Technology Manager P&amp;C Platforms"/>
    <s v="TDD Group Functions"/>
    <s v="P&amp;C, Finance &amp; Legal"/>
    <s v="Tech, P&amp;C Platforms"/>
    <s v="P&amp;C"/>
    <s v="P&amp;C"/>
    <s v="P&amp;C"/>
    <m/>
    <m/>
  </r>
  <r>
    <n v="108123"/>
    <s v="Maadhu Suresh"/>
    <s v="Solution Architect"/>
    <s v="Vacant"/>
    <s v="Technology Manager P&amp;C Platforms"/>
    <s v="TDD Group Functions"/>
    <s v="P&amp;C, Finance &amp; Legal"/>
    <s v="Tech, P&amp;C Platforms"/>
    <s v="P&amp;C"/>
    <s v="P&amp;C"/>
    <s v="P&amp;C"/>
    <m/>
    <s v="Australia"/>
  </r>
  <r>
    <n v="99999101403"/>
    <s v="Michael Pollock"/>
    <s v="Lead Business Analyst"/>
    <s v="Vacant"/>
    <s v="Delivery Manager, P&amp;C, Finance &amp; Legal"/>
    <s v="TDD Group Functions"/>
    <s v="Loyalty &amp; Martech"/>
    <s v="Delivery, P&amp;C, Finance &amp; Legal"/>
    <s v="P&amp;C"/>
    <s v="P&amp;C"/>
    <s v="P&amp;C"/>
    <m/>
    <s v="NZ"/>
  </r>
  <r>
    <m/>
    <s v="Vacant"/>
    <s v="Engineer"/>
    <s v="Vacant"/>
    <s v="Technology Manager P&amp;C Platforms"/>
    <s v="TDD Group Functions"/>
    <s v="P&amp;C, Finance &amp; Legal"/>
    <s v="Tech, P&amp;C Platforms"/>
    <s v="P&amp;C"/>
    <s v="P&amp;C"/>
    <s v="P&amp;C"/>
    <m/>
    <m/>
  </r>
  <r>
    <n v="99876"/>
    <s v="Thai Pung"/>
    <s v="Delivery Lead - (P&amp;C)"/>
    <s v="Vacant"/>
    <s v="Delivery Manager, P&amp;C, Finance &amp; Legal"/>
    <s v="TDD Group Functions"/>
    <s v="P&amp;C, Finance &amp; Legal"/>
    <s v="Delivery, P&amp;C, Finance &amp; Legal"/>
    <s v="P&amp;C"/>
    <s v="P&amp;C"/>
    <s v="P&amp;C"/>
    <m/>
    <s v="Australia"/>
  </r>
  <r>
    <m/>
    <s v="Vacant"/>
    <s v="Systems Specialist"/>
    <s v="Vacant"/>
    <s v="Technology Manager P&amp;C Platforms"/>
    <s v="TDD Group Functions"/>
    <s v="P&amp;C, Finance &amp; Legal"/>
    <s v="Tech, P&amp;C Platforms"/>
    <s v="P&amp;C"/>
    <s v="P&amp;C"/>
    <s v="P&amp;C RTA"/>
    <m/>
    <m/>
  </r>
  <r>
    <n v="0"/>
    <s v="Kurniaty Widjaya"/>
    <s v="ERP HR Pay Functional Lead"/>
    <s v="Vacant"/>
    <s v="Technology Manager P&amp;C Platforms"/>
    <s v="TDD Group Functions"/>
    <s v="P&amp;C, Finance &amp; Legal"/>
    <s v="Tech, P&amp;C Platforms"/>
    <s v="P&amp;C"/>
    <s v="P&amp;C"/>
    <s v="P&amp;C RTA"/>
    <m/>
    <n v="0"/>
  </r>
  <r>
    <m/>
    <s v="Vacant"/>
    <s v="Delivery Lead (RTA)"/>
    <s v="Vacant"/>
    <s v="Delivery Manager, P&amp;C, Finance &amp; Legal"/>
    <s v="TDD Group Functions"/>
    <s v="P&amp;C, Finance &amp; Legal"/>
    <s v="Delivery, P&amp;C, Finance &amp; Legal"/>
    <s v="P&amp;C"/>
    <s v="P&amp;C"/>
    <s v="P&amp;C RTA"/>
    <m/>
    <m/>
  </r>
  <r>
    <m/>
    <s v="Vacant"/>
    <s v="Engineer"/>
    <s v="Vacant"/>
    <s v="Technology Manager P&amp;C Platforms"/>
    <s v="TDD Group Functions"/>
    <s v="P&amp;C, Finance &amp; Legal"/>
    <s v="Tech, P&amp;C Platforms"/>
    <s v="P&amp;C"/>
    <s v="P&amp;C"/>
    <s v="P&amp;C RTA"/>
    <m/>
    <m/>
  </r>
  <r>
    <m/>
    <s v="Vacant"/>
    <s v="Quality Assurance"/>
    <s v="Vacant"/>
    <s v="Technology Manager P&amp;C Platforms"/>
    <s v="TDD Group Functions"/>
    <s v="P&amp;C, Finance &amp; Legal"/>
    <s v="Tech, P&amp;C Platforms"/>
    <s v="P&amp;C"/>
    <s v="P&amp;C"/>
    <s v="P&amp;C RTA"/>
    <m/>
    <m/>
  </r>
  <r>
    <m/>
    <s v="Vacant"/>
    <s v="Business Analyst (P&amp;C RTA)"/>
    <s v="Vacant"/>
    <s v="Delivery Manager, P&amp;C, Finance &amp; Legal"/>
    <s v="TDD Group Functions"/>
    <s v="P&amp;C, Finance &amp; Legal"/>
    <s v="Technology B2B"/>
    <s v="P&amp;C"/>
    <s v="P&amp;C"/>
    <s v="P&amp;C RTA"/>
    <m/>
    <m/>
  </r>
  <r>
    <m/>
    <s v="Vacant"/>
    <s v="SAP Functional Specialist"/>
    <s v="EE Lynn Yap"/>
    <s v="SAP ERP Application Lead"/>
    <s v="TDD Group Functions"/>
    <s v="P&amp;C, Finance &amp; Legal"/>
    <s v="Tech, Finance Platforms"/>
    <s v="Finance"/>
    <s v="AU Finance"/>
    <s v="SAP ERP"/>
    <m/>
    <m/>
  </r>
  <r>
    <m/>
    <s v="Vacant"/>
    <s v="SAP Functional Specialist"/>
    <s v="Julma Bhagwani"/>
    <s v="SAP ERP Application Lead"/>
    <s v="TDD Group Functions"/>
    <s v="P&amp;C, Finance &amp; Legal"/>
    <s v="Tech, Finance Platforms"/>
    <s v="Finance"/>
    <s v="AU Finance"/>
    <s v="SAP ERP"/>
    <m/>
    <m/>
  </r>
  <r>
    <m/>
    <s v="Vacant"/>
    <s v="SAP Functional Specialist"/>
    <s v="Maudud Chaudhury"/>
    <s v="SAP ERP Application Lead"/>
    <s v="TDD Group Functions"/>
    <s v="P&amp;C, Finance &amp; Legal"/>
    <s v="Tech, Finance Platforms"/>
    <s v="Finance"/>
    <s v="AU Finance"/>
    <s v="SAP ERP"/>
    <m/>
    <m/>
  </r>
  <r>
    <n v="4251"/>
    <s v="Maudud Chaudhury"/>
    <s v="SAP ERP Application Lead"/>
    <s v="Shane Ker"/>
    <s v="Technology Manager Finance Platforms"/>
    <s v="TDD Group Functions"/>
    <s v="P&amp;C, Finance &amp; Legal"/>
    <s v="Tech, Finance Platforms"/>
    <s v="Finance"/>
    <s v="AU Finance"/>
    <s v="SAP ERP"/>
    <m/>
    <s v="Australia"/>
  </r>
  <r>
    <m/>
    <s v="Vacant"/>
    <s v="Solution Architect - Finance"/>
    <s v="Shane Ker"/>
    <s v="Technology Manager Finance Platforms"/>
    <s v="TDD Group Functions"/>
    <s v="P&amp;C, Finance &amp; Legal"/>
    <s v="Tech, Finance Platforms"/>
    <s v="Finance"/>
    <s v="AU Finance"/>
    <s v="SAP ERP"/>
    <m/>
    <m/>
  </r>
  <r>
    <n v="11241"/>
    <s v="Julma Bhagwani"/>
    <s v="SAP ERP Application Lead"/>
    <s v="Shane Ker"/>
    <s v="Technology Manager Finance Platforms"/>
    <s v="TDD Group Functions"/>
    <s v="P&amp;C, Finance &amp; Legal"/>
    <s v="Tech, Finance Platforms"/>
    <s v="Finance"/>
    <s v="AU Finance"/>
    <s v="SAP ERP"/>
    <m/>
    <s v="Australia"/>
  </r>
  <r>
    <m/>
    <s v="Vacant "/>
    <s v="Integration Specialist (ASAPIO CTRM)"/>
    <s v="Vacant"/>
    <s v="Technology Manager Finance Platforms"/>
    <s v="TDD Group Functions"/>
    <s v="P&amp;C, Finance &amp; Legal"/>
    <s v="Tech, Finance Platforms"/>
    <s v="Finance"/>
    <s v="AU Finance"/>
    <s v="SAP ERP"/>
    <m/>
    <m/>
  </r>
  <r>
    <m/>
    <s v="John Forde"/>
    <s v="SAP Functional Specialist"/>
    <s v="Vacant"/>
    <s v="Technology Manager Finance Platforms"/>
    <s v="TDD Group Functions"/>
    <s v="P&amp;C, Finance &amp; Legal"/>
    <s v="Tech, Finance Platforms"/>
    <s v="Finance"/>
    <s v="AU Finance"/>
    <s v="SAP ERP"/>
    <m/>
    <m/>
  </r>
  <r>
    <m/>
    <s v="Vacant"/>
    <s v="Delivery Lead (SAP)"/>
    <s v="Vacant"/>
    <s v="Delivery Manager, P&amp;C, Finance &amp; Legal"/>
    <s v="TDD Group Functions"/>
    <s v="P&amp;C, Finance &amp; Legal"/>
    <s v="Delivery, P&amp;C, Finance &amp; Legal"/>
    <s v="Finance"/>
    <s v="AU Finance"/>
    <s v="SAP ERP"/>
    <m/>
    <m/>
  </r>
  <r>
    <n v="99999101446"/>
    <s v="Rob Struthers"/>
    <s v="Engineer - Modern Workplaces"/>
    <s v="Vacant"/>
    <s v="Technology Manager, Enterprise Tooling"/>
    <s v="TDD Group Functions"/>
    <s v="TDD &amp; Engineering "/>
    <s v="Workplace &amp; Enterprise Tooling"/>
    <s v="TDD"/>
    <s v="TDD"/>
    <s v="Workplace &amp; Enterprise Tooling"/>
    <m/>
    <s v="NZ"/>
  </r>
  <r>
    <n v="99999101229"/>
    <s v="Billie Connolly"/>
    <s v="Engineer - Modern Workplaces"/>
    <s v="Vacant"/>
    <s v="Technology Manager, Workplace and Enterprise Tooling"/>
    <s v="TDD Group Functions"/>
    <s v="TDD &amp; Engineering "/>
    <s v="Workplace &amp; Enterprise Tooling"/>
    <s v="TDD"/>
    <s v="TDD"/>
    <s v="Workplace &amp; Enterprise Tooling"/>
    <m/>
    <s v="NZ"/>
  </r>
  <r>
    <m/>
    <s v="Vacant"/>
    <s v="Business Analyst (Workplace &amp; Enterprise Tooling)"/>
    <s v="Vacant"/>
    <s v="Delivery Manager "/>
    <s v="TDD Group Functions"/>
    <s v="TDD &amp; Engineering"/>
    <s v="Delivery, TDD &amp; Engineering"/>
    <s v="TDD"/>
    <s v="TDD"/>
    <s v="Workplace &amp; Enterprise Tooling"/>
    <m/>
    <m/>
  </r>
  <r>
    <n v="95018"/>
    <s v="Ken Thomson"/>
    <s v="Servicenow Platform Specialist"/>
    <s v="Vacant"/>
    <s v="Technology Manager, Workplace and Enterprise Tooling"/>
    <s v="TDD Group Functions"/>
    <s v="TDD &amp; Engineering "/>
    <s v="Workplace &amp; Enterprise Tooling"/>
    <s v="TDD"/>
    <s v="TDD"/>
    <s v="Workplace &amp; Enterprise Tooling"/>
    <m/>
    <s v="Australia"/>
  </r>
  <r>
    <n v="106024"/>
    <s v="Nicholas McKay"/>
    <s v="Workplace Tooling Specialist"/>
    <s v="Vacant"/>
    <s v="Technology Manager, Workplace and Enterprise Tooling"/>
    <s v="TDD Group Functions"/>
    <s v="TDD &amp; Engineering "/>
    <s v="Workplace &amp; Enterprise Tooling"/>
    <s v="TDD"/>
    <s v="TDD"/>
    <s v="Workplace &amp; Enterprise Tooling"/>
    <m/>
    <s v="Australia"/>
  </r>
  <r>
    <m/>
    <s v="Vacant"/>
    <s v="Enterprise Systems Specialist"/>
    <s v="Vacant"/>
    <s v="Technology Manager, Workplace and Enterprise Tooling"/>
    <s v="TDD Group Functions"/>
    <s v="TDD &amp; Engineering "/>
    <s v="Workplace &amp; Enterprise Tooling"/>
    <s v="TDD"/>
    <s v="TDD"/>
    <s v="Workplace &amp; Enterprise Tooling"/>
    <m/>
    <m/>
  </r>
  <r>
    <n v="99999102124"/>
    <m/>
    <m/>
    <s v="Vacant"/>
    <m/>
    <m/>
    <m/>
    <m/>
    <m/>
    <m/>
    <m/>
    <m/>
    <s v="NZ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7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V458:BX475" firstHeaderRow="1" firstDataRow="1" firstDataCol="0"/>
  <pivotFields count="2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4" cacheId="18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2:Q19" firstHeaderRow="1" firstDataRow="1" firstDataCol="0"/>
  <pivotFields count="13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L28"/>
  <sheetViews>
    <sheetView showGridLines="0" topLeftCell="A3" zoomScale="110" zoomScaleNormal="110" workbookViewId="0">
      <selection activeCell="A21" sqref="A21:XFD21"/>
    </sheetView>
  </sheetViews>
  <sheetFormatPr baseColWidth="8" defaultColWidth="8.54296875" defaultRowHeight="14.5"/>
  <cols>
    <col width="24.7265625" customWidth="1" style="302" min="2" max="2"/>
    <col width="8" customWidth="1" style="302" min="3" max="7"/>
    <col width="32" customWidth="1" style="302" min="9" max="9"/>
    <col width="11" customWidth="1" style="302" min="10" max="10"/>
    <col width="10.453125" customWidth="1" style="302" min="11" max="11"/>
    <col width="16" customWidth="1" style="302" min="12" max="12"/>
  </cols>
  <sheetData>
    <row r="2" ht="18" customHeight="1" s="302">
      <c r="B2" s="2" t="inlineStr">
        <is>
          <t>Data Config</t>
        </is>
      </c>
    </row>
    <row r="4">
      <c r="B4" s="260" t="inlineStr">
        <is>
          <t>TDD Budget Allocation ($m)</t>
        </is>
      </c>
      <c r="I4" s="259" t="inlineStr">
        <is>
          <t>Portfolio Overhead (roles, $m)</t>
        </is>
      </c>
      <c r="J4" s="251" t="n"/>
      <c r="K4" s="251" t="n"/>
      <c r="L4" s="252" t="n"/>
    </row>
    <row r="5">
      <c r="B5" s="3" t="inlineStr">
        <is>
          <t>Portfolio</t>
        </is>
      </c>
      <c r="C5" s="3" t="inlineStr">
        <is>
          <t>AU</t>
        </is>
      </c>
      <c r="D5" s="3" t="inlineStr">
        <is>
          <t>NZ</t>
        </is>
      </c>
      <c r="E5" s="3" t="inlineStr">
        <is>
          <t>Total</t>
        </is>
      </c>
      <c r="F5" s="4" t="inlineStr">
        <is>
          <t>Spend</t>
        </is>
      </c>
      <c r="G5" s="4" t="inlineStr">
        <is>
          <t>Variance</t>
        </is>
      </c>
      <c r="I5" s="5" t="inlineStr">
        <is>
          <t>Role</t>
        </is>
      </c>
      <c r="J5" s="5" t="inlineStr">
        <is>
          <t>Cost ($m)</t>
        </is>
      </c>
      <c r="K5" s="5" t="inlineStr">
        <is>
          <t>Allocation %</t>
        </is>
      </c>
      <c r="L5" s="5" t="inlineStr">
        <is>
          <t>Portfolio cost ($m)</t>
        </is>
      </c>
    </row>
    <row r="6">
      <c r="B6" s="6" t="inlineStr">
        <is>
          <t>COE - Strategy Architecture</t>
        </is>
      </c>
      <c r="C6" s="7" t="n">
        <v>1.5</v>
      </c>
      <c r="D6" s="7" t="n">
        <v>0.5</v>
      </c>
      <c r="E6" s="7">
        <f>C6+D6</f>
        <v>2.0</v>
      </c>
      <c r="F6" s="7">
        <f>'2.1 COE'!$D$8</f>
        <v>0.0</v>
      </c>
      <c r="G6" s="7">
        <f>SUM(E6-F6)</f>
        <v>2.0</v>
      </c>
      <c r="I6" s="8" t="inlineStr">
        <is>
          <t>Head of Tech</t>
        </is>
      </c>
      <c r="J6" s="9" t="n">
        <v>0.275</v>
      </c>
      <c r="K6" s="10" t="n">
        <v>0.5</v>
      </c>
      <c r="L6" s="9">
        <f>J6*K6</f>
        <v>0.1375</v>
      </c>
    </row>
    <row r="7">
      <c r="B7" s="11" t="inlineStr">
        <is>
          <t>COE - Cyber, Risk &amp; Service Ops (rolled into TDD Cyber)</t>
        </is>
      </c>
      <c r="C7" s="12" t="n">
        <v>0</v>
      </c>
      <c r="D7" s="12" t="n">
        <v>0</v>
      </c>
      <c r="E7" s="12">
        <f>C7+D7</f>
        <v>0.0</v>
      </c>
      <c r="F7" s="7">
        <f>'2.1 COE'!$D$9</f>
        <v>0.0</v>
      </c>
      <c r="G7" s="7">
        <f>SUM(E7-F7)</f>
        <v>0.0</v>
      </c>
      <c r="I7" s="8" t="inlineStr">
        <is>
          <t>Business Partner</t>
        </is>
      </c>
      <c r="J7" s="9" t="n">
        <v>0.43</v>
      </c>
      <c r="K7" s="10" t="n">
        <v>0.4</v>
      </c>
      <c r="L7" s="9">
        <f>J7*K7</f>
        <v>0.17200000000000001</v>
      </c>
    </row>
    <row r="8">
      <c r="B8" s="6" t="inlineStr">
        <is>
          <t>COE - Transformation</t>
        </is>
      </c>
      <c r="C8" s="7" t="n">
        <v>1.5</v>
      </c>
      <c r="D8" s="7" t="n">
        <v>0.5</v>
      </c>
      <c r="E8" s="7">
        <f>C8+D8</f>
        <v>2.0</v>
      </c>
      <c r="F8" s="7">
        <f>'2.1 COE'!$D$10</f>
        <v>0.0</v>
      </c>
      <c r="G8" s="7">
        <f>SUM(E8-F8)</f>
        <v>2.0</v>
      </c>
      <c r="I8" s="8" t="inlineStr">
        <is>
          <t>Domain Architect</t>
        </is>
      </c>
      <c r="J8" s="9" t="n">
        <v>0.28</v>
      </c>
      <c r="K8" s="10" t="n">
        <v>0.5</v>
      </c>
      <c r="L8" s="9">
        <f>J8*K8</f>
        <v>0.14</v>
      </c>
    </row>
    <row r="9">
      <c r="B9" s="11" t="inlineStr">
        <is>
          <t>COE - Business Partnering</t>
        </is>
      </c>
      <c r="C9" s="12" t="n">
        <v>1.5</v>
      </c>
      <c r="D9" s="12" t="n">
        <v>0.5</v>
      </c>
      <c r="E9" s="12">
        <f>C9+D9</f>
        <v>2.0</v>
      </c>
      <c r="F9" s="7">
        <f>'2.1 COE'!$D$11</f>
        <v>0.0</v>
      </c>
      <c r="G9" s="7">
        <f>SUM(E9-F9)</f>
        <v>2.0</v>
      </c>
      <c r="I9" s="8" t="inlineStr">
        <is>
          <t>Leadership Overhead</t>
        </is>
      </c>
      <c r="J9" s="9" t="n">
        <v>1</v>
      </c>
      <c r="K9" s="10" t="n">
        <v>0.3</v>
      </c>
      <c r="L9" s="9">
        <f>J9*K9</f>
        <v>0.3</v>
      </c>
    </row>
    <row r="10">
      <c r="B10" s="6" t="inlineStr">
        <is>
          <t>COE - Data</t>
        </is>
      </c>
      <c r="C10" s="7" t="n">
        <v>1.5</v>
      </c>
      <c r="D10" s="7" t="n">
        <v>0.5</v>
      </c>
      <c r="E10" s="7">
        <f>C10+D10</f>
        <v>2.0</v>
      </c>
      <c r="F10" s="7">
        <f>'2.1 COE'!$D$12</f>
        <v>0.0</v>
      </c>
      <c r="G10" s="7">
        <f>SUM(E10-F10)</f>
        <v>2.0</v>
      </c>
      <c r="I10" s="13" t="inlineStr">
        <is>
          <t>Portfolio overhead subtotal</t>
        </is>
      </c>
      <c r="L10" s="14">
        <f>SUM(L6:L9)</f>
        <v>0.7495</v>
      </c>
    </row>
    <row r="11">
      <c r="B11" s="11" t="inlineStr">
        <is>
          <t>Ampol Retail</t>
        </is>
      </c>
      <c r="C11" s="12" t="n">
        <v>2.5</v>
      </c>
      <c r="D11" s="12" t="n">
        <v>0</v>
      </c>
      <c r="E11" s="12">
        <f>C11+D11</f>
        <v>2.5</v>
      </c>
      <c r="F11" s="7">
        <f>'1.1 Ampol Retail'!$C$9</f>
        <v>5.6265</v>
      </c>
      <c r="G11" s="7">
        <f>SUM(E11-F11)</f>
        <v>-3.1265</v>
      </c>
    </row>
    <row r="12">
      <c r="B12" s="6" t="inlineStr">
        <is>
          <t>Z Retail</t>
        </is>
      </c>
      <c r="C12" s="7" t="n">
        <v>0</v>
      </c>
      <c r="D12" s="7" t="n">
        <v>2.5</v>
      </c>
      <c r="E12" s="7">
        <f>C12+D12</f>
        <v>2.5</v>
      </c>
      <c r="F12" s="7">
        <f>'1.10 Z Retail'!$C$9</f>
        <v>5.399500000000001</v>
      </c>
      <c r="G12" s="7">
        <f>SUM(E12-F12)</f>
        <v>-2.8995000000000006</v>
      </c>
      <c r="I12" s="259" t="inlineStr">
        <is>
          <t>Platform Overhead (roles, $m)</t>
        </is>
      </c>
      <c r="J12" s="251" t="n"/>
      <c r="K12" s="251" t="n"/>
      <c r="L12" s="252" t="n"/>
    </row>
    <row r="13">
      <c r="B13" s="11" t="inlineStr">
        <is>
          <t>Ampol Customer</t>
        </is>
      </c>
      <c r="C13" s="12" t="n">
        <v>2.5</v>
      </c>
      <c r="D13" s="12" t="n">
        <v>0</v>
      </c>
      <c r="E13" s="12">
        <f>C13+D13</f>
        <v>2.5</v>
      </c>
      <c r="F13" s="7">
        <f>'1.2 Customer'!$C$9</f>
        <v>9.0245</v>
      </c>
      <c r="G13" s="7">
        <f>SUM(E13:E14)-F13</f>
        <v>-2.5244999999999997</v>
      </c>
      <c r="I13" s="5" t="inlineStr">
        <is>
          <t>Role</t>
        </is>
      </c>
      <c r="J13" s="5" t="inlineStr">
        <is>
          <t>Cost ($m)</t>
        </is>
      </c>
      <c r="K13" s="5" t="inlineStr">
        <is>
          <t>Alloc %</t>
        </is>
      </c>
      <c r="L13" s="5" t="inlineStr">
        <is>
          <t>Platform cost ($m)</t>
        </is>
      </c>
    </row>
    <row r="14">
      <c r="B14" s="6" t="inlineStr">
        <is>
          <t>Z Customer</t>
        </is>
      </c>
      <c r="C14" s="7" t="n">
        <v>0</v>
      </c>
      <c r="D14" s="7" t="n">
        <v>4</v>
      </c>
      <c r="E14" s="7">
        <f>C14+D14</f>
        <v>4.0</v>
      </c>
      <c r="F14" s="7" t="n"/>
      <c r="G14" s="7" t="n"/>
      <c r="I14" s="8" t="inlineStr">
        <is>
          <t>Delivery Manager</t>
        </is>
      </c>
      <c r="J14" s="9" t="n">
        <v>0.28</v>
      </c>
      <c r="K14" s="10" t="n">
        <v>0.3</v>
      </c>
      <c r="L14" s="9">
        <f>J14*K14</f>
        <v>0.084</v>
      </c>
    </row>
    <row r="15">
      <c r="B15" s="11" t="inlineStr">
        <is>
          <t>Commercial Fuels</t>
        </is>
      </c>
      <c r="C15" s="12" t="n">
        <v>2.5</v>
      </c>
      <c r="D15" s="12" t="n">
        <v>0</v>
      </c>
      <c r="E15" s="12">
        <f>C15+D15</f>
        <v>2.5</v>
      </c>
      <c r="F15" s="7">
        <f>'1.9 Commercial Fuels'!C9</f>
        <v>2.0845</v>
      </c>
      <c r="G15" s="7">
        <f>SUM(E15-F15)</f>
        <v>0.4155000000000002</v>
      </c>
      <c r="I15" s="8" t="inlineStr">
        <is>
          <t>Tech Manager</t>
        </is>
      </c>
      <c r="J15" s="9" t="n">
        <v>0.27</v>
      </c>
      <c r="K15" s="10" t="n">
        <v>0.3</v>
      </c>
      <c r="L15" s="9">
        <f>J15*K15</f>
        <v>0.081</v>
      </c>
    </row>
    <row r="16">
      <c r="B16" s="6" t="inlineStr">
        <is>
          <t>Energy Solutions &amp; B2B</t>
        </is>
      </c>
      <c r="C16" s="7" t="n">
        <v>2.5</v>
      </c>
      <c r="D16" s="7" t="n">
        <v>0</v>
      </c>
      <c r="E16" s="7">
        <f>C16+D16</f>
        <v>2.5</v>
      </c>
      <c r="F16" s="7">
        <f>'1.8 Energy Solutions &amp; B2B'!$C$9</f>
        <v>2.5095</v>
      </c>
      <c r="G16" s="7">
        <f>SUM(E16-F16)</f>
        <v>-0.009500000000000064</v>
      </c>
      <c r="I16" s="13" t="inlineStr">
        <is>
          <t>Platform overhead subtotal (per platform)</t>
        </is>
      </c>
      <c r="L16" s="14">
        <f>SUM(L14:L15)</f>
        <v>0.165</v>
      </c>
    </row>
    <row r="17">
      <c r="B17" s="11" t="inlineStr">
        <is>
          <t>Infrastructure</t>
        </is>
      </c>
      <c r="C17" s="12" t="n">
        <v>2.5</v>
      </c>
      <c r="D17" s="12" t="n">
        <v>0</v>
      </c>
      <c r="E17" s="12">
        <f>C17+D17</f>
        <v>2.5</v>
      </c>
      <c r="F17" s="7">
        <f>'1.7 Infrastructure'!$C$10</f>
        <v>2.5245</v>
      </c>
      <c r="G17" s="7">
        <f>SUM(E17-F17)</f>
        <v>-0.02450000000000019</v>
      </c>
    </row>
    <row r="18">
      <c r="B18" s="6" t="inlineStr">
        <is>
          <t>P&amp;C</t>
        </is>
      </c>
      <c r="C18" s="7" t="n">
        <v>1</v>
      </c>
      <c r="D18" s="7" t="n">
        <v>1</v>
      </c>
      <c r="E18" s="7">
        <f>C18+D18</f>
        <v>2.0</v>
      </c>
      <c r="F18" s="7">
        <f>'1.5 P&amp;C'!$C$9</f>
        <v>1.2745000000000002</v>
      </c>
      <c r="G18" s="7">
        <f>SUM(E18-F18)</f>
        <v>0.7254999999999998</v>
      </c>
    </row>
    <row r="19">
      <c r="B19" s="11" t="inlineStr">
        <is>
          <t>Finance</t>
        </is>
      </c>
      <c r="C19" s="12" t="n">
        <v>1</v>
      </c>
      <c r="D19" s="12" t="n">
        <v>1</v>
      </c>
      <c r="E19" s="12">
        <f>C19+D19</f>
        <v>2.0</v>
      </c>
      <c r="F19" s="7">
        <f>'1.6 Finance'!$C$9</f>
        <v>1.4145</v>
      </c>
      <c r="G19" s="7">
        <f>SUM(E19-F19)</f>
        <v>0.5854999999999999</v>
      </c>
    </row>
    <row r="20">
      <c r="B20" s="6" t="inlineStr">
        <is>
          <t>Legal</t>
        </is>
      </c>
      <c r="C20" s="7" t="n">
        <v>0</v>
      </c>
      <c r="D20" s="7" t="n">
        <v>0</v>
      </c>
      <c r="E20" s="7">
        <f>C20+D20</f>
        <v>0.0</v>
      </c>
      <c r="F20" s="7" t="n"/>
      <c r="G20" s="7" t="n"/>
    </row>
    <row r="21">
      <c r="B21" s="11" t="inlineStr">
        <is>
          <t>TDD</t>
        </is>
      </c>
      <c r="C21" s="12" t="n">
        <v>4.5</v>
      </c>
      <c r="D21" s="12" t="n">
        <v>1</v>
      </c>
      <c r="E21" s="12">
        <f>C21+D21</f>
        <v>5.5</v>
      </c>
      <c r="F21" s="7">
        <f>'1.4 TDD Group Functions'!$C$9</f>
        <v>3.6644999999999994</v>
      </c>
      <c r="G21" s="7">
        <f>SUM(E21-F21)</f>
        <v>1.8355000000000006</v>
      </c>
    </row>
    <row r="22">
      <c r="B22" s="6" t="inlineStr">
        <is>
          <t>TDD Data</t>
        </is>
      </c>
      <c r="C22" s="7" t="n">
        <v>2.5</v>
      </c>
      <c r="D22" s="7" t="n">
        <v>1</v>
      </c>
      <c r="E22" s="7">
        <f>C22+D22</f>
        <v>3.5</v>
      </c>
      <c r="F22" s="7">
        <f>'1.3 Enterprise Data'!$C$9</f>
        <v>7.1345</v>
      </c>
      <c r="G22" s="7">
        <f>SUM(E22-F22)</f>
        <v>-3.6345</v>
      </c>
    </row>
    <row r="23">
      <c r="B23" s="15" t="inlineStr">
        <is>
          <t>TDD Cyber</t>
        </is>
      </c>
      <c r="C23" s="362" t="n">
        <v>2.5</v>
      </c>
      <c r="D23" s="362" t="n">
        <v>1</v>
      </c>
      <c r="E23" s="12">
        <f>C23+D23</f>
        <v>3.5</v>
      </c>
      <c r="F23" s="7">
        <f>'1.11 TDD Cyber'!$C$9</f>
        <v>4.3145</v>
      </c>
      <c r="G23" s="7">
        <f>SUM(E23-F23)</f>
        <v>-0.8144999999999998</v>
      </c>
    </row>
    <row r="24">
      <c r="B24" s="6" t="inlineStr">
        <is>
          <t>EG</t>
        </is>
      </c>
      <c r="C24" s="7" t="n">
        <v>0</v>
      </c>
      <c r="D24" s="7" t="n">
        <v>0</v>
      </c>
      <c r="E24" s="7">
        <f>C24+D24</f>
        <v>0.0</v>
      </c>
      <c r="F24" s="7" t="n"/>
      <c r="G24" s="7" t="n"/>
    </row>
    <row r="25">
      <c r="B25" s="11" t="inlineStr">
        <is>
          <t>EGI</t>
        </is>
      </c>
      <c r="C25" s="12" t="n">
        <v>0</v>
      </c>
      <c r="D25" s="12" t="n">
        <v>0</v>
      </c>
      <c r="E25" s="12">
        <f>C25+D25</f>
        <v>0.0</v>
      </c>
      <c r="F25" s="7" t="n"/>
      <c r="G25" s="7" t="n"/>
    </row>
    <row r="26">
      <c r="B26" s="16" t="inlineStr">
        <is>
          <t>Total</t>
        </is>
      </c>
      <c r="C26" s="17">
        <f>SUM(C6:C25)</f>
        <v>30.0</v>
      </c>
      <c r="D26" s="17">
        <f>SUM(D6:D25)</f>
        <v>13.5</v>
      </c>
      <c r="E26" s="17">
        <f>SUM(E6:E25)</f>
        <v>43.5</v>
      </c>
      <c r="F26" s="7">
        <f>SUM(F6:F25)</f>
        <v>44.9715</v>
      </c>
      <c r="G26" s="7">
        <f>SUM(G6:G25)</f>
        <v>-1.4715000000000025</v>
      </c>
    </row>
    <row r="27">
      <c r="B27" t="inlineStr">
        <is>
          <t>Budget</t>
        </is>
      </c>
      <c r="C27">
        <f>'0.4 Budget Table (Fin)'!G5 +1</f>
        <v>36.2</v>
      </c>
      <c r="D27">
        <f>'0.4 Budget Table (Fin)'!G6</f>
        <v>17.6</v>
      </c>
      <c r="E27">
        <f>'0.4 Budget Table (Fin)'!G14</f>
        <v>53.800000000000004</v>
      </c>
    </row>
    <row r="28">
      <c r="B28" t="inlineStr">
        <is>
          <t>Variance</t>
        </is>
      </c>
      <c r="C28" s="18">
        <f>C27-C26</f>
        <v>6.200000000000003</v>
      </c>
      <c r="D28" s="18">
        <f>D27-D26</f>
        <v>4.100000000000001</v>
      </c>
      <c r="E28" s="18">
        <f>E27-E26</f>
        <v>10.300000000000004</v>
      </c>
      <c r="F28" s="18" t="n"/>
      <c r="G28" s="18" t="n"/>
    </row>
  </sheetData>
  <mergeCells count="3">
    <mergeCell ref="B4:G4"/>
    <mergeCell ref="I12:L12"/>
    <mergeCell ref="I4:L4"/>
  </mergeCell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I27"/>
  <sheetViews>
    <sheetView showGridLines="0" topLeftCell="B1" zoomScale="120" zoomScaleNormal="120" workbookViewId="0">
      <selection activeCell="C17" sqref="C17"/>
    </sheetView>
  </sheetViews>
  <sheetFormatPr baseColWidth="8" defaultColWidth="8.54296875" defaultRowHeight="14.5"/>
  <cols>
    <col hidden="1" width="13" customWidth="1" style="302" min="1" max="1"/>
    <col width="13" customWidth="1" style="302" min="2" max="2"/>
    <col width="28.26953125" customWidth="1" style="302" min="3" max="3"/>
    <col width="6" customWidth="1" style="302" min="4" max="4"/>
    <col width="30" customWidth="1" style="302" min="5" max="5"/>
    <col width="10" customWidth="1" style="302" min="6" max="6"/>
    <col width="16.26953125" customWidth="1" style="302" min="7" max="7"/>
    <col width="16.453125" customWidth="1" style="302" min="8" max="8"/>
    <col width="45" customWidth="1" style="302" min="9" max="9"/>
  </cols>
  <sheetData>
    <row r="2" ht="18" customHeight="1" s="302">
      <c r="C2" s="19" t="inlineStr">
        <is>
          <t>Squad Cost Lookup</t>
        </is>
      </c>
    </row>
    <row r="4">
      <c r="A4" s="20" t="inlineStr">
        <is>
          <t>Key</t>
        </is>
      </c>
      <c r="C4" s="20" t="inlineStr">
        <is>
          <t>Squad Type</t>
        </is>
      </c>
      <c r="D4" s="20" t="inlineStr">
        <is>
          <t>Size</t>
        </is>
      </c>
      <c r="E4" s="20" t="inlineStr">
        <is>
          <t>Archetype</t>
        </is>
      </c>
      <c r="F4" s="20" t="inlineStr">
        <is>
          <t># of roles</t>
        </is>
      </c>
      <c r="G4" s="20" t="inlineStr">
        <is>
          <t>Onshore Cost ($m)</t>
        </is>
      </c>
      <c r="H4" s="20" t="inlineStr">
        <is>
          <t>Offshore Cost ($m)</t>
        </is>
      </c>
      <c r="I4" s="20" t="inlineStr">
        <is>
          <t>Use When</t>
        </is>
      </c>
    </row>
    <row r="5">
      <c r="A5" s="21" t="inlineStr">
        <is>
          <t>Engineering|S</t>
        </is>
      </c>
      <c r="C5" s="21" t="inlineStr">
        <is>
          <t>Engineering</t>
        </is>
      </c>
      <c r="D5" s="21" t="inlineStr">
        <is>
          <t>S</t>
        </is>
      </c>
      <c r="E5" s="21" t="inlineStr">
        <is>
          <t>Lean build squad</t>
        </is>
      </c>
      <c r="F5" s="22" t="n">
        <v>4.5</v>
      </c>
      <c r="G5" s="23" t="n">
        <v>0.8</v>
      </c>
      <c r="H5" s="23" t="n">
        <v>0.32</v>
      </c>
      <c r="I5" s="21" t="inlineStr">
        <is>
          <t>Simple platforms, incremental changes</t>
        </is>
      </c>
    </row>
    <row r="6">
      <c r="A6" s="21" t="inlineStr">
        <is>
          <t>Engineering|M</t>
        </is>
      </c>
      <c r="C6" s="24" t="inlineStr">
        <is>
          <t>Engineering</t>
        </is>
      </c>
      <c r="D6" s="24" t="inlineStr">
        <is>
          <t>M</t>
        </is>
      </c>
      <c r="E6" s="24" t="inlineStr">
        <is>
          <t>Standard Engineering Squad</t>
        </is>
      </c>
      <c r="F6" s="25" t="n">
        <v>9</v>
      </c>
      <c r="G6" s="26" t="n">
        <v>2</v>
      </c>
      <c r="H6" s="26" t="n">
        <v>0.8</v>
      </c>
      <c r="I6" s="24" t="inlineStr">
        <is>
          <t>Medium complexity platforms</t>
        </is>
      </c>
    </row>
    <row r="7">
      <c r="A7" s="21" t="inlineStr">
        <is>
          <t>Engineering|L</t>
        </is>
      </c>
      <c r="C7" s="21" t="inlineStr">
        <is>
          <t>Engineering</t>
        </is>
      </c>
      <c r="D7" s="21" t="inlineStr">
        <is>
          <t>L</t>
        </is>
      </c>
      <c r="E7" s="21" t="inlineStr">
        <is>
          <t>High-scale squad</t>
        </is>
      </c>
      <c r="F7" s="22" t="n">
        <v>12</v>
      </c>
      <c r="G7" s="23" t="n">
        <v>2.7</v>
      </c>
      <c r="H7" s="23" t="n">
        <v>1.08</v>
      </c>
      <c r="I7" s="21" t="inlineStr">
        <is>
          <t>Scalable platforms, high volume output</t>
        </is>
      </c>
    </row>
    <row r="8">
      <c r="A8" s="21" t="inlineStr">
        <is>
          <t>Configuration / Integration|XS</t>
        </is>
      </c>
      <c r="C8" s="27" t="inlineStr">
        <is>
          <t>Configuration / Integration</t>
        </is>
      </c>
      <c r="D8" s="27" t="inlineStr">
        <is>
          <t>XS</t>
        </is>
      </c>
      <c r="E8" s="27" t="inlineStr">
        <is>
          <t>MS Squad</t>
        </is>
      </c>
      <c r="F8" s="28" t="n">
        <v>1</v>
      </c>
      <c r="G8" s="29" t="n">
        <v>3.2</v>
      </c>
      <c r="H8" s="26" t="n">
        <v>1.28</v>
      </c>
      <c r="I8" s="24" t="inlineStr">
        <is>
          <t>Work managed by a vendor</t>
        </is>
      </c>
    </row>
    <row r="9">
      <c r="A9" s="21" t="inlineStr">
        <is>
          <t>Configuration / Integration|S</t>
        </is>
      </c>
      <c r="C9" s="21" t="inlineStr">
        <is>
          <t>Configuration / Integration</t>
        </is>
      </c>
      <c r="D9" s="21" t="inlineStr">
        <is>
          <t>S</t>
        </is>
      </c>
      <c r="E9" s="21" t="inlineStr">
        <is>
          <t>Simple Configuration Squad</t>
        </is>
      </c>
      <c r="F9" s="22" t="n">
        <v>6</v>
      </c>
      <c r="G9" s="23" t="n">
        <v>0.4</v>
      </c>
      <c r="H9" s="23" t="n">
        <v>0.16</v>
      </c>
      <c r="I9" s="21" t="inlineStr">
        <is>
          <t>Simple configuration, limited integration</t>
        </is>
      </c>
    </row>
    <row r="10">
      <c r="A10" s="21" t="inlineStr">
        <is>
          <t>Configuration / Integration|M</t>
        </is>
      </c>
      <c r="C10" s="24" t="inlineStr">
        <is>
          <t>Configuration / Integration</t>
        </is>
      </c>
      <c r="D10" s="24" t="inlineStr">
        <is>
          <t>M</t>
        </is>
      </c>
      <c r="E10" s="24" t="inlineStr">
        <is>
          <t>Standard Configuration Squad</t>
        </is>
      </c>
      <c r="F10" s="25" t="n">
        <v>9</v>
      </c>
      <c r="G10" s="26" t="n">
        <v>1.4</v>
      </c>
      <c r="H10" s="26" t="n">
        <v>0.5600000000000001</v>
      </c>
      <c r="I10" s="24" t="inlineStr">
        <is>
          <t>Standard configuration, medium complexity</t>
        </is>
      </c>
    </row>
    <row r="11">
      <c r="A11" s="21" t="inlineStr">
        <is>
          <t>Configuration / Integration|L</t>
        </is>
      </c>
      <c r="C11" s="21" t="inlineStr">
        <is>
          <t>Configuration / Integration</t>
        </is>
      </c>
      <c r="D11" s="21" t="inlineStr">
        <is>
          <t>L</t>
        </is>
      </c>
      <c r="E11" s="21" t="inlineStr">
        <is>
          <t>Complex Integration Squad</t>
        </is>
      </c>
      <c r="F11" s="22" t="n">
        <v>14</v>
      </c>
      <c r="G11" s="23" t="n">
        <v>2.1</v>
      </c>
      <c r="H11" s="23" t="n">
        <v>0.84</v>
      </c>
      <c r="I11" s="21" t="inlineStr">
        <is>
          <t>Complex config or custom build, high integration</t>
        </is>
      </c>
    </row>
    <row r="12">
      <c r="A12" s="21" t="inlineStr">
        <is>
          <t>Product|S</t>
        </is>
      </c>
      <c r="C12" s="24" t="inlineStr">
        <is>
          <t>Product</t>
        </is>
      </c>
      <c r="D12" s="24" t="inlineStr">
        <is>
          <t>S</t>
        </is>
      </c>
      <c r="E12" s="24" t="inlineStr">
        <is>
          <t>Lean Product Squad</t>
        </is>
      </c>
      <c r="F12" s="25" t="n">
        <v>5.5</v>
      </c>
      <c r="G12" s="26" t="n">
        <v>1.3</v>
      </c>
      <c r="H12" s="26" t="n">
        <v>0.52</v>
      </c>
      <c r="I12" s="24" t="inlineStr">
        <is>
          <t>Early stage product testing or low complexity</t>
        </is>
      </c>
    </row>
    <row r="13">
      <c r="A13" s="21" t="inlineStr">
        <is>
          <t>Product|M</t>
        </is>
      </c>
      <c r="C13" s="21" t="inlineStr">
        <is>
          <t>Product</t>
        </is>
      </c>
      <c r="D13" s="21" t="inlineStr">
        <is>
          <t>M</t>
        </is>
      </c>
      <c r="E13" s="21" t="inlineStr">
        <is>
          <t>Balanced Product Squad</t>
        </is>
      </c>
      <c r="F13" s="22" t="n">
        <v>8.5</v>
      </c>
      <c r="G13" s="23" t="n">
        <v>1.9</v>
      </c>
      <c r="H13" s="23" t="n">
        <v>0.76</v>
      </c>
      <c r="I13" s="21" t="inlineStr">
        <is>
          <t>Ongoing product development, moderate complexity</t>
        </is>
      </c>
    </row>
    <row r="14">
      <c r="A14" s="21" t="inlineStr">
        <is>
          <t>Product|L</t>
        </is>
      </c>
      <c r="C14" s="24" t="inlineStr">
        <is>
          <t>Product</t>
        </is>
      </c>
      <c r="D14" s="24" t="inlineStr">
        <is>
          <t>L</t>
        </is>
      </c>
      <c r="E14" s="24" t="inlineStr">
        <is>
          <t>Scaled Product Squad</t>
        </is>
      </c>
      <c r="F14" s="25" t="n">
        <v>12</v>
      </c>
      <c r="G14" s="26" t="n">
        <v>2.8</v>
      </c>
      <c r="H14" s="26" t="n">
        <v>1.12</v>
      </c>
      <c r="I14" s="24" t="inlineStr">
        <is>
          <t>Mature product</t>
        </is>
      </c>
    </row>
    <row r="15">
      <c r="A15" s="21" t="inlineStr">
        <is>
          <t>Operations|S</t>
        </is>
      </c>
      <c r="C15" s="21" t="inlineStr">
        <is>
          <t>Operations</t>
        </is>
      </c>
      <c r="D15" s="21" t="inlineStr">
        <is>
          <t>S</t>
        </is>
      </c>
      <c r="E15" s="21" t="inlineStr">
        <is>
          <t>Lean operations squad</t>
        </is>
      </c>
      <c r="F15" s="22" t="n">
        <v>4</v>
      </c>
      <c r="G15" s="23" t="n">
        <v>0.8</v>
      </c>
      <c r="H15" s="23" t="n">
        <v>0.32</v>
      </c>
      <c r="I15" s="21" t="inlineStr">
        <is>
          <t>Low change, stable platforms</t>
        </is>
      </c>
    </row>
    <row r="16">
      <c r="A16" s="21" t="inlineStr">
        <is>
          <t>Operations|M</t>
        </is>
      </c>
      <c r="C16" s="24" t="inlineStr">
        <is>
          <t>Operations</t>
        </is>
      </c>
      <c r="D16" s="24" t="inlineStr">
        <is>
          <t>M</t>
        </is>
      </c>
      <c r="E16" s="24" t="inlineStr">
        <is>
          <t>Balanced operations squad</t>
        </is>
      </c>
      <c r="F16" s="25" t="n">
        <v>6</v>
      </c>
      <c r="G16" s="26" t="n">
        <v>1.4</v>
      </c>
      <c r="H16" s="26" t="n">
        <v>0.5600000000000001</v>
      </c>
      <c r="I16" s="24" t="inlineStr">
        <is>
          <t>Moderate support plus improvements</t>
        </is>
      </c>
    </row>
    <row r="17">
      <c r="A17" s="21" t="inlineStr">
        <is>
          <t>Operations|L</t>
        </is>
      </c>
      <c r="C17" s="21" t="inlineStr">
        <is>
          <t>Operations</t>
        </is>
      </c>
      <c r="D17" s="21" t="inlineStr">
        <is>
          <t>L</t>
        </is>
      </c>
      <c r="E17" s="21" t="inlineStr">
        <is>
          <t>High demand operations squad</t>
        </is>
      </c>
      <c r="F17" s="22" t="n">
        <v>10</v>
      </c>
      <c r="G17" s="23" t="n">
        <v>2.3</v>
      </c>
      <c r="H17" s="23" t="n">
        <v>0.92</v>
      </c>
      <c r="I17" s="21" t="inlineStr">
        <is>
          <t>High ticket volume, critical systems</t>
        </is>
      </c>
    </row>
    <row r="18">
      <c r="A18" s="21" t="inlineStr">
        <is>
          <t>Enterprise Data and Insights|S</t>
        </is>
      </c>
      <c r="C18" s="24" t="inlineStr">
        <is>
          <t>Enterprise Data and Insights</t>
        </is>
      </c>
      <c r="D18" s="24" t="inlineStr">
        <is>
          <t>S</t>
        </is>
      </c>
      <c r="E18" s="24" t="inlineStr">
        <is>
          <t>Lean Data squad</t>
        </is>
      </c>
      <c r="F18" s="25" t="n">
        <v>4</v>
      </c>
      <c r="G18" s="26" t="n">
        <v>0.9</v>
      </c>
      <c r="H18" s="26" t="n">
        <v>0.36</v>
      </c>
      <c r="I18" s="24" t="inlineStr">
        <is>
          <t>Basic reporting, low complexity</t>
        </is>
      </c>
    </row>
    <row r="19">
      <c r="A19" s="21" t="inlineStr">
        <is>
          <t>Enterprise Data and Insights|M</t>
        </is>
      </c>
      <c r="C19" s="21" t="inlineStr">
        <is>
          <t>Enterprise Data and Insights</t>
        </is>
      </c>
      <c r="D19" s="21" t="inlineStr">
        <is>
          <t>M</t>
        </is>
      </c>
      <c r="E19" s="21" t="inlineStr">
        <is>
          <t>Standard Data squad</t>
        </is>
      </c>
      <c r="F19" s="22" t="n">
        <v>7.5</v>
      </c>
      <c r="G19" s="23" t="n">
        <v>1.7</v>
      </c>
      <c r="H19" s="23" t="n">
        <v>0.68</v>
      </c>
      <c r="I19" s="21" t="inlineStr">
        <is>
          <t>Ongoing analytics, dashboarding</t>
        </is>
      </c>
    </row>
    <row r="20">
      <c r="A20" s="21" t="inlineStr">
        <is>
          <t>Enterprise Data and Insights|L</t>
        </is>
      </c>
      <c r="C20" s="24" t="inlineStr">
        <is>
          <t>Enterprise Data and Insights</t>
        </is>
      </c>
      <c r="D20" s="24" t="inlineStr">
        <is>
          <t>L</t>
        </is>
      </c>
      <c r="E20" s="24" t="inlineStr">
        <is>
          <t>Advanced Data / AI squad</t>
        </is>
      </c>
      <c r="F20" s="25" t="n">
        <v>9</v>
      </c>
      <c r="G20" s="26" t="n">
        <v>2</v>
      </c>
      <c r="H20" s="26" t="n">
        <v>0.8</v>
      </c>
      <c r="I20" s="24" t="inlineStr">
        <is>
          <t>Advanced analytics, predictive modelling, AI</t>
        </is>
      </c>
    </row>
    <row r="21">
      <c r="A21" s="21" t="inlineStr">
        <is>
          <t>Build and Run|S</t>
        </is>
      </c>
      <c r="C21" s="21" t="inlineStr">
        <is>
          <t>Build and Run</t>
        </is>
      </c>
      <c r="D21" s="21" t="inlineStr">
        <is>
          <t>S</t>
        </is>
      </c>
      <c r="E21" s="21" t="inlineStr">
        <is>
          <t>Lean build and run squad</t>
        </is>
      </c>
      <c r="F21" s="22" t="n">
        <v>4</v>
      </c>
      <c r="G21" s="23" t="n">
        <v>0.9</v>
      </c>
      <c r="H21" s="23" t="n">
        <v>0.36</v>
      </c>
      <c r="I21" s="21" t="inlineStr">
        <is>
          <t>Simple platforms, low traffic, stable</t>
        </is>
      </c>
    </row>
    <row r="22">
      <c r="A22" s="21" t="inlineStr">
        <is>
          <t>Build and Run|M</t>
        </is>
      </c>
      <c r="C22" s="24" t="inlineStr">
        <is>
          <t>Build and Run</t>
        </is>
      </c>
      <c r="D22" s="24" t="inlineStr">
        <is>
          <t>M</t>
        </is>
      </c>
      <c r="E22" s="24" t="inlineStr">
        <is>
          <t>Standard build and run squad</t>
        </is>
      </c>
      <c r="F22" s="25" t="n">
        <v>9</v>
      </c>
      <c r="G22" s="26" t="n">
        <v>2</v>
      </c>
      <c r="H22" s="26" t="n">
        <v>0.8</v>
      </c>
      <c r="I22" s="24" t="inlineStr">
        <is>
          <t>Core platforms, moderate complexity</t>
        </is>
      </c>
    </row>
    <row r="23">
      <c r="A23" s="21" t="inlineStr">
        <is>
          <t>Build and Run|L</t>
        </is>
      </c>
      <c r="C23" s="21" t="inlineStr">
        <is>
          <t>Build and Run</t>
        </is>
      </c>
      <c r="D23" s="21" t="inlineStr">
        <is>
          <t>L</t>
        </is>
      </c>
      <c r="E23" s="21" t="inlineStr">
        <is>
          <t>Scaled build and run squad</t>
        </is>
      </c>
      <c r="F23" s="22" t="n">
        <v>13</v>
      </c>
      <c r="G23" s="23" t="n">
        <v>2.8</v>
      </c>
      <c r="H23" s="23" t="n">
        <v>1.12</v>
      </c>
      <c r="I23" s="21" t="inlineStr">
        <is>
          <t>High traffic or business critical, 24/7</t>
        </is>
      </c>
    </row>
    <row r="24">
      <c r="C24" s="30" t="inlineStr">
        <is>
          <t>Exceptions (will need to incl. rules)</t>
        </is>
      </c>
      <c r="E24" s="31" t="inlineStr">
        <is>
          <t>TBC</t>
        </is>
      </c>
      <c r="I24" s="31" t="inlineStr">
        <is>
          <t>TBC</t>
        </is>
      </c>
    </row>
    <row r="27">
      <c r="C27" s="115" t="inlineStr">
        <is>
          <t xml:space="preserve">Exception for ES EVCI - 6 FTE vs 4.5 FTE 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zoomScaleNormal="100" workbookViewId="0">
      <selection activeCell="C5" sqref="C5"/>
    </sheetView>
  </sheetViews>
  <sheetFormatPr baseColWidth="8" defaultColWidth="8.54296875" defaultRowHeight="14.5"/>
  <cols>
    <col width="20" customWidth="1" style="302" min="2" max="2"/>
    <col width="36.54296875" customWidth="1" style="302" min="3" max="3"/>
    <col width="10" customWidth="1" style="302" min="4" max="4"/>
    <col width="15" customWidth="1" style="302" min="5" max="6"/>
    <col width="13" customWidth="1" style="302" min="7" max="7"/>
    <col width="15" customWidth="1" style="302" min="8" max="8"/>
    <col width="10" customWidth="1" style="302" min="9" max="9"/>
  </cols>
  <sheetData>
    <row r="2" ht="18" customHeight="1" s="302">
      <c r="B2" s="2" t="inlineStr">
        <is>
          <t>FY2026 Budget by Business Segment</t>
        </is>
      </c>
    </row>
    <row r="3">
      <c r="B3" s="32" t="n"/>
    </row>
    <row r="5">
      <c r="B5" s="259" t="inlineStr">
        <is>
          <t>Business Segment</t>
        </is>
      </c>
      <c r="C5" s="259" t="inlineStr">
        <is>
          <t>TDD GM</t>
        </is>
      </c>
      <c r="D5" s="259" t="inlineStr">
        <is>
          <t>Total</t>
        </is>
      </c>
      <c r="E5" s="259" t="inlineStr">
        <is>
          <t>OpEx: Lights On</t>
        </is>
      </c>
      <c r="F5" s="259" t="inlineStr">
        <is>
          <t>OpEx: Initiatives</t>
        </is>
      </c>
      <c r="G5" s="259" t="inlineStr">
        <is>
          <t>Depreciation</t>
        </is>
      </c>
      <c r="H5" s="259" t="inlineStr">
        <is>
          <t>Significant Items</t>
        </is>
      </c>
      <c r="I5" s="259" t="inlineStr">
        <is>
          <t>CapEx</t>
        </is>
      </c>
    </row>
    <row r="6">
      <c r="B6" s="33" t="inlineStr">
        <is>
          <t>TDD (Corporate)</t>
        </is>
      </c>
      <c r="C6" s="33" t="inlineStr">
        <is>
          <t>Brad Blyth / Greg Cassis</t>
        </is>
      </c>
      <c r="D6" s="34" t="n">
        <v>112.75951309</v>
      </c>
      <c r="E6" s="34" t="n">
        <v>78.89486321</v>
      </c>
      <c r="F6" s="34" t="n">
        <v>3</v>
      </c>
      <c r="G6" s="34" t="n">
        <v>5.80004988</v>
      </c>
      <c r="H6" s="34" t="n">
        <v>20.1966</v>
      </c>
      <c r="I6" s="34" t="n">
        <v>4.868</v>
      </c>
    </row>
    <row r="7">
      <c r="B7" s="8" t="inlineStr">
        <is>
          <t>Z-Energy</t>
        </is>
      </c>
      <c r="C7" s="8" t="inlineStr">
        <is>
          <t>Vance Anderson / Harley Giles</t>
        </is>
      </c>
      <c r="D7" s="9" t="n">
        <v>76.70351405</v>
      </c>
      <c r="E7" s="9" t="n">
        <v>52.22525962</v>
      </c>
      <c r="F7" s="9" t="n">
        <v>1.44624</v>
      </c>
      <c r="G7" s="9" t="n">
        <v>11.30652059</v>
      </c>
      <c r="H7" s="9" t="n">
        <v>0</v>
      </c>
      <c r="I7" s="9" t="n">
        <v>11.72549384</v>
      </c>
    </row>
    <row r="8">
      <c r="B8" s="33" t="inlineStr">
        <is>
          <t>Commercial Fuels</t>
        </is>
      </c>
      <c r="C8" s="33" t="inlineStr">
        <is>
          <t>Roanne Steele</t>
        </is>
      </c>
      <c r="D8" s="34" t="n">
        <v>40.53422304</v>
      </c>
      <c r="E8" s="34" t="n">
        <v>13.65558128</v>
      </c>
      <c r="F8" s="34" t="n">
        <v>5.86172092</v>
      </c>
      <c r="G8" s="34" t="n">
        <v>0</v>
      </c>
      <c r="H8" s="34" t="n">
        <v>14.219208</v>
      </c>
      <c r="I8" s="34" t="n">
        <v>6.79771284</v>
      </c>
    </row>
    <row r="9">
      <c r="B9" s="8" t="inlineStr">
        <is>
          <t>Retail</t>
        </is>
      </c>
      <c r="C9" s="8" t="inlineStr">
        <is>
          <t>Vance Anderson</t>
        </is>
      </c>
      <c r="D9" s="9" t="n">
        <v>33.88085459</v>
      </c>
      <c r="E9" s="9" t="n">
        <v>13.92585459</v>
      </c>
      <c r="F9" s="9" t="n">
        <v>1.31</v>
      </c>
      <c r="G9" s="9" t="n">
        <v>0</v>
      </c>
      <c r="H9" s="9" t="n">
        <v>6.845</v>
      </c>
      <c r="I9" s="9" t="n">
        <v>11.8</v>
      </c>
    </row>
    <row r="10">
      <c r="B10" s="33" t="inlineStr">
        <is>
          <t>Energy Solutions</t>
        </is>
      </c>
      <c r="C10" s="33" t="inlineStr">
        <is>
          <t>Roanne Steele</t>
        </is>
      </c>
      <c r="D10" s="34" t="n">
        <v>8.009524369999999</v>
      </c>
      <c r="E10" s="34" t="n">
        <v>4.04193945</v>
      </c>
      <c r="F10" s="34" t="n">
        <v>0.97</v>
      </c>
      <c r="G10" s="34" t="n">
        <v>0</v>
      </c>
      <c r="H10" s="34" t="n">
        <v>0</v>
      </c>
      <c r="I10" s="34" t="n">
        <v>2.99758492</v>
      </c>
    </row>
    <row r="11">
      <c r="B11" s="8" t="inlineStr">
        <is>
          <t>Infrastructure</t>
        </is>
      </c>
      <c r="C11" s="8" t="inlineStr">
        <is>
          <t>Roanne Steele</t>
        </is>
      </c>
      <c r="D11" s="9" t="n">
        <v>9.24937596</v>
      </c>
      <c r="E11" s="9" t="n">
        <v>3.594596</v>
      </c>
      <c r="F11" s="9" t="n">
        <v>0.763362</v>
      </c>
      <c r="G11" s="9" t="n">
        <v>0</v>
      </c>
      <c r="H11" s="9" t="n">
        <v>0</v>
      </c>
      <c r="I11" s="9" t="n">
        <v>4.89141796</v>
      </c>
    </row>
    <row r="12">
      <c r="B12" s="33" t="inlineStr">
        <is>
          <t>Finance &amp; Other Corp</t>
        </is>
      </c>
      <c r="C12" s="33" t="inlineStr">
        <is>
          <t>Emily Mogic</t>
        </is>
      </c>
      <c r="D12" s="34" t="n">
        <v>3.88077368</v>
      </c>
      <c r="E12" s="34" t="n">
        <v>2.94528707</v>
      </c>
      <c r="F12" s="34" t="n">
        <v>0.93548661</v>
      </c>
      <c r="G12" s="34" t="n">
        <v>0</v>
      </c>
      <c r="H12" s="34" t="n">
        <v>0</v>
      </c>
      <c r="I12" s="34" t="n">
        <v>0</v>
      </c>
    </row>
    <row r="13">
      <c r="B13" s="8" t="inlineStr">
        <is>
          <t>P&amp;C</t>
        </is>
      </c>
      <c r="C13" s="8" t="inlineStr">
        <is>
          <t>Emily Mogic</t>
        </is>
      </c>
      <c r="D13" s="9" t="n">
        <v>5.81303803</v>
      </c>
      <c r="E13" s="9" t="n">
        <v>2.14803803</v>
      </c>
      <c r="F13" s="9" t="n">
        <v>1.975</v>
      </c>
      <c r="G13" s="9" t="n">
        <v>0</v>
      </c>
      <c r="H13" s="9" t="n">
        <v>1.36</v>
      </c>
      <c r="I13" s="9" t="n">
        <v>0.33</v>
      </c>
    </row>
    <row r="14">
      <c r="B14" s="33" t="inlineStr">
        <is>
          <t>Customer</t>
        </is>
      </c>
      <c r="C14" s="33" t="inlineStr">
        <is>
          <t>Harley Giles</t>
        </is>
      </c>
      <c r="D14" s="34" t="n">
        <v>11.69153287</v>
      </c>
      <c r="E14" s="34" t="n">
        <v>1.69153283</v>
      </c>
      <c r="F14" s="34" t="n">
        <v>0</v>
      </c>
      <c r="G14" s="34" t="n">
        <v>0</v>
      </c>
      <c r="H14" s="34" t="n">
        <v>5.00000004</v>
      </c>
      <c r="I14" s="34" t="n">
        <v>5</v>
      </c>
    </row>
    <row r="15">
      <c r="B15" s="13" t="inlineStr">
        <is>
          <t>Total Technology</t>
        </is>
      </c>
      <c r="D15" s="35">
        <f>SUM(D6:D14)</f>
        <v>302.52234968</v>
      </c>
      <c r="E15" s="35">
        <f>SUM(E6:E14)</f>
        <v>173.12295208000003</v>
      </c>
      <c r="F15" s="35">
        <f>SUM(F6:F14)</f>
        <v>16.26180953</v>
      </c>
      <c r="G15" s="35">
        <f>SUM(G6:G14)</f>
        <v>17.10657047</v>
      </c>
      <c r="H15" s="35">
        <f>SUM(H6:H14)</f>
        <v>47.62080804</v>
      </c>
      <c r="I15" s="35">
        <f>SUM(I6:I14)</f>
        <v>48.41020956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18249C"/>
    <outlinePr summaryBelow="1" summaryRight="1"/>
    <pageSetUpPr/>
  </sheetPr>
  <dimension ref="A3:AS52"/>
  <sheetViews>
    <sheetView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U9" sqref="AU9"/>
    </sheetView>
  </sheetViews>
  <sheetFormatPr baseColWidth="8" defaultColWidth="9.1796875" defaultRowHeight="15.5"/>
  <cols>
    <col hidden="1" width="30.1796875" customWidth="1" style="36" min="1" max="1"/>
    <col width="28.26953125" customWidth="1" style="37" min="2" max="2"/>
    <col width="21" customWidth="1" style="37" min="3" max="3"/>
    <col width="7.81640625" customWidth="1" style="36" min="4" max="6"/>
    <col hidden="1" outlineLevel="1" width="8.26953125" customWidth="1" style="36" min="7" max="7"/>
    <col collapsed="1" width="6.26953125" customWidth="1" style="36" min="8" max="8"/>
    <col hidden="1" width="7.81640625" customWidth="1" style="36" min="9" max="11"/>
    <col hidden="1" outlineLevel="1" width="8.26953125" customWidth="1" style="36" min="12" max="12"/>
    <col hidden="1" width="6.26953125" customWidth="1" style="36" min="13" max="13"/>
    <col outlineLevel="1" width="7.81640625" customWidth="1" style="36" min="14" max="16"/>
    <col hidden="1" outlineLevel="2" width="8.26953125" customWidth="1" style="36" min="17" max="17"/>
    <col outlineLevel="1" collapsed="1" width="6.26953125" customWidth="1" style="36" min="18" max="18"/>
    <col outlineLevel="1" width="7.81640625" customWidth="1" style="36" min="19" max="21"/>
    <col hidden="1" outlineLevel="2" width="8.26953125" customWidth="1" style="36" min="22" max="22"/>
    <col outlineLevel="1" collapsed="1" width="6.26953125" customWidth="1" style="36" min="23" max="23"/>
    <col width="7.81640625" customWidth="1" style="36" min="24" max="26"/>
    <col hidden="1" outlineLevel="1" width="8.26953125" customWidth="1" style="36" min="27" max="27"/>
    <col collapsed="1" width="6.26953125" customWidth="1" style="36" min="28" max="28"/>
    <col width="7.81640625" customWidth="1" style="36" min="29" max="31"/>
    <col hidden="1" outlineLevel="1" width="8.26953125" customWidth="1" style="36" min="32" max="32"/>
    <col collapsed="1" width="6.26953125" customWidth="1" style="36" min="33" max="33"/>
    <col width="7.81640625" customWidth="1" style="36" min="34" max="36"/>
    <col hidden="1" outlineLevel="1" width="8.26953125" customWidth="1" style="36" min="37" max="37"/>
    <col collapsed="1" width="6.26953125" customWidth="1" style="36" min="38" max="38"/>
    <col width="0.7265625" customWidth="1" style="36" min="39" max="39"/>
    <col width="7.81640625" customWidth="1" style="36" min="40" max="42"/>
    <col outlineLevel="1" width="9.1796875" customWidth="1" style="36" min="43" max="43"/>
    <col width="6.26953125" customWidth="1" style="36" min="44" max="44"/>
    <col width="9.1796875" customWidth="1" style="36" min="45" max="16384"/>
  </cols>
  <sheetData>
    <row r="3" ht="39" customHeight="1" s="302">
      <c r="B3" s="261" t="inlineStr">
        <is>
          <t>BUSINESS SEGMENTS</t>
        </is>
      </c>
      <c r="C3" s="261" t="inlineStr">
        <is>
          <t>TDD GM</t>
        </is>
      </c>
      <c r="D3" s="262" t="inlineStr">
        <is>
          <t>TOTAL 
YTD (Jun-2026)</t>
        </is>
      </c>
      <c r="E3" s="363" t="n"/>
      <c r="F3" s="363" t="n"/>
      <c r="G3" s="363" t="n"/>
      <c r="H3" s="364" t="n"/>
      <c r="I3" s="263" t="inlineStr">
        <is>
          <t>OPEX: LIGHTS ON + INITIATIVES
(YTD)</t>
        </is>
      </c>
      <c r="J3" s="363" t="n"/>
      <c r="K3" s="363" t="n"/>
      <c r="L3" s="363" t="n"/>
      <c r="M3" s="364" t="n"/>
      <c r="N3" s="263" t="inlineStr">
        <is>
          <t>OPEX: LIGHTS ON
(YTD)</t>
        </is>
      </c>
      <c r="O3" s="363" t="n"/>
      <c r="P3" s="363" t="n"/>
      <c r="Q3" s="363" t="n"/>
      <c r="R3" s="364" t="n"/>
      <c r="S3" s="263" t="inlineStr">
        <is>
          <t>OPEX: INITIATIVES
(YTD)</t>
        </is>
      </c>
      <c r="T3" s="363" t="n"/>
      <c r="U3" s="363" t="n"/>
      <c r="V3" s="363" t="n"/>
      <c r="W3" s="364" t="n"/>
      <c r="X3" s="264" t="inlineStr">
        <is>
          <t>OPEX: DEPRECIATION
(YTD)</t>
        </is>
      </c>
      <c r="Y3" s="363" t="n"/>
      <c r="Z3" s="363" t="n"/>
      <c r="AA3" s="363" t="n"/>
      <c r="AB3" s="365" t="n"/>
      <c r="AC3" s="265" t="inlineStr">
        <is>
          <t>SIGNIFICANT ITEMS
(YTD)</t>
        </is>
      </c>
      <c r="AD3" s="363" t="n"/>
      <c r="AE3" s="363" t="n"/>
      <c r="AF3" s="363" t="n"/>
      <c r="AG3" s="363" t="n"/>
      <c r="AH3" s="264" t="inlineStr">
        <is>
          <t>CAPEX
(YTD)</t>
        </is>
      </c>
      <c r="AI3" s="363" t="n"/>
      <c r="AJ3" s="363" t="n"/>
      <c r="AK3" s="363" t="n"/>
      <c r="AL3" s="365" t="n"/>
      <c r="AN3" s="266" t="inlineStr">
        <is>
          <t>FY2026</t>
        </is>
      </c>
      <c r="AO3" s="363" t="n"/>
      <c r="AP3" s="363" t="n"/>
      <c r="AQ3" s="363" t="n"/>
      <c r="AR3" s="365" t="n"/>
    </row>
    <row r="4" ht="13.5" customHeight="1" s="302">
      <c r="B4" s="366" t="n"/>
      <c r="C4" s="366" t="n"/>
      <c r="D4" s="38" t="inlineStr">
        <is>
          <t>A</t>
        </is>
      </c>
      <c r="E4" s="39" t="inlineStr">
        <is>
          <t>B</t>
        </is>
      </c>
      <c r="F4" s="39" t="inlineStr">
        <is>
          <t>V</t>
        </is>
      </c>
      <c r="G4" s="39" t="inlineStr">
        <is>
          <t>V %</t>
        </is>
      </c>
      <c r="H4" s="39" t="inlineStr">
        <is>
          <t>Trend</t>
        </is>
      </c>
      <c r="I4" s="40" t="inlineStr">
        <is>
          <t>A</t>
        </is>
      </c>
      <c r="J4" s="40" t="inlineStr">
        <is>
          <t>B</t>
        </is>
      </c>
      <c r="K4" s="40" t="inlineStr">
        <is>
          <t>V</t>
        </is>
      </c>
      <c r="L4" s="40" t="inlineStr">
        <is>
          <t>V %</t>
        </is>
      </c>
      <c r="M4" s="40" t="inlineStr">
        <is>
          <t>Trend</t>
        </is>
      </c>
      <c r="N4" s="40" t="inlineStr">
        <is>
          <t>A</t>
        </is>
      </c>
      <c r="O4" s="40" t="inlineStr">
        <is>
          <t>B</t>
        </is>
      </c>
      <c r="P4" s="40" t="inlineStr">
        <is>
          <t>V</t>
        </is>
      </c>
      <c r="Q4" s="40" t="n"/>
      <c r="R4" s="40" t="inlineStr">
        <is>
          <t>Trend</t>
        </is>
      </c>
      <c r="S4" s="40" t="inlineStr">
        <is>
          <t>A</t>
        </is>
      </c>
      <c r="T4" s="40" t="inlineStr">
        <is>
          <t>B</t>
        </is>
      </c>
      <c r="U4" s="40" t="inlineStr">
        <is>
          <t>V</t>
        </is>
      </c>
      <c r="V4" s="40" t="inlineStr">
        <is>
          <t>V %</t>
        </is>
      </c>
      <c r="W4" s="40" t="inlineStr">
        <is>
          <t>Trend</t>
        </is>
      </c>
      <c r="X4" s="40" t="inlineStr">
        <is>
          <t>A</t>
        </is>
      </c>
      <c r="Y4" s="40" t="inlineStr">
        <is>
          <t>B</t>
        </is>
      </c>
      <c r="Z4" s="40" t="inlineStr">
        <is>
          <t>V</t>
        </is>
      </c>
      <c r="AA4" s="40" t="inlineStr">
        <is>
          <t>V %</t>
        </is>
      </c>
      <c r="AB4" s="41" t="inlineStr">
        <is>
          <t>Trend</t>
        </is>
      </c>
      <c r="AC4" s="40" t="inlineStr">
        <is>
          <t>A</t>
        </is>
      </c>
      <c r="AD4" s="40" t="inlineStr">
        <is>
          <t>B</t>
        </is>
      </c>
      <c r="AE4" s="40" t="inlineStr">
        <is>
          <t>V</t>
        </is>
      </c>
      <c r="AF4" s="40" t="inlineStr">
        <is>
          <t>V %</t>
        </is>
      </c>
      <c r="AG4" s="42" t="inlineStr">
        <is>
          <t>Trend</t>
        </is>
      </c>
      <c r="AH4" s="40" t="inlineStr">
        <is>
          <t>A</t>
        </is>
      </c>
      <c r="AI4" s="40" t="inlineStr">
        <is>
          <t>B</t>
        </is>
      </c>
      <c r="AJ4" s="40" t="inlineStr">
        <is>
          <t>V</t>
        </is>
      </c>
      <c r="AK4" s="40" t="inlineStr">
        <is>
          <t>V %</t>
        </is>
      </c>
      <c r="AL4" s="41" t="inlineStr">
        <is>
          <t>Trend</t>
        </is>
      </c>
      <c r="AN4" s="38" t="inlineStr">
        <is>
          <t>F</t>
        </is>
      </c>
      <c r="AO4" s="39" t="inlineStr">
        <is>
          <t>B</t>
        </is>
      </c>
      <c r="AP4" s="39" t="inlineStr">
        <is>
          <t>V</t>
        </is>
      </c>
      <c r="AQ4" s="39" t="n"/>
      <c r="AR4" s="43" t="inlineStr">
        <is>
          <t>Trend</t>
        </is>
      </c>
    </row>
    <row r="5" ht="21" customFormat="1" customHeight="1" s="44">
      <c r="A5" s="44" t="inlineStr">
        <is>
          <t>TDD (Corporate)1</t>
        </is>
      </c>
      <c r="B5" s="45" t="inlineStr">
        <is>
          <t>TDD (Corporate)1</t>
        </is>
      </c>
      <c r="C5" s="46" t="inlineStr">
        <is>
          <t>Brad Blyth
Greg Cassis</t>
        </is>
      </c>
      <c r="D5" s="47">
        <f>I5+AC5+AH5+X5</f>
        <v>53.57500618</v>
      </c>
      <c r="E5" s="48">
        <f>J5+AD5+AI5+Y5</f>
        <v>56.158125129999995</v>
      </c>
      <c r="F5" s="48">
        <f>E5-D5</f>
        <v>2.5831189499999923</v>
      </c>
      <c r="G5" s="49">
        <f>IFERROR(F5/E5,"-")</f>
        <v>0.04599724339123414</v>
      </c>
      <c r="H5" s="50" t="inlineStr">
        <is>
          <t>G</t>
        </is>
      </c>
      <c r="I5" s="48" t="n">
        <v>41.77379708</v>
      </c>
      <c r="J5" s="48" t="n">
        <v>41.9336938</v>
      </c>
      <c r="K5" s="48">
        <f>J5-I5</f>
        <v>0.159896719999999</v>
      </c>
      <c r="L5" s="49">
        <f>IFERROR(K5/J5,"-")</f>
        <v>0.0038130845511157663</v>
      </c>
      <c r="M5" s="51" t="inlineStr">
        <is>
          <t>G</t>
        </is>
      </c>
      <c r="N5" s="48">
        <f>I5-S5</f>
        <v>40.97295585</v>
      </c>
      <c r="O5" s="48">
        <f>J5-T5</f>
        <v>40.4336938</v>
      </c>
      <c r="P5" s="48">
        <f>O5-N5</f>
        <v>-0.5392620499999978</v>
      </c>
      <c r="Q5" s="49">
        <f>IFERROR(P5/O5,"-")</f>
        <v>-0.013336947464344646</v>
      </c>
      <c r="R5" s="52" t="inlineStr">
        <is>
          <t>A</t>
        </is>
      </c>
      <c r="S5" s="48" t="n">
        <v>0.80084123</v>
      </c>
      <c r="T5" s="48" t="n">
        <v>1.5</v>
      </c>
      <c r="U5" s="48">
        <f>T5-S5</f>
        <v>0.69915877</v>
      </c>
      <c r="V5" s="49">
        <f>IFERROR(U5/T5,"-")</f>
        <v>0.4661058466666667</v>
      </c>
      <c r="W5" s="50" t="inlineStr">
        <is>
          <t>G</t>
        </is>
      </c>
      <c r="X5" s="48" t="n">
        <v>2.78522111</v>
      </c>
      <c r="Y5" s="48" t="n">
        <v>2.9338979</v>
      </c>
      <c r="Z5" s="48">
        <f>Y5-X5</f>
        <v>0.14867678999999967</v>
      </c>
      <c r="AA5" s="49">
        <f>IFERROR(Z5/Y5,"-")</f>
        <v>0.0506755160089244</v>
      </c>
      <c r="AB5" s="50" t="inlineStr">
        <is>
          <t>G</t>
        </is>
      </c>
      <c r="AC5" s="48" t="n">
        <v>8.8400082</v>
      </c>
      <c r="AD5" s="48" t="n">
        <v>9.2622</v>
      </c>
      <c r="AE5" s="48">
        <f>AD5-AC5</f>
        <v>0.42219180000000023</v>
      </c>
      <c r="AF5" s="49">
        <f>IFERROR(AE5/AD5,"-")</f>
        <v>0.04558223748137594</v>
      </c>
      <c r="AG5" s="50" t="inlineStr">
        <is>
          <t>G</t>
        </is>
      </c>
      <c r="AH5" s="48" t="n">
        <v>0.17597979</v>
      </c>
      <c r="AI5" s="48" t="n">
        <v>2.02833343</v>
      </c>
      <c r="AJ5" s="48">
        <f>AI5-AH5</f>
        <v>1.85235364</v>
      </c>
      <c r="AK5" s="49">
        <f>IFERROR(AJ5/AI5,"-")</f>
        <v>0.9132392202400372</v>
      </c>
      <c r="AL5" s="53" t="inlineStr">
        <is>
          <t>G</t>
        </is>
      </c>
      <c r="AN5" s="54">
        <f>I21+AC21+AH21+X21</f>
        <v>117.95714038000001</v>
      </c>
      <c r="AO5" s="55">
        <f>J21+AD21+AI21+Y21</f>
        <v>112.75951309</v>
      </c>
      <c r="AP5" s="55">
        <f>AO5-AN5</f>
        <v>-5.197627290000014</v>
      </c>
      <c r="AQ5" s="49">
        <f>IFERROR(AP5/AO5,"-")</f>
        <v>-0.04609480076285433</v>
      </c>
      <c r="AR5" s="56" t="inlineStr">
        <is>
          <t>A</t>
        </is>
      </c>
    </row>
    <row r="6" ht="21" customFormat="1" customHeight="1" s="44">
      <c r="A6" s="44" t="inlineStr">
        <is>
          <t>Z-Energy</t>
        </is>
      </c>
      <c r="B6" s="57" t="inlineStr">
        <is>
          <t>Z- Energy</t>
        </is>
      </c>
      <c r="C6" s="58" t="inlineStr">
        <is>
          <t>Vance Anderson
Harley Giles</t>
        </is>
      </c>
      <c r="D6" s="54">
        <f>I6+AC6+AH6+X6</f>
        <v>35.2578582524</v>
      </c>
      <c r="E6" s="55">
        <f>J6+AD6+AI6+Y6</f>
        <v>38.25415984714868</v>
      </c>
      <c r="F6" s="55">
        <f>E6-D6</f>
        <v>2.9963015947486795</v>
      </c>
      <c r="G6" s="59">
        <f>IFERROR(F6/E6,"-")</f>
        <v>0.07832616391840619</v>
      </c>
      <c r="H6" s="51" t="inlineStr">
        <is>
          <t>G</t>
        </is>
      </c>
      <c r="I6" s="55" t="n">
        <v>26.4555130724</v>
      </c>
      <c r="J6" s="55" t="n">
        <v>26.8009903019695</v>
      </c>
      <c r="K6" s="55">
        <f>J6-I6</f>
        <v>0.3454772295695001</v>
      </c>
      <c r="L6" s="59">
        <f>IFERROR(K6/J6,"-")</f>
        <v>0.012890465078975547</v>
      </c>
      <c r="M6" s="51" t="inlineStr">
        <is>
          <t>G</t>
        </is>
      </c>
      <c r="N6" s="48">
        <f>I6-S6</f>
        <v>26.4555130724</v>
      </c>
      <c r="O6" s="48">
        <f>J6-T6</f>
        <v>26.077870301969497</v>
      </c>
      <c r="P6" s="55">
        <f>O6-N6</f>
        <v>-0.37764277043050143</v>
      </c>
      <c r="Q6" s="59">
        <f>IFERROR(P6/O6,"-")</f>
        <v>-0.01448135012781241</v>
      </c>
      <c r="R6" s="52" t="inlineStr">
        <is>
          <t>A</t>
        </is>
      </c>
      <c r="S6" s="48" t="n">
        <v>0</v>
      </c>
      <c r="T6" s="48" t="n">
        <v>0.72312</v>
      </c>
      <c r="U6" s="55">
        <f>T6-S6</f>
        <v>0.72312</v>
      </c>
      <c r="V6" s="59">
        <f>IFERROR(U6/T6,"-")</f>
        <v>1.0</v>
      </c>
      <c r="W6" s="51" t="inlineStr">
        <is>
          <t>G</t>
        </is>
      </c>
      <c r="X6" s="55" t="n">
        <v>4.835755244</v>
      </c>
      <c r="Y6" s="55" t="n">
        <v>5.14368626517918</v>
      </c>
      <c r="Z6" s="55">
        <f>Y6-X6</f>
        <v>0.30793102117918014</v>
      </c>
      <c r="AA6" s="59">
        <f>IFERROR(Z6/Y6,"-")</f>
        <v>0.05986582487811461</v>
      </c>
      <c r="AB6" s="51" t="inlineStr">
        <is>
          <t>G</t>
        </is>
      </c>
      <c r="AC6" s="55" t="n">
        <v>0</v>
      </c>
      <c r="AD6" s="55" t="n">
        <v>0</v>
      </c>
      <c r="AE6" s="55">
        <f>AD6-AC6</f>
        <v>0.0</v>
      </c>
      <c r="AF6" s="59" t="str">
        <f>IFERROR(AE6/AD6,"-")</f>
        <v>-</v>
      </c>
      <c r="AG6" s="60" t="n"/>
      <c r="AH6" s="48" t="n">
        <v>3.966589936</v>
      </c>
      <c r="AI6" s="48" t="n">
        <v>6.30948328</v>
      </c>
      <c r="AJ6" s="55">
        <f>AI6-AH6</f>
        <v>2.342893344</v>
      </c>
      <c r="AK6" s="59">
        <f>IFERROR(AJ6/AI6,"-")</f>
        <v>0.37132887750516397</v>
      </c>
      <c r="AL6" s="61" t="inlineStr">
        <is>
          <t>G</t>
        </is>
      </c>
      <c r="AN6" s="54">
        <f>I22+AC22+AH22+X22</f>
        <v>73.1083914772</v>
      </c>
      <c r="AO6" s="55">
        <f>J22+AD22+AI22+Y22</f>
        <v>76.70351404837331</v>
      </c>
      <c r="AP6" s="55">
        <f>AO6-AN6</f>
        <v>3.595122571173306</v>
      </c>
      <c r="AQ6" s="59">
        <f>IFERROR(AP6/AO6,"-")</f>
        <v>0.04687037635467432</v>
      </c>
      <c r="AR6" s="61" t="inlineStr">
        <is>
          <t>G</t>
        </is>
      </c>
    </row>
    <row r="7" ht="24" customFormat="1" customHeight="1" s="44">
      <c r="A7" s="44" t="inlineStr">
        <is>
          <t>Commercial Fuels</t>
        </is>
      </c>
      <c r="B7" s="57" t="inlineStr">
        <is>
          <t>Commercial Fuels</t>
        </is>
      </c>
      <c r="C7" s="58" t="inlineStr">
        <is>
          <t>Roanne Steele</t>
        </is>
      </c>
      <c r="D7" s="54">
        <f>I7+AC7+AH7+X7</f>
        <v>12.40156227969697</v>
      </c>
      <c r="E7" s="55">
        <f>J7+AD7+AI7+Y7</f>
        <v>18.77737756909091</v>
      </c>
      <c r="F7" s="55">
        <f>E7-D7</f>
        <v>6.375815289393939</v>
      </c>
      <c r="G7" s="59">
        <f>IFERROR(F7/E7,"-")</f>
        <v>0.3395476959407287</v>
      </c>
      <c r="H7" s="51" t="inlineStr">
        <is>
          <t>G</t>
        </is>
      </c>
      <c r="I7" s="55" t="n">
        <v>7.1072414</v>
      </c>
      <c r="J7" s="55" t="n">
        <v>8.284722285454549</v>
      </c>
      <c r="K7" s="55">
        <f>J7-I7</f>
        <v>1.1774808854545489</v>
      </c>
      <c r="L7" s="59">
        <f>IFERROR(K7/J7,"-")</f>
        <v>0.14212677804805202</v>
      </c>
      <c r="M7" s="51" t="inlineStr">
        <is>
          <t>G</t>
        </is>
      </c>
      <c r="N7" s="48">
        <f>I7-S7</f>
        <v>5.01868455307692</v>
      </c>
      <c r="O7" s="48">
        <f>J7-T7</f>
        <v>5.353861823916089</v>
      </c>
      <c r="P7" s="55">
        <f>O7-N7</f>
        <v>0.3351772708391696</v>
      </c>
      <c r="Q7" s="59">
        <f>IFERROR(P7/O7,"-")</f>
        <v>0.06260476677636849</v>
      </c>
      <c r="R7" s="51" t="inlineStr">
        <is>
          <t>G</t>
        </is>
      </c>
      <c r="S7" s="48" t="n">
        <v>2.08855684692308</v>
      </c>
      <c r="T7" s="48" t="n">
        <v>2.93086046153846</v>
      </c>
      <c r="U7" s="55">
        <f>T7-S7</f>
        <v>0.8423036146153797</v>
      </c>
      <c r="V7" s="59">
        <f>IFERROR(U7/T7,"-")</f>
        <v>0.287391237375129</v>
      </c>
      <c r="W7" s="51" t="inlineStr">
        <is>
          <t>G</t>
        </is>
      </c>
      <c r="X7" s="55" t="n"/>
      <c r="Y7" s="55" t="n"/>
      <c r="Z7" s="55">
        <f>Y7-X7</f>
        <v>0.0</v>
      </c>
      <c r="AA7" s="59" t="str">
        <f>IFERROR(Z7/Y7,"-")</f>
        <v>-</v>
      </c>
      <c r="AB7" s="60" t="n"/>
      <c r="AC7" s="55" t="n">
        <v>4.72854146969697</v>
      </c>
      <c r="AD7" s="55" t="n">
        <v>7.109604</v>
      </c>
      <c r="AE7" s="55">
        <f>AD7-AC7</f>
        <v>2.38106253030303</v>
      </c>
      <c r="AF7" s="59">
        <f>IFERROR(AE7/AD7,"-")</f>
        <v>0.3349078978664677</v>
      </c>
      <c r="AG7" s="51" t="inlineStr">
        <is>
          <t>G</t>
        </is>
      </c>
      <c r="AH7" s="48" t="n">
        <v>0.56577941</v>
      </c>
      <c r="AI7" s="48" t="n">
        <v>3.38305128363636</v>
      </c>
      <c r="AJ7" s="55">
        <f>AI7-AH7</f>
        <v>2.8172718736363604</v>
      </c>
      <c r="AK7" s="59">
        <f>IFERROR(AJ7/AI7,"-")</f>
        <v>0.8327606168027529</v>
      </c>
      <c r="AL7" s="61" t="inlineStr">
        <is>
          <t>G</t>
        </is>
      </c>
      <c r="AN7" s="54">
        <f>I23+AC23+AH23+X23</f>
        <v>32.76899756317017</v>
      </c>
      <c r="AO7" s="55">
        <f>J23+AD23+AI23+Y23</f>
        <v>40.534223043939406</v>
      </c>
      <c r="AP7" s="55">
        <f>AO7-AN7</f>
        <v>7.765225480769239</v>
      </c>
      <c r="AQ7" s="59">
        <f>IFERROR(AP7/AO7,"-")</f>
        <v>0.191572081506328</v>
      </c>
      <c r="AR7" s="61" t="inlineStr">
        <is>
          <t>G</t>
        </is>
      </c>
    </row>
    <row r="8" ht="24" customFormat="1" customHeight="1" s="44">
      <c r="A8" s="44" t="inlineStr">
        <is>
          <t>Retail</t>
        </is>
      </c>
      <c r="B8" s="57" t="inlineStr">
        <is>
          <t>Retail</t>
        </is>
      </c>
      <c r="C8" s="58" t="inlineStr">
        <is>
          <t>Vance Anderson</t>
        </is>
      </c>
      <c r="D8" s="54">
        <f>I8+AC8+AH8+X8</f>
        <v>14.290548620000003</v>
      </c>
      <c r="E8" s="55">
        <f>J8+AD8+AI8+Y8</f>
        <v>18.065295140000003</v>
      </c>
      <c r="F8" s="55">
        <f>E8-D8</f>
        <v>3.7747465200000008</v>
      </c>
      <c r="G8" s="59">
        <f>IFERROR(F8/E8,"-")</f>
        <v>0.20895017162725413</v>
      </c>
      <c r="H8" s="51" t="inlineStr">
        <is>
          <t>G</t>
        </is>
      </c>
      <c r="I8" s="55" t="n">
        <v>6.854453</v>
      </c>
      <c r="J8" s="55" t="n">
        <v>7.08529514</v>
      </c>
      <c r="K8" s="55">
        <f>J8-I8</f>
        <v>0.23084214000000003</v>
      </c>
      <c r="L8" s="59">
        <f>IFERROR(K8/J8,"-")</f>
        <v>0.03258045507473384</v>
      </c>
      <c r="M8" s="51" t="inlineStr">
        <is>
          <t>G</t>
        </is>
      </c>
      <c r="N8" s="48">
        <f>I8-S8</f>
        <v>6.45960741</v>
      </c>
      <c r="O8" s="48">
        <f>J8-T8</f>
        <v>6.43029514</v>
      </c>
      <c r="P8" s="55">
        <f>O8-N8</f>
        <v>-0.02931227000000014</v>
      </c>
      <c r="Q8" s="59">
        <f>IFERROR(P8/O8,"-")</f>
        <v>-0.004558464170277593</v>
      </c>
      <c r="R8" s="51" t="inlineStr">
        <is>
          <t>G</t>
        </is>
      </c>
      <c r="S8" s="48" t="n">
        <v>0.39484559</v>
      </c>
      <c r="T8" s="48" t="n">
        <v>0.655</v>
      </c>
      <c r="U8" s="55">
        <f>T8-S8</f>
        <v>0.26015441</v>
      </c>
      <c r="V8" s="59">
        <f>IFERROR(U8/T8,"-")</f>
        <v>0.39718230534351145</v>
      </c>
      <c r="W8" s="51" t="inlineStr">
        <is>
          <t>G</t>
        </is>
      </c>
      <c r="X8" s="55" t="n"/>
      <c r="Y8" s="55" t="n"/>
      <c r="Z8" s="55">
        <f>Y8-X8</f>
        <v>0.0</v>
      </c>
      <c r="AA8" s="59" t="str">
        <f>IFERROR(Z8/Y8,"-")</f>
        <v>-</v>
      </c>
      <c r="AB8" s="60" t="n"/>
      <c r="AC8" s="55" t="n">
        <v>3.35460589</v>
      </c>
      <c r="AD8" s="55" t="n">
        <v>5.08</v>
      </c>
      <c r="AE8" s="55">
        <f>AD8-AC8</f>
        <v>1.7253941099999999</v>
      </c>
      <c r="AF8" s="59">
        <f>IFERROR(AE8/AD8,"-")</f>
        <v>0.33964450984251965</v>
      </c>
      <c r="AG8" s="51" t="inlineStr">
        <is>
          <t>G</t>
        </is>
      </c>
      <c r="AH8" s="48" t="n">
        <v>4.08148973</v>
      </c>
      <c r="AI8" s="48" t="n">
        <v>5.9</v>
      </c>
      <c r="AJ8" s="55">
        <f>AI8-AH8</f>
        <v>1.81851027</v>
      </c>
      <c r="AK8" s="59">
        <f>IFERROR(AJ8/AI8,"-")</f>
        <v>0.30822207966101695</v>
      </c>
      <c r="AL8" s="61" t="inlineStr">
        <is>
          <t>G</t>
        </is>
      </c>
      <c r="AN8" s="54">
        <f>I24+AC24+AH24+X24</f>
        <v>35.260355770000004</v>
      </c>
      <c r="AO8" s="55">
        <f>J24+AD24+AI24+Y24</f>
        <v>33.88085459</v>
      </c>
      <c r="AP8" s="55">
        <f>AO8-AN8</f>
        <v>-1.3795011800000054</v>
      </c>
      <c r="AQ8" s="59">
        <f>IFERROR(AP8/AO8,"-")</f>
        <v>-0.04071624510932992</v>
      </c>
      <c r="AR8" s="62" t="inlineStr">
        <is>
          <t>R</t>
        </is>
      </c>
    </row>
    <row r="9" ht="24" customFormat="1" customHeight="1" s="44">
      <c r="A9" s="44" t="inlineStr">
        <is>
          <t>Energy Solutions</t>
        </is>
      </c>
      <c r="B9" s="57" t="inlineStr">
        <is>
          <t>Energy Solutions</t>
        </is>
      </c>
      <c r="C9" s="58" t="inlineStr">
        <is>
          <t>Roanne Steele</t>
        </is>
      </c>
      <c r="D9" s="54">
        <f>I9+AC9+AH9+X9</f>
        <v>4.138503998274</v>
      </c>
      <c r="E9" s="55">
        <f>J9+AD9+AI9+Y9</f>
        <v>3.80667954</v>
      </c>
      <c r="F9" s="55">
        <f>E9-D9</f>
        <v>-0.3318244582740002</v>
      </c>
      <c r="G9" s="59">
        <f>IFERROR(F9/E9,"-")</f>
        <v>-0.0871690024829356</v>
      </c>
      <c r="H9" s="63" t="inlineStr">
        <is>
          <t>R</t>
        </is>
      </c>
      <c r="I9" s="55" t="n">
        <v>2.87890034</v>
      </c>
      <c r="J9" s="55" t="n">
        <v>2.51601915</v>
      </c>
      <c r="K9" s="55">
        <f>J9-I9</f>
        <v>-0.36288118999999996</v>
      </c>
      <c r="L9" s="59">
        <f>IFERROR(K9/J9,"-")</f>
        <v>-0.14422831002697256</v>
      </c>
      <c r="M9" s="64" t="inlineStr">
        <is>
          <t>R</t>
        </is>
      </c>
      <c r="N9" s="48">
        <f>I9-S9</f>
        <v>2.54529162</v>
      </c>
      <c r="O9" s="48">
        <f>J9-T9</f>
        <v>2.03101915</v>
      </c>
      <c r="P9" s="55">
        <f>O9-N9</f>
        <v>-0.5142724699999999</v>
      </c>
      <c r="Q9" s="59">
        <f>IFERROR(P9/O9,"-")</f>
        <v>-0.2532090699390992</v>
      </c>
      <c r="R9" s="63" t="inlineStr">
        <is>
          <t>R</t>
        </is>
      </c>
      <c r="S9" s="48" t="n">
        <v>0.33360872</v>
      </c>
      <c r="T9" s="48" t="n">
        <v>0.485</v>
      </c>
      <c r="U9" s="55">
        <f>T9-S9</f>
        <v>0.15139127999999996</v>
      </c>
      <c r="V9" s="59">
        <f>IFERROR(U9/T9,"-")</f>
        <v>0.3121469690721649</v>
      </c>
      <c r="W9" s="51" t="inlineStr">
        <is>
          <t>G</t>
        </is>
      </c>
      <c r="X9" s="55" t="n"/>
      <c r="Y9" s="55" t="n"/>
      <c r="Z9" s="55">
        <f>Y9-X9</f>
        <v>0.0</v>
      </c>
      <c r="AA9" s="59" t="str">
        <f>IFERROR(Z9/Y9,"-")</f>
        <v>-</v>
      </c>
      <c r="AB9" s="60" t="n"/>
      <c r="AC9" s="55" t="n"/>
      <c r="AD9" s="55" t="n"/>
      <c r="AE9" s="55">
        <f>AD9-AC9</f>
        <v>0.0</v>
      </c>
      <c r="AF9" s="59" t="str">
        <f>IFERROR(AE9/AD9,"-")</f>
        <v>-</v>
      </c>
      <c r="AG9" s="60" t="n"/>
      <c r="AH9" s="48" t="n">
        <v>1.259603658274</v>
      </c>
      <c r="AI9" s="48" t="n">
        <v>1.29066039</v>
      </c>
      <c r="AJ9" s="55">
        <f>AI9-AH9</f>
        <v>0.031056731725999986</v>
      </c>
      <c r="AK9" s="59">
        <f>IFERROR(AJ9/AI9,"-")</f>
        <v>0.024062667427176554</v>
      </c>
      <c r="AL9" s="61" t="inlineStr">
        <is>
          <t>G</t>
        </is>
      </c>
      <c r="AN9" s="54">
        <f>I25+AC25+AH25+X25</f>
        <v>7.830666008273999</v>
      </c>
      <c r="AO9" s="55">
        <f>J25+AD25+AI25+Y25</f>
        <v>8.00952437</v>
      </c>
      <c r="AP9" s="55">
        <f>AO9-AN9</f>
        <v>0.17885836172600023</v>
      </c>
      <c r="AQ9" s="59">
        <f>IFERROR(AP9/AO9,"-")</f>
        <v>0.022330709473326722</v>
      </c>
      <c r="AR9" s="62" t="inlineStr">
        <is>
          <t>R</t>
        </is>
      </c>
    </row>
    <row r="10" ht="24" customFormat="1" customHeight="1" s="44">
      <c r="A10" s="44" t="inlineStr">
        <is>
          <t>Infrastructure</t>
        </is>
      </c>
      <c r="B10" s="57" t="inlineStr">
        <is>
          <t>Infrastructure</t>
        </is>
      </c>
      <c r="C10" s="58" t="inlineStr">
        <is>
          <t>Roanne Steele</t>
        </is>
      </c>
      <c r="D10" s="54">
        <f>I10+AC10+AH10+X10</f>
        <v>2.69057661</v>
      </c>
      <c r="E10" s="55">
        <f>J10+AD10+AI10+Y10</f>
        <v>4.27708298</v>
      </c>
      <c r="F10" s="55">
        <f>E10-D10</f>
        <v>1.5865063700000004</v>
      </c>
      <c r="G10" s="59">
        <f>IFERROR(F10/E10,"-")</f>
        <v>0.37093186581103</v>
      </c>
      <c r="H10" s="51" t="inlineStr">
        <is>
          <t>G</t>
        </is>
      </c>
      <c r="I10" s="55" t="n">
        <v>1.75620822</v>
      </c>
      <c r="J10" s="55" t="n">
        <v>1.831374</v>
      </c>
      <c r="K10" s="55">
        <f>J10-I10</f>
        <v>0.07516578000000007</v>
      </c>
      <c r="L10" s="59">
        <f>IFERROR(K10/J10,"-")</f>
        <v>0.04104338054378847</v>
      </c>
      <c r="M10" s="51" t="inlineStr">
        <is>
          <t>G</t>
        </is>
      </c>
      <c r="N10" s="48">
        <f>I10-S10</f>
        <v>1.44044992</v>
      </c>
      <c r="O10" s="48">
        <f>J10-T10</f>
        <v>1.4496930000000001</v>
      </c>
      <c r="P10" s="55">
        <f>O10-N10</f>
        <v>0.00924308000000007</v>
      </c>
      <c r="Q10" s="59">
        <f>IFERROR(P10/O10,"-")</f>
        <v>0.006375887860395318</v>
      </c>
      <c r="R10" s="51" t="inlineStr">
        <is>
          <t>G</t>
        </is>
      </c>
      <c r="S10" s="48" t="n">
        <v>0.3157583</v>
      </c>
      <c r="T10" s="48" t="n">
        <v>0.381681</v>
      </c>
      <c r="U10" s="55">
        <f>T10-S10</f>
        <v>0.0659227</v>
      </c>
      <c r="V10" s="59">
        <f>IFERROR(U10/T10,"-")</f>
        <v>0.17271674513533553</v>
      </c>
      <c r="W10" s="51" t="inlineStr">
        <is>
          <t>G</t>
        </is>
      </c>
      <c r="X10" s="55" t="n"/>
      <c r="Y10" s="55" t="n"/>
      <c r="Z10" s="55">
        <f>Y10-X10</f>
        <v>0.0</v>
      </c>
      <c r="AA10" s="59" t="str">
        <f>IFERROR(Z10/Y10,"-")</f>
        <v>-</v>
      </c>
      <c r="AB10" s="60" t="n"/>
      <c r="AC10" s="55" t="n"/>
      <c r="AD10" s="55" t="n"/>
      <c r="AE10" s="55">
        <f>AD10-AC10</f>
        <v>0.0</v>
      </c>
      <c r="AF10" s="59" t="str">
        <f>IFERROR(AE10/AD10,"-")</f>
        <v>-</v>
      </c>
      <c r="AG10" s="60" t="n"/>
      <c r="AH10" s="48" t="n">
        <v>0.93436839</v>
      </c>
      <c r="AI10" s="48" t="n">
        <v>2.44570898</v>
      </c>
      <c r="AJ10" s="55">
        <f>AI10-AH10</f>
        <v>1.51134059</v>
      </c>
      <c r="AK10" s="59">
        <f>IFERROR(AJ10/AI10,"-")</f>
        <v>0.6179560210798262</v>
      </c>
      <c r="AL10" s="61" t="inlineStr">
        <is>
          <t>G</t>
        </is>
      </c>
      <c r="AN10" s="54">
        <f>I26+AC26+AH26+X26</f>
        <v>8.41854714</v>
      </c>
      <c r="AO10" s="55">
        <f>J26+AD26+AI26+Y26</f>
        <v>9.24937596</v>
      </c>
      <c r="AP10" s="55">
        <f>AO10-AN10</f>
        <v>0.8308288200000007</v>
      </c>
      <c r="AQ10" s="59">
        <f>IFERROR(AP10/AO10,"-")</f>
        <v>0.08982539185270622</v>
      </c>
      <c r="AR10" s="61" t="inlineStr">
        <is>
          <t>G</t>
        </is>
      </c>
    </row>
    <row r="11" ht="24" customFormat="1" customHeight="1" s="44">
      <c r="A11" s="44" t="inlineStr">
        <is>
          <t>Finance &amp; Other Corp</t>
        </is>
      </c>
      <c r="B11" s="57" t="inlineStr">
        <is>
          <t>Finance &amp; Other Corp</t>
        </is>
      </c>
      <c r="C11" s="58" t="inlineStr">
        <is>
          <t>Emily Mogic</t>
        </is>
      </c>
      <c r="D11" s="54">
        <f>I11+AC11+AH11+X11</f>
        <v>2.84685292</v>
      </c>
      <c r="E11" s="55">
        <f>J11+AD11+AI11+Y11</f>
        <v>2.12235381</v>
      </c>
      <c r="F11" s="55">
        <f>E11-D11</f>
        <v>-0.72449911</v>
      </c>
      <c r="G11" s="59">
        <f>IFERROR(F11/E11,"-")</f>
        <v>-0.3413658488920846</v>
      </c>
      <c r="H11" s="63" t="inlineStr">
        <is>
          <t>R</t>
        </is>
      </c>
      <c r="I11" s="55" t="n">
        <v>2.84685292</v>
      </c>
      <c r="J11" s="55" t="n">
        <v>2.12235381</v>
      </c>
      <c r="K11" s="55">
        <f>J11-I11</f>
        <v>-0.72449911</v>
      </c>
      <c r="L11" s="59">
        <f>IFERROR(K11/J11,"-")</f>
        <v>-0.3413658488920846</v>
      </c>
      <c r="M11" s="63" t="inlineStr">
        <is>
          <t>R</t>
        </is>
      </c>
      <c r="N11" s="48">
        <f>I11-S11</f>
        <v>2.07860065</v>
      </c>
      <c r="O11" s="48">
        <f>J11-T11</f>
        <v>1.654610505</v>
      </c>
      <c r="P11" s="55">
        <f>O11-N11</f>
        <v>-0.4239901449999999</v>
      </c>
      <c r="Q11" s="59">
        <f>IFERROR(P11/O11,"-")</f>
        <v>-0.2562477052567727</v>
      </c>
      <c r="R11" s="63" t="inlineStr">
        <is>
          <t>R</t>
        </is>
      </c>
      <c r="S11" s="48" t="n">
        <v>0.76825227</v>
      </c>
      <c r="T11" s="48" t="n">
        <v>0.467743305</v>
      </c>
      <c r="U11" s="55">
        <f>T11-S11</f>
        <v>-0.30050896499999996</v>
      </c>
      <c r="V11" s="59">
        <f>IFERROR(U11/T11,"-")</f>
        <v>-0.6424655613189375</v>
      </c>
      <c r="W11" s="63" t="inlineStr">
        <is>
          <t>R</t>
        </is>
      </c>
      <c r="X11" s="55" t="n"/>
      <c r="Y11" s="55" t="n"/>
      <c r="Z11" s="55">
        <f>Y11-X11</f>
        <v>0.0</v>
      </c>
      <c r="AA11" s="59" t="str">
        <f>IFERROR(Z11/Y11,"-")</f>
        <v>-</v>
      </c>
      <c r="AB11" s="60" t="n"/>
      <c r="AC11" s="55" t="n"/>
      <c r="AD11" s="55" t="n"/>
      <c r="AE11" s="55">
        <f>AD11-AC11</f>
        <v>0.0</v>
      </c>
      <c r="AF11" s="59" t="str">
        <f>IFERROR(AE11/AD11,"-")</f>
        <v>-</v>
      </c>
      <c r="AG11" s="60" t="n"/>
      <c r="AH11" s="48" t="n">
        <v>0</v>
      </c>
      <c r="AI11" s="48" t="n">
        <v>0</v>
      </c>
      <c r="AJ11" s="55">
        <f>AI11-AH11</f>
        <v>0.0</v>
      </c>
      <c r="AK11" s="59" t="str">
        <f>IFERROR(AJ11/AI11,"-")</f>
        <v>-</v>
      </c>
      <c r="AL11" s="65" t="n"/>
      <c r="AN11" s="54">
        <f>I27+AC27+AH27+X27</f>
        <v>5.27211191</v>
      </c>
      <c r="AO11" s="55">
        <f>J27+AD27+AI27+Y27</f>
        <v>3.88077368</v>
      </c>
      <c r="AP11" s="55">
        <f>AO11-AN11</f>
        <v>-1.3913382299999997</v>
      </c>
      <c r="AQ11" s="59">
        <f>IFERROR(AP11/AO11,"-")</f>
        <v>-0.3585208375253668</v>
      </c>
      <c r="AR11" s="61" t="inlineStr">
        <is>
          <t>G</t>
        </is>
      </c>
    </row>
    <row r="12" ht="24" customFormat="1" customHeight="1" s="44">
      <c r="A12" s="44" t="inlineStr">
        <is>
          <t>People &amp; Culture</t>
        </is>
      </c>
      <c r="B12" s="57" t="inlineStr">
        <is>
          <t>P&amp;C</t>
        </is>
      </c>
      <c r="C12" s="58" t="inlineStr">
        <is>
          <t>Emily Mogic</t>
        </is>
      </c>
      <c r="D12" s="54">
        <f>I12+AC12+AH12+X12</f>
        <v>1.9651397</v>
      </c>
      <c r="E12" s="55">
        <f>J12+AD12+AI12+Y12</f>
        <v>2.46050804</v>
      </c>
      <c r="F12" s="55">
        <f>E12-D12</f>
        <v>0.4953683400000002</v>
      </c>
      <c r="G12" s="59">
        <f>IFERROR(F12/E12,"-")</f>
        <v>0.20132766564745716</v>
      </c>
      <c r="H12" s="51" t="inlineStr">
        <is>
          <t>G</t>
        </is>
      </c>
      <c r="I12" s="55" t="n">
        <v>1.61781844</v>
      </c>
      <c r="J12" s="55" t="n">
        <v>1.86060804</v>
      </c>
      <c r="K12" s="55">
        <f>J12-I12</f>
        <v>0.24278960000000005</v>
      </c>
      <c r="L12" s="59">
        <f>IFERROR(K12/J12,"-")</f>
        <v>0.13048938560966342</v>
      </c>
      <c r="M12" s="51" t="inlineStr">
        <is>
          <t>G</t>
        </is>
      </c>
      <c r="N12" s="48">
        <f>I12-S12</f>
        <v>0.70035539</v>
      </c>
      <c r="O12" s="48">
        <f>J12-T12</f>
        <v>0.87310804</v>
      </c>
      <c r="P12" s="55">
        <f>O12-N12</f>
        <v>0.17275264999999995</v>
      </c>
      <c r="Q12" s="59">
        <f>IFERROR(P12/O12,"-")</f>
        <v>0.19785941955133063</v>
      </c>
      <c r="R12" s="51" t="inlineStr">
        <is>
          <t>G</t>
        </is>
      </c>
      <c r="S12" s="48" t="n">
        <v>0.9174630499999999</v>
      </c>
      <c r="T12" s="48" t="n">
        <v>0.9875</v>
      </c>
      <c r="U12" s="55">
        <f>T12-S12</f>
        <v>0.0700369500000001</v>
      </c>
      <c r="V12" s="59">
        <f>IFERROR(U12/T12,"-")</f>
        <v>0.07092349367088617</v>
      </c>
      <c r="W12" s="51" t="inlineStr">
        <is>
          <t>G</t>
        </is>
      </c>
      <c r="X12" s="55" t="n"/>
      <c r="Y12" s="55" t="n"/>
      <c r="Z12" s="55">
        <f>Y12-X12</f>
        <v>0.0</v>
      </c>
      <c r="AA12" s="59" t="str">
        <f>IFERROR(Z12/Y12,"-")</f>
        <v>-</v>
      </c>
      <c r="AB12" s="60" t="n"/>
      <c r="AC12" s="55" t="n">
        <v>0.34732126</v>
      </c>
      <c r="AD12" s="55" t="n">
        <v>0.4624</v>
      </c>
      <c r="AE12" s="55">
        <f>AD12-AC12</f>
        <v>0.11507873999999996</v>
      </c>
      <c r="AF12" s="59">
        <f>IFERROR(AE12/AD12,"-")</f>
        <v>0.24887270761245667</v>
      </c>
      <c r="AG12" s="51" t="inlineStr">
        <is>
          <t>G</t>
        </is>
      </c>
      <c r="AH12" s="48" t="n">
        <v>0</v>
      </c>
      <c r="AI12" s="48" t="n">
        <v>0.1375</v>
      </c>
      <c r="AJ12" s="55">
        <f>AI12-AH12</f>
        <v>0.1375</v>
      </c>
      <c r="AK12" s="59">
        <f>IFERROR(AJ12/AI12,"-")</f>
        <v>1.0</v>
      </c>
      <c r="AL12" s="61" t="inlineStr">
        <is>
          <t>G</t>
        </is>
      </c>
      <c r="AN12" s="54">
        <f>I28+AC28+AH28+X28</f>
        <v>5.4932256</v>
      </c>
      <c r="AO12" s="55">
        <f>J28+AD28+AI28+Y28</f>
        <v>5.81303803</v>
      </c>
      <c r="AP12" s="55">
        <f>AO12-AN12</f>
        <v>0.3198124300000007</v>
      </c>
      <c r="AQ12" s="59">
        <f>IFERROR(AP12/AO12,"-")</f>
        <v>0.055016400778647695</v>
      </c>
      <c r="AR12" s="61" t="inlineStr">
        <is>
          <t>G</t>
        </is>
      </c>
    </row>
    <row r="13" ht="24" customFormat="1" customHeight="1" s="44">
      <c r="A13" s="44" t="inlineStr">
        <is>
          <t>Customer</t>
        </is>
      </c>
      <c r="B13" s="66" t="inlineStr">
        <is>
          <t>Customer</t>
        </is>
      </c>
      <c r="C13" s="67" t="inlineStr">
        <is>
          <t>Harley Giles</t>
        </is>
      </c>
      <c r="D13" s="68">
        <f>I13+AC13+AH13+X13</f>
        <v>2.41052833</v>
      </c>
      <c r="E13" s="69">
        <f>J13+AD13+AI13+Y13</f>
        <v>5.40474571</v>
      </c>
      <c r="F13" s="69">
        <f>E13-D13</f>
        <v>2.9942173800000003</v>
      </c>
      <c r="G13" s="70">
        <f>IFERROR(F13/E13,"-")</f>
        <v>0.5539978272169257</v>
      </c>
      <c r="H13" s="71" t="inlineStr">
        <is>
          <t>G</t>
        </is>
      </c>
      <c r="I13" s="69" t="n">
        <v>0.98861064</v>
      </c>
      <c r="J13" s="69" t="n">
        <v>0.82141236</v>
      </c>
      <c r="K13" s="69">
        <f>J13-I13</f>
        <v>-0.16719828000000003</v>
      </c>
      <c r="L13" s="70">
        <f>IFERROR(K13/J13,"-")</f>
        <v>-0.20354974936096656</v>
      </c>
      <c r="M13" s="64" t="inlineStr">
        <is>
          <t>R</t>
        </is>
      </c>
      <c r="N13" s="72">
        <f>I13-S13</f>
        <v>0.98861064</v>
      </c>
      <c r="O13" s="72">
        <f>J13-T13</f>
        <v>0.82141236</v>
      </c>
      <c r="P13" s="69">
        <f>O13-N13</f>
        <v>-0.16719828000000003</v>
      </c>
      <c r="Q13" s="70">
        <f>IFERROR(P13/O13,"-")</f>
        <v>-0.20354974936096656</v>
      </c>
      <c r="R13" s="64" t="inlineStr">
        <is>
          <t>R</t>
        </is>
      </c>
      <c r="S13" s="72" t="n">
        <v>0</v>
      </c>
      <c r="T13" s="72" t="n">
        <v>0</v>
      </c>
      <c r="U13" s="69">
        <f>T13-S13</f>
        <v>0.0</v>
      </c>
      <c r="V13" s="70" t="str">
        <f>IFERROR(U13/T13,"-")</f>
        <v>-</v>
      </c>
      <c r="W13" s="73" t="n"/>
      <c r="X13" s="69" t="n"/>
      <c r="Y13" s="69" t="n"/>
      <c r="Z13" s="69">
        <f>Y13-X13</f>
        <v>0.0</v>
      </c>
      <c r="AA13" s="70" t="str">
        <f>IFERROR(Z13/Y13,"-")</f>
        <v>-</v>
      </c>
      <c r="AB13" s="73" t="n"/>
      <c r="AC13" s="69" t="n">
        <v>0</v>
      </c>
      <c r="AD13" s="69" t="n">
        <v>2.50000002</v>
      </c>
      <c r="AE13" s="69">
        <f>AD13-AC13</f>
        <v>2.50000002</v>
      </c>
      <c r="AF13" s="70">
        <f>IFERROR(AE13/AD13,"-")</f>
        <v>1.0</v>
      </c>
      <c r="AG13" s="71" t="inlineStr">
        <is>
          <t>G</t>
        </is>
      </c>
      <c r="AH13" s="72" t="n">
        <v>1.42191769</v>
      </c>
      <c r="AI13" s="72" t="n">
        <v>2.08333333</v>
      </c>
      <c r="AJ13" s="69">
        <f>AI13-AH13</f>
        <v>0.66141564</v>
      </c>
      <c r="AK13" s="70">
        <f>IFERROR(AJ13/AI13,"-")</f>
        <v>0.31747950770796723</v>
      </c>
      <c r="AL13" s="74" t="inlineStr">
        <is>
          <t>G</t>
        </is>
      </c>
      <c r="AN13" s="68">
        <f>I29+AC29+AH29+X29</f>
        <v>10.98378269</v>
      </c>
      <c r="AO13" s="69">
        <f>J29+AD29+AI29+Y29</f>
        <v>11.69153287</v>
      </c>
      <c r="AP13" s="69">
        <f>AO13-AN13</f>
        <v>0.7077501799999997</v>
      </c>
      <c r="AQ13" s="70">
        <f>IFERROR(AP13/AO13,"-")</f>
        <v>0.060535276928148404</v>
      </c>
      <c r="AR13" s="74" t="inlineStr">
        <is>
          <t>G</t>
        </is>
      </c>
    </row>
    <row r="14" ht="26.25" customFormat="1" customHeight="1" s="75">
      <c r="B14" s="76" t="inlineStr">
        <is>
          <t>Total Technology</t>
        </is>
      </c>
      <c r="C14" s="76" t="n"/>
      <c r="D14" s="77">
        <f>SUM(D5:D13)</f>
        <v>129.57657689037097</v>
      </c>
      <c r="E14" s="78">
        <f>SUM(E5:E13)</f>
        <v>149.32632776623956</v>
      </c>
      <c r="F14" s="78">
        <f>SUM(F5:F13)</f>
        <v>19.749750875868614</v>
      </c>
      <c r="G14" s="79">
        <f>F14/E14</f>
        <v>0.13225900061498558</v>
      </c>
      <c r="H14" s="80" t="inlineStr">
        <is>
          <t>G</t>
        </is>
      </c>
      <c r="I14" s="81">
        <f>SUM(I5:I13)</f>
        <v>92.27939511240001</v>
      </c>
      <c r="J14" s="78">
        <f>SUM(J5:J13)</f>
        <v>93.25646888742403</v>
      </c>
      <c r="K14" s="78">
        <f>SUM(K5:K13)</f>
        <v>0.9770737750240481</v>
      </c>
      <c r="L14" s="79">
        <f>K14/J14</f>
        <v>0.010477276125515085</v>
      </c>
      <c r="M14" s="80" t="inlineStr">
        <is>
          <t>G</t>
        </is>
      </c>
      <c r="N14" s="81">
        <f>SUM(N5:N13)</f>
        <v>86.66006910547694</v>
      </c>
      <c r="O14" s="78">
        <f>SUM(O5:O13)</f>
        <v>85.12556412088558</v>
      </c>
      <c r="P14" s="78">
        <f>SUM(P5:P13)</f>
        <v>-1.5345049845913294</v>
      </c>
      <c r="Q14" s="79">
        <f>P14/O14</f>
        <v>-0.018026370813968424</v>
      </c>
      <c r="R14" s="82" t="inlineStr">
        <is>
          <t>A</t>
        </is>
      </c>
      <c r="S14" s="81">
        <f>SUM(S5:S13)</f>
        <v>5.61932600692308</v>
      </c>
      <c r="T14" s="78">
        <f>SUM(T5:T13)</f>
        <v>8.13090476653846</v>
      </c>
      <c r="U14" s="78">
        <f>SUM(U5:U13)</f>
        <v>2.5115787596153796</v>
      </c>
      <c r="V14" s="79">
        <f>U14/T14</f>
        <v>0.30889290081854254</v>
      </c>
      <c r="W14" s="80" t="inlineStr">
        <is>
          <t>G</t>
        </is>
      </c>
      <c r="X14" s="81">
        <f>SUM(X5:X13)</f>
        <v>7.620976354</v>
      </c>
      <c r="Y14" s="78">
        <f>SUM(Y5:Y13)</f>
        <v>8.077584165179179</v>
      </c>
      <c r="Z14" s="78">
        <f>SUM(Z5:Z13)</f>
        <v>0.4566078111791798</v>
      </c>
      <c r="AA14" s="79">
        <f>Z14/Y14</f>
        <v>0.05652776892719028</v>
      </c>
      <c r="AB14" s="80" t="inlineStr">
        <is>
          <t>G</t>
        </is>
      </c>
      <c r="AC14" s="81">
        <f>SUM(AC5:AC13)</f>
        <v>17.270476819696974</v>
      </c>
      <c r="AD14" s="78">
        <f>SUM(AD5:AD13)</f>
        <v>24.41420402</v>
      </c>
      <c r="AE14" s="78">
        <f>SUM(AE5:AE13)</f>
        <v>7.143727200303029</v>
      </c>
      <c r="AF14" s="79">
        <f>AE14/AD14</f>
        <v>0.29260536999080217</v>
      </c>
      <c r="AG14" s="80" t="inlineStr">
        <is>
          <t>G</t>
        </is>
      </c>
      <c r="AH14" s="81">
        <f>SUM(AH5:AH13)</f>
        <v>12.405728604274</v>
      </c>
      <c r="AI14" s="78">
        <f>SUM(AI5:AI13)</f>
        <v>23.57807069363636</v>
      </c>
      <c r="AJ14" s="78">
        <f>SUM(AJ5:AJ13)</f>
        <v>11.172342089362362</v>
      </c>
      <c r="AK14" s="79">
        <f>AJ14/AI14</f>
        <v>0.47384462598874716</v>
      </c>
      <c r="AL14" s="83" t="inlineStr">
        <is>
          <t>G</t>
        </is>
      </c>
      <c r="AN14" s="77">
        <f>SUM(AN5:AN13)</f>
        <v>297.0932185386442</v>
      </c>
      <c r="AO14" s="78">
        <f>SUM(AO5:AO13)</f>
        <v>302.5223496823127</v>
      </c>
      <c r="AP14" s="78">
        <f>SUM(AP5:AP13)</f>
        <v>5.429131143668527</v>
      </c>
      <c r="AQ14" s="84">
        <f>AP14/AO14</f>
        <v>0.017946215046160428</v>
      </c>
      <c r="AR14" s="83" t="inlineStr">
        <is>
          <t>G</t>
        </is>
      </c>
    </row>
    <row r="15" ht="24" customHeight="1" s="302">
      <c r="F15" s="85">
        <f>F14/E14</f>
        <v>0.13225900061498558</v>
      </c>
      <c r="I15" s="85">
        <f>I14/$D14</f>
        <v>0.7121610813231587</v>
      </c>
      <c r="J15" s="86" t="inlineStr">
        <is>
          <t>`</t>
        </is>
      </c>
      <c r="K15" s="85">
        <f>K14/J14</f>
        <v>0.010477276125515085</v>
      </c>
      <c r="L15" s="86" t="n"/>
      <c r="M15" s="86" t="n"/>
      <c r="N15" s="85">
        <f>N14/$D14</f>
        <v>0.6687942465002467</v>
      </c>
      <c r="O15" s="86" t="n"/>
      <c r="P15" s="85">
        <f>P14/O14</f>
        <v>-0.018026370813968424</v>
      </c>
      <c r="Q15" s="86" t="n"/>
      <c r="R15" s="86" t="n"/>
      <c r="S15" s="85">
        <f>S14/$D14</f>
        <v>0.043366834822912044</v>
      </c>
      <c r="T15" s="86" t="n"/>
      <c r="U15" s="85">
        <f>U14/T14</f>
        <v>0.30889290081854254</v>
      </c>
      <c r="V15" s="86" t="n"/>
      <c r="W15" s="86" t="n"/>
      <c r="X15" s="85">
        <f>X14/$D14</f>
        <v>0.058814459656916014</v>
      </c>
      <c r="Z15" s="85">
        <f>Z14/Y14</f>
        <v>0.05652776892719028</v>
      </c>
      <c r="AC15" s="85">
        <f>AC14/$D14</f>
        <v>0.13328394092636636</v>
      </c>
      <c r="AD15" s="86" t="n"/>
      <c r="AE15" s="85">
        <f>AE14/AD14</f>
        <v>0.29260536999080217</v>
      </c>
      <c r="AF15" s="86" t="n"/>
      <c r="AG15" s="86" t="n"/>
      <c r="AH15" s="85">
        <f>AH14/$D14</f>
        <v>0.09574051809355899</v>
      </c>
      <c r="AI15" s="86" t="n"/>
      <c r="AJ15" s="85">
        <f>AJ14/AI14</f>
        <v>0.47384462598874716</v>
      </c>
      <c r="AK15" s="86" t="n"/>
      <c r="AL15" s="86" t="n"/>
    </row>
    <row r="16" ht="30.75" customHeight="1" s="302">
      <c r="B16" s="36" t="n"/>
      <c r="C16" s="36" t="n"/>
    </row>
    <row r="19" ht="35.25" customHeight="1" s="302">
      <c r="B19" s="261" t="inlineStr">
        <is>
          <t>BUSINESS SEGMENTS</t>
        </is>
      </c>
      <c r="C19" s="261" t="inlineStr">
        <is>
          <t>TDD GM</t>
        </is>
      </c>
      <c r="D19" s="269" t="inlineStr">
        <is>
          <t>FY2026 - TOTAL</t>
        </is>
      </c>
      <c r="E19" s="363" t="n"/>
      <c r="F19" s="363" t="n"/>
      <c r="G19" s="363" t="n"/>
      <c r="H19" s="364" t="n"/>
      <c r="I19" s="263" t="inlineStr">
        <is>
          <t>OPEX: LIGHTS ON + INITIATIVES</t>
        </is>
      </c>
      <c r="J19" s="363" t="n"/>
      <c r="K19" s="363" t="n"/>
      <c r="L19" s="363" t="n"/>
      <c r="M19" s="364" t="n"/>
      <c r="N19" s="263" t="inlineStr">
        <is>
          <t>OPEX:LIGHTS ON</t>
        </is>
      </c>
      <c r="O19" s="363" t="n"/>
      <c r="P19" s="363" t="n"/>
      <c r="Q19" s="363" t="n"/>
      <c r="R19" s="364" t="n"/>
      <c r="S19" s="263" t="inlineStr">
        <is>
          <t>OPEX: INITIATIVES</t>
        </is>
      </c>
      <c r="T19" s="363" t="n"/>
      <c r="U19" s="363" t="n"/>
      <c r="V19" s="363" t="n"/>
      <c r="W19" s="364" t="n"/>
      <c r="X19" s="263" t="inlineStr">
        <is>
          <t>OPEX: DEPRECIATION</t>
        </is>
      </c>
      <c r="Y19" s="363" t="n"/>
      <c r="Z19" s="363" t="n"/>
      <c r="AA19" s="363" t="n"/>
      <c r="AB19" s="364" t="n"/>
      <c r="AC19" s="263" t="inlineStr">
        <is>
          <t>OPEX: SIGNIFICANT ITEMS</t>
        </is>
      </c>
      <c r="AD19" s="363" t="n"/>
      <c r="AE19" s="363" t="n"/>
      <c r="AF19" s="363" t="n"/>
      <c r="AG19" s="364" t="n"/>
      <c r="AH19" s="264" t="inlineStr">
        <is>
          <t>CAPEX</t>
        </is>
      </c>
      <c r="AI19" s="363" t="n"/>
      <c r="AJ19" s="363" t="n"/>
      <c r="AK19" s="363" t="n"/>
      <c r="AL19" s="365" t="n"/>
    </row>
    <row r="20" ht="12.75" customHeight="1" s="302">
      <c r="B20" s="366" t="n"/>
      <c r="C20" s="366" t="n"/>
      <c r="D20" s="87" t="inlineStr">
        <is>
          <t>F</t>
        </is>
      </c>
      <c r="E20" s="87" t="inlineStr">
        <is>
          <t>B</t>
        </is>
      </c>
      <c r="F20" s="87" t="inlineStr">
        <is>
          <t>V</t>
        </is>
      </c>
      <c r="G20" s="39" t="inlineStr">
        <is>
          <t>V %</t>
        </is>
      </c>
      <c r="H20" s="87" t="inlineStr">
        <is>
          <t>Trend</t>
        </is>
      </c>
      <c r="I20" s="88" t="inlineStr">
        <is>
          <t>F</t>
        </is>
      </c>
      <c r="J20" s="40" t="inlineStr">
        <is>
          <t>B</t>
        </is>
      </c>
      <c r="K20" s="40" t="inlineStr">
        <is>
          <t>V</t>
        </is>
      </c>
      <c r="L20" s="40" t="inlineStr">
        <is>
          <t>V %</t>
        </is>
      </c>
      <c r="M20" s="40" t="inlineStr">
        <is>
          <t>Trend</t>
        </is>
      </c>
      <c r="N20" s="88" t="inlineStr">
        <is>
          <t>F</t>
        </is>
      </c>
      <c r="O20" s="40" t="inlineStr">
        <is>
          <t>B</t>
        </is>
      </c>
      <c r="P20" s="40" t="inlineStr">
        <is>
          <t>V</t>
        </is>
      </c>
      <c r="Q20" s="40" t="inlineStr">
        <is>
          <t>V %</t>
        </is>
      </c>
      <c r="R20" s="40" t="inlineStr">
        <is>
          <t>Trend</t>
        </is>
      </c>
      <c r="S20" s="88" t="inlineStr">
        <is>
          <t>F</t>
        </is>
      </c>
      <c r="T20" s="40" t="inlineStr">
        <is>
          <t>B</t>
        </is>
      </c>
      <c r="U20" s="40" t="inlineStr">
        <is>
          <t>V</t>
        </is>
      </c>
      <c r="V20" s="40" t="inlineStr">
        <is>
          <t>V %</t>
        </is>
      </c>
      <c r="W20" s="40" t="inlineStr">
        <is>
          <t>Trend</t>
        </is>
      </c>
      <c r="X20" s="88" t="inlineStr">
        <is>
          <t>F</t>
        </is>
      </c>
      <c r="Y20" s="40" t="inlineStr">
        <is>
          <t>B</t>
        </is>
      </c>
      <c r="Z20" s="40" t="inlineStr">
        <is>
          <t>V</t>
        </is>
      </c>
      <c r="AA20" s="40" t="inlineStr">
        <is>
          <t>V %</t>
        </is>
      </c>
      <c r="AB20" s="40" t="inlineStr">
        <is>
          <t>Trend</t>
        </is>
      </c>
      <c r="AC20" s="88" t="inlineStr">
        <is>
          <t>F</t>
        </is>
      </c>
      <c r="AD20" s="40" t="inlineStr">
        <is>
          <t>B</t>
        </is>
      </c>
      <c r="AE20" s="40" t="inlineStr">
        <is>
          <t>V</t>
        </is>
      </c>
      <c r="AF20" s="40" t="inlineStr">
        <is>
          <t>V %</t>
        </is>
      </c>
      <c r="AG20" s="40" t="inlineStr">
        <is>
          <t>Trend</t>
        </is>
      </c>
      <c r="AH20" s="88" t="inlineStr">
        <is>
          <t>F</t>
        </is>
      </c>
      <c r="AI20" s="40" t="inlineStr">
        <is>
          <t>B</t>
        </is>
      </c>
      <c r="AJ20" s="40" t="inlineStr">
        <is>
          <t>V</t>
        </is>
      </c>
      <c r="AK20" s="40" t="inlineStr">
        <is>
          <t>V %</t>
        </is>
      </c>
      <c r="AL20" s="41" t="inlineStr">
        <is>
          <t>Trend</t>
        </is>
      </c>
    </row>
    <row r="21" ht="21" customFormat="1" customHeight="1" s="44">
      <c r="A21" s="44" t="inlineStr">
        <is>
          <t>TDD (Corporate)1</t>
        </is>
      </c>
      <c r="B21" s="89" t="inlineStr">
        <is>
          <t>TDD (Corporate)1</t>
        </is>
      </c>
      <c r="C21" s="46" t="inlineStr">
        <is>
          <t>Brad Blyth
Greg Cassis</t>
        </is>
      </c>
      <c r="D21" s="48">
        <f>I21+AC21+AH21+X21</f>
        <v>117.95714038000001</v>
      </c>
      <c r="E21" s="48">
        <f>J21+AD21+AI21+Y21</f>
        <v>112.75951309</v>
      </c>
      <c r="F21" s="48">
        <f>E21-D21</f>
        <v>-5.197627290000014</v>
      </c>
      <c r="G21" s="49">
        <f>IFERROR(F21/E21,"-")</f>
        <v>-0.04609480076285433</v>
      </c>
      <c r="H21" s="63" t="inlineStr">
        <is>
          <t>R</t>
        </is>
      </c>
      <c r="I21" s="48" t="n">
        <v>82.08787687</v>
      </c>
      <c r="J21" s="48" t="n">
        <v>81.89486321</v>
      </c>
      <c r="K21" s="48">
        <f>J21-I21</f>
        <v>-0.19301366000000542</v>
      </c>
      <c r="L21" s="49">
        <f>IFERROR(K21/J21,"-")</f>
        <v>-0.002356846967374102</v>
      </c>
      <c r="M21" s="50" t="inlineStr">
        <is>
          <t>G</t>
        </is>
      </c>
      <c r="N21" s="48">
        <f>I21-S21</f>
        <v>79.31043564000001</v>
      </c>
      <c r="O21" s="48">
        <f>J21-T21</f>
        <v>78.89486321</v>
      </c>
      <c r="P21" s="48">
        <f>O21-N21</f>
        <v>-0.41557243000001165</v>
      </c>
      <c r="Q21" s="49">
        <f>IFERROR(P21/O21,"-")</f>
        <v>-0.005267420629070024</v>
      </c>
      <c r="R21" s="52" t="inlineStr">
        <is>
          <t>A</t>
        </is>
      </c>
      <c r="S21" s="48" t="n">
        <v>2.77744123</v>
      </c>
      <c r="T21" s="48" t="n">
        <v>3</v>
      </c>
      <c r="U21" s="48">
        <f>T21-S21</f>
        <v>0.22255877000000002</v>
      </c>
      <c r="V21" s="49">
        <f>IFERROR(U21/T21,"-")</f>
        <v>0.07418625666666667</v>
      </c>
      <c r="W21" s="50" t="inlineStr">
        <is>
          <t>G</t>
        </is>
      </c>
      <c r="X21" s="48" t="n">
        <v>5.68651106</v>
      </c>
      <c r="Y21" s="48" t="n">
        <v>5.80004988</v>
      </c>
      <c r="Z21" s="48">
        <f>Y21-X21</f>
        <v>0.11353882000000048</v>
      </c>
      <c r="AA21" s="49">
        <f>IFERROR(Z21/Y21,"-")</f>
        <v>0.019575490271473404</v>
      </c>
      <c r="AB21" s="50" t="inlineStr">
        <is>
          <t>G</t>
        </is>
      </c>
      <c r="AC21" s="48" t="n">
        <v>25.39577262</v>
      </c>
      <c r="AD21" s="48" t="n">
        <v>20.1966</v>
      </c>
      <c r="AE21" s="48">
        <f>AD21-AC21</f>
        <v>-5.199172619999999</v>
      </c>
      <c r="AF21" s="49">
        <f>IFERROR(AE21/AD21,"-")</f>
        <v>-0.25742811265262466</v>
      </c>
      <c r="AG21" s="63" t="inlineStr">
        <is>
          <t>R</t>
        </is>
      </c>
      <c r="AH21" s="48" t="n">
        <v>4.78697983</v>
      </c>
      <c r="AI21" s="48" t="n">
        <v>4.868</v>
      </c>
      <c r="AJ21" s="48">
        <f>AI21-AH21</f>
        <v>0.08102017000000039</v>
      </c>
      <c r="AK21" s="49">
        <f>IFERROR(AJ21/AI21,"-")</f>
        <v>0.016643420295809445</v>
      </c>
      <c r="AL21" s="53" t="inlineStr">
        <is>
          <t>G</t>
        </is>
      </c>
      <c r="AM21" s="90">
        <f>I21+X21</f>
        <v>87.77438793</v>
      </c>
      <c r="AN21" s="44" t="inlineStr">
        <is>
          <t>input retail SI number manually</t>
        </is>
      </c>
      <c r="AO21" s="90" t="n"/>
      <c r="AP21" s="90" t="n"/>
      <c r="AQ21" s="90" t="n"/>
      <c r="AR21" s="90" t="n"/>
      <c r="AS21" s="90" t="n"/>
    </row>
    <row r="22" ht="21" customFormat="1" customHeight="1" s="44">
      <c r="A22" s="44" t="inlineStr">
        <is>
          <t>Z-Energy</t>
        </is>
      </c>
      <c r="B22" s="91" t="inlineStr">
        <is>
          <t>Z- Energy</t>
        </is>
      </c>
      <c r="C22" s="58" t="inlineStr">
        <is>
          <t>Vance Anderson
Harley Giles</t>
        </is>
      </c>
      <c r="D22" s="55">
        <f>I22+AC22+AH22+X22</f>
        <v>73.1083914772</v>
      </c>
      <c r="E22" s="55">
        <f>J22+AD22+AI22+Y22</f>
        <v>76.70351404837331</v>
      </c>
      <c r="F22" s="55">
        <f>E22-D22</f>
        <v>3.595122571173306</v>
      </c>
      <c r="G22" s="59">
        <f>IFERROR(F22/E22,"-")</f>
        <v>0.04687037635467432</v>
      </c>
      <c r="H22" s="51" t="inlineStr">
        <is>
          <t>G</t>
        </is>
      </c>
      <c r="I22" s="55" t="n">
        <v>53.465433886</v>
      </c>
      <c r="J22" s="55" t="n">
        <v>53.6714996190862</v>
      </c>
      <c r="K22" s="55">
        <f>J22-I22</f>
        <v>0.20606573308619858</v>
      </c>
      <c r="L22" s="59">
        <f>IFERROR(K22/J22,"-")</f>
        <v>0.003839388400709401</v>
      </c>
      <c r="M22" s="51" t="inlineStr">
        <is>
          <t>G</t>
        </is>
      </c>
      <c r="N22" s="48">
        <f>I22-S22</f>
        <v>53.465433886</v>
      </c>
      <c r="O22" s="48">
        <f>J22-T22</f>
        <v>52.225259619086195</v>
      </c>
      <c r="P22" s="55">
        <f>O22-N22</f>
        <v>-1.2401742669138045</v>
      </c>
      <c r="Q22" s="59">
        <f>IFERROR(P22/O22,"-")</f>
        <v>-0.023746636703373545</v>
      </c>
      <c r="R22" s="52" t="inlineStr">
        <is>
          <t>A</t>
        </is>
      </c>
      <c r="S22" s="55" t="n">
        <v>0</v>
      </c>
      <c r="T22" s="55" t="n">
        <v>1.44624</v>
      </c>
      <c r="U22" s="55">
        <f>T22-S22</f>
        <v>1.44624</v>
      </c>
      <c r="V22" s="59">
        <f>IFERROR(U22/T22,"-")</f>
        <v>1.0</v>
      </c>
      <c r="W22" s="51" t="inlineStr">
        <is>
          <t>G</t>
        </is>
      </c>
      <c r="X22" s="55" t="n">
        <v>10.1614981916</v>
      </c>
      <c r="Y22" s="55" t="n">
        <v>11.3065205892871</v>
      </c>
      <c r="Z22" s="48">
        <f>Y22-X22</f>
        <v>1.1450223976871001</v>
      </c>
      <c r="AA22" s="59">
        <f>IFERROR(Z22/Y22,"-")</f>
        <v>0.10127097798521731</v>
      </c>
      <c r="AB22" s="51" t="inlineStr">
        <is>
          <t>G</t>
        </is>
      </c>
      <c r="AC22" s="55" t="n">
        <v>0</v>
      </c>
      <c r="AD22" s="55" t="n">
        <v>0</v>
      </c>
      <c r="AE22" s="55">
        <f>AD22-AC22</f>
        <v>0.0</v>
      </c>
      <c r="AF22" s="59" t="str">
        <f>IFERROR(AE22/AD22,"-")</f>
        <v>-</v>
      </c>
      <c r="AG22" s="60" t="n"/>
      <c r="AH22" s="55" t="n">
        <v>9.4814593996</v>
      </c>
      <c r="AI22" s="55" t="n">
        <v>11.72549384</v>
      </c>
      <c r="AJ22" s="55">
        <f>AI22-AH22</f>
        <v>2.2440344404</v>
      </c>
      <c r="AK22" s="59">
        <f>IFERROR(AJ22/AI22,"-")</f>
        <v>0.19138080417088854</v>
      </c>
      <c r="AL22" s="61" t="inlineStr">
        <is>
          <t>G</t>
        </is>
      </c>
      <c r="AM22" s="90">
        <f>I22+X22</f>
        <v>63.6269320776</v>
      </c>
      <c r="AN22" s="90" t="n"/>
      <c r="AO22" s="90" t="n"/>
      <c r="AP22" s="90" t="n"/>
      <c r="AQ22" s="90" t="n"/>
      <c r="AR22" s="90" t="n"/>
      <c r="AS22" s="90" t="n"/>
    </row>
    <row r="23" ht="24" customFormat="1" customHeight="1" s="44">
      <c r="A23" s="44" t="inlineStr">
        <is>
          <t>Commercial Fuels</t>
        </is>
      </c>
      <c r="B23" s="91" t="inlineStr">
        <is>
          <t>Commercial Fuels</t>
        </is>
      </c>
      <c r="C23" s="58" t="inlineStr">
        <is>
          <t>Roanne Steele</t>
        </is>
      </c>
      <c r="D23" s="55">
        <f>I23+AC23+AH23+X23</f>
        <v>32.76899756317017</v>
      </c>
      <c r="E23" s="55">
        <f>J23+AD23+AI23+Y23</f>
        <v>40.534223043939406</v>
      </c>
      <c r="F23" s="55">
        <f>E23-D23</f>
        <v>7.765225480769239</v>
      </c>
      <c r="G23" s="59">
        <f>IFERROR(F23/E23,"-")</f>
        <v>0.191572081506328</v>
      </c>
      <c r="H23" s="51" t="inlineStr">
        <is>
          <t>G</t>
        </is>
      </c>
      <c r="I23" s="55" t="n">
        <v>18.0758203839394</v>
      </c>
      <c r="J23" s="55" t="n">
        <v>19.5173022039394</v>
      </c>
      <c r="K23" s="55">
        <f>J23-I23</f>
        <v>1.44148182</v>
      </c>
      <c r="L23" s="59">
        <f>IFERROR(K23/J23,"-")</f>
        <v>0.0738566121965898</v>
      </c>
      <c r="M23" s="51" t="inlineStr">
        <is>
          <t>G</t>
        </is>
      </c>
      <c r="N23" s="48">
        <f>I23-S23</f>
        <v>12.122014240313021</v>
      </c>
      <c r="O23" s="48">
        <f>J23-T23</f>
        <v>13.655581280862481</v>
      </c>
      <c r="P23" s="55">
        <f>O23-N23</f>
        <v>1.5335670405494604</v>
      </c>
      <c r="Q23" s="59">
        <f>IFERROR(P23/O23,"-")</f>
        <v>0.11230331459406032</v>
      </c>
      <c r="R23" s="51" t="inlineStr">
        <is>
          <t>G</t>
        </is>
      </c>
      <c r="S23" s="55" t="n">
        <v>5.95380614362638</v>
      </c>
      <c r="T23" s="55" t="n">
        <v>5.86172092307692</v>
      </c>
      <c r="U23" s="55">
        <f>T23-S23</f>
        <v>-0.09208522054946044</v>
      </c>
      <c r="V23" s="59">
        <f>IFERROR(U23/T23,"-")</f>
        <v>-0.015709587979006564</v>
      </c>
      <c r="W23" s="52" t="inlineStr">
        <is>
          <t>A</t>
        </is>
      </c>
      <c r="X23" s="55" t="n"/>
      <c r="Y23" s="55" t="n"/>
      <c r="Z23" s="55">
        <f>Y23-X23</f>
        <v>0.0</v>
      </c>
      <c r="AA23" s="59" t="str">
        <f>IFERROR(Z23/Y23,"-")</f>
        <v>-</v>
      </c>
      <c r="AB23" s="60" t="n"/>
      <c r="AC23" s="55" t="n">
        <v>8.927315999999999</v>
      </c>
      <c r="AD23" s="55" t="n">
        <v>14.219208</v>
      </c>
      <c r="AE23" s="55">
        <f>AD23-AC23</f>
        <v>5.291892000000001</v>
      </c>
      <c r="AF23" s="59">
        <f>IFERROR(AE23/AD23,"-")</f>
        <v>0.37216503197646456</v>
      </c>
      <c r="AG23" s="51" t="inlineStr">
        <is>
          <t>G</t>
        </is>
      </c>
      <c r="AH23" s="55" t="n">
        <v>5.76586117923077</v>
      </c>
      <c r="AI23" s="55" t="n">
        <v>6.79771284</v>
      </c>
      <c r="AJ23" s="55">
        <f>AI23-AH23</f>
        <v>1.03185166076923</v>
      </c>
      <c r="AK23" s="59">
        <f>IFERROR(AJ23/AI23,"-")</f>
        <v>0.1517939467371249</v>
      </c>
      <c r="AL23" s="61" t="inlineStr">
        <is>
          <t>G</t>
        </is>
      </c>
    </row>
    <row r="24" ht="24" customFormat="1" customHeight="1" s="44">
      <c r="A24" s="44" t="inlineStr">
        <is>
          <t>Retail</t>
        </is>
      </c>
      <c r="B24" s="91" t="inlineStr">
        <is>
          <t>Retail</t>
        </is>
      </c>
      <c r="C24" s="58" t="inlineStr">
        <is>
          <t>Vance Anderson</t>
        </is>
      </c>
      <c r="D24" s="55">
        <f>I24+AC24+AH24+X24</f>
        <v>35.260355770000004</v>
      </c>
      <c r="E24" s="55">
        <f>J24+AD24+AI24+Y24</f>
        <v>33.88085459</v>
      </c>
      <c r="F24" s="55">
        <f>E24-D24</f>
        <v>-1.3795011800000054</v>
      </c>
      <c r="G24" s="59">
        <f>IFERROR(F24/E24,"-")</f>
        <v>-0.04071624510932992</v>
      </c>
      <c r="H24" s="52" t="inlineStr">
        <is>
          <t>A</t>
        </is>
      </c>
      <c r="I24" s="55" t="n">
        <v>15.23072269</v>
      </c>
      <c r="J24" s="55" t="n">
        <v>15.23585459</v>
      </c>
      <c r="K24" s="55">
        <f>J24-I24</f>
        <v>0.0051319000000003</v>
      </c>
      <c r="L24" s="59">
        <f>IFERROR(K24/J24,"-")</f>
        <v>0.0003368304659043284</v>
      </c>
      <c r="M24" s="51" t="inlineStr">
        <is>
          <t>G</t>
        </is>
      </c>
      <c r="N24" s="48">
        <f>I24-S24</f>
        <v>14.4810851</v>
      </c>
      <c r="O24" s="48">
        <f>J24-T24</f>
        <v>13.92585459</v>
      </c>
      <c r="P24" s="55">
        <f>O24-N24</f>
        <v>-0.5552305099999995</v>
      </c>
      <c r="Q24" s="59">
        <f>IFERROR(P24/O24,"-")</f>
        <v>-0.03987048022163783</v>
      </c>
      <c r="R24" s="52" t="inlineStr">
        <is>
          <t>A</t>
        </is>
      </c>
      <c r="S24" s="55" t="n">
        <v>0.74963759</v>
      </c>
      <c r="T24" s="55" t="n">
        <v>1.31</v>
      </c>
      <c r="U24" s="55">
        <f>T24-S24</f>
        <v>0.5603624100000001</v>
      </c>
      <c r="V24" s="59">
        <f>IFERROR(U24/T24,"-")</f>
        <v>0.4277575648854962</v>
      </c>
      <c r="W24" s="51" t="inlineStr">
        <is>
          <t>G</t>
        </is>
      </c>
      <c r="X24" s="55" t="n"/>
      <c r="Y24" s="55" t="n"/>
      <c r="Z24" s="55">
        <f>Y24-X24</f>
        <v>0.0</v>
      </c>
      <c r="AA24" s="59" t="str">
        <f>IFERROR(Z24/Y24,"-")</f>
        <v>-</v>
      </c>
      <c r="AB24" s="60" t="n"/>
      <c r="AC24" s="55" t="n">
        <v>8.640000000000001</v>
      </c>
      <c r="AD24" s="55" t="n">
        <v>6.845</v>
      </c>
      <c r="AE24" s="55">
        <f>AD24-AC24</f>
        <v>-1.7950000000000008</v>
      </c>
      <c r="AF24" s="59">
        <f>IFERROR(AE24/AD24,"-")</f>
        <v>-0.26223520818115426</v>
      </c>
      <c r="AG24" s="63" t="inlineStr">
        <is>
          <t>R</t>
        </is>
      </c>
      <c r="AH24" s="55" t="n">
        <v>11.38963308</v>
      </c>
      <c r="AI24" s="55" t="n">
        <v>11.8</v>
      </c>
      <c r="AJ24" s="55">
        <f>AI24-AH24</f>
        <v>0.4103669200000013</v>
      </c>
      <c r="AK24" s="59">
        <f>IFERROR(AJ24/AI24,"-")</f>
        <v>0.034776857627118754</v>
      </c>
      <c r="AL24" s="61" t="inlineStr">
        <is>
          <t>G</t>
        </is>
      </c>
    </row>
    <row r="25" ht="24" customFormat="1" customHeight="1" s="44">
      <c r="A25" s="44" t="inlineStr">
        <is>
          <t>Energy Solutions</t>
        </is>
      </c>
      <c r="B25" s="91" t="inlineStr">
        <is>
          <t>Energy Solutions</t>
        </is>
      </c>
      <c r="C25" s="58" t="inlineStr">
        <is>
          <t>Roanne Steele</t>
        </is>
      </c>
      <c r="D25" s="55">
        <f>I25+AC25+AH25+X25</f>
        <v>7.830666008273999</v>
      </c>
      <c r="E25" s="55">
        <f>J25+AD25+AI25+Y25</f>
        <v>8.00952437</v>
      </c>
      <c r="F25" s="55">
        <f>E25-D25</f>
        <v>0.17885836172600023</v>
      </c>
      <c r="G25" s="59">
        <f>IFERROR(F25/E25,"-")</f>
        <v>0.022330709473326722</v>
      </c>
      <c r="H25" s="51" t="inlineStr">
        <is>
          <t>G</t>
        </is>
      </c>
      <c r="I25" s="55" t="n">
        <v>5.04409835</v>
      </c>
      <c r="J25" s="55" t="n">
        <v>5.01193945</v>
      </c>
      <c r="K25" s="55">
        <f>J25-I25</f>
        <v>-0.03215889999999977</v>
      </c>
      <c r="L25" s="59">
        <f>IFERROR(K25/J25,"-")</f>
        <v>-0.006416458203620111</v>
      </c>
      <c r="M25" s="52" t="inlineStr">
        <is>
          <t>A</t>
        </is>
      </c>
      <c r="N25" s="48">
        <f>I25-S25</f>
        <v>4.536215629999999</v>
      </c>
      <c r="O25" s="48">
        <f>J25-T25</f>
        <v>4.04193945</v>
      </c>
      <c r="P25" s="55">
        <f>O25-N25</f>
        <v>-0.49427617999999907</v>
      </c>
      <c r="Q25" s="59">
        <f>IFERROR(P25/O25,"-")</f>
        <v>-0.12228688383741104</v>
      </c>
      <c r="R25" s="63" t="inlineStr">
        <is>
          <t>R</t>
        </is>
      </c>
      <c r="S25" s="55" t="n">
        <v>0.50788272</v>
      </c>
      <c r="T25" s="55" t="n">
        <v>0.97</v>
      </c>
      <c r="U25" s="55">
        <f>T25-S25</f>
        <v>0.46211727999999996</v>
      </c>
      <c r="V25" s="59">
        <f>IFERROR(U25/T25,"-")</f>
        <v>0.47640956701030923</v>
      </c>
      <c r="W25" s="51" t="inlineStr">
        <is>
          <t>G</t>
        </is>
      </c>
      <c r="X25" s="55" t="n"/>
      <c r="Y25" s="55" t="n"/>
      <c r="Z25" s="55">
        <f>Y25-X25</f>
        <v>0.0</v>
      </c>
      <c r="AA25" s="59" t="str">
        <f>IFERROR(Z25/Y25,"-")</f>
        <v>-</v>
      </c>
      <c r="AB25" s="60" t="n"/>
      <c r="AC25" s="55" t="n"/>
      <c r="AD25" s="55" t="n"/>
      <c r="AE25" s="55">
        <f>AD25-AC25</f>
        <v>0.0</v>
      </c>
      <c r="AF25" s="59" t="str">
        <f>IFERROR(AE25/AD25,"-")</f>
        <v>-</v>
      </c>
      <c r="AG25" s="60" t="n"/>
      <c r="AH25" s="55" t="n">
        <v>2.786567658274</v>
      </c>
      <c r="AI25" s="55" t="n">
        <v>2.99758492</v>
      </c>
      <c r="AJ25" s="55">
        <f>AI25-AH25</f>
        <v>0.211017261726</v>
      </c>
      <c r="AK25" s="59">
        <f>IFERROR(AJ25/AI25,"-")</f>
        <v>0.07039575770417206</v>
      </c>
      <c r="AL25" s="61" t="inlineStr">
        <is>
          <t>G</t>
        </is>
      </c>
    </row>
    <row r="26" ht="24" customFormat="1" customHeight="1" s="44">
      <c r="A26" s="44" t="inlineStr">
        <is>
          <t>Infrastructure</t>
        </is>
      </c>
      <c r="B26" s="91" t="inlineStr">
        <is>
          <t>Infrastructure</t>
        </is>
      </c>
      <c r="C26" s="58" t="inlineStr">
        <is>
          <t>Roanne Steele</t>
        </is>
      </c>
      <c r="D26" s="55">
        <f>I26+AC26+AH26+X26</f>
        <v>8.41854714</v>
      </c>
      <c r="E26" s="55">
        <f>J26+AD26+AI26+Y26</f>
        <v>9.24937596</v>
      </c>
      <c r="F26" s="55">
        <f>E26-D26</f>
        <v>0.8308288200000007</v>
      </c>
      <c r="G26" s="59">
        <f>IFERROR(F26/E26,"-")</f>
        <v>0.08982539185270622</v>
      </c>
      <c r="H26" s="51" t="inlineStr">
        <is>
          <t>G</t>
        </is>
      </c>
      <c r="I26" s="55" t="n">
        <v>4.27497864</v>
      </c>
      <c r="J26" s="55" t="n">
        <v>4.357958</v>
      </c>
      <c r="K26" s="55">
        <f>J26-I26</f>
        <v>0.08297936000000039</v>
      </c>
      <c r="L26" s="59">
        <f>IFERROR(K26/J26,"-")</f>
        <v>0.01904088107319997</v>
      </c>
      <c r="M26" s="51" t="inlineStr">
        <is>
          <t>G</t>
        </is>
      </c>
      <c r="N26" s="48">
        <f>I26-S26</f>
        <v>3.30102534</v>
      </c>
      <c r="O26" s="48">
        <f>J26-T26</f>
        <v>3.594596</v>
      </c>
      <c r="P26" s="55">
        <f>O26-N26</f>
        <v>0.2935706600000003</v>
      </c>
      <c r="Q26" s="59">
        <f>IFERROR(P26/O26,"-")</f>
        <v>0.08167000130195447</v>
      </c>
      <c r="R26" s="51" t="inlineStr">
        <is>
          <t>G</t>
        </is>
      </c>
      <c r="S26" s="55" t="n">
        <v>0.9739533</v>
      </c>
      <c r="T26" s="55" t="n">
        <v>0.763362</v>
      </c>
      <c r="U26" s="55">
        <f>T26-S26</f>
        <v>-0.21059130000000004</v>
      </c>
      <c r="V26" s="59">
        <f>IFERROR(U26/T26,"-")</f>
        <v>-0.27587343881408827</v>
      </c>
      <c r="W26" s="63" t="inlineStr">
        <is>
          <t>R</t>
        </is>
      </c>
      <c r="X26" s="55" t="n"/>
      <c r="Y26" s="55" t="n"/>
      <c r="Z26" s="55">
        <f>Y26-X26</f>
        <v>0.0</v>
      </c>
      <c r="AA26" s="59" t="str">
        <f>IFERROR(Z26/Y26,"-")</f>
        <v>-</v>
      </c>
      <c r="AB26" s="60" t="n"/>
      <c r="AC26" s="55" t="n"/>
      <c r="AD26" s="55" t="n"/>
      <c r="AE26" s="55">
        <f>AD26-AC26</f>
        <v>0.0</v>
      </c>
      <c r="AF26" s="59" t="str">
        <f>IFERROR(AE26/AD26,"-")</f>
        <v>-</v>
      </c>
      <c r="AG26" s="60" t="n"/>
      <c r="AH26" s="55" t="n">
        <v>4.1435685</v>
      </c>
      <c r="AI26" s="55" t="n">
        <v>4.89141796</v>
      </c>
      <c r="AJ26" s="55">
        <f>AI26-AH26</f>
        <v>0.7478494600000003</v>
      </c>
      <c r="AK26" s="59">
        <f>IFERROR(AJ26/AI26,"-")</f>
        <v>0.15289011614129175</v>
      </c>
      <c r="AL26" s="61" t="inlineStr">
        <is>
          <t>G</t>
        </is>
      </c>
    </row>
    <row r="27" ht="24" customFormat="1" customHeight="1" s="44">
      <c r="A27" s="44" t="inlineStr">
        <is>
          <t>Finance &amp; Other Corp</t>
        </is>
      </c>
      <c r="B27" s="91" t="inlineStr">
        <is>
          <t>Finance &amp; Other Corp</t>
        </is>
      </c>
      <c r="C27" s="58" t="inlineStr">
        <is>
          <t>Emily Mogic</t>
        </is>
      </c>
      <c r="D27" s="55">
        <f>I27+AC27+AH27+X27</f>
        <v>5.27211191</v>
      </c>
      <c r="E27" s="55">
        <f>J27+AD27+AI27+Y27</f>
        <v>3.88077368</v>
      </c>
      <c r="F27" s="55">
        <f>E27-D27</f>
        <v>-1.3913382299999997</v>
      </c>
      <c r="G27" s="59">
        <f>IFERROR(F27/E27,"-")</f>
        <v>-0.3585208375253668</v>
      </c>
      <c r="H27" s="63" t="inlineStr">
        <is>
          <t>R</t>
        </is>
      </c>
      <c r="I27" s="55" t="n">
        <v>5.27211191</v>
      </c>
      <c r="J27" s="55" t="n">
        <v>3.88077368</v>
      </c>
      <c r="K27" s="55">
        <f>J27-I27</f>
        <v>-1.3913382299999997</v>
      </c>
      <c r="L27" s="59">
        <f>IFERROR(K27/J27,"-")</f>
        <v>-0.3585208375253668</v>
      </c>
      <c r="M27" s="63" t="inlineStr">
        <is>
          <t>R</t>
        </is>
      </c>
      <c r="N27" s="48">
        <f>I27-S27</f>
        <v>4.358895639999999</v>
      </c>
      <c r="O27" s="48">
        <f>J27-T27</f>
        <v>2.94528707</v>
      </c>
      <c r="P27" s="55">
        <f>O27-N27</f>
        <v>-1.4136085699999992</v>
      </c>
      <c r="Q27" s="59">
        <f>IFERROR(P27/O27,"-")</f>
        <v>-0.4799561252954535</v>
      </c>
      <c r="R27" s="63" t="inlineStr">
        <is>
          <t>R</t>
        </is>
      </c>
      <c r="S27" s="55" t="n">
        <v>0.9132162700000001</v>
      </c>
      <c r="T27" s="55" t="n">
        <v>0.93548661</v>
      </c>
      <c r="U27" s="55">
        <f>T27-S27</f>
        <v>0.022270339999999944</v>
      </c>
      <c r="V27" s="59">
        <f>IFERROR(U27/T27,"-")</f>
        <v>0.0238061558144589</v>
      </c>
      <c r="W27" s="51" t="inlineStr">
        <is>
          <t>G</t>
        </is>
      </c>
      <c r="X27" s="55" t="n"/>
      <c r="Y27" s="55" t="n"/>
      <c r="Z27" s="55">
        <f>Y27-X27</f>
        <v>0.0</v>
      </c>
      <c r="AA27" s="59" t="str">
        <f>IFERROR(Z27/Y27,"-")</f>
        <v>-</v>
      </c>
      <c r="AB27" s="60" t="n"/>
      <c r="AC27" s="55" t="n"/>
      <c r="AD27" s="55" t="n"/>
      <c r="AE27" s="55">
        <f>AD27-AC27</f>
        <v>0.0</v>
      </c>
      <c r="AF27" s="59" t="str">
        <f>IFERROR(AE27/AD27,"-")</f>
        <v>-</v>
      </c>
      <c r="AG27" s="60" t="n"/>
      <c r="AH27" s="55" t="n">
        <v>0</v>
      </c>
      <c r="AI27" s="55" t="n">
        <v>0</v>
      </c>
      <c r="AJ27" s="55">
        <f>AI27-AH27</f>
        <v>0.0</v>
      </c>
      <c r="AK27" s="59" t="str">
        <f>IFERROR(AJ27/AI27,"-")</f>
        <v>-</v>
      </c>
      <c r="AL27" s="61" t="inlineStr">
        <is>
          <t>G</t>
        </is>
      </c>
    </row>
    <row r="28" ht="24" customFormat="1" customHeight="1" s="44">
      <c r="A28" s="44" t="inlineStr">
        <is>
          <t>People &amp; Culture</t>
        </is>
      </c>
      <c r="B28" s="91" t="inlineStr">
        <is>
          <t>P&amp;C</t>
        </is>
      </c>
      <c r="C28" s="58" t="inlineStr">
        <is>
          <t>Emily Mogic</t>
        </is>
      </c>
      <c r="D28" s="55">
        <f>I28+AC28+AH28+X28</f>
        <v>5.4932256</v>
      </c>
      <c r="E28" s="55">
        <f>J28+AD28+AI28+Y28</f>
        <v>5.81303803</v>
      </c>
      <c r="F28" s="55">
        <f>E28-D28</f>
        <v>0.3198124300000007</v>
      </c>
      <c r="G28" s="59">
        <f>IFERROR(F28/E28,"-")</f>
        <v>0.055016400778647695</v>
      </c>
      <c r="H28" s="51" t="inlineStr">
        <is>
          <t>G</t>
        </is>
      </c>
      <c r="I28" s="55" t="n">
        <v>3.85168615</v>
      </c>
      <c r="J28" s="55" t="n">
        <v>4.12303803</v>
      </c>
      <c r="K28" s="55">
        <f>J28-I28</f>
        <v>0.2713518800000001</v>
      </c>
      <c r="L28" s="59">
        <f>IFERROR(K28/J28,"-")</f>
        <v>0.06581357679109259</v>
      </c>
      <c r="M28" s="51" t="inlineStr">
        <is>
          <t>G</t>
        </is>
      </c>
      <c r="N28" s="48">
        <f>I28-S28</f>
        <v>1.91213530398386</v>
      </c>
      <c r="O28" s="48">
        <f>J28-T28</f>
        <v>2.14803803</v>
      </c>
      <c r="P28" s="55">
        <f>O28-N28</f>
        <v>0.23590272601613993</v>
      </c>
      <c r="Q28" s="59">
        <f>IFERROR(P28/O28,"-")</f>
        <v>0.10982241595421843</v>
      </c>
      <c r="R28" s="51" t="inlineStr">
        <is>
          <t>G</t>
        </is>
      </c>
      <c r="S28" s="55" t="n">
        <v>1.93955084601614</v>
      </c>
      <c r="T28" s="55" t="n">
        <v>1.975</v>
      </c>
      <c r="U28" s="55">
        <f>T28-S28</f>
        <v>0.03544915398386017</v>
      </c>
      <c r="V28" s="59">
        <f>IFERROR(U28/T28,"-")</f>
        <v>0.01794893872600515</v>
      </c>
      <c r="W28" s="51" t="inlineStr">
        <is>
          <t>G</t>
        </is>
      </c>
      <c r="X28" s="55" t="n"/>
      <c r="Y28" s="55" t="n"/>
      <c r="Z28" s="55">
        <f>Y28-X28</f>
        <v>0.0</v>
      </c>
      <c r="AA28" s="59" t="str">
        <f>IFERROR(Z28/Y28,"-")</f>
        <v>-</v>
      </c>
      <c r="AB28" s="60" t="n"/>
      <c r="AC28" s="55" t="n">
        <v>1.31153945</v>
      </c>
      <c r="AD28" s="55" t="n">
        <v>1.36</v>
      </c>
      <c r="AE28" s="55">
        <f>AD28-AC28</f>
        <v>0.04846055000000016</v>
      </c>
      <c r="AF28" s="59">
        <f>IFERROR(AE28/AD28,"-")</f>
        <v>0.03563275735294129</v>
      </c>
      <c r="AG28" s="51" t="inlineStr">
        <is>
          <t>G</t>
        </is>
      </c>
      <c r="AH28" s="55" t="n">
        <v>0.33</v>
      </c>
      <c r="AI28" s="55" t="n">
        <v>0.33</v>
      </c>
      <c r="AJ28" s="55">
        <f>AI28-AH28</f>
        <v>0.0</v>
      </c>
      <c r="AK28" s="59">
        <f>IFERROR(AJ28/AI28,"-")</f>
        <v>0.0</v>
      </c>
      <c r="AL28" s="61" t="inlineStr">
        <is>
          <t>G</t>
        </is>
      </c>
    </row>
    <row r="29" ht="24" customFormat="1" customHeight="1" s="44">
      <c r="A29" s="44" t="inlineStr">
        <is>
          <t>Customer</t>
        </is>
      </c>
      <c r="B29" s="92" t="inlineStr">
        <is>
          <t>Customer</t>
        </is>
      </c>
      <c r="C29" s="67" t="inlineStr">
        <is>
          <t>Harley Giles</t>
        </is>
      </c>
      <c r="D29" s="69">
        <f>I29+AC29+AH29+X29</f>
        <v>10.98378269</v>
      </c>
      <c r="E29" s="69">
        <f>J29+AD29+AI29+Y29</f>
        <v>11.69153287</v>
      </c>
      <c r="F29" s="69">
        <f>E29-D29</f>
        <v>0.7077501799999997</v>
      </c>
      <c r="G29" s="70">
        <f>IFERROR(F29/E29,"-")</f>
        <v>0.060535276928148404</v>
      </c>
      <c r="H29" s="71" t="inlineStr">
        <is>
          <t>G</t>
        </is>
      </c>
      <c r="I29" s="69" t="n">
        <v>2.74505002</v>
      </c>
      <c r="J29" s="69" t="n">
        <v>1.69153283</v>
      </c>
      <c r="K29" s="69">
        <f>J29-I29</f>
        <v>-1.0535171899999998</v>
      </c>
      <c r="L29" s="70">
        <f>IFERROR(K29/J29,"-")</f>
        <v>-0.6228180566853081</v>
      </c>
      <c r="M29" s="93" t="inlineStr">
        <is>
          <t>R</t>
        </is>
      </c>
      <c r="N29" s="72">
        <f>I29-S29</f>
        <v>2.74505002</v>
      </c>
      <c r="O29" s="72">
        <f>J29-T29</f>
        <v>1.69153283</v>
      </c>
      <c r="P29" s="69">
        <f>O29-N29</f>
        <v>-1.0535171899999998</v>
      </c>
      <c r="Q29" s="70">
        <f>IFERROR(P29/O29,"-")</f>
        <v>-0.6228180566853081</v>
      </c>
      <c r="R29" s="93" t="inlineStr">
        <is>
          <t>R</t>
        </is>
      </c>
      <c r="S29" s="69" t="n">
        <v>0</v>
      </c>
      <c r="T29" s="69" t="n">
        <v>0</v>
      </c>
      <c r="U29" s="69">
        <f>T29-S29</f>
        <v>0.0</v>
      </c>
      <c r="V29" s="70" t="str">
        <f>IFERROR(U29/T29,"-")</f>
        <v>-</v>
      </c>
      <c r="W29" s="73" t="n"/>
      <c r="X29" s="69" t="n"/>
      <c r="Y29" s="69" t="n"/>
      <c r="Z29" s="69">
        <f>Y29-X29</f>
        <v>0.0</v>
      </c>
      <c r="AA29" s="70" t="str">
        <f>IFERROR(Z29/Y29,"-")</f>
        <v>-</v>
      </c>
      <c r="AB29" s="73" t="n"/>
      <c r="AC29" s="69" t="n">
        <v>3.83238698</v>
      </c>
      <c r="AD29" s="69" t="n">
        <v>5.00000004</v>
      </c>
      <c r="AE29" s="69">
        <f>AD29-AC29</f>
        <v>1.1676130599999999</v>
      </c>
      <c r="AF29" s="70">
        <f>IFERROR(AE29/AD29,"-")</f>
        <v>0.2335226101318191</v>
      </c>
      <c r="AG29" s="94" t="inlineStr">
        <is>
          <t>G</t>
        </is>
      </c>
      <c r="AH29" s="69" t="n">
        <v>4.40634569</v>
      </c>
      <c r="AI29" s="69" t="n">
        <v>5</v>
      </c>
      <c r="AJ29" s="69">
        <f>AI29-AH29</f>
        <v>0.5936543099999998</v>
      </c>
      <c r="AK29" s="70">
        <f>IFERROR(AJ29/AI29,"-")</f>
        <v>0.11873086199999996</v>
      </c>
      <c r="AL29" s="74" t="inlineStr">
        <is>
          <t>G</t>
        </is>
      </c>
    </row>
    <row r="30" ht="26.25" customFormat="1" customHeight="1" s="75">
      <c r="B30" s="76" t="inlineStr">
        <is>
          <t>Total Technology</t>
        </is>
      </c>
      <c r="C30" s="76" t="n"/>
      <c r="D30" s="81">
        <f>SUM(D21:D29)</f>
        <v>297.0932185386442</v>
      </c>
      <c r="E30" s="78">
        <f>SUM(E21:E29)</f>
        <v>302.5223496823127</v>
      </c>
      <c r="F30" s="78">
        <f>SUM(F21:F29)</f>
        <v>5.429131143668527</v>
      </c>
      <c r="G30" s="84">
        <f>F30/E30</f>
        <v>0.017946215046160428</v>
      </c>
      <c r="H30" s="80" t="inlineStr">
        <is>
          <t>G</t>
        </is>
      </c>
      <c r="I30" s="81">
        <f>SUM(I21:I29)</f>
        <v>190.0477788999394</v>
      </c>
      <c r="J30" s="78">
        <f>SUM(J21:J29)</f>
        <v>189.3847616130256</v>
      </c>
      <c r="K30" s="78">
        <f>SUM(K21:K29)</f>
        <v>-0.6630172869138053</v>
      </c>
      <c r="L30" s="79">
        <f>K30/J30</f>
        <v>-0.0035009009239537676</v>
      </c>
      <c r="M30" s="82" t="inlineStr">
        <is>
          <t>A</t>
        </is>
      </c>
      <c r="N30" s="81">
        <f>SUM(N21:N29)</f>
        <v>176.23229080029688</v>
      </c>
      <c r="O30" s="78">
        <f>SUM(O21:O29)</f>
        <v>173.1229520799487</v>
      </c>
      <c r="P30" s="78">
        <f>SUM(P21:P29)</f>
        <v>-3.1093387203482132</v>
      </c>
      <c r="Q30" s="79">
        <f>P30/O30</f>
        <v>-0.01796029170593343</v>
      </c>
      <c r="R30" s="82" t="inlineStr">
        <is>
          <t>A</t>
        </is>
      </c>
      <c r="S30" s="81">
        <f>SUM(S21:S29)</f>
        <v>13.81548809964252</v>
      </c>
      <c r="T30" s="78">
        <f>SUM(T21:T29)</f>
        <v>16.26180953307692</v>
      </c>
      <c r="U30" s="78">
        <f>SUM(U21:U29)</f>
        <v>2.4463214334343997</v>
      </c>
      <c r="V30" s="79">
        <f>U30/T30</f>
        <v>0.15043353130280623</v>
      </c>
      <c r="W30" s="80" t="inlineStr">
        <is>
          <t>G</t>
        </is>
      </c>
      <c r="X30" s="81">
        <f>SUM(X21:X29)</f>
        <v>15.8480092516</v>
      </c>
      <c r="Y30" s="78">
        <f>SUM(Y21:Y29)</f>
        <v>17.1065704692871</v>
      </c>
      <c r="Z30" s="78">
        <f>SUM(Z21:Z29)</f>
        <v>1.2585612176871006</v>
      </c>
      <c r="AA30" s="79">
        <f>Z30/Y30</f>
        <v>0.07357180212987191</v>
      </c>
      <c r="AB30" s="80" t="inlineStr">
        <is>
          <t>G</t>
        </is>
      </c>
      <c r="AC30" s="81">
        <f>SUM(AC21:AC29)</f>
        <v>48.10701505</v>
      </c>
      <c r="AD30" s="78">
        <f>SUM(AD21:AD29)</f>
        <v>47.62080804</v>
      </c>
      <c r="AE30" s="78">
        <f>SUM(AE21:AE29)</f>
        <v>-0.4862070099999989</v>
      </c>
      <c r="AF30" s="79">
        <f>AE30/AD30</f>
        <v>-0.010209969759261542</v>
      </c>
      <c r="AG30" s="82" t="inlineStr">
        <is>
          <t>A</t>
        </is>
      </c>
      <c r="AH30" s="81">
        <f>SUM(AH21:AH29)</f>
        <v>43.09041533710477</v>
      </c>
      <c r="AI30" s="78">
        <f>SUM(AI21:AI29)</f>
        <v>48.41020956</v>
      </c>
      <c r="AJ30" s="78">
        <f>SUM(AJ21:AJ29)</f>
        <v>5.319794222895232</v>
      </c>
      <c r="AK30" s="79">
        <f>AJ30/AI30</f>
        <v>0.10988992345306493</v>
      </c>
      <c r="AL30" s="83" t="inlineStr">
        <is>
          <t>G</t>
        </is>
      </c>
    </row>
    <row r="31" ht="15.75" customHeight="1" s="302">
      <c r="I31" s="85">
        <f>I30/$D30</f>
        <v>0.6396907335507528</v>
      </c>
      <c r="J31" s="86" t="n"/>
      <c r="K31" s="86" t="n"/>
      <c r="L31" s="86" t="n"/>
      <c r="M31" s="86" t="n"/>
      <c r="N31" s="85">
        <f>N30/$D30</f>
        <v>0.5931885341144991</v>
      </c>
      <c r="O31" s="86" t="n"/>
      <c r="P31" s="86" t="n"/>
      <c r="Q31" s="86" t="n"/>
      <c r="R31" s="86" t="n"/>
      <c r="S31" s="85">
        <f>S30/$D30</f>
        <v>0.046502199436253645</v>
      </c>
      <c r="T31" s="86" t="n"/>
      <c r="U31" s="86" t="n"/>
      <c r="V31" s="86" t="n"/>
      <c r="W31" s="86" t="n"/>
      <c r="X31" s="85">
        <f>X30/$D30</f>
        <v>0.05334355772088612</v>
      </c>
      <c r="AC31" s="85">
        <f>AC30/$D30</f>
        <v>0.1619256585075587</v>
      </c>
      <c r="AD31" s="86" t="n"/>
      <c r="AE31" s="86" t="n"/>
      <c r="AF31" s="86" t="n"/>
      <c r="AG31" s="86" t="n"/>
      <c r="AH31" s="85">
        <f>AH30/$D30</f>
        <v>0.14504005022080238</v>
      </c>
      <c r="AI31" s="86" t="n"/>
      <c r="AJ31" s="86" t="n"/>
      <c r="AK31" s="86" t="n"/>
      <c r="AL31" s="86" t="n"/>
    </row>
    <row r="32">
      <c r="AO32" s="95">
        <f>E30-297</f>
        <v>5.522349682312722</v>
      </c>
    </row>
    <row r="35" ht="38.25" customHeight="1" s="302">
      <c r="B35" s="96" t="n"/>
      <c r="C35" s="96" t="n"/>
      <c r="D35" s="267" t="str">
        <f>D3</f>
        <v>TOTAL 
YTD (Jun-2026)</v>
      </c>
      <c r="E35" s="363" t="n"/>
      <c r="F35" s="363" t="n"/>
      <c r="G35" s="363" t="n"/>
      <c r="H35" s="365" t="n"/>
      <c r="I35" s="268" t="inlineStr">
        <is>
          <t>TOTAL TECHNOLOGY
Full Year 2026</t>
        </is>
      </c>
      <c r="J35" s="363" t="n"/>
      <c r="K35" s="363" t="n"/>
      <c r="L35" s="363" t="n"/>
      <c r="M35" s="365" t="n"/>
    </row>
    <row r="36" ht="13.5" customHeight="1" s="302">
      <c r="B36" s="97" t="inlineStr">
        <is>
          <t>Spend Type</t>
        </is>
      </c>
      <c r="C36" s="98" t="n"/>
      <c r="D36" s="99" t="inlineStr">
        <is>
          <t>A</t>
        </is>
      </c>
      <c r="E36" s="100" t="inlineStr">
        <is>
          <t>B</t>
        </is>
      </c>
      <c r="F36" s="100" t="inlineStr">
        <is>
          <t>V</t>
        </is>
      </c>
      <c r="G36" s="39" t="inlineStr">
        <is>
          <t>V %</t>
        </is>
      </c>
      <c r="H36" s="43" t="inlineStr">
        <is>
          <t>Trend</t>
        </is>
      </c>
      <c r="I36" s="99" t="inlineStr">
        <is>
          <t>F</t>
        </is>
      </c>
      <c r="J36" s="100" t="inlineStr">
        <is>
          <t>B</t>
        </is>
      </c>
      <c r="K36" s="100" t="inlineStr">
        <is>
          <t>V</t>
        </is>
      </c>
      <c r="L36" s="39" t="inlineStr">
        <is>
          <t>V %</t>
        </is>
      </c>
      <c r="M36" s="43" t="inlineStr">
        <is>
          <t>Trend</t>
        </is>
      </c>
    </row>
    <row r="37" ht="19.5" customHeight="1" s="302">
      <c r="B37" s="101" t="inlineStr">
        <is>
          <t>Lights on</t>
        </is>
      </c>
      <c r="C37" s="101" t="n"/>
      <c r="D37" s="54">
        <f>N14</f>
        <v>86.66006910547694</v>
      </c>
      <c r="E37" s="54">
        <f>O14</f>
        <v>85.12556412088558</v>
      </c>
      <c r="F37" s="55">
        <f>E37-D37</f>
        <v>-1.5345049845913508</v>
      </c>
      <c r="G37" s="59">
        <f>IFERROR(F37/E37,"-")</f>
        <v>-0.018026370813968674</v>
      </c>
      <c r="H37" s="102" t="inlineStr">
        <is>
          <t>A</t>
        </is>
      </c>
      <c r="I37" s="54">
        <f>N30</f>
        <v>176.23229080029688</v>
      </c>
      <c r="J37" s="54">
        <f>O30</f>
        <v>173.1229520799487</v>
      </c>
      <c r="K37" s="55">
        <f>J37-I37</f>
        <v>-3.109338720348177</v>
      </c>
      <c r="L37" s="59">
        <f>IFERROR(K37/J37,"-")</f>
        <v>-0.017960291705933218</v>
      </c>
      <c r="M37" s="102" t="inlineStr">
        <is>
          <t>A</t>
        </is>
      </c>
    </row>
    <row r="38" ht="19.5" customHeight="1" s="302">
      <c r="B38" s="103" t="inlineStr">
        <is>
          <t>Depreciation</t>
        </is>
      </c>
      <c r="C38" s="103" t="n"/>
      <c r="D38" s="68">
        <f>X14</f>
        <v>7.620976354</v>
      </c>
      <c r="E38" s="69">
        <f>Y14</f>
        <v>8.077584165179179</v>
      </c>
      <c r="F38" s="69">
        <f>E38-D38</f>
        <v>0.4566078111791789</v>
      </c>
      <c r="G38" s="70">
        <f>IFERROR(F38/E38,"-")</f>
        <v>0.05652776892719017</v>
      </c>
      <c r="H38" s="74" t="inlineStr">
        <is>
          <t>G</t>
        </is>
      </c>
      <c r="I38" s="68">
        <f>X30</f>
        <v>15.8480092516</v>
      </c>
      <c r="J38" s="69">
        <f>Y30</f>
        <v>17.1065704692871</v>
      </c>
      <c r="K38" s="69">
        <f>J38-I38</f>
        <v>1.2585612176870988</v>
      </c>
      <c r="L38" s="70">
        <f>IFERROR(K38/J38,"-")</f>
        <v>0.07357180212987181</v>
      </c>
      <c r="M38" s="74" t="inlineStr">
        <is>
          <t>G</t>
        </is>
      </c>
    </row>
    <row r="39" ht="19.5" customHeight="1" s="302">
      <c r="B39" s="104" t="inlineStr">
        <is>
          <t>Lights on + Depreciation</t>
        </is>
      </c>
      <c r="C39" s="104" t="n"/>
      <c r="D39" s="105">
        <f>SUM(D37:D38)</f>
        <v>94.28104545947693</v>
      </c>
      <c r="E39" s="106">
        <f>SUM(E37:E38)</f>
        <v>93.20314828606476</v>
      </c>
      <c r="F39" s="106">
        <f>SUM(F37:F38)</f>
        <v>-1.0778971734121718</v>
      </c>
      <c r="G39" s="107">
        <f>IFERROR(F39/E39,"-")</f>
        <v>-0.01156502965011251</v>
      </c>
      <c r="H39" s="108" t="inlineStr">
        <is>
          <t>A</t>
        </is>
      </c>
      <c r="I39" s="105">
        <f>SUM(I37:I38)</f>
        <v>192.08030005189687</v>
      </c>
      <c r="J39" s="106">
        <f>SUM(J37:J38)</f>
        <v>190.2295225492358</v>
      </c>
      <c r="K39" s="106">
        <f>SUM(K37:K38)</f>
        <v>-1.850777502661078</v>
      </c>
      <c r="L39" s="107">
        <f>IFERROR(K39/J39,"-")</f>
        <v>-0.009729181243053659</v>
      </c>
      <c r="M39" s="108" t="inlineStr">
        <is>
          <t>A</t>
        </is>
      </c>
    </row>
    <row r="40" ht="19.5" customHeight="1" s="302">
      <c r="B40" s="101" t="inlineStr">
        <is>
          <t>Opex Initiatives</t>
        </is>
      </c>
      <c r="C40" s="101" t="n"/>
      <c r="D40" s="47">
        <f>S14</f>
        <v>5.61932600692308</v>
      </c>
      <c r="E40" s="48">
        <f>T14</f>
        <v>8.13090476653846</v>
      </c>
      <c r="F40" s="48">
        <f>E40-D40</f>
        <v>2.5115787596153805</v>
      </c>
      <c r="G40" s="49">
        <f>IFERROR(F40/E40,"-")</f>
        <v>0.30889290081854265</v>
      </c>
      <c r="H40" s="53" t="inlineStr">
        <is>
          <t>G</t>
        </is>
      </c>
      <c r="I40" s="47">
        <f>S30</f>
        <v>13.81548809964252</v>
      </c>
      <c r="J40" s="48">
        <f>T30</f>
        <v>16.26180953307692</v>
      </c>
      <c r="K40" s="48">
        <f>J40-I40</f>
        <v>2.4463214334344006</v>
      </c>
      <c r="L40" s="49">
        <f>IFERROR(K40/J40,"-")</f>
        <v>0.1504335313028063</v>
      </c>
      <c r="M40" s="53" t="inlineStr">
        <is>
          <t>G</t>
        </is>
      </c>
    </row>
    <row r="41" ht="19.5" customHeight="1" s="302">
      <c r="B41" s="109" t="inlineStr">
        <is>
          <t>Capex</t>
        </is>
      </c>
      <c r="C41" s="101" t="n"/>
      <c r="D41" s="54">
        <f>AH14</f>
        <v>12.405728604274</v>
      </c>
      <c r="E41" s="55">
        <f>AI14</f>
        <v>23.57807069363636</v>
      </c>
      <c r="F41" s="55">
        <f>E41-D41</f>
        <v>11.17234208936236</v>
      </c>
      <c r="G41" s="59">
        <f>IFERROR(F41/E41,"-")</f>
        <v>0.4738446259887471</v>
      </c>
      <c r="H41" s="61" t="inlineStr">
        <is>
          <t>G</t>
        </is>
      </c>
      <c r="I41" s="54">
        <f>AH30</f>
        <v>43.09041533710477</v>
      </c>
      <c r="J41" s="55">
        <f>AI30</f>
        <v>48.41020956</v>
      </c>
      <c r="K41" s="55">
        <f>J41-I41</f>
        <v>5.319794222895226</v>
      </c>
      <c r="L41" s="59">
        <f>IFERROR(K41/J41,"-")</f>
        <v>0.10988992345306481</v>
      </c>
      <c r="M41" s="61" t="inlineStr">
        <is>
          <t>G</t>
        </is>
      </c>
    </row>
    <row r="42" ht="19.5" customHeight="1" s="302">
      <c r="B42" s="110" t="inlineStr">
        <is>
          <t>Significant Items</t>
        </is>
      </c>
      <c r="C42" s="103" t="n"/>
      <c r="D42" s="68">
        <f>AC14</f>
        <v>17.270476819696974</v>
      </c>
      <c r="E42" s="69">
        <f>AD14</f>
        <v>24.41420402</v>
      </c>
      <c r="F42" s="69">
        <f>E42-D42</f>
        <v>7.143727200303026</v>
      </c>
      <c r="G42" s="70">
        <f>IFERROR(F42/E42,"-")</f>
        <v>0.292605369990802</v>
      </c>
      <c r="H42" s="74" t="inlineStr">
        <is>
          <t>G</t>
        </is>
      </c>
      <c r="I42" s="68">
        <f>AC30</f>
        <v>48.10701505</v>
      </c>
      <c r="J42" s="69">
        <f>AD30</f>
        <v>47.62080804</v>
      </c>
      <c r="K42" s="69">
        <f>J42-I42</f>
        <v>-0.4862070100000011</v>
      </c>
      <c r="L42" s="70">
        <f>IFERROR(K42/J42,"-")</f>
        <v>-0.010209969759261589</v>
      </c>
      <c r="M42" s="56" t="inlineStr">
        <is>
          <t>A</t>
        </is>
      </c>
    </row>
    <row r="43" ht="19.5" customHeight="1" s="302">
      <c r="B43" s="104" t="inlineStr">
        <is>
          <t>Projects</t>
        </is>
      </c>
      <c r="C43" s="104" t="n"/>
      <c r="D43" s="105">
        <f>SUM(D40:D42)</f>
        <v>35.29553143089405</v>
      </c>
      <c r="E43" s="106">
        <f>SUM(E40:E42)</f>
        <v>56.12317948017482</v>
      </c>
      <c r="F43" s="106">
        <f>SUM(F40:F42)</f>
        <v>20.827648049280768</v>
      </c>
      <c r="G43" s="107">
        <f>IFERROR(F43/E43,"-")</f>
        <v>0.3711059894002978</v>
      </c>
      <c r="H43" s="111" t="inlineStr">
        <is>
          <t>G</t>
        </is>
      </c>
      <c r="I43" s="105">
        <f>SUM(I40:I42)</f>
        <v>105.0129184867473</v>
      </c>
      <c r="J43" s="106">
        <f>SUM(J40:J42)</f>
        <v>112.29282713307693</v>
      </c>
      <c r="K43" s="106">
        <f>SUM(K40:K42)</f>
        <v>7.279908646329625</v>
      </c>
      <c r="L43" s="107">
        <f>IFERROR(K43/J43,"-")</f>
        <v>0.06482968531642978</v>
      </c>
      <c r="M43" s="111" t="inlineStr">
        <is>
          <t>G</t>
        </is>
      </c>
    </row>
    <row r="44" ht="19.5" customHeight="1" s="302">
      <c r="B44" s="112" t="inlineStr">
        <is>
          <t>Total Technology</t>
        </is>
      </c>
      <c r="C44" s="112" t="n"/>
      <c r="D44" s="105">
        <f>SUM(D43,D39)</f>
        <v>129.57657689037097</v>
      </c>
      <c r="E44" s="106">
        <f>SUM(E43,E39)</f>
        <v>149.3263277662396</v>
      </c>
      <c r="F44" s="106">
        <f>SUM(F43,F39)</f>
        <v>19.749750875868596</v>
      </c>
      <c r="G44" s="107">
        <f>IFERROR(F44/E44,"-")</f>
        <v>0.1322590006149854</v>
      </c>
      <c r="H44" s="111" t="inlineStr">
        <is>
          <t>G</t>
        </is>
      </c>
      <c r="I44" s="105">
        <f>SUM(I43,I39)</f>
        <v>297.0932185386442</v>
      </c>
      <c r="J44" s="106">
        <f>SUM(J43,J39)</f>
        <v>302.5223496823127</v>
      </c>
      <c r="K44" s="106">
        <f>SUM(K43,K39)</f>
        <v>5.429131143668547</v>
      </c>
      <c r="L44" s="107">
        <f>IFERROR(K44/J44,"-")</f>
        <v>0.017946215046160494</v>
      </c>
      <c r="M44" s="111" t="inlineStr">
        <is>
          <t>G</t>
        </is>
      </c>
    </row>
    <row r="47" ht="38.25" customHeight="1" s="302">
      <c r="B47" s="270" t="inlineStr">
        <is>
          <t>SPEND CATEGORY</t>
        </is>
      </c>
      <c r="C47" s="113" t="n"/>
      <c r="D47" s="267" t="str">
        <f>D3</f>
        <v>TOTAL 
YTD (Jun-2026)</v>
      </c>
      <c r="E47" s="363" t="n"/>
      <c r="F47" s="363" t="n"/>
      <c r="G47" s="363" t="n"/>
      <c r="H47" s="365" t="n"/>
      <c r="I47" s="268" t="inlineStr">
        <is>
          <t>TOTAL TECHNOLOGY
YTD (May-2026)</t>
        </is>
      </c>
      <c r="J47" s="363" t="n"/>
      <c r="K47" s="363" t="n"/>
      <c r="L47" s="363" t="n"/>
      <c r="M47" s="365" t="n"/>
    </row>
    <row r="48" ht="22.5" customHeight="1" s="302">
      <c r="B48" s="367" t="n"/>
      <c r="C48" s="114" t="n"/>
      <c r="D48" s="99" t="inlineStr">
        <is>
          <t>A</t>
        </is>
      </c>
      <c r="E48" s="100" t="inlineStr">
        <is>
          <t>B</t>
        </is>
      </c>
      <c r="F48" s="100" t="inlineStr">
        <is>
          <t>V</t>
        </is>
      </c>
      <c r="G48" s="39" t="inlineStr">
        <is>
          <t>V %</t>
        </is>
      </c>
      <c r="H48" s="43" t="inlineStr">
        <is>
          <t>Trend</t>
        </is>
      </c>
      <c r="I48" s="99" t="inlineStr">
        <is>
          <t>A</t>
        </is>
      </c>
      <c r="J48" s="100" t="inlineStr">
        <is>
          <t>B</t>
        </is>
      </c>
      <c r="K48" s="100" t="inlineStr">
        <is>
          <t>V</t>
        </is>
      </c>
      <c r="L48" s="39" t="inlineStr">
        <is>
          <t>V %</t>
        </is>
      </c>
      <c r="M48" s="43" t="inlineStr">
        <is>
          <t>Trend</t>
        </is>
      </c>
    </row>
    <row r="49" ht="19.5" customHeight="1" s="302">
      <c r="B49" s="101" t="inlineStr">
        <is>
          <t>Opex</t>
        </is>
      </c>
      <c r="C49" s="101" t="n"/>
      <c r="D49" s="54">
        <f>I14+X14</f>
        <v>99.9003714664</v>
      </c>
      <c r="E49" s="54">
        <f>J14+Y14</f>
        <v>101.33405305260321</v>
      </c>
      <c r="F49" s="55">
        <f>E49-D49</f>
        <v>1.4336815862032068</v>
      </c>
      <c r="G49" s="59">
        <f>IFERROR(F49/E49,"-")</f>
        <v>0.014148073061470982</v>
      </c>
      <c r="H49" s="61" t="inlineStr">
        <is>
          <t>G</t>
        </is>
      </c>
      <c r="I49" s="54">
        <f>I30+X30</f>
        <v>205.8957881515394</v>
      </c>
      <c r="J49" s="54">
        <f>J30+Y30</f>
        <v>206.4913320823127</v>
      </c>
      <c r="K49" s="55">
        <f>J49-I49</f>
        <v>0.5955439307733172</v>
      </c>
      <c r="L49" s="59">
        <f>IFERROR(K49/J49,"-")</f>
        <v>0.0028841110412127047</v>
      </c>
      <c r="M49" s="61" t="inlineStr">
        <is>
          <t>G</t>
        </is>
      </c>
    </row>
    <row r="50" ht="19.5" customHeight="1" s="302">
      <c r="B50" s="103" t="inlineStr">
        <is>
          <t>Significant Items</t>
        </is>
      </c>
      <c r="C50" s="103" t="n"/>
      <c r="D50" s="54">
        <f>AC14</f>
        <v>17.270476819696974</v>
      </c>
      <c r="E50" s="54">
        <f>AD14</f>
        <v>24.41420402</v>
      </c>
      <c r="F50" s="55">
        <f>E50-D50</f>
        <v>7.143727200303026</v>
      </c>
      <c r="G50" s="59">
        <f>IFERROR(F50/E50,"-")</f>
        <v>0.292605369990802</v>
      </c>
      <c r="H50" s="61" t="inlineStr">
        <is>
          <t>G</t>
        </is>
      </c>
      <c r="I50" s="54">
        <f>AC30</f>
        <v>48.10701505</v>
      </c>
      <c r="J50" s="54">
        <f>AD30</f>
        <v>47.62080804</v>
      </c>
      <c r="K50" s="55">
        <f>J50-I50</f>
        <v>-0.4862070100000011</v>
      </c>
      <c r="L50" s="59">
        <f>IFERROR(K50/J50,"-")</f>
        <v>-0.010209969759261589</v>
      </c>
      <c r="M50" s="102" t="inlineStr">
        <is>
          <t>A</t>
        </is>
      </c>
    </row>
    <row r="51" ht="19.5" customHeight="1" s="302">
      <c r="B51" s="103" t="inlineStr">
        <is>
          <t>Capex</t>
        </is>
      </c>
      <c r="C51" s="103" t="n"/>
      <c r="D51" s="54">
        <f>AH14</f>
        <v>12.405728604274</v>
      </c>
      <c r="E51" s="54">
        <f>AI14</f>
        <v>23.57807069363636</v>
      </c>
      <c r="F51" s="55">
        <f>E51-D51</f>
        <v>11.17234208936236</v>
      </c>
      <c r="G51" s="59">
        <f>IFERROR(F51/E51,"-")</f>
        <v>0.4738446259887471</v>
      </c>
      <c r="H51" s="61" t="inlineStr">
        <is>
          <t>G</t>
        </is>
      </c>
      <c r="I51" s="54">
        <f>AH30</f>
        <v>43.09041533710477</v>
      </c>
      <c r="J51" s="54">
        <f>AI30</f>
        <v>48.41020956</v>
      </c>
      <c r="K51" s="55">
        <f>J51-I51</f>
        <v>5.319794222895226</v>
      </c>
      <c r="L51" s="59">
        <f>IFERROR(K51/J51,"-")</f>
        <v>0.10988992345306481</v>
      </c>
      <c r="M51" s="61" t="inlineStr">
        <is>
          <t>G</t>
        </is>
      </c>
    </row>
    <row r="52" ht="19.5" customHeight="1" s="302">
      <c r="B52" s="112" t="inlineStr">
        <is>
          <t>Total Technology</t>
        </is>
      </c>
      <c r="C52" s="112" t="n"/>
      <c r="D52" s="105">
        <f>SUM(D49:D51)</f>
        <v>129.57657689037097</v>
      </c>
      <c r="E52" s="105">
        <f>SUM(E49:E51)</f>
        <v>149.32632776623956</v>
      </c>
      <c r="F52" s="105">
        <f>SUM(F49:F51)</f>
        <v>19.749750875868592</v>
      </c>
      <c r="G52" s="107">
        <f>IFERROR(F52/E52,"-")</f>
        <v>0.1322590006149854</v>
      </c>
      <c r="H52" s="111" t="inlineStr">
        <is>
          <t>G</t>
        </is>
      </c>
      <c r="I52" s="105">
        <f>SUM(I49:I51)</f>
        <v>297.0932185386442</v>
      </c>
      <c r="J52" s="105">
        <f>SUM(J49:J51)</f>
        <v>302.5223496823127</v>
      </c>
      <c r="K52" s="105">
        <f>SUM(K49:K51)</f>
        <v>5.429131143668542</v>
      </c>
      <c r="L52" s="107">
        <f>IFERROR(K52/J52,"-")</f>
        <v>0.017946215046160476</v>
      </c>
      <c r="M52" s="111" t="inlineStr">
        <is>
          <t>G</t>
        </is>
      </c>
    </row>
  </sheetData>
  <mergeCells count="24">
    <mergeCell ref="D35:H35"/>
    <mergeCell ref="AN3:AR3"/>
    <mergeCell ref="B47:B48"/>
    <mergeCell ref="AH3:AL3"/>
    <mergeCell ref="B3:B4"/>
    <mergeCell ref="D19:H19"/>
    <mergeCell ref="S3:W3"/>
    <mergeCell ref="AC3:AG3"/>
    <mergeCell ref="N3:R3"/>
    <mergeCell ref="I47:M47"/>
    <mergeCell ref="AH19:AL19"/>
    <mergeCell ref="X19:AB19"/>
    <mergeCell ref="B19:B20"/>
    <mergeCell ref="X3:AB3"/>
    <mergeCell ref="I3:M3"/>
    <mergeCell ref="D47:H47"/>
    <mergeCell ref="AC19:AG19"/>
    <mergeCell ref="S19:W19"/>
    <mergeCell ref="N19:R19"/>
    <mergeCell ref="D3:H3"/>
    <mergeCell ref="C19:C20"/>
    <mergeCell ref="I35:M35"/>
    <mergeCell ref="C3:C4"/>
    <mergeCell ref="I19:M1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Y35"/>
  <sheetViews>
    <sheetView zoomScale="90" zoomScaleNormal="90" workbookViewId="0">
      <selection activeCell="P6" sqref="P6"/>
    </sheetView>
  </sheetViews>
  <sheetFormatPr baseColWidth="8" defaultColWidth="9.1796875" defaultRowHeight="13"/>
  <cols>
    <col width="9.1796875" customWidth="1" style="115" min="1" max="1"/>
    <col width="17.7265625" customWidth="1" style="115" min="2" max="2"/>
    <col width="15.7265625" customWidth="1" style="115" min="3" max="3"/>
    <col width="12.453125" customWidth="1" style="115" min="4" max="4"/>
    <col width="11.1796875" customWidth="1" style="115" min="5" max="5"/>
    <col width="14.7265625" customWidth="1" style="115" min="6" max="6"/>
    <col width="9.1796875" customWidth="1" style="115" min="7" max="7"/>
    <col width="12.7265625" customWidth="1" style="115" min="8" max="8"/>
    <col width="9.1796875" customWidth="1" style="115" min="9" max="13"/>
    <col width="11" customWidth="1" style="115" min="14" max="14"/>
    <col width="9.1796875" customWidth="1" style="115" min="15" max="16384"/>
  </cols>
  <sheetData>
    <row r="2" ht="13.5" customHeight="1" s="302"/>
    <row r="3" ht="29.25" customHeight="1" s="302">
      <c r="B3" s="116" t="inlineStr">
        <is>
          <t>BUSINESS</t>
        </is>
      </c>
      <c r="C3" s="273" t="inlineStr">
        <is>
          <t>EGM Sponsor</t>
        </is>
      </c>
      <c r="D3" s="273" t="inlineStr">
        <is>
          <t>GM Sponsor</t>
        </is>
      </c>
      <c r="E3" s="273" t="inlineStr">
        <is>
          <t>Domain Architect</t>
        </is>
      </c>
      <c r="F3" s="273" t="inlineStr">
        <is>
          <t>HO Technology</t>
        </is>
      </c>
      <c r="G3" s="271" t="inlineStr">
        <is>
          <t>Lights-on</t>
        </is>
      </c>
      <c r="H3" s="368" t="n"/>
      <c r="I3" s="368" t="n"/>
      <c r="J3" s="368" t="n"/>
      <c r="K3" s="368" t="n"/>
      <c r="L3" s="369" t="n"/>
      <c r="M3" s="271" t="inlineStr">
        <is>
          <t>Depreciation</t>
        </is>
      </c>
      <c r="N3" s="271" t="inlineStr">
        <is>
          <t>Initiatives</t>
        </is>
      </c>
      <c r="O3" s="271" t="inlineStr">
        <is>
          <t>Sig Items</t>
        </is>
      </c>
      <c r="P3" s="271" t="inlineStr">
        <is>
          <t>Capex</t>
        </is>
      </c>
      <c r="Q3" s="117" t="inlineStr">
        <is>
          <t>Total Budget</t>
        </is>
      </c>
      <c r="R3" s="118" t="n"/>
      <c r="S3" s="272" t="inlineStr">
        <is>
          <t>Existing</t>
        </is>
      </c>
      <c r="T3" s="271" t="inlineStr">
        <is>
          <t>Aligned Delivery</t>
        </is>
      </c>
      <c r="U3" s="271" t="inlineStr">
        <is>
          <t>Aligned COE's</t>
        </is>
      </c>
      <c r="V3" s="117" t="inlineStr">
        <is>
          <t>Total Budget</t>
        </is>
      </c>
    </row>
    <row r="4" ht="29.25" customHeight="1" s="302">
      <c r="B4" s="119" t="inlineStr">
        <is>
          <t>SEGMENT</t>
        </is>
      </c>
      <c r="C4" s="370" t="n"/>
      <c r="D4" s="370" t="n"/>
      <c r="E4" s="370" t="n"/>
      <c r="F4" s="370" t="n"/>
      <c r="G4" s="120" t="inlineStr">
        <is>
          <t>People</t>
        </is>
      </c>
      <c r="H4" s="120" t="inlineStr">
        <is>
          <t>HW</t>
        </is>
      </c>
      <c r="I4" s="120" t="inlineStr">
        <is>
          <t>SW</t>
        </is>
      </c>
      <c r="J4" s="120" t="inlineStr">
        <is>
          <t>Network</t>
        </is>
      </c>
      <c r="K4" s="120" t="inlineStr">
        <is>
          <t>Vendor</t>
        </is>
      </c>
      <c r="L4" s="120" t="inlineStr">
        <is>
          <t>Sub-Total</t>
        </is>
      </c>
      <c r="M4" s="370" t="n"/>
      <c r="N4" s="370" t="n"/>
      <c r="O4" s="370" t="n"/>
      <c r="P4" s="370" t="n"/>
      <c r="Q4" s="121" t="inlineStr">
        <is>
          <t>FY2026</t>
        </is>
      </c>
      <c r="R4" s="122" t="n"/>
      <c r="S4" s="371" t="n"/>
      <c r="T4" s="370" t="n"/>
      <c r="U4" s="370" t="n"/>
      <c r="V4" s="121" t="inlineStr">
        <is>
          <t>FY2026</t>
        </is>
      </c>
    </row>
    <row r="5" ht="22.5" customHeight="1" s="302">
      <c r="B5" s="123" t="inlineStr">
        <is>
          <t>TDD Corporate (1)</t>
        </is>
      </c>
      <c r="C5" s="124" t="inlineStr">
        <is>
          <t>Brad Blyth</t>
        </is>
      </c>
      <c r="D5" s="125" t="n"/>
      <c r="E5" s="125" t="n"/>
      <c r="F5" s="125" t="n"/>
      <c r="G5" s="126" t="n">
        <v>35.2</v>
      </c>
      <c r="H5" s="126" t="n">
        <v>2.9</v>
      </c>
      <c r="I5" s="126" t="n">
        <v>25.6</v>
      </c>
      <c r="J5" s="126" t="n">
        <v>2.1</v>
      </c>
      <c r="K5" s="126" t="n">
        <v>13.1</v>
      </c>
      <c r="L5" s="127">
        <f>SUM(G5:K5)</f>
        <v>78.89999999999999</v>
      </c>
      <c r="M5" s="127" t="n">
        <v>5.8</v>
      </c>
      <c r="N5" s="127" t="n">
        <v>3</v>
      </c>
      <c r="O5" s="127" t="n">
        <v>20.2</v>
      </c>
      <c r="P5" s="127" t="n">
        <v>4.9</v>
      </c>
      <c r="Q5" s="128">
        <f>SUM(L5:P5)</f>
        <v>112.8</v>
      </c>
      <c r="R5" s="122" t="n"/>
      <c r="S5" s="129" t="n"/>
      <c r="T5" s="130" t="n"/>
      <c r="U5" s="131">
        <f>SUM(W25:W29)</f>
        <v>91.60000000000001</v>
      </c>
      <c r="V5" s="128">
        <f>SUM(S5:U5)</f>
        <v>91.60000000000001</v>
      </c>
    </row>
    <row r="6" ht="29.25" customHeight="1" s="302">
      <c r="B6" s="123" t="inlineStr">
        <is>
          <t>Z-Energy (2)</t>
        </is>
      </c>
      <c r="C6" s="124" t="inlineStr">
        <is>
          <t>Lindis Jones</t>
        </is>
      </c>
      <c r="D6" s="124" t="inlineStr">
        <is>
          <t>Vance Anderson</t>
        </is>
      </c>
      <c r="E6" s="125" t="n"/>
      <c r="F6" s="125" t="n"/>
      <c r="G6" s="126" t="n">
        <v>17.6</v>
      </c>
      <c r="H6" s="126" t="n">
        <v>19.8</v>
      </c>
      <c r="I6" s="126" t="n">
        <v>11.6</v>
      </c>
      <c r="J6" s="126" t="n">
        <v>0.6</v>
      </c>
      <c r="K6" s="126" t="n">
        <v>2.6</v>
      </c>
      <c r="L6" s="127">
        <f>SUM(G6:K6)</f>
        <v>52.20000000000001</v>
      </c>
      <c r="M6" s="127" t="n">
        <v>11.3</v>
      </c>
      <c r="N6" s="127" t="n">
        <v>1.4</v>
      </c>
      <c r="O6" s="127" t="inlineStr">
        <is>
          <t>-</t>
        </is>
      </c>
      <c r="P6" s="127" t="n">
        <v>11.7</v>
      </c>
      <c r="Q6" s="128">
        <f>SUM(L6:P6)</f>
        <v>76.60000000000002</v>
      </c>
      <c r="R6" s="122" t="n"/>
      <c r="S6" s="132">
        <f>Q6</f>
        <v>76.60000000000002</v>
      </c>
      <c r="T6" s="130" t="n"/>
      <c r="U6" s="130" t="n"/>
      <c r="V6" s="128">
        <f>SUM(S6:U6)</f>
        <v>76.60000000000002</v>
      </c>
    </row>
    <row r="7" ht="29.25" customHeight="1" s="302">
      <c r="B7" s="123" t="inlineStr">
        <is>
          <t>EnergySolutions</t>
        </is>
      </c>
      <c r="C7" s="124" t="inlineStr">
        <is>
          <t>Brent Merrick</t>
        </is>
      </c>
      <c r="D7" s="124" t="inlineStr">
        <is>
          <t>Roanne Steele</t>
        </is>
      </c>
      <c r="E7" s="125" t="n"/>
      <c r="F7" s="125" t="n"/>
      <c r="G7" s="126" t="n">
        <v>1</v>
      </c>
      <c r="H7" s="126" t="n">
        <v>1.5</v>
      </c>
      <c r="I7" s="126" t="n">
        <v>1.4</v>
      </c>
      <c r="J7" s="130" t="n"/>
      <c r="K7" s="130" t="n"/>
      <c r="L7" s="127">
        <f>SUM(G7:K7)</f>
        <v>3.9</v>
      </c>
      <c r="M7" s="133" t="n"/>
      <c r="N7" s="127" t="n">
        <v>1</v>
      </c>
      <c r="O7" s="133" t="n"/>
      <c r="P7" s="127" t="n">
        <v>2.3</v>
      </c>
      <c r="Q7" s="128">
        <f>SUM(L7:P7)</f>
        <v>7.2</v>
      </c>
      <c r="R7" s="122" t="n"/>
      <c r="S7" s="132">
        <f>Q7</f>
        <v>7.2</v>
      </c>
      <c r="T7" s="130" t="n"/>
      <c r="U7" s="130" t="n"/>
      <c r="V7" s="128">
        <f>SUM(S7:U7)</f>
        <v>7.2</v>
      </c>
      <c r="Y7" s="115">
        <f>SUM(L9,N9,O9,P9)</f>
        <v>33.8</v>
      </c>
    </row>
    <row r="8" ht="29.25" customHeight="1" s="302">
      <c r="B8" s="123" t="inlineStr">
        <is>
          <t>Commercial Fuels</t>
        </is>
      </c>
      <c r="C8" s="124" t="inlineStr">
        <is>
          <t>Brent Merrick</t>
        </is>
      </c>
      <c r="D8" s="124" t="inlineStr">
        <is>
          <t>Roanne Steele</t>
        </is>
      </c>
      <c r="E8" s="125" t="n"/>
      <c r="F8" s="125" t="n"/>
      <c r="G8" s="130" t="n"/>
      <c r="H8" s="126" t="n">
        <v>2.5</v>
      </c>
      <c r="I8" s="126" t="n">
        <v>9.4</v>
      </c>
      <c r="J8" s="126" t="n">
        <v>1.5</v>
      </c>
      <c r="K8" s="130" t="n"/>
      <c r="L8" s="127">
        <f>SUM(G8:K8)</f>
        <v>13.4</v>
      </c>
      <c r="M8" s="133" t="n"/>
      <c r="N8" s="127" t="n">
        <v>6.1</v>
      </c>
      <c r="O8" s="127" t="n">
        <v>14.2</v>
      </c>
      <c r="P8" s="127" t="n">
        <v>6.8</v>
      </c>
      <c r="Q8" s="128">
        <f>SUM(L8:P8)</f>
        <v>40.5</v>
      </c>
      <c r="R8" s="122" t="n"/>
      <c r="S8" s="132">
        <f>Q8</f>
        <v>40.5</v>
      </c>
      <c r="T8" s="134">
        <f>S19</f>
        <v>1.2</v>
      </c>
      <c r="U8" s="130" t="n"/>
      <c r="V8" s="128">
        <f>SUM(S8:U8)</f>
        <v>41.7</v>
      </c>
    </row>
    <row r="9" ht="29.25" customHeight="1" s="302">
      <c r="B9" s="123" t="inlineStr">
        <is>
          <t>Retail</t>
        </is>
      </c>
      <c r="C9" s="124" t="inlineStr">
        <is>
          <t>Kate Thomson</t>
        </is>
      </c>
      <c r="D9" s="124" t="inlineStr">
        <is>
          <t>Roanne Steele</t>
        </is>
      </c>
      <c r="E9" s="125" t="n"/>
      <c r="F9" s="125" t="n"/>
      <c r="G9" s="130" t="n"/>
      <c r="H9" s="126" t="n">
        <v>5.3</v>
      </c>
      <c r="I9" s="126" t="n">
        <v>6.4</v>
      </c>
      <c r="J9" s="126" t="n">
        <v>2.2</v>
      </c>
      <c r="K9" s="130" t="n"/>
      <c r="L9" s="127">
        <f>SUM(G9:K9)</f>
        <v>13.899999999999999</v>
      </c>
      <c r="M9" s="133" t="n"/>
      <c r="N9" s="127" t="n">
        <v>1.3</v>
      </c>
      <c r="O9" s="127" t="n">
        <v>6.8</v>
      </c>
      <c r="P9" s="127" t="n">
        <v>11.8</v>
      </c>
      <c r="Q9" s="128">
        <f>SUM(L9:P9)</f>
        <v>33.8</v>
      </c>
      <c r="R9" s="122" t="n"/>
      <c r="S9" s="132">
        <f>Q9</f>
        <v>33.8</v>
      </c>
      <c r="T9" s="134">
        <f>S20</f>
        <v>5.2</v>
      </c>
      <c r="U9" s="130" t="n"/>
      <c r="V9" s="128">
        <f>SUM(S9:U9)</f>
        <v>39.0</v>
      </c>
    </row>
    <row r="10" ht="29.25" customHeight="1" s="302">
      <c r="B10" s="123" t="inlineStr">
        <is>
          <t>Infrastructure</t>
        </is>
      </c>
      <c r="C10" s="124" t="inlineStr">
        <is>
          <t>Michelle Bardy</t>
        </is>
      </c>
      <c r="D10" s="124" t="inlineStr">
        <is>
          <t>Roanne Steele</t>
        </is>
      </c>
      <c r="E10" s="125" t="n"/>
      <c r="F10" s="125" t="n"/>
      <c r="G10" s="130" t="n"/>
      <c r="H10" s="126" t="n">
        <v>1.9</v>
      </c>
      <c r="I10" s="126" t="n">
        <v>2</v>
      </c>
      <c r="J10" s="130" t="n"/>
      <c r="K10" s="130" t="n"/>
      <c r="L10" s="127">
        <f>SUM(G10:K10)</f>
        <v>3.9</v>
      </c>
      <c r="M10" s="133" t="n"/>
      <c r="N10" s="127" t="n">
        <v>0.4</v>
      </c>
      <c r="O10" s="133" t="n"/>
      <c r="P10" s="127" t="n">
        <v>5</v>
      </c>
      <c r="Q10" s="128">
        <f>SUM(L10:P10)</f>
        <v>9.3</v>
      </c>
      <c r="R10" s="122" t="n"/>
      <c r="S10" s="132">
        <f>Q10</f>
        <v>9.3</v>
      </c>
      <c r="T10" s="134">
        <f>S21</f>
        <v>2.2</v>
      </c>
      <c r="U10" s="130" t="n"/>
      <c r="V10" s="128">
        <f>SUM(S10:U10)</f>
        <v>11.5</v>
      </c>
    </row>
    <row r="11" ht="29.25" customHeight="1" s="302">
      <c r="B11" s="123" t="inlineStr">
        <is>
          <t>Corporate Finance</t>
        </is>
      </c>
      <c r="C11" s="124" t="inlineStr">
        <is>
          <t>Greg Barnes</t>
        </is>
      </c>
      <c r="D11" s="124" t="inlineStr">
        <is>
          <t>Emily Mogic</t>
        </is>
      </c>
      <c r="E11" s="125" t="n"/>
      <c r="F11" s="125" t="n"/>
      <c r="G11" s="130" t="n"/>
      <c r="H11" s="126" t="n">
        <v>0.5</v>
      </c>
      <c r="I11" s="126" t="n">
        <v>2.1</v>
      </c>
      <c r="J11" s="130" t="n"/>
      <c r="K11" s="130" t="n"/>
      <c r="L11" s="127">
        <f>SUM(G11:K11)</f>
        <v>2.6</v>
      </c>
      <c r="M11" s="133" t="n"/>
      <c r="N11" s="127" t="n">
        <v>0.9</v>
      </c>
      <c r="O11" s="133" t="n"/>
      <c r="P11" s="133" t="n"/>
      <c r="Q11" s="128">
        <f>SUM(L11:P11)</f>
        <v>3.5</v>
      </c>
      <c r="R11" s="122" t="n"/>
      <c r="S11" s="132">
        <f>Q11</f>
        <v>3.5</v>
      </c>
      <c r="T11" s="134">
        <f>S22</f>
        <v>9.0</v>
      </c>
      <c r="U11" s="130" t="n"/>
      <c r="V11" s="128">
        <f>SUM(S11:U11)</f>
        <v>12.5</v>
      </c>
    </row>
    <row r="12" ht="22.5" customHeight="1" s="302">
      <c r="B12" s="123" t="inlineStr">
        <is>
          <t>P&amp;C</t>
        </is>
      </c>
      <c r="C12" s="124" t="inlineStr">
        <is>
          <t>Meaghan Davis</t>
        </is>
      </c>
      <c r="D12" s="124" t="inlineStr">
        <is>
          <t>Emily Mogic</t>
        </is>
      </c>
      <c r="E12" s="125" t="n"/>
      <c r="F12" s="125" t="n"/>
      <c r="G12" s="130" t="n"/>
      <c r="H12" s="126" t="n">
        <v>0.3</v>
      </c>
      <c r="I12" s="126" t="n">
        <v>1.8</v>
      </c>
      <c r="J12" s="130" t="n"/>
      <c r="K12" s="130" t="n"/>
      <c r="L12" s="127">
        <f>SUM(G12:K12)</f>
        <v>2.1</v>
      </c>
      <c r="M12" s="133" t="n"/>
      <c r="N12" s="127" t="n">
        <v>2</v>
      </c>
      <c r="O12" s="127" t="n">
        <v>1.4</v>
      </c>
      <c r="P12" s="127" t="n">
        <v>0.3</v>
      </c>
      <c r="Q12" s="128">
        <f>SUM(L12:P12)</f>
        <v>5.8</v>
      </c>
      <c r="R12" s="122" t="n"/>
      <c r="S12" s="132">
        <f>Q12</f>
        <v>5.8</v>
      </c>
      <c r="T12" s="134">
        <f>S23</f>
        <v>0.0</v>
      </c>
      <c r="U12" s="130" t="n"/>
      <c r="V12" s="128">
        <f>SUM(S12:U12)</f>
        <v>5.8</v>
      </c>
    </row>
    <row r="13" ht="29.25" customHeight="1" s="302">
      <c r="B13" s="123" t="inlineStr">
        <is>
          <t>Customer</t>
        </is>
      </c>
      <c r="C13" s="135" t="inlineStr">
        <is>
          <t>Kate Thomson</t>
        </is>
      </c>
      <c r="D13" s="135" t="inlineStr">
        <is>
          <t>Vance Anderson</t>
        </is>
      </c>
      <c r="E13" s="136" t="n"/>
      <c r="F13" s="136" t="n"/>
      <c r="G13" s="137" t="n"/>
      <c r="H13" s="138" t="n">
        <v>0.1</v>
      </c>
      <c r="I13" s="138" t="n">
        <v>1.6</v>
      </c>
      <c r="J13" s="137" t="n"/>
      <c r="K13" s="137" t="n"/>
      <c r="L13" s="139">
        <f>SUM(G13:K13)</f>
        <v>1.7000000000000002</v>
      </c>
      <c r="M13" s="140" t="n"/>
      <c r="N13" s="140" t="n"/>
      <c r="O13" s="139" t="n">
        <v>5</v>
      </c>
      <c r="P13" s="139" t="n">
        <v>5</v>
      </c>
      <c r="Q13" s="141">
        <f>SUM(L13:P13)</f>
        <v>11.7</v>
      </c>
      <c r="R13" s="142" t="n"/>
      <c r="S13" s="143">
        <f>Q13</f>
        <v>11.7</v>
      </c>
      <c r="T13" s="144">
        <f>S24</f>
        <v>3.6999999999999997</v>
      </c>
      <c r="U13" s="137" t="n"/>
      <c r="V13" s="141">
        <f>SUM(S13:U13)</f>
        <v>15.399999999999999</v>
      </c>
    </row>
    <row r="14" ht="22.5" customHeight="1" s="302">
      <c r="B14" s="145" t="inlineStr">
        <is>
          <t>Total Technology</t>
        </is>
      </c>
      <c r="C14" s="146" t="n"/>
      <c r="D14" s="146" t="n"/>
      <c r="E14" s="146" t="n"/>
      <c r="F14" s="146" t="n"/>
      <c r="G14" s="147">
        <f>SUM(G5:G13)</f>
        <v>53.800000000000004</v>
      </c>
      <c r="H14" s="147">
        <f>SUM(H5:H13)</f>
        <v>34.8</v>
      </c>
      <c r="I14" s="147">
        <f>SUM(I5:I13)</f>
        <v>61.9</v>
      </c>
      <c r="J14" s="147">
        <f>SUM(J5:J13)</f>
        <v>6.4</v>
      </c>
      <c r="K14" s="147">
        <f>SUM(K5:K13)</f>
        <v>15.7</v>
      </c>
      <c r="L14" s="148">
        <f>SUM(L5:L13)</f>
        <v>172.6</v>
      </c>
      <c r="M14" s="148">
        <f>SUM(M5:M13)</f>
        <v>17.1</v>
      </c>
      <c r="N14" s="148">
        <f>SUM(N5:N13)</f>
        <v>16.1</v>
      </c>
      <c r="O14" s="148">
        <f>SUM(O5:O13)</f>
        <v>47.599999999999994</v>
      </c>
      <c r="P14" s="148">
        <f>SUM(P5:P13)</f>
        <v>47.800000000000004</v>
      </c>
      <c r="Q14" s="149">
        <f>SUM(Q5:Q13)</f>
        <v>301.2</v>
      </c>
      <c r="R14" s="150" t="n"/>
      <c r="S14" s="151">
        <f>SUM(S6:S13)</f>
        <v>188.40000000000003</v>
      </c>
      <c r="T14" s="152">
        <f>SUM(T8:T13)</f>
        <v>21.3</v>
      </c>
      <c r="U14" s="152">
        <f>U5</f>
        <v>91.60000000000001</v>
      </c>
      <c r="V14" s="149">
        <f>SUM(V5:V13)</f>
        <v>301.3</v>
      </c>
    </row>
    <row r="16" ht="13.5" customHeight="1" s="302"/>
    <row r="17" ht="26.25" customHeight="1" s="302">
      <c r="B17" s="274" t="inlineStr">
        <is>
          <t>BUSINESS SEGMENT</t>
        </is>
      </c>
      <c r="C17" s="372" t="n"/>
      <c r="D17" s="373" t="n"/>
      <c r="E17" s="274" t="inlineStr">
        <is>
          <t>EGM Sponsor</t>
        </is>
      </c>
      <c r="F17" s="274" t="inlineStr">
        <is>
          <t>GM Sponsor</t>
        </is>
      </c>
      <c r="G17" s="274" t="inlineStr">
        <is>
          <t>Domain Architect</t>
        </is>
      </c>
      <c r="H17" s="274" t="inlineStr">
        <is>
          <t>HO Technology</t>
        </is>
      </c>
      <c r="I17" s="275" t="inlineStr">
        <is>
          <t>Lights-on</t>
        </is>
      </c>
      <c r="J17" s="374" t="n"/>
      <c r="K17" s="374" t="n"/>
      <c r="L17" s="374" t="n"/>
      <c r="M17" s="374" t="n"/>
      <c r="N17" s="375" t="n"/>
      <c r="O17" s="275" t="inlineStr">
        <is>
          <t>Depreciation</t>
        </is>
      </c>
      <c r="P17" s="275" t="inlineStr">
        <is>
          <t>Initiatives</t>
        </is>
      </c>
      <c r="Q17" s="275" t="inlineStr">
        <is>
          <t>Sig Items</t>
        </is>
      </c>
      <c r="R17" s="275" t="inlineStr">
        <is>
          <t>Capex</t>
        </is>
      </c>
      <c r="S17" s="153" t="inlineStr">
        <is>
          <t>Total Budget</t>
        </is>
      </c>
      <c r="T17" s="154" t="n"/>
      <c r="U17" s="276" t="inlineStr">
        <is>
          <t>Existing</t>
        </is>
      </c>
      <c r="V17" s="278" t="inlineStr">
        <is>
          <t>Aligned  Delivery</t>
        </is>
      </c>
      <c r="W17" s="155" t="inlineStr">
        <is>
          <t>Aligned</t>
        </is>
      </c>
      <c r="X17" s="156" t="inlineStr">
        <is>
          <t>Total Budget</t>
        </is>
      </c>
    </row>
    <row r="18" ht="13.5" customHeight="1" s="302">
      <c r="B18" s="376" t="n"/>
      <c r="C18" s="377" t="n"/>
      <c r="D18" s="378" t="n"/>
      <c r="E18" s="379" t="n"/>
      <c r="F18" s="379" t="n"/>
      <c r="G18" s="379" t="n"/>
      <c r="H18" s="379" t="n"/>
      <c r="I18" s="157" t="inlineStr">
        <is>
          <t>People</t>
        </is>
      </c>
      <c r="J18" s="157" t="inlineStr">
        <is>
          <t>HW</t>
        </is>
      </c>
      <c r="K18" s="157" t="inlineStr">
        <is>
          <t>SW</t>
        </is>
      </c>
      <c r="L18" s="157" t="inlineStr">
        <is>
          <t>Network</t>
        </is>
      </c>
      <c r="M18" s="157" t="inlineStr">
        <is>
          <t>Vendor</t>
        </is>
      </c>
      <c r="N18" s="157" t="inlineStr">
        <is>
          <t>Sub-Total</t>
        </is>
      </c>
      <c r="O18" s="379" t="n"/>
      <c r="P18" s="379" t="n"/>
      <c r="Q18" s="379" t="n"/>
      <c r="R18" s="379" t="n"/>
      <c r="S18" s="158" t="inlineStr">
        <is>
          <t>FY2026</t>
        </is>
      </c>
      <c r="T18" s="159" t="n"/>
      <c r="U18" s="371" t="n"/>
      <c r="V18" s="370" t="n"/>
      <c r="W18" s="160" t="inlineStr">
        <is>
          <t>COE's</t>
        </is>
      </c>
      <c r="X18" s="161" t="inlineStr">
        <is>
          <t>FY2026</t>
        </is>
      </c>
    </row>
    <row r="19" ht="26.25" customHeight="1" s="302">
      <c r="B19" s="279" t="n"/>
      <c r="C19" s="373" t="n"/>
      <c r="D19" s="162" t="inlineStr">
        <is>
          <t>Commercial Fuels</t>
        </is>
      </c>
      <c r="E19" s="163" t="n"/>
      <c r="F19" s="163" t="n"/>
      <c r="G19" s="163" t="n"/>
      <c r="H19" s="163" t="n"/>
      <c r="I19" s="164" t="n">
        <v>1.2</v>
      </c>
      <c r="J19" s="164" t="n">
        <v>0</v>
      </c>
      <c r="K19" s="164" t="n">
        <v>0</v>
      </c>
      <c r="L19" s="164" t="inlineStr">
        <is>
          <t>-</t>
        </is>
      </c>
      <c r="M19" s="164" t="inlineStr">
        <is>
          <t>-</t>
        </is>
      </c>
      <c r="N19" s="164">
        <f>SUM(I19:M19)</f>
        <v>1.2</v>
      </c>
      <c r="O19" s="164" t="inlineStr">
        <is>
          <t>-</t>
        </is>
      </c>
      <c r="P19" s="165" t="n"/>
      <c r="Q19" s="165" t="n"/>
      <c r="R19" s="166" t="n"/>
      <c r="S19" s="167">
        <f>SUM(N19:R19)</f>
        <v>1.2</v>
      </c>
      <c r="T19" s="159" t="n"/>
      <c r="U19" s="168" t="n"/>
      <c r="V19" s="169" t="n"/>
      <c r="W19" s="169" t="n"/>
      <c r="X19" s="170" t="inlineStr">
        <is>
          <t>-</t>
        </is>
      </c>
    </row>
    <row r="20" ht="13.5" customHeight="1" s="302">
      <c r="B20" s="380" t="n"/>
      <c r="C20" s="381" t="n"/>
      <c r="D20" s="171" t="inlineStr">
        <is>
          <t>Retail</t>
        </is>
      </c>
      <c r="E20" s="172" t="n"/>
      <c r="F20" s="172" t="n"/>
      <c r="G20" s="172" t="n"/>
      <c r="H20" s="172" t="n"/>
      <c r="I20" s="173" t="n">
        <v>3.4</v>
      </c>
      <c r="J20" s="173" t="n">
        <v>0.2</v>
      </c>
      <c r="K20" s="173" t="n">
        <v>0.9</v>
      </c>
      <c r="L20" s="173" t="inlineStr">
        <is>
          <t>-</t>
        </is>
      </c>
      <c r="M20" s="173" t="n">
        <v>0.7</v>
      </c>
      <c r="N20" s="173">
        <f>SUM(I20:M20)</f>
        <v>5.2</v>
      </c>
      <c r="O20" s="173" t="inlineStr">
        <is>
          <t>-</t>
        </is>
      </c>
      <c r="P20" s="169" t="n"/>
      <c r="Q20" s="169" t="n"/>
      <c r="R20" s="174" t="n"/>
      <c r="S20" s="175">
        <f>SUM(N20:R20)</f>
        <v>5.2</v>
      </c>
      <c r="T20" s="159" t="n"/>
      <c r="U20" s="168" t="n"/>
      <c r="V20" s="169" t="n"/>
      <c r="W20" s="169" t="n"/>
      <c r="X20" s="170" t="inlineStr">
        <is>
          <t>-</t>
        </is>
      </c>
    </row>
    <row r="21" ht="30" customHeight="1" s="302">
      <c r="B21" s="380" t="n"/>
      <c r="C21" s="381" t="n"/>
      <c r="D21" s="171" t="inlineStr">
        <is>
          <t>Infrastructure</t>
        </is>
      </c>
      <c r="E21" s="172" t="n"/>
      <c r="F21" s="172" t="n"/>
      <c r="G21" s="172" t="n"/>
      <c r="H21" s="172" t="n"/>
      <c r="I21" s="173" t="n">
        <v>2</v>
      </c>
      <c r="J21" s="173" t="inlineStr">
        <is>
          <t>-</t>
        </is>
      </c>
      <c r="K21" s="173" t="n">
        <v>0.2</v>
      </c>
      <c r="L21" s="173" t="inlineStr">
        <is>
          <t>-</t>
        </is>
      </c>
      <c r="M21" s="173" t="inlineStr">
        <is>
          <t>-</t>
        </is>
      </c>
      <c r="N21" s="173">
        <f>SUM(I21:M21)</f>
        <v>2.2</v>
      </c>
      <c r="O21" s="173" t="inlineStr">
        <is>
          <t>-</t>
        </is>
      </c>
      <c r="P21" s="169" t="n"/>
      <c r="Q21" s="169" t="n"/>
      <c r="R21" s="174" t="n"/>
      <c r="S21" s="175">
        <f>SUM(N21:R21)</f>
        <v>2.2</v>
      </c>
      <c r="T21" s="159" t="n"/>
      <c r="U21" s="168" t="n"/>
      <c r="V21" s="169" t="n"/>
      <c r="W21" s="169" t="n"/>
      <c r="X21" s="170" t="inlineStr">
        <is>
          <t>-</t>
        </is>
      </c>
    </row>
    <row r="22" ht="26.25" customHeight="1" s="302">
      <c r="B22" s="380" t="n"/>
      <c r="C22" s="381" t="n"/>
      <c r="D22" s="171" t="inlineStr">
        <is>
          <t>Corporate Finance</t>
        </is>
      </c>
      <c r="E22" s="172" t="n"/>
      <c r="F22" s="172" t="n"/>
      <c r="G22" s="172" t="n"/>
      <c r="H22" s="172" t="n"/>
      <c r="I22" s="173" t="n">
        <v>1.3</v>
      </c>
      <c r="J22" s="173" t="inlineStr">
        <is>
          <t>-</t>
        </is>
      </c>
      <c r="K22" s="173" t="n">
        <v>4.2</v>
      </c>
      <c r="L22" s="173" t="inlineStr">
        <is>
          <t>-</t>
        </is>
      </c>
      <c r="M22" s="173" t="n">
        <v>3.5</v>
      </c>
      <c r="N22" s="173">
        <f>SUM(I22:M22)</f>
        <v>9.0</v>
      </c>
      <c r="O22" s="173" t="inlineStr">
        <is>
          <t>-</t>
        </is>
      </c>
      <c r="P22" s="169" t="n"/>
      <c r="Q22" s="169" t="n"/>
      <c r="R22" s="174" t="n"/>
      <c r="S22" s="175">
        <f>SUM(N22:R22)</f>
        <v>9.0</v>
      </c>
      <c r="T22" s="159" t="n"/>
      <c r="U22" s="168" t="n"/>
      <c r="V22" s="169" t="n"/>
      <c r="W22" s="169" t="n"/>
      <c r="X22" s="170" t="inlineStr">
        <is>
          <t>-</t>
        </is>
      </c>
    </row>
    <row r="23" ht="13.5" customHeight="1" s="302">
      <c r="B23" s="380" t="n"/>
      <c r="C23" s="381" t="n"/>
      <c r="D23" s="171" t="inlineStr">
        <is>
          <t>P&amp;C</t>
        </is>
      </c>
      <c r="E23" s="172" t="n"/>
      <c r="F23" s="172" t="n"/>
      <c r="G23" s="172" t="n"/>
      <c r="H23" s="172" t="n"/>
      <c r="I23" s="173" t="n">
        <v>0</v>
      </c>
      <c r="J23" s="173" t="inlineStr">
        <is>
          <t>-</t>
        </is>
      </c>
      <c r="K23" s="173" t="inlineStr">
        <is>
          <t>-</t>
        </is>
      </c>
      <c r="L23" s="173" t="inlineStr">
        <is>
          <t>-</t>
        </is>
      </c>
      <c r="M23" s="173" t="inlineStr">
        <is>
          <t>-</t>
        </is>
      </c>
      <c r="N23" s="173">
        <f>SUM(I23:M23)</f>
        <v>0.0</v>
      </c>
      <c r="O23" s="173" t="inlineStr">
        <is>
          <t>-</t>
        </is>
      </c>
      <c r="P23" s="169" t="n"/>
      <c r="Q23" s="169" t="n"/>
      <c r="R23" s="174" t="n"/>
      <c r="S23" s="175">
        <f>SUM(N23:R23)</f>
        <v>0.0</v>
      </c>
      <c r="T23" s="159" t="n"/>
      <c r="U23" s="168" t="n"/>
      <c r="V23" s="169" t="n"/>
      <c r="W23" s="169" t="n"/>
      <c r="X23" s="170" t="inlineStr">
        <is>
          <t>-</t>
        </is>
      </c>
    </row>
    <row r="24" ht="13.5" customHeight="1" s="302">
      <c r="B24" s="380" t="n"/>
      <c r="C24" s="381" t="n"/>
      <c r="D24" s="171" t="inlineStr">
        <is>
          <t>Customer</t>
        </is>
      </c>
      <c r="E24" s="172" t="n"/>
      <c r="F24" s="172" t="n"/>
      <c r="G24" s="172" t="n"/>
      <c r="H24" s="172" t="n"/>
      <c r="I24" s="173" t="n">
        <v>1.2</v>
      </c>
      <c r="J24" s="173" t="inlineStr">
        <is>
          <t>-</t>
        </is>
      </c>
      <c r="K24" s="173" t="n">
        <v>0.6</v>
      </c>
      <c r="L24" s="173" t="n">
        <v>0</v>
      </c>
      <c r="M24" s="173" t="n">
        <v>1</v>
      </c>
      <c r="N24" s="173">
        <f>SUM(I24:M24)</f>
        <v>2.8</v>
      </c>
      <c r="O24" s="173" t="n">
        <v>0.9</v>
      </c>
      <c r="P24" s="169" t="n"/>
      <c r="Q24" s="169" t="n"/>
      <c r="R24" s="174" t="n"/>
      <c r="S24" s="175">
        <f>SUM(N24:R24)</f>
        <v>3.6999999999999997</v>
      </c>
      <c r="T24" s="159" t="n"/>
      <c r="U24" s="168" t="n"/>
      <c r="V24" s="169" t="n"/>
      <c r="W24" s="169" t="n"/>
      <c r="X24" s="170" t="inlineStr">
        <is>
          <t>-</t>
        </is>
      </c>
    </row>
    <row r="25" ht="13.5" customHeight="1" s="302">
      <c r="B25" s="380" t="n"/>
      <c r="C25" s="381" t="n"/>
      <c r="D25" s="176" t="inlineStr">
        <is>
          <t>TDD</t>
        </is>
      </c>
      <c r="E25" s="177" t="n"/>
      <c r="F25" s="178" t="inlineStr">
        <is>
          <t>Emily Mogic</t>
        </is>
      </c>
      <c r="G25" s="177" t="n"/>
      <c r="H25" s="177" t="n"/>
      <c r="I25" s="173" t="n">
        <v>4.5</v>
      </c>
      <c r="J25" s="173" t="n">
        <v>2.5</v>
      </c>
      <c r="K25" s="173" t="n">
        <v>14.5</v>
      </c>
      <c r="L25" s="173" t="n">
        <v>0</v>
      </c>
      <c r="M25" s="173" t="n">
        <v>0.8</v>
      </c>
      <c r="N25" s="173">
        <f>SUM(I25:M25)</f>
        <v>22.3</v>
      </c>
      <c r="O25" s="173" t="n">
        <v>4.9</v>
      </c>
      <c r="P25" s="169" t="n"/>
      <c r="Q25" s="169" t="n"/>
      <c r="R25" s="174" t="n"/>
      <c r="S25" s="179">
        <f>SUM(N25:R25)</f>
        <v>27.200000000000003</v>
      </c>
      <c r="T25" s="159" t="n"/>
      <c r="U25" s="168" t="n"/>
      <c r="V25" s="169" t="n"/>
      <c r="W25" s="180">
        <f>S25</f>
        <v>27.200000000000003</v>
      </c>
      <c r="X25" s="170">
        <f>W25</f>
        <v>27.200000000000003</v>
      </c>
    </row>
    <row r="26" ht="13.5" customHeight="1" s="302">
      <c r="B26" s="380" t="n"/>
      <c r="C26" s="381" t="n"/>
      <c r="D26" s="176" t="inlineStr">
        <is>
          <t>TDDEGM</t>
        </is>
      </c>
      <c r="E26" s="177" t="n"/>
      <c r="F26" s="178" t="inlineStr">
        <is>
          <t>Brad Blyth</t>
        </is>
      </c>
      <c r="G26" s="177" t="n"/>
      <c r="H26" s="177" t="n"/>
      <c r="I26" s="173" t="n">
        <v>6.5</v>
      </c>
      <c r="J26" s="173" t="inlineStr">
        <is>
          <t>-</t>
        </is>
      </c>
      <c r="K26" s="173" t="inlineStr">
        <is>
          <t>-</t>
        </is>
      </c>
      <c r="L26" s="173" t="inlineStr">
        <is>
          <t>-</t>
        </is>
      </c>
      <c r="M26" s="173" t="n">
        <v>3.6</v>
      </c>
      <c r="N26" s="173">
        <f>SUM(I26:M26)</f>
        <v>10.1</v>
      </c>
      <c r="O26" s="173" t="inlineStr">
        <is>
          <t>-</t>
        </is>
      </c>
      <c r="P26" s="173" t="n">
        <v>3</v>
      </c>
      <c r="Q26" s="173" t="n">
        <v>20.2</v>
      </c>
      <c r="R26" s="181" t="n">
        <v>4.9</v>
      </c>
      <c r="S26" s="179">
        <f>SUM(N26:R26)</f>
        <v>38.199999999999996</v>
      </c>
      <c r="T26" s="159" t="n"/>
      <c r="U26" s="168" t="n"/>
      <c r="V26" s="169" t="n"/>
      <c r="W26" s="180">
        <f>S26</f>
        <v>38.199999999999996</v>
      </c>
      <c r="X26" s="170">
        <f>W26</f>
        <v>38.199999999999996</v>
      </c>
    </row>
    <row r="27" ht="39" customHeight="1" s="302">
      <c r="B27" s="380" t="n"/>
      <c r="C27" s="381" t="n"/>
      <c r="D27" s="176" t="inlineStr">
        <is>
          <t>Strategy, Architecture and Data</t>
        </is>
      </c>
      <c r="E27" s="177" t="n"/>
      <c r="F27" s="178" t="inlineStr">
        <is>
          <t>Matt Ashley</t>
        </is>
      </c>
      <c r="G27" s="177" t="n"/>
      <c r="H27" s="177" t="n"/>
      <c r="I27" s="173" t="n">
        <v>5.3</v>
      </c>
      <c r="J27" s="173" t="inlineStr">
        <is>
          <t>-</t>
        </is>
      </c>
      <c r="K27" s="173" t="n">
        <v>1</v>
      </c>
      <c r="L27" s="173" t="inlineStr">
        <is>
          <t>-</t>
        </is>
      </c>
      <c r="M27" s="173" t="n">
        <v>0.6</v>
      </c>
      <c r="N27" s="173">
        <f>SUM(I27:M27)</f>
        <v>6.8999999999999995</v>
      </c>
      <c r="O27" s="173" t="inlineStr">
        <is>
          <t>-</t>
        </is>
      </c>
      <c r="P27" s="169" t="n"/>
      <c r="Q27" s="169" t="n"/>
      <c r="R27" s="174" t="n"/>
      <c r="S27" s="179">
        <f>SUM(N27:R27)</f>
        <v>6.8999999999999995</v>
      </c>
      <c r="T27" s="159" t="n"/>
      <c r="U27" s="168" t="n"/>
      <c r="V27" s="169" t="n"/>
      <c r="W27" s="180">
        <f>S27</f>
        <v>6.8999999999999995</v>
      </c>
      <c r="X27" s="170">
        <f>W27</f>
        <v>6.8999999999999995</v>
      </c>
    </row>
    <row r="28" ht="39" customHeight="1" s="302">
      <c r="B28" s="380" t="n"/>
      <c r="C28" s="381" t="n"/>
      <c r="D28" s="176" t="inlineStr">
        <is>
          <t>Cyber Risk and Operations</t>
        </is>
      </c>
      <c r="E28" s="177" t="n"/>
      <c r="F28" s="178" t="inlineStr">
        <is>
          <t>Frances Bouzo</t>
        </is>
      </c>
      <c r="G28" s="177" t="n"/>
      <c r="H28" s="177" t="n"/>
      <c r="I28" s="173" t="n">
        <v>7.6</v>
      </c>
      <c r="J28" s="173" t="n">
        <v>0.2</v>
      </c>
      <c r="K28" s="173" t="n">
        <v>4.3</v>
      </c>
      <c r="L28" s="173" t="n">
        <v>2</v>
      </c>
      <c r="M28" s="173" t="n">
        <v>2.9</v>
      </c>
      <c r="N28" s="173">
        <f>SUM(I28:M28)</f>
        <v>17.0</v>
      </c>
      <c r="O28" s="173" t="inlineStr">
        <is>
          <t>-</t>
        </is>
      </c>
      <c r="P28" s="169" t="n"/>
      <c r="Q28" s="169" t="n"/>
      <c r="R28" s="174" t="n"/>
      <c r="S28" s="179">
        <f>SUM(N28:R28)</f>
        <v>17.0</v>
      </c>
      <c r="T28" s="159" t="n"/>
      <c r="U28" s="168" t="n"/>
      <c r="V28" s="169" t="n"/>
      <c r="W28" s="180">
        <f>S28</f>
        <v>17.0</v>
      </c>
      <c r="X28" s="170">
        <f>W28</f>
        <v>17.0</v>
      </c>
    </row>
    <row r="29" ht="52.5" customHeight="1" s="302">
      <c r="B29" s="376" t="n"/>
      <c r="C29" s="378" t="n"/>
      <c r="D29" s="182" t="inlineStr">
        <is>
          <t>Business Partnering and Governance</t>
        </is>
      </c>
      <c r="E29" s="183" t="n"/>
      <c r="F29" s="184" t="inlineStr">
        <is>
          <t>Michael Schofield</t>
        </is>
      </c>
      <c r="G29" s="183" t="n"/>
      <c r="H29" s="183" t="n"/>
      <c r="I29" s="185" t="n">
        <v>2.3</v>
      </c>
      <c r="J29" s="185" t="inlineStr">
        <is>
          <t>-</t>
        </is>
      </c>
      <c r="K29" s="185" t="inlineStr">
        <is>
          <t>-</t>
        </is>
      </c>
      <c r="L29" s="185" t="inlineStr">
        <is>
          <t>-</t>
        </is>
      </c>
      <c r="M29" s="185" t="inlineStr">
        <is>
          <t>-</t>
        </is>
      </c>
      <c r="N29" s="185">
        <f>SUM(I29:M29)</f>
        <v>2.3</v>
      </c>
      <c r="O29" s="185" t="inlineStr">
        <is>
          <t>-</t>
        </is>
      </c>
      <c r="P29" s="186" t="n"/>
      <c r="Q29" s="186" t="n"/>
      <c r="R29" s="187" t="n"/>
      <c r="S29" s="188">
        <f>SUM(N29:R29)</f>
        <v>2.3</v>
      </c>
      <c r="T29" s="189" t="n"/>
      <c r="U29" s="190" t="n"/>
      <c r="V29" s="186" t="n"/>
      <c r="W29" s="191">
        <f>S29</f>
        <v>2.3</v>
      </c>
      <c r="X29" s="192">
        <f>W29</f>
        <v>2.3</v>
      </c>
    </row>
    <row r="30" ht="13.5" customHeight="1" s="302">
      <c r="B30" s="277" t="inlineStr">
        <is>
          <t>TDD Corporate (1)</t>
        </is>
      </c>
      <c r="C30" s="374" t="n"/>
      <c r="D30" s="382" t="n"/>
      <c r="E30" s="193" t="inlineStr">
        <is>
          <t>Brad Blyth</t>
        </is>
      </c>
      <c r="F30" s="194" t="n"/>
      <c r="G30" s="194" t="n"/>
      <c r="H30" s="194" t="n"/>
      <c r="I30" s="195">
        <f>G5</f>
        <v>35.2</v>
      </c>
      <c r="J30" s="195">
        <f>H5</f>
        <v>2.9</v>
      </c>
      <c r="K30" s="195">
        <f>I5</f>
        <v>25.6</v>
      </c>
      <c r="L30" s="195">
        <f>J5</f>
        <v>2.1</v>
      </c>
      <c r="M30" s="195">
        <f>K5</f>
        <v>13.1</v>
      </c>
      <c r="N30" s="195">
        <f>L5</f>
        <v>78.89999999999999</v>
      </c>
      <c r="O30" s="195">
        <f>M5</f>
        <v>5.8</v>
      </c>
      <c r="P30" s="195">
        <f>N5</f>
        <v>3.0</v>
      </c>
      <c r="Q30" s="195">
        <f>O5</f>
        <v>20.2</v>
      </c>
      <c r="R30" s="196">
        <f>P5</f>
        <v>4.9</v>
      </c>
      <c r="S30" s="157">
        <f>Q5</f>
        <v>112.8</v>
      </c>
      <c r="T30" s="197" t="n"/>
      <c r="U30" s="198" t="n"/>
      <c r="V30" s="199" t="n"/>
      <c r="W30" s="195">
        <f>U5</f>
        <v>91.60000000000001</v>
      </c>
      <c r="X30" s="196">
        <f>W30</f>
        <v>91.60000000000001</v>
      </c>
    </row>
    <row r="31" ht="13.5" customHeight="1" s="302">
      <c r="B31" s="200" t="n"/>
      <c r="C31" s="280" t="inlineStr">
        <is>
          <t>Z-Energy (Direct TDD)</t>
        </is>
      </c>
      <c r="D31" s="369" t="n"/>
      <c r="E31" s="201" t="n"/>
      <c r="F31" s="201" t="n"/>
      <c r="G31" s="201" t="n"/>
      <c r="H31" s="201" t="n"/>
      <c r="I31" s="164" t="n">
        <v>17.6</v>
      </c>
      <c r="J31" s="164" t="n">
        <v>12.1</v>
      </c>
      <c r="K31" s="164" t="n">
        <v>6.3</v>
      </c>
      <c r="L31" s="164" t="n">
        <v>0.6</v>
      </c>
      <c r="M31" s="164" t="n">
        <v>2.6</v>
      </c>
      <c r="N31" s="164" t="n">
        <v>39.3</v>
      </c>
      <c r="O31" s="164" t="n">
        <v>11.3</v>
      </c>
      <c r="P31" s="164" t="n">
        <v>1.4</v>
      </c>
      <c r="Q31" s="165" t="n"/>
      <c r="R31" s="202" t="n">
        <v>11.7</v>
      </c>
      <c r="S31" s="203" t="n">
        <v>63.7</v>
      </c>
      <c r="T31" s="204" t="n"/>
      <c r="U31" s="205" t="n"/>
      <c r="V31" s="165" t="n"/>
      <c r="W31" s="165" t="n"/>
      <c r="X31" s="206" t="inlineStr">
        <is>
          <t>-</t>
        </is>
      </c>
    </row>
    <row r="32" ht="13.5" customHeight="1" s="302">
      <c r="B32" s="207" t="n"/>
      <c r="C32" s="281" t="inlineStr">
        <is>
          <t>Z-Energy (Other IT Spend for Supplies, Customer)</t>
        </is>
      </c>
      <c r="D32" s="383" t="n"/>
      <c r="E32" s="208" t="n"/>
      <c r="F32" s="208" t="n"/>
      <c r="G32" s="208" t="n"/>
      <c r="H32" s="208" t="n"/>
      <c r="I32" s="186" t="n"/>
      <c r="J32" s="185" t="n">
        <v>7.6</v>
      </c>
      <c r="K32" s="185" t="n">
        <v>5.3</v>
      </c>
      <c r="L32" s="186" t="n"/>
      <c r="M32" s="186" t="n"/>
      <c r="N32" s="185" t="n">
        <v>13</v>
      </c>
      <c r="O32" s="186" t="n"/>
      <c r="P32" s="186" t="n"/>
      <c r="Q32" s="186" t="n"/>
      <c r="R32" s="187" t="n"/>
      <c r="S32" s="209" t="n">
        <v>13</v>
      </c>
      <c r="T32" s="189" t="n"/>
      <c r="U32" s="190" t="n"/>
      <c r="V32" s="186" t="n"/>
      <c r="W32" s="186" t="n"/>
      <c r="X32" s="192" t="inlineStr">
        <is>
          <t>-</t>
        </is>
      </c>
    </row>
    <row r="33" ht="13.5" customHeight="1" s="302">
      <c r="B33" s="277" t="inlineStr">
        <is>
          <t>Z-Energy (2)</t>
        </is>
      </c>
      <c r="C33" s="374" t="n"/>
      <c r="D33" s="382" t="n"/>
      <c r="E33" s="193" t="inlineStr">
        <is>
          <t>Lindis Jones</t>
        </is>
      </c>
      <c r="F33" s="193" t="inlineStr">
        <is>
          <t>Vance Anderson</t>
        </is>
      </c>
      <c r="G33" s="194" t="n"/>
      <c r="H33" s="194" t="n"/>
      <c r="I33" s="195">
        <f>G6</f>
        <v>17.6</v>
      </c>
      <c r="J33" s="195">
        <f>H6</f>
        <v>19.8</v>
      </c>
      <c r="K33" s="195">
        <f>I6</f>
        <v>11.6</v>
      </c>
      <c r="L33" s="195">
        <f>J6</f>
        <v>0.6</v>
      </c>
      <c r="M33" s="195">
        <f>K6</f>
        <v>2.6</v>
      </c>
      <c r="N33" s="195">
        <f>L6</f>
        <v>52.20000000000001</v>
      </c>
      <c r="O33" s="195">
        <f>M6</f>
        <v>11.3</v>
      </c>
      <c r="P33" s="195">
        <f>N6</f>
        <v>1.4</v>
      </c>
      <c r="Q33" s="195" t="str">
        <f>O6</f>
        <v>-</v>
      </c>
      <c r="R33" s="196">
        <f>P6</f>
        <v>11.7</v>
      </c>
      <c r="S33" s="157">
        <f>Q6</f>
        <v>76.60000000000002</v>
      </c>
      <c r="T33" s="197" t="n"/>
      <c r="U33" s="210">
        <f>S6</f>
        <v>76.60000000000002</v>
      </c>
      <c r="V33" s="199" t="n"/>
      <c r="W33" s="199" t="n"/>
      <c r="X33" s="196">
        <f>U33</f>
        <v>76.60000000000002</v>
      </c>
    </row>
    <row r="35">
      <c r="B35" s="211" t="inlineStr">
        <is>
          <t>Note: totals are live sums of the component cells. The printed Finance pack rounds to $0.1m, so differences of up to ±$0.1m vs the pack are expected.</t>
        </is>
      </c>
    </row>
  </sheetData>
  <mergeCells count="29">
    <mergeCell ref="E17:E18"/>
    <mergeCell ref="G17:G18"/>
    <mergeCell ref="N3:N4"/>
    <mergeCell ref="F3:F4"/>
    <mergeCell ref="U17:U18"/>
    <mergeCell ref="G3:L3"/>
    <mergeCell ref="H17:H18"/>
    <mergeCell ref="F17:F18"/>
    <mergeCell ref="P17:P18"/>
    <mergeCell ref="R17:R18"/>
    <mergeCell ref="M3:M4"/>
    <mergeCell ref="I17:N17"/>
    <mergeCell ref="U3:U4"/>
    <mergeCell ref="D3:D4"/>
    <mergeCell ref="B30:D30"/>
    <mergeCell ref="C31:D31"/>
    <mergeCell ref="B17:D18"/>
    <mergeCell ref="B33:D33"/>
    <mergeCell ref="O17:O18"/>
    <mergeCell ref="P3:P4"/>
    <mergeCell ref="Q17:Q18"/>
    <mergeCell ref="T3:T4"/>
    <mergeCell ref="C32:D32"/>
    <mergeCell ref="C3:C4"/>
    <mergeCell ref="O3:O4"/>
    <mergeCell ref="E3:E4"/>
    <mergeCell ref="V17:V18"/>
    <mergeCell ref="S3:S4"/>
    <mergeCell ref="B19:C2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L66"/>
  <sheetViews>
    <sheetView showGridLines="0" tabSelected="1" topLeftCell="A42" zoomScale="110" zoomScaleNormal="110" workbookViewId="0">
      <selection activeCell="L57" sqref="L57"/>
    </sheetView>
  </sheetViews>
  <sheetFormatPr baseColWidth="8" defaultColWidth="8.54296875" defaultRowHeight="14.5"/>
  <cols>
    <col width="28" customWidth="1" style="302" min="2" max="2"/>
    <col width="26" customWidth="1" style="302" min="3" max="3"/>
    <col width="9.54296875" customWidth="1" style="302" min="4" max="4"/>
    <col width="17.81640625" customWidth="1" style="302" min="5" max="5"/>
    <col width="11" customWidth="1" style="302" min="6" max="6"/>
    <col width="27.1796875" customWidth="1" style="302" min="7" max="7"/>
    <col width="14" customWidth="1" style="302" min="8" max="8"/>
    <col width="50.1796875" customWidth="1" style="302" min="9" max="9"/>
    <col width="24.81640625" customWidth="1" style="302" min="10" max="10"/>
  </cols>
  <sheetData>
    <row r="1"/>
    <row r="2" ht="21" customHeight="1" s="302">
      <c r="B2" s="212" t="inlineStr">
        <is>
          <t>Ampol Retail</t>
        </is>
      </c>
    </row>
    <row r="3">
      <c r="B3" s="115" t="n"/>
      <c r="C3" s="115" t="n"/>
      <c r="D3" s="115" t="n"/>
      <c r="E3" s="115" t="n"/>
      <c r="F3" s="115" t="n"/>
      <c r="G3" s="115" t="n"/>
      <c r="H3" s="115" t="n"/>
      <c r="I3" s="115" t="n"/>
      <c r="J3" s="115" t="n"/>
    </row>
    <row r="4">
      <c r="B4" s="259" t="inlineStr">
        <is>
          <t>Portfolio Summary</t>
        </is>
      </c>
      <c r="C4" s="251" t="n"/>
      <c r="D4" s="251" t="n"/>
      <c r="E4" s="252" t="n"/>
      <c r="F4" s="115" t="n"/>
      <c r="G4" s="213" t="inlineStr">
        <is>
          <t>Budget vs TDD cost</t>
        </is>
      </c>
      <c r="H4" s="213" t="n"/>
      <c r="I4" s="115" t="n"/>
      <c r="J4" s="115" t="n"/>
    </row>
    <row r="5">
      <c r="B5" s="5" t="inlineStr">
        <is>
          <t>Cost</t>
        </is>
      </c>
      <c r="C5" s="5" t="inlineStr">
        <is>
          <t>TDD ($m)</t>
        </is>
      </c>
      <c r="D5" s="5" t="inlineStr">
        <is>
          <t>Other ($m)</t>
        </is>
      </c>
      <c r="E5" s="5" t="inlineStr">
        <is>
          <t>Total Retail Cost ($m)</t>
        </is>
      </c>
      <c r="F5" s="115" t="n"/>
      <c r="G5" s="214" t="inlineStr">
        <is>
          <t>TDD Lights On Budget</t>
        </is>
      </c>
      <c r="H5" s="215">
        <f>'0.0 Data Config'!$E$11</f>
        <v>2.5</v>
      </c>
      <c r="I5" s="115" t="n"/>
      <c r="J5" s="115" t="n"/>
    </row>
    <row r="6">
      <c r="B6" s="8" t="inlineStr">
        <is>
          <t>Portfolio Overhead</t>
        </is>
      </c>
      <c r="C6" s="215">
        <f>'0.0 Data Config'!$L$10</f>
        <v>0.7495</v>
      </c>
      <c r="D6" s="214" t="n"/>
      <c r="E6" s="9">
        <f>C6</f>
        <v>0.7495</v>
      </c>
      <c r="F6" s="115" t="n"/>
      <c r="G6" s="214" t="inlineStr">
        <is>
          <t>Overheads &amp; Support (this model)</t>
        </is>
      </c>
      <c r="H6" s="9">
        <f>C9</f>
        <v>5.6265</v>
      </c>
      <c r="I6" s="115" t="n"/>
      <c r="J6" s="115" t="n"/>
    </row>
    <row r="7">
      <c r="B7" s="8" t="inlineStr">
        <is>
          <t>Platform Overheads</t>
        </is>
      </c>
      <c r="C7" s="9">
        <f>SUM(H27,H34,H47,H53,H59)</f>
        <v>0.8250000000000001</v>
      </c>
      <c r="D7" s="214" t="n"/>
      <c r="E7" s="9">
        <f>C7</f>
        <v>0.8250000000000001</v>
      </c>
      <c r="F7" s="115" t="n"/>
      <c r="G7" s="216" t="inlineStr">
        <is>
          <t>Variance (budget less cost)</t>
        </is>
      </c>
      <c r="H7" s="217">
        <f>H5-H6</f>
        <v>-3.1265</v>
      </c>
      <c r="I7" s="115" t="n"/>
      <c r="J7" s="115" t="n"/>
    </row>
    <row r="8">
      <c r="B8" s="8" t="inlineStr">
        <is>
          <t>Squad Support Costs</t>
        </is>
      </c>
      <c r="C8" s="9">
        <f>SUM(H23,H24,H25,H26,H32,H33,H46,H52,H58,H64)</f>
        <v>4.052</v>
      </c>
      <c r="D8" s="9">
        <f>SUM(I23,I24,I25,I26,I32,I33,I46,I52,I58,I64)</f>
        <v>4.728</v>
      </c>
      <c r="E8" s="9">
        <f>C8+D8</f>
        <v>8.78</v>
      </c>
      <c r="F8" s="115" t="n"/>
      <c r="G8" s="115" t="n"/>
      <c r="H8" s="115" t="n"/>
      <c r="I8" s="115" t="n"/>
      <c r="J8" s="115" t="n"/>
    </row>
    <row r="9">
      <c r="B9" s="216" t="inlineStr">
        <is>
          <t>Total Cost</t>
        </is>
      </c>
      <c r="C9" s="217">
        <f>SUM(C6:C8)</f>
        <v>5.6265</v>
      </c>
      <c r="D9" s="217">
        <f>SUM(D6:D8)</f>
        <v>4.728</v>
      </c>
      <c r="E9" s="217">
        <f>C9+D9</f>
        <v>10.3545</v>
      </c>
      <c r="F9" s="115" t="n"/>
      <c r="G9" s="115" t="n"/>
      <c r="H9" s="115" t="n"/>
      <c r="I9" s="115" t="n"/>
      <c r="J9" s="115" t="n"/>
    </row>
    <row r="10">
      <c r="B10" s="115" t="n"/>
      <c r="C10" s="115" t="n"/>
      <c r="D10" s="115" t="n"/>
      <c r="E10" s="115" t="n"/>
      <c r="F10" s="115" t="n"/>
      <c r="G10" s="282" t="inlineStr">
        <is>
          <t xml:space="preserve">Other funding </t>
        </is>
      </c>
      <c r="H10" s="251" t="n"/>
      <c r="I10" s="251" t="n"/>
      <c r="J10" s="252" t="n"/>
    </row>
    <row r="11">
      <c r="B11" s="283" t="inlineStr">
        <is>
          <t xml:space="preserve">Total Retail budget </t>
        </is>
      </c>
      <c r="C11" s="384" t="n"/>
      <c r="D11" s="385" t="n"/>
      <c r="E11" s="219">
        <f>SUM(H12:H16)</f>
        <v>33.8</v>
      </c>
      <c r="F11" s="115" t="n"/>
      <c r="G11" s="5" t="inlineStr">
        <is>
          <t>Budget line</t>
        </is>
      </c>
      <c r="H11" s="5" t="inlineStr">
        <is>
          <t>Budget ($m)</t>
        </is>
      </c>
      <c r="I11" s="5" t="inlineStr">
        <is>
          <t>Amount that can be allocated to people</t>
        </is>
      </c>
      <c r="J11" s="5" t="inlineStr">
        <is>
          <t>Remaining for non-people ($m)</t>
        </is>
      </c>
    </row>
    <row r="12">
      <c r="B12" s="283" t="inlineStr">
        <is>
          <t xml:space="preserve">Reconciled to Finance </t>
        </is>
      </c>
      <c r="C12" s="384" t="n"/>
      <c r="D12" s="385" t="n"/>
      <c r="E12" s="220">
        <f>'0.4 Budget Table (Fin)'!Q9</f>
        <v>33.8</v>
      </c>
      <c r="F12" s="115" t="n"/>
      <c r="G12" s="8" t="inlineStr">
        <is>
          <t>Retail Lights On</t>
        </is>
      </c>
      <c r="H12" s="215">
        <f>'0.4 Budget Table (Fin)'!L9</f>
        <v>13.899999999999999</v>
      </c>
      <c r="I12" s="221">
        <f>'0.4 Budget Table (Fin)'!G9</f>
        <v>0.0</v>
      </c>
      <c r="J12" s="9">
        <f>IFERROR(H12-I12,0)</f>
        <v>13.899999999999999</v>
      </c>
    </row>
    <row r="13">
      <c r="B13" s="115" t="n"/>
      <c r="C13" s="115" t="n"/>
      <c r="D13" s="115" t="n"/>
      <c r="E13" s="115" t="n"/>
      <c r="F13" s="115" t="n"/>
      <c r="G13" s="8" t="inlineStr">
        <is>
          <t>OpEx Initiatives</t>
        </is>
      </c>
      <c r="H13" s="215">
        <f>'0.4 Budget Table (Fin)'!N9</f>
        <v>1.3</v>
      </c>
      <c r="I13" s="222" t="n">
        <v>0</v>
      </c>
      <c r="J13" s="9">
        <f>IFERROR(H13-I13,0)</f>
        <v>1.3</v>
      </c>
    </row>
    <row r="14">
      <c r="B14" s="115" t="n"/>
      <c r="C14" s="115" t="n"/>
      <c r="D14" s="115" t="n"/>
      <c r="E14" s="115" t="n"/>
      <c r="F14" s="115" t="n"/>
      <c r="G14" s="8" t="inlineStr">
        <is>
          <t>Retail CapEx</t>
        </is>
      </c>
      <c r="H14" s="215">
        <f>'0.4 Budget Table (Fin)'!P9</f>
        <v>11.8</v>
      </c>
      <c r="I14" s="222" t="n"/>
      <c r="J14" s="9">
        <f>IFERROR(H14-I14,0)</f>
        <v>11.8</v>
      </c>
    </row>
    <row r="15">
      <c r="B15" s="115" t="n"/>
      <c r="C15" s="115" t="n"/>
      <c r="D15" s="115" t="n"/>
      <c r="E15" s="115" t="n"/>
      <c r="F15" s="115" t="n"/>
      <c r="G15" s="8" t="inlineStr">
        <is>
          <t>Significant Items</t>
        </is>
      </c>
      <c r="H15" s="215">
        <f>'0.4 Budget Table (Fin)'!O9</f>
        <v>6.8</v>
      </c>
      <c r="I15" s="222">
        <f>I46</f>
        <v>0.0</v>
      </c>
      <c r="J15" s="9">
        <f>IFERROR(H15-I15,0)</f>
        <v>6.8</v>
      </c>
    </row>
    <row r="16">
      <c r="B16" s="115" t="n"/>
      <c r="C16" s="115" t="n"/>
      <c r="D16" s="115" t="n"/>
      <c r="E16" s="115" t="n"/>
      <c r="F16" s="115" t="n"/>
      <c r="G16" s="8" t="inlineStr">
        <is>
          <t>Significant Items EGI</t>
        </is>
      </c>
      <c r="H16" s="215" t="n"/>
      <c r="I16" s="222">
        <f>I64</f>
        <v>0.0</v>
      </c>
      <c r="J16" s="9" t="n"/>
    </row>
    <row r="17">
      <c r="B17" s="115" t="n"/>
      <c r="C17" s="115" t="n"/>
      <c r="D17" s="115" t="n"/>
      <c r="E17" s="115" t="n"/>
      <c r="F17" s="115" t="n"/>
      <c r="G17" s="8" t="inlineStr">
        <is>
          <t>Total applied</t>
        </is>
      </c>
      <c r="H17" s="215" t="n"/>
      <c r="I17" s="222">
        <f>SUM(I12:I16)</f>
        <v>0.0</v>
      </c>
      <c r="J17" s="9" t="n"/>
    </row>
    <row r="18">
      <c r="B18" s="115" t="n"/>
      <c r="C18" s="115" t="n"/>
      <c r="D18" s="115" t="n"/>
      <c r="E18" s="115" t="n"/>
      <c r="F18" s="115" t="n"/>
      <c r="G18" s="8" t="inlineStr">
        <is>
          <t>Other cost (this model)</t>
        </is>
      </c>
      <c r="H18" s="215" t="n"/>
      <c r="I18" s="222">
        <f>D9</f>
        <v>4.728</v>
      </c>
      <c r="J18" s="9" t="n"/>
    </row>
    <row r="19">
      <c r="B19" s="223" t="inlineStr">
        <is>
          <t>Total to fund</t>
        </is>
      </c>
      <c r="C19" s="224">
        <f>SUM(-H7,I19)</f>
        <v>7.8545</v>
      </c>
      <c r="D19" s="115" t="n"/>
      <c r="E19" s="115" t="n"/>
      <c r="F19" s="115" t="n"/>
      <c r="G19" s="8" t="inlineStr">
        <is>
          <t>Left to fund</t>
        </is>
      </c>
      <c r="H19" s="215" t="n"/>
      <c r="I19" s="222">
        <f>I18-I17</f>
        <v>4.728</v>
      </c>
      <c r="J19" s="9" t="n"/>
    </row>
    <row r="20">
      <c r="B20" s="115" t="n"/>
      <c r="C20" s="115" t="n"/>
      <c r="D20" s="115" t="n"/>
      <c r="E20" s="115" t="n"/>
      <c r="F20" s="115" t="n"/>
      <c r="G20" s="115" t="n"/>
      <c r="H20" s="115" t="n"/>
      <c r="I20" s="115" t="n"/>
      <c r="J20" s="115" t="n"/>
    </row>
    <row r="21">
      <c r="B21" s="282" t="inlineStr">
        <is>
          <t>Platform: Store Operations</t>
        </is>
      </c>
      <c r="C21" s="251" t="n"/>
      <c r="D21" s="251" t="n"/>
      <c r="E21" s="251" t="n"/>
      <c r="F21" s="251" t="n"/>
      <c r="G21" s="251" t="n"/>
      <c r="H21" s="251" t="n"/>
      <c r="I21" s="252" t="n"/>
      <c r="J21" s="115" t="n"/>
    </row>
    <row r="22">
      <c r="B22" s="5" t="inlineStr">
        <is>
          <t>Squad</t>
        </is>
      </c>
      <c r="C22" s="5" t="inlineStr">
        <is>
          <t>Squad Type</t>
        </is>
      </c>
      <c r="D22" s="5" t="inlineStr">
        <is>
          <t>Size</t>
        </is>
      </c>
      <c r="E22" s="5" t="inlineStr">
        <is>
          <t>On/Off</t>
        </is>
      </c>
      <c r="F22" s="5" t="inlineStr">
        <is>
          <t>Support %</t>
        </is>
      </c>
      <c r="G22" s="5" t="inlineStr">
        <is>
          <t>Total Squad Cost ($m)</t>
        </is>
      </c>
      <c r="H22" s="5" t="inlineStr">
        <is>
          <t>TDD Cost ($m)</t>
        </is>
      </c>
      <c r="I22" s="5" t="inlineStr">
        <is>
          <t>Funded outside TDD ($m)</t>
        </is>
      </c>
      <c r="J22" s="115" t="n"/>
    </row>
    <row r="23">
      <c r="B23" s="8" t="inlineStr">
        <is>
          <t>POS</t>
        </is>
      </c>
      <c r="C23" s="227" t="inlineStr">
        <is>
          <t>Configuration / Integration</t>
        </is>
      </c>
      <c r="D23" s="227" t="inlineStr">
        <is>
          <t>M</t>
        </is>
      </c>
      <c r="E23" s="227" t="inlineStr">
        <is>
          <t>Onshore</t>
        </is>
      </c>
      <c r="F23" s="228" t="n">
        <v>0.7</v>
      </c>
      <c r="G23" s="215">
        <f>IFERROR(IF($E23="Onshore",INDEX('0.1 Squads'!$G$5:$G$23,MATCH($C23&amp;"|"&amp;$D23,'0.1 Squads'!$A$5:$A$23,0)),INDEX('0.1 Squads'!$H$5:$H$23,MATCH($C23&amp;"|"&amp;$D23,'0.1 Squads'!$A$5:$A$23,0))),"check size")</f>
        <v>1.4</v>
      </c>
      <c r="H23" s="9">
        <f>IFERROR($G23*$F23,"")</f>
        <v>0.9799999999999999</v>
      </c>
      <c r="I23" s="9">
        <f>IFERROR($G23*(1-$F23),"")</f>
        <v>0.42000000000000004</v>
      </c>
      <c r="J23" s="115" t="n"/>
    </row>
    <row r="24">
      <c r="B24" s="8" t="inlineStr">
        <is>
          <t>Payments</t>
        </is>
      </c>
      <c r="C24" s="227" t="inlineStr">
        <is>
          <t>Configuration / Integration</t>
        </is>
      </c>
      <c r="D24" s="227" t="inlineStr">
        <is>
          <t>S</t>
        </is>
      </c>
      <c r="E24" s="227" t="inlineStr">
        <is>
          <t>Onshore</t>
        </is>
      </c>
      <c r="F24" s="228" t="n">
        <v>0.2</v>
      </c>
      <c r="G24" s="215">
        <f>IFERROR(IF($E24="Onshore",INDEX('0.1 Squads'!$G$5:$G$23,MATCH($C24&amp;"|"&amp;$D24,'0.1 Squads'!$A$5:$A$23,0)),INDEX('0.1 Squads'!$H$5:$H$23,MATCH($C24&amp;"|"&amp;$D24,'0.1 Squads'!$A$5:$A$23,0))),"check size")</f>
        <v>0.4</v>
      </c>
      <c r="H24" s="9">
        <f>IFERROR($G24*$F24,"")</f>
        <v>0.08000000000000002</v>
      </c>
      <c r="I24" s="9">
        <f>IFERROR($G24*(1-$F24),"")</f>
        <v>0.32000000000000006</v>
      </c>
      <c r="J24" s="115" t="n"/>
    </row>
    <row r="25">
      <c r="B25" s="8" t="inlineStr">
        <is>
          <t>Store Operations</t>
        </is>
      </c>
      <c r="C25" s="227" t="inlineStr">
        <is>
          <t>Operations</t>
        </is>
      </c>
      <c r="D25" s="227" t="inlineStr">
        <is>
          <t>M</t>
        </is>
      </c>
      <c r="E25" s="227" t="inlineStr">
        <is>
          <t>Onshore</t>
        </is>
      </c>
      <c r="F25" s="228" t="n">
        <v>1</v>
      </c>
      <c r="G25" s="215">
        <f>IFERROR(IF($E25="Onshore",INDEX('0.1 Squads'!$G$5:$G$23,MATCH($C25&amp;"|"&amp;$D25,'0.1 Squads'!$A$5:$A$23,0)),INDEX('0.1 Squads'!$H$5:$H$23,MATCH($C25&amp;"|"&amp;$D25,'0.1 Squads'!$A$5:$A$23,0))),"check size")</f>
        <v>1.4</v>
      </c>
      <c r="H25" s="9">
        <f>IFERROR($G25*$F25,"")</f>
        <v>1.4</v>
      </c>
      <c r="I25" s="9">
        <f>IFERROR($G25*(1-$F25),"")</f>
        <v>0.0</v>
      </c>
      <c r="J25" s="115" t="n"/>
    </row>
    <row r="26">
      <c r="B26" s="8" t="inlineStr">
        <is>
          <t>Deployment</t>
        </is>
      </c>
      <c r="C26" s="227" t="inlineStr">
        <is>
          <t>Configuration / Integration</t>
        </is>
      </c>
      <c r="D26" s="227" t="inlineStr">
        <is>
          <t>M</t>
        </is>
      </c>
      <c r="E26" s="227" t="inlineStr">
        <is>
          <t>Onshore</t>
        </is>
      </c>
      <c r="F26" s="228" t="n">
        <v>0.2</v>
      </c>
      <c r="G26" s="215">
        <f>IFERROR(IF($E26="Onshore",INDEX('0.1 Squads'!$G$5:$G$23,MATCH($C26&amp;"|"&amp;$D26,'0.1 Squads'!$A$5:$A$23,0)),INDEX('0.1 Squads'!$H$5:$H$23,MATCH($C26&amp;"|"&amp;$D26,'0.1 Squads'!$A$5:$A$23,0))),"check size")</f>
        <v>1.4</v>
      </c>
      <c r="H26" s="9">
        <f>IFERROR($G26*$F26,"")</f>
        <v>0.27999999999999997</v>
      </c>
      <c r="I26" s="9">
        <f>IFERROR($G26*(1-$F26),"")</f>
        <v>1.1199999999999999</v>
      </c>
      <c r="J26" s="115" t="n"/>
    </row>
    <row r="27">
      <c r="B27" s="229" t="inlineStr">
        <is>
          <t>Platform Overhead</t>
        </is>
      </c>
      <c r="C27" s="226" t="n"/>
      <c r="D27" s="214" t="n"/>
      <c r="E27" s="214" t="n"/>
      <c r="F27" s="214" t="n"/>
      <c r="G27" s="214" t="n"/>
      <c r="H27" s="215">
        <f>'0.0 Data Config'!$L$16</f>
        <v>0.165</v>
      </c>
      <c r="I27" s="214" t="n"/>
      <c r="J27" s="115" t="n"/>
    </row>
    <row r="28">
      <c r="B28" s="216" t="inlineStr">
        <is>
          <t>Store Operations Total</t>
        </is>
      </c>
      <c r="D28" s="226" t="n"/>
      <c r="E28" s="226" t="n"/>
      <c r="F28" s="226" t="n"/>
      <c r="G28" s="217">
        <f>SUM(G23:G26)</f>
        <v>4.6</v>
      </c>
      <c r="H28" s="217">
        <f>SUM(H23:H27)</f>
        <v>2.905</v>
      </c>
      <c r="I28" s="217">
        <f>SUM(I23:I26)</f>
        <v>1.8599999999999999</v>
      </c>
      <c r="J28" s="115" t="n"/>
    </row>
    <row r="29">
      <c r="B29" s="115" t="n"/>
      <c r="C29" s="115" t="n"/>
      <c r="D29" s="115" t="n"/>
      <c r="E29" s="115" t="n"/>
      <c r="F29" s="115" t="n"/>
      <c r="G29" s="115" t="n"/>
      <c r="H29" s="115" t="n"/>
      <c r="I29" s="115" t="n"/>
      <c r="J29" s="115" t="n"/>
    </row>
    <row r="30">
      <c r="B30" s="282" t="inlineStr">
        <is>
          <t>Platform: Above Store</t>
        </is>
      </c>
      <c r="C30" s="251" t="n"/>
      <c r="D30" s="251" t="n"/>
      <c r="E30" s="251" t="n"/>
      <c r="F30" s="251" t="n"/>
      <c r="G30" s="251" t="n"/>
      <c r="H30" s="251" t="n"/>
      <c r="I30" s="252" t="n"/>
      <c r="J30" s="115" t="n"/>
    </row>
    <row r="31">
      <c r="B31" s="5" t="inlineStr">
        <is>
          <t>Squad</t>
        </is>
      </c>
      <c r="C31" s="5" t="inlineStr">
        <is>
          <t>Squad Type</t>
        </is>
      </c>
      <c r="D31" s="5" t="inlineStr">
        <is>
          <t>Size</t>
        </is>
      </c>
      <c r="E31" s="5" t="inlineStr">
        <is>
          <t>On/Off</t>
        </is>
      </c>
      <c r="F31" s="5" t="inlineStr">
        <is>
          <t>Support %</t>
        </is>
      </c>
      <c r="G31" s="5" t="inlineStr">
        <is>
          <t>Total Squad Cost ($m)</t>
        </is>
      </c>
      <c r="H31" s="5" t="inlineStr">
        <is>
          <t>TDD Cost ($m)</t>
        </is>
      </c>
      <c r="I31" s="5" t="inlineStr">
        <is>
          <t>Funded outside TDD ($m)</t>
        </is>
      </c>
      <c r="J31" s="115" t="n"/>
    </row>
    <row r="32">
      <c r="B32" s="8" t="inlineStr">
        <is>
          <t>Above Store</t>
        </is>
      </c>
      <c r="C32" s="227" t="inlineStr">
        <is>
          <t>Configuration / Integration</t>
        </is>
      </c>
      <c r="D32" s="227" t="inlineStr">
        <is>
          <t>L</t>
        </is>
      </c>
      <c r="E32" s="227" t="inlineStr">
        <is>
          <t>Onshore</t>
        </is>
      </c>
      <c r="F32" s="228" t="n">
        <v>0.2</v>
      </c>
      <c r="G32" s="215">
        <f>IFERROR(IF($E32="Onshore",INDEX('0.1 Squads'!$G$5:$G$23,MATCH($C32&amp;"|"&amp;$D32,'0.1 Squads'!$A$5:$A$23,0)),INDEX('0.1 Squads'!$H$5:$H$23,MATCH($C32&amp;"|"&amp;$D32,'0.1 Squads'!$A$5:$A$23,0))),"check size")</f>
        <v>2.1</v>
      </c>
      <c r="H32" s="9">
        <f>IFERROR($G32*$F32,"")</f>
        <v>0.42000000000000004</v>
      </c>
      <c r="I32" s="9">
        <f>IFERROR($G32*(1-$F32),"")</f>
        <v>1.6800000000000002</v>
      </c>
      <c r="J32" s="115" t="n"/>
    </row>
    <row r="33">
      <c r="B33" s="8" t="n"/>
      <c r="C33" s="227" t="n"/>
      <c r="D33" s="227" t="n"/>
      <c r="E33" s="227" t="n"/>
      <c r="F33" s="228" t="n"/>
      <c r="G33" s="215" t="n"/>
      <c r="H33" s="9" t="n"/>
      <c r="I33" s="9" t="n"/>
      <c r="J33" s="115" t="inlineStr">
        <is>
          <t xml:space="preserve">Will combine - takes out 4 roles. New platform Above Store &amp; new squad Above Store </t>
        </is>
      </c>
    </row>
    <row r="34">
      <c r="B34" s="229" t="inlineStr">
        <is>
          <t>Platform Overhead</t>
        </is>
      </c>
      <c r="C34" s="214" t="n"/>
      <c r="D34" s="214" t="n"/>
      <c r="E34" s="214" t="n"/>
      <c r="F34" s="214" t="n"/>
      <c r="G34" s="214" t="n"/>
      <c r="H34" s="215">
        <f>'0.0 Data Config'!$L$16</f>
        <v>0.165</v>
      </c>
      <c r="I34" s="214" t="n"/>
      <c r="J34" s="115" t="n"/>
    </row>
    <row r="35">
      <c r="B35" s="216" t="inlineStr">
        <is>
          <t>Above Store Total</t>
        </is>
      </c>
      <c r="C35" s="226" t="n"/>
      <c r="D35" s="226" t="n"/>
      <c r="E35" s="226" t="n"/>
      <c r="F35" s="226" t="n"/>
      <c r="G35" s="217">
        <f>SUM(G32:G33)</f>
        <v>2.1</v>
      </c>
      <c r="H35" s="217">
        <f>SUM(H32:H34)</f>
        <v>0.5850000000000001</v>
      </c>
      <c r="I35" s="217">
        <f>SUM(I32:I33)</f>
        <v>1.6800000000000002</v>
      </c>
      <c r="J35" s="115" t="n"/>
    </row>
    <row r="36">
      <c r="B36" s="115" t="n"/>
      <c r="C36" s="115" t="n"/>
      <c r="D36" s="115" t="n"/>
      <c r="E36" s="115" t="n"/>
      <c r="F36" s="115" t="n"/>
      <c r="G36" s="115" t="n"/>
      <c r="H36" s="115" t="n"/>
      <c r="I36" s="115" t="n"/>
      <c r="J36" s="115" t="n"/>
    </row>
    <row r="37">
      <c r="B37" s="282" t="inlineStr">
        <is>
          <t>Platform: Pricing &amp; WFM - combined into Above Store</t>
        </is>
      </c>
      <c r="C37" s="251" t="n"/>
      <c r="D37" s="251" t="n"/>
      <c r="E37" s="251" t="n"/>
      <c r="F37" s="251" t="n"/>
      <c r="G37" s="251" t="n"/>
      <c r="H37" s="251" t="n"/>
      <c r="I37" s="252" t="n"/>
      <c r="J37" s="115" t="n"/>
    </row>
    <row r="38">
      <c r="B38" s="5" t="inlineStr">
        <is>
          <t>Squad</t>
        </is>
      </c>
      <c r="C38" s="5" t="inlineStr">
        <is>
          <t>Squad Type</t>
        </is>
      </c>
      <c r="D38" s="5" t="inlineStr">
        <is>
          <t>Size</t>
        </is>
      </c>
      <c r="E38" s="5" t="inlineStr">
        <is>
          <t>On/Off</t>
        </is>
      </c>
      <c r="F38" s="5" t="inlineStr">
        <is>
          <t>Support %</t>
        </is>
      </c>
      <c r="G38" s="5" t="inlineStr">
        <is>
          <t>Total Squad Cost ($m)</t>
        </is>
      </c>
      <c r="H38" s="5" t="inlineStr">
        <is>
          <t>TDD Cost ($m)</t>
        </is>
      </c>
      <c r="I38" s="5" t="inlineStr">
        <is>
          <t>Funded outside TDD ($m)</t>
        </is>
      </c>
      <c r="J38" s="115" t="n"/>
    </row>
    <row r="39">
      <c r="B39" s="8" t="n"/>
      <c r="C39" s="227" t="n"/>
      <c r="D39" s="227" t="n"/>
      <c r="E39" s="227" t="n"/>
      <c r="F39" s="228" t="n"/>
      <c r="G39" s="215" t="n"/>
      <c r="H39" s="9" t="n"/>
      <c r="I39" s="9" t="n"/>
      <c r="J39" s="115" t="n"/>
    </row>
    <row r="40">
      <c r="B40" s="8" t="n"/>
      <c r="C40" s="227" t="n"/>
      <c r="D40" s="227" t="n"/>
      <c r="E40" s="227" t="n"/>
      <c r="F40" s="228" t="n"/>
      <c r="G40" s="215" t="n"/>
      <c r="H40" s="9" t="n"/>
      <c r="I40" s="9" t="n"/>
      <c r="J40" s="115" t="n"/>
    </row>
    <row r="41">
      <c r="B41" s="229" t="inlineStr">
        <is>
          <t>Platform Overhead</t>
        </is>
      </c>
      <c r="C41" s="214" t="n"/>
      <c r="D41" s="214" t="n"/>
      <c r="E41" s="214" t="n"/>
      <c r="F41" s="214" t="n"/>
      <c r="G41" s="214" t="n"/>
      <c r="H41" s="215" t="n"/>
      <c r="I41" s="214" t="n"/>
      <c r="J41" s="115" t="n"/>
    </row>
    <row r="42">
      <c r="B42" s="216" t="inlineStr">
        <is>
          <t>(combined into Above Store)</t>
        </is>
      </c>
      <c r="C42" s="226" t="n"/>
      <c r="D42" s="226" t="n"/>
      <c r="E42" s="226" t="n"/>
      <c r="F42" s="226" t="n"/>
      <c r="G42" s="217" t="n"/>
      <c r="H42" s="217" t="n"/>
      <c r="I42" s="217" t="n"/>
      <c r="J42" s="115" t="n"/>
    </row>
    <row r="43">
      <c r="B43" s="115" t="n"/>
      <c r="C43" s="115" t="n"/>
      <c r="D43" s="115" t="n"/>
      <c r="E43" s="115" t="n"/>
      <c r="F43" s="115" t="n"/>
      <c r="G43" s="115" t="n"/>
      <c r="H43" s="115" t="n"/>
      <c r="I43" s="115" t="n"/>
      <c r="J43" s="115" t="n"/>
    </row>
    <row r="44">
      <c r="B44" s="282" t="inlineStr">
        <is>
          <t>Platform: AmPOS</t>
        </is>
      </c>
      <c r="C44" s="251" t="n"/>
      <c r="D44" s="251" t="n"/>
      <c r="E44" s="251" t="n"/>
      <c r="F44" s="251" t="n"/>
      <c r="G44" s="251" t="n"/>
      <c r="H44" s="251" t="n"/>
      <c r="I44" s="252" t="n"/>
      <c r="J44" s="115" t="n"/>
    </row>
    <row r="45">
      <c r="B45" s="5" t="inlineStr">
        <is>
          <t>Squad</t>
        </is>
      </c>
      <c r="C45" s="5" t="inlineStr">
        <is>
          <t>Squad Type</t>
        </is>
      </c>
      <c r="D45" s="5" t="inlineStr">
        <is>
          <t>Size</t>
        </is>
      </c>
      <c r="E45" s="5" t="inlineStr">
        <is>
          <t>On/Off</t>
        </is>
      </c>
      <c r="F45" s="5" t="inlineStr">
        <is>
          <t>Support %</t>
        </is>
      </c>
      <c r="G45" s="5" t="inlineStr">
        <is>
          <t>Total Squad Cost ($m)</t>
        </is>
      </c>
      <c r="H45" s="5" t="inlineStr">
        <is>
          <t>TDD Cost ($m)</t>
        </is>
      </c>
      <c r="I45" s="5" t="inlineStr">
        <is>
          <t>Funded outside TDD ($m)</t>
        </is>
      </c>
      <c r="J45" s="115" t="n"/>
    </row>
    <row r="46">
      <c r="B46" s="8" t="inlineStr">
        <is>
          <t>AmPOS</t>
        </is>
      </c>
      <c r="C46" s="227" t="inlineStr">
        <is>
          <t>Strategic Programs</t>
        </is>
      </c>
      <c r="D46" s="227" t="n"/>
      <c r="E46" s="227" t="inlineStr">
        <is>
          <t>Onshore</t>
        </is>
      </c>
      <c r="F46" s="228" t="n">
        <v>0</v>
      </c>
      <c r="G46" s="305" t="n">
        <v>0</v>
      </c>
      <c r="H46" s="9">
        <f>IFERROR($G46*$F46,"")</f>
        <v>0.0</v>
      </c>
      <c r="I46" s="9">
        <f>IFERROR($G46*(1-$F46),"")</f>
        <v>0.0</v>
      </c>
      <c r="J46" s="115" t="inlineStr">
        <is>
          <t xml:space="preserve">Change this to strat projects; impact on price </t>
        </is>
      </c>
      <c r="L46" t="inlineStr">
        <is>
          <t>7 FTE in AmPOS</t>
        </is>
      </c>
    </row>
    <row r="47">
      <c r="B47" s="229" t="inlineStr">
        <is>
          <t>Platform Overhead</t>
        </is>
      </c>
      <c r="C47" s="214" t="n"/>
      <c r="D47" s="214" t="n"/>
      <c r="E47" s="214" t="n"/>
      <c r="F47" s="214" t="n"/>
      <c r="G47" s="214" t="n"/>
      <c r="H47" s="215">
        <f>'0.0 Data Config'!$L$16</f>
        <v>0.165</v>
      </c>
      <c r="I47" s="214" t="n"/>
      <c r="J47" s="115" t="inlineStr">
        <is>
          <t>Take some roles from POS and put into Pos</t>
        </is>
      </c>
    </row>
    <row r="48">
      <c r="B48" s="216" t="inlineStr">
        <is>
          <t>AmPOS Total</t>
        </is>
      </c>
      <c r="C48" s="226" t="n"/>
      <c r="D48" s="226" t="n"/>
      <c r="E48" s="226" t="n"/>
      <c r="F48" s="226" t="n"/>
      <c r="G48" s="217">
        <f>SUM(G46:G46)</f>
        <v>0.0</v>
      </c>
      <c r="H48" s="217">
        <f>SUM(H46:H47)</f>
        <v>0.165</v>
      </c>
      <c r="I48" s="217">
        <f>SUM(I46:I46)</f>
        <v>0.0</v>
      </c>
      <c r="J48" s="115" t="n"/>
    </row>
    <row r="49">
      <c r="B49" s="115" t="n"/>
      <c r="C49" s="115" t="n"/>
      <c r="D49" s="115" t="n"/>
      <c r="E49" s="115" t="n"/>
      <c r="F49" s="115" t="n"/>
      <c r="G49" s="115" t="n"/>
      <c r="H49" s="115" t="n"/>
      <c r="I49" s="115" t="n"/>
      <c r="J49" s="115" t="n"/>
    </row>
    <row r="50">
      <c r="B50" s="282" t="inlineStr">
        <is>
          <t>Platform: Network / QSR</t>
        </is>
      </c>
      <c r="C50" s="251" t="n"/>
      <c r="D50" s="251" t="n"/>
      <c r="E50" s="251" t="n"/>
      <c r="F50" s="251" t="n"/>
      <c r="G50" s="251" t="n"/>
      <c r="H50" s="251" t="n"/>
      <c r="I50" s="252" t="n"/>
      <c r="J50" s="115" t="inlineStr">
        <is>
          <t>z</t>
        </is>
      </c>
    </row>
    <row r="51">
      <c r="B51" s="5" t="inlineStr">
        <is>
          <t>Squad</t>
        </is>
      </c>
      <c r="C51" s="5" t="inlineStr">
        <is>
          <t>Squad Type</t>
        </is>
      </c>
      <c r="D51" s="5" t="inlineStr">
        <is>
          <t>Size</t>
        </is>
      </c>
      <c r="E51" s="5" t="inlineStr">
        <is>
          <t>On/Off</t>
        </is>
      </c>
      <c r="F51" s="5" t="inlineStr">
        <is>
          <t>Support %</t>
        </is>
      </c>
      <c r="G51" s="5" t="inlineStr">
        <is>
          <t>Total Squad Cost ($m)</t>
        </is>
      </c>
      <c r="H51" s="5" t="inlineStr">
        <is>
          <t>TDD Cost ($m)</t>
        </is>
      </c>
      <c r="I51" s="5" t="inlineStr">
        <is>
          <t>Funded outside TDD ($m)</t>
        </is>
      </c>
      <c r="J51" s="115" t="n"/>
    </row>
    <row r="52">
      <c r="B52" s="8" t="inlineStr">
        <is>
          <t>Network / QSR</t>
        </is>
      </c>
      <c r="C52" s="227" t="inlineStr">
        <is>
          <t>Configuration / Integration</t>
        </is>
      </c>
      <c r="D52" s="227" t="inlineStr">
        <is>
          <t>M</t>
        </is>
      </c>
      <c r="E52" s="227" t="inlineStr">
        <is>
          <t>Onshore</t>
        </is>
      </c>
      <c r="F52" s="228" t="n">
        <v>0.2</v>
      </c>
      <c r="G52" s="215">
        <f>IFERROR(IF($E52="Onshore",INDEX('0.1 Squads'!$G$5:$G$23,MATCH($C52&amp;"|"&amp;$D52,'0.1 Squads'!$A$5:$A$23,0)),INDEX('0.1 Squads'!$H$5:$H$23,MATCH($C52&amp;"|"&amp;$D52,'0.1 Squads'!$A$5:$A$23,0))),"check size")</f>
        <v>1.4</v>
      </c>
      <c r="H52" s="9">
        <f>IFERROR($G52*$F52,"")</f>
        <v>0.27999999999999997</v>
      </c>
      <c r="I52" s="9">
        <f>IFERROR($G52*(1-$F52),"")</f>
        <v>1.1199999999999999</v>
      </c>
      <c r="J52" s="115" t="n"/>
    </row>
    <row r="53">
      <c r="B53" s="229" t="inlineStr">
        <is>
          <t>Platform Overhead</t>
        </is>
      </c>
      <c r="C53" s="214" t="n"/>
      <c r="D53" s="214" t="n"/>
      <c r="E53" s="214" t="n"/>
      <c r="F53" s="214" t="n"/>
      <c r="G53" s="214" t="n"/>
      <c r="H53" s="215">
        <f>'0.0 Data Config'!$L$16</f>
        <v>0.165</v>
      </c>
      <c r="I53" s="214" t="n"/>
      <c r="J53" s="115" t="n"/>
    </row>
    <row r="54">
      <c r="B54" s="216" t="inlineStr">
        <is>
          <t>Network / QSR Total</t>
        </is>
      </c>
      <c r="C54" s="226" t="n"/>
      <c r="D54" s="226" t="n"/>
      <c r="E54" s="226" t="n"/>
      <c r="F54" s="226" t="n"/>
      <c r="G54" s="217">
        <f>SUM(G52:G52)</f>
        <v>1.4</v>
      </c>
      <c r="H54" s="217">
        <f>SUM(H52:H53)</f>
        <v>0.44499999999999995</v>
      </c>
      <c r="I54" s="217">
        <f>SUM(I52:I52)</f>
        <v>1.1199999999999999</v>
      </c>
      <c r="J54" s="115" t="n"/>
    </row>
    <row r="55">
      <c r="B55" s="115" t="n"/>
      <c r="C55" s="115" t="n"/>
      <c r="D55" s="115" t="n"/>
      <c r="E55" s="115" t="n"/>
      <c r="F55" s="115" t="n"/>
      <c r="G55" s="115" t="n"/>
      <c r="H55" s="115" t="n"/>
      <c r="I55" s="115" t="n"/>
      <c r="J55" s="115" t="n"/>
    </row>
    <row r="56">
      <c r="B56" s="282" t="inlineStr">
        <is>
          <t>Platform: Data AU</t>
        </is>
      </c>
      <c r="C56" s="251" t="n"/>
      <c r="D56" s="251" t="n"/>
      <c r="E56" s="251" t="n"/>
      <c r="F56" s="251" t="n"/>
      <c r="G56" s="251" t="n"/>
      <c r="H56" s="251" t="n"/>
      <c r="I56" s="252" t="n"/>
    </row>
    <row r="57">
      <c r="B57" s="5" t="inlineStr">
        <is>
          <t>Squad</t>
        </is>
      </c>
      <c r="C57" s="5" t="inlineStr">
        <is>
          <t>Squad Type</t>
        </is>
      </c>
      <c r="D57" s="5" t="inlineStr">
        <is>
          <t>Size</t>
        </is>
      </c>
      <c r="E57" s="5" t="inlineStr">
        <is>
          <t>On/Off</t>
        </is>
      </c>
      <c r="F57" s="5" t="inlineStr">
        <is>
          <t>Support %</t>
        </is>
      </c>
      <c r="G57" s="5" t="inlineStr">
        <is>
          <t>Total Squad Cost ($m)</t>
        </is>
      </c>
      <c r="H57" s="5" t="inlineStr">
        <is>
          <t>TDD Cost ($m)</t>
        </is>
      </c>
      <c r="I57" s="5" t="inlineStr">
        <is>
          <t>Funded outside TDD ($m)</t>
        </is>
      </c>
    </row>
    <row r="58">
      <c r="B58" s="8" t="inlineStr">
        <is>
          <t>Data AU</t>
        </is>
      </c>
      <c r="C58" s="227" t="inlineStr">
        <is>
          <t>Enterprise Data and Insights</t>
        </is>
      </c>
      <c r="D58" s="227" t="inlineStr">
        <is>
          <t>M</t>
        </is>
      </c>
      <c r="E58" s="227" t="inlineStr">
        <is>
          <t>Offshore</t>
        </is>
      </c>
      <c r="F58" s="228" t="n">
        <v>0.9</v>
      </c>
      <c r="G58" s="215">
        <f>IFERROR(IF($E58="Onshore",INDEX('0.1 Squads'!$G$5:$G$23,MATCH($C58&amp;"|"&amp;$D58,'0.1 Squads'!$A$5:$A$23,0)),INDEX('0.1 Squads'!$H$5:$H$23,MATCH($C58&amp;"|"&amp;$D58,'0.1 Squads'!$A$5:$A$23,0))),"check size")</f>
        <v>0.68</v>
      </c>
      <c r="H58" s="9">
        <f>IFERROR($G58*$F58,"")</f>
        <v>0.6120000000000001</v>
      </c>
      <c r="I58" s="9">
        <f>IFERROR($G58*(1-$F58),"")</f>
        <v>0.06799999999999999</v>
      </c>
      <c r="J58" t="inlineStr">
        <is>
          <t>Subject to support Ampos</t>
        </is>
      </c>
    </row>
    <row r="59">
      <c r="B59" s="229" t="inlineStr">
        <is>
          <t>Platform Overhead</t>
        </is>
      </c>
      <c r="C59" s="214" t="n"/>
      <c r="D59" s="214" t="n"/>
      <c r="E59" s="214" t="n"/>
      <c r="F59" s="214" t="n"/>
      <c r="G59" s="214" t="n"/>
      <c r="H59" s="215">
        <f>'0.0 Data Config'!$L$16</f>
        <v>0.165</v>
      </c>
      <c r="I59" s="214" t="n"/>
    </row>
    <row r="60">
      <c r="B60" s="216" t="inlineStr">
        <is>
          <t>Data AU Total</t>
        </is>
      </c>
      <c r="C60" s="226" t="n"/>
      <c r="D60" s="226" t="n"/>
      <c r="E60" s="226" t="n"/>
      <c r="F60" s="226" t="n"/>
      <c r="G60" s="217">
        <f>SUM(G58:G58)</f>
        <v>0.68</v>
      </c>
      <c r="H60" s="217">
        <f>SUM(H58:H59)</f>
        <v>0.7770000000000001</v>
      </c>
      <c r="I60" s="217">
        <f>SUM(I58:I58)</f>
        <v>0.06799999999999999</v>
      </c>
    </row>
    <row r="61"/>
    <row r="62">
      <c r="B62" s="282" t="inlineStr">
        <is>
          <t>Platform: EGI Retail</t>
        </is>
      </c>
      <c r="C62" s="251" t="n"/>
      <c r="D62" s="251" t="n"/>
      <c r="E62" s="251" t="n"/>
      <c r="F62" s="251" t="n"/>
      <c r="G62" s="251" t="n"/>
      <c r="H62" s="251" t="n"/>
      <c r="I62" s="252" t="n"/>
    </row>
    <row r="63">
      <c r="B63" s="5" t="inlineStr">
        <is>
          <t>Squad</t>
        </is>
      </c>
      <c r="C63" s="5" t="inlineStr">
        <is>
          <t>Squad Type</t>
        </is>
      </c>
      <c r="D63" s="5" t="inlineStr">
        <is>
          <t>Size</t>
        </is>
      </c>
      <c r="E63" s="5" t="inlineStr">
        <is>
          <t>On/Off</t>
        </is>
      </c>
      <c r="F63" s="5" t="inlineStr">
        <is>
          <t>Support %</t>
        </is>
      </c>
      <c r="G63" s="5" t="inlineStr">
        <is>
          <t>Total Squad Cost ($m)</t>
        </is>
      </c>
      <c r="H63" s="5" t="inlineStr">
        <is>
          <t>TDD Cost ($m)</t>
        </is>
      </c>
      <c r="I63" s="5" t="inlineStr">
        <is>
          <t>Funded outside TDD ($m)</t>
        </is>
      </c>
      <c r="J63" s="231" t="inlineStr">
        <is>
          <t>Update - EGI</t>
        </is>
      </c>
    </row>
    <row r="64">
      <c r="B64" s="8" t="inlineStr">
        <is>
          <t>EGI Retail</t>
        </is>
      </c>
      <c r="C64" s="227" t="inlineStr">
        <is>
          <t>Strategic Programs</t>
        </is>
      </c>
      <c r="D64" s="227" t="n"/>
      <c r="E64" s="227" t="inlineStr">
        <is>
          <t>Onshore</t>
        </is>
      </c>
      <c r="F64" s="228" t="n">
        <v>0</v>
      </c>
      <c r="G64" s="305" t="n">
        <v>0</v>
      </c>
      <c r="H64" s="9">
        <f>IFERROR($G64*$F64,"")</f>
        <v>0.0</v>
      </c>
      <c r="I64" s="9">
        <f>IFERROR($G64*(1-$F64),"")</f>
        <v>0.0</v>
      </c>
    </row>
    <row r="65">
      <c r="B65" s="229" t="n"/>
      <c r="C65" s="214" t="n"/>
      <c r="D65" s="214" t="n"/>
      <c r="E65" s="214" t="n"/>
      <c r="F65" s="214" t="n"/>
      <c r="G65" s="214" t="n"/>
      <c r="H65" s="215" t="n"/>
      <c r="I65" s="214" t="n"/>
    </row>
    <row r="66">
      <c r="B66" s="216" t="inlineStr">
        <is>
          <t>EGI Retail Total</t>
        </is>
      </c>
      <c r="C66" s="226" t="n"/>
      <c r="D66" s="226" t="n"/>
      <c r="E66" s="226" t="n"/>
      <c r="F66" s="226" t="n"/>
      <c r="G66" s="217">
        <f>SUM(G64:G64)</f>
        <v>0.0</v>
      </c>
      <c r="H66" s="217">
        <f>SUM(H64:H64)</f>
        <v>0.0</v>
      </c>
      <c r="I66" s="217">
        <f>SUM(I64:I64)</f>
        <v>0.0</v>
      </c>
    </row>
  </sheetData>
  <mergeCells count="11">
    <mergeCell ref="B56:I56"/>
    <mergeCell ref="B11:D11"/>
    <mergeCell ref="B44:I44"/>
    <mergeCell ref="B30:I30"/>
    <mergeCell ref="B62:I62"/>
    <mergeCell ref="B4:E4"/>
    <mergeCell ref="B21:I21"/>
    <mergeCell ref="B37:I37"/>
    <mergeCell ref="B12:D12"/>
    <mergeCell ref="B50:I50"/>
    <mergeCell ref="G10:J10"/>
  </mergeCells>
  <conditionalFormatting sqref="H7">
    <cfRule type="cellIs" priority="5" operator="greaterThanOrEqual" dxfId="48">
      <formula>0</formula>
    </cfRule>
    <cfRule type="cellIs" priority="6" operator="lessThan" dxfId="49">
      <formula>0</formula>
    </cfRule>
  </conditionalFormatting>
  <conditionalFormatting sqref="I19">
    <cfRule type="cellIs" priority="7" operator="greaterThan" dxfId="49">
      <formula>0</formula>
    </cfRule>
    <cfRule type="cellIs" priority="8" operator="lessThanOrEqual" dxfId="48">
      <formula>0</formula>
    </cfRule>
  </conditionalFormatting>
  <dataValidations count="4">
    <dataValidation sqref="C23:C26 C32:C33 C39:C40 C46 C52 C58 C64" showDropDown="0" showInputMessage="0" showErrorMessage="0" allowBlank="1" type="list">
      <formula1>SquadTypes</formula1>
      <formula2>0</formula2>
    </dataValidation>
    <dataValidation sqref="D23:D26 D32:D33 D39:D40 D46 D52 D58 D64" showDropDown="0" showInputMessage="0" showErrorMessage="0" allowBlank="1" type="list">
      <formula1>SquadSizes</formula1>
      <formula2>0</formula2>
    </dataValidation>
    <dataValidation sqref="E23:E26 E32:E33 E39:E40 E46 E52 E58 E64" showDropDown="0" showInputMessage="0" showErrorMessage="0" allowBlank="1" type="list">
      <formula1>OnOff</formula1>
      <formula2>0</formula2>
    </dataValidation>
    <dataValidation sqref="F23:F26 F32:F33 F39:F40 F46 F52 F58 F64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M54"/>
  <sheetViews>
    <sheetView showGridLines="0" topLeftCell="A33" zoomScaleNormal="100" workbookViewId="0">
      <selection activeCell="J50" sqref="J50"/>
    </sheetView>
  </sheetViews>
  <sheetFormatPr baseColWidth="8" defaultColWidth="8.54296875" defaultRowHeight="14.5"/>
  <cols>
    <col width="28" customWidth="1" style="302" min="2" max="2"/>
    <col width="24.1796875" customWidth="1" style="302" min="3" max="3"/>
    <col width="9.54296875" customWidth="1" style="302" min="4" max="4"/>
    <col width="20.54296875" customWidth="1" style="302" min="5" max="5"/>
    <col width="11" customWidth="1" style="302" min="6" max="6"/>
    <col width="27.1796875" customWidth="1" style="302" min="7" max="7"/>
    <col width="14" customWidth="1" style="302" min="8" max="8"/>
    <col width="50.1796875" customWidth="1" style="302" min="9" max="9"/>
    <col width="27.08984375" customWidth="1" style="302" min="10" max="10"/>
    <col width="16.26953125" customWidth="1" style="302" min="11" max="11"/>
  </cols>
  <sheetData>
    <row r="1"/>
    <row r="2" ht="21" customHeight="1" s="302">
      <c r="B2" s="212" t="inlineStr">
        <is>
          <t>Customer</t>
        </is>
      </c>
    </row>
    <row r="3"/>
    <row r="4">
      <c r="B4" s="259" t="inlineStr">
        <is>
          <t>Portfolio Summary</t>
        </is>
      </c>
      <c r="C4" s="251" t="n"/>
      <c r="D4" s="251" t="n"/>
      <c r="E4" s="252" t="n"/>
      <c r="G4" s="213" t="inlineStr">
        <is>
          <t>Budget vs TDD cost</t>
        </is>
      </c>
      <c r="H4" s="213" t="n"/>
    </row>
    <row r="5">
      <c r="B5" s="5" t="inlineStr">
        <is>
          <t>Cost</t>
        </is>
      </c>
      <c r="C5" s="5" t="inlineStr">
        <is>
          <t>TDD ($m)</t>
        </is>
      </c>
      <c r="D5" s="5" t="inlineStr">
        <is>
          <t>Other ($m)</t>
        </is>
      </c>
      <c r="E5" s="5" t="inlineStr">
        <is>
          <t>Total Customer Cost ($m)</t>
        </is>
      </c>
      <c r="G5" s="214" t="inlineStr">
        <is>
          <t>TDD Lights On Budget</t>
        </is>
      </c>
      <c r="H5" s="215">
        <f>'0.0 Data Config'!$E$13+'0.0 Data Config'!$E$14</f>
        <v>6.5</v>
      </c>
    </row>
    <row r="6">
      <c r="B6" s="8" t="inlineStr">
        <is>
          <t>Portfolio Overhead</t>
        </is>
      </c>
      <c r="C6" s="215">
        <f>'0.0 Data Config'!$L$10</f>
        <v>0.7495</v>
      </c>
      <c r="E6" s="9">
        <f>C6</f>
        <v>0.7495</v>
      </c>
      <c r="G6" s="214" t="inlineStr">
        <is>
          <t>Overheads &amp; Support (this model)</t>
        </is>
      </c>
      <c r="H6" s="9">
        <f>C9</f>
        <v>9.0245</v>
      </c>
    </row>
    <row r="7">
      <c r="B7" s="8" t="inlineStr">
        <is>
          <t>Platform Overheads</t>
        </is>
      </c>
      <c r="C7" s="9">
        <f>SUM(H32,H40,H47)</f>
        <v>0.495</v>
      </c>
      <c r="E7" s="9">
        <f>C7</f>
        <v>0.495</v>
      </c>
      <c r="G7" s="216" t="inlineStr">
        <is>
          <t>Variance (budget less cost)</t>
        </is>
      </c>
      <c r="H7" s="217">
        <f>H5-H6</f>
        <v>-2.5244999999999997</v>
      </c>
    </row>
    <row r="8">
      <c r="B8" s="8" t="inlineStr">
        <is>
          <t>Squad Support Costs</t>
        </is>
      </c>
      <c r="C8" s="9">
        <f>SUM(H29,H30,H31,H37,H38,H39,H45,H46,H52)</f>
        <v>7.779999999999999</v>
      </c>
      <c r="D8" s="9">
        <f>SUM(I29,I30,I31,I37,I38,I39,I45,I46,I52)</f>
        <v>5.92</v>
      </c>
      <c r="E8" s="9">
        <f>C8+D8</f>
        <v>13.7</v>
      </c>
    </row>
    <row r="9">
      <c r="B9" s="216" t="inlineStr">
        <is>
          <t>Total Cost</t>
        </is>
      </c>
      <c r="C9" s="217">
        <f>SUM(C6:C8)</f>
        <v>9.0245</v>
      </c>
      <c r="D9" s="217">
        <f>SUM(D6:D8)</f>
        <v>5.92</v>
      </c>
      <c r="E9" s="217">
        <f>C9+D9</f>
        <v>14.9445</v>
      </c>
    </row>
    <row r="10">
      <c r="G10" s="284" t="inlineStr">
        <is>
          <t xml:space="preserve">Other funding </t>
        </is>
      </c>
      <c r="H10" s="386" t="n"/>
      <c r="I10" s="386" t="n"/>
      <c r="J10" s="386" t="n"/>
    </row>
    <row r="11">
      <c r="B11" s="286" t="inlineStr">
        <is>
          <t xml:space="preserve">Total Customer budget </t>
        </is>
      </c>
      <c r="D11" s="387" t="n"/>
      <c r="E11" s="219">
        <f>SUM(H12:H21)</f>
        <v>11.7</v>
      </c>
      <c r="G11" s="5" t="inlineStr">
        <is>
          <t>Budget line</t>
        </is>
      </c>
      <c r="H11" s="5" t="inlineStr">
        <is>
          <t>Budget ($m)</t>
        </is>
      </c>
      <c r="I11" s="5" t="inlineStr">
        <is>
          <t>Amount that can be allocated to people</t>
        </is>
      </c>
      <c r="J11" s="5" t="inlineStr">
        <is>
          <t>Remaining for non-people ($m)</t>
        </is>
      </c>
    </row>
    <row r="12">
      <c r="B12" s="286" t="inlineStr">
        <is>
          <t xml:space="preserve">Reconciled to Finance </t>
        </is>
      </c>
      <c r="D12" s="387" t="n"/>
      <c r="E12" s="220">
        <f>'0.4 Budget Table (Fin)'!Q13</f>
        <v>11.7</v>
      </c>
      <c r="G12" s="8" t="inlineStr">
        <is>
          <t>Customer Lights On</t>
        </is>
      </c>
      <c r="H12" s="215">
        <f>'0.4 Budget Table (Fin)'!L13</f>
        <v>1.7000000000000002</v>
      </c>
      <c r="I12">
        <f>'0.4 Budget Table (Fin)'!G13</f>
        <v>0.0</v>
      </c>
      <c r="J12" s="9">
        <f>IFERROR(H12-I12,0)</f>
        <v>1.7000000000000002</v>
      </c>
    </row>
    <row r="13">
      <c r="G13" s="8" t="inlineStr">
        <is>
          <t>OpEx Initiatives</t>
        </is>
      </c>
      <c r="H13" s="215">
        <f>'0.4 Budget Table (Fin)'!N13</f>
        <v>0.0</v>
      </c>
      <c r="I13" s="222" t="n">
        <v>0</v>
      </c>
      <c r="J13" s="9">
        <f>IFERROR(H13-I13,0)</f>
        <v>0.0</v>
      </c>
    </row>
    <row r="14">
      <c r="G14" s="8" t="inlineStr">
        <is>
          <t>CapEx</t>
        </is>
      </c>
      <c r="H14" s="215">
        <f>'0.4 Budget Table (Fin)'!P13</f>
        <v>5.0</v>
      </c>
      <c r="I14" s="222" t="n"/>
      <c r="J14" s="9">
        <f>IFERROR(H14-I14,0)</f>
        <v>5.0</v>
      </c>
    </row>
    <row r="15">
      <c r="G15" s="8" t="inlineStr">
        <is>
          <t>Significant Items EGI</t>
        </is>
      </c>
      <c r="H15" s="215" t="n"/>
      <c r="I15" s="222">
        <f>I52</f>
        <v>0.0</v>
      </c>
      <c r="J15" s="9" t="n"/>
    </row>
    <row r="16">
      <c r="G16" s="8" t="inlineStr">
        <is>
          <t xml:space="preserve">Significant Items </t>
        </is>
      </c>
      <c r="H16" s="215">
        <f>'0.4 Budget Table (Fin)'!O13</f>
        <v>5.0</v>
      </c>
      <c r="I16" s="222" t="n">
        <v>0</v>
      </c>
      <c r="J16" s="9">
        <f>IFERROR(H16-I16,0)</f>
        <v>5.0</v>
      </c>
    </row>
    <row r="17">
      <c r="G17" s="8" t="inlineStr">
        <is>
          <t>Sig Items EG</t>
        </is>
      </c>
      <c r="H17" s="215" t="n"/>
      <c r="I17" s="222" t="n"/>
      <c r="J17" s="9" t="n"/>
    </row>
    <row r="18">
      <c r="G18" s="8" t="inlineStr">
        <is>
          <t>Z OpEx Initiatives</t>
        </is>
      </c>
      <c r="H18" s="215" t="n"/>
      <c r="I18" s="222" t="n"/>
      <c r="J18" s="9" t="n"/>
    </row>
    <row r="19">
      <c r="G19" s="8" t="inlineStr">
        <is>
          <t>Z CapEx</t>
        </is>
      </c>
      <c r="H19" s="215" t="n"/>
      <c r="I19" s="222" t="n"/>
      <c r="J19" s="9" t="n"/>
    </row>
    <row r="20">
      <c r="G20" s="8" t="inlineStr">
        <is>
          <t>Z Sig items</t>
        </is>
      </c>
      <c r="H20" s="215" t="n"/>
      <c r="I20" s="222" t="n"/>
      <c r="J20" s="9" t="n"/>
    </row>
    <row r="21">
      <c r="G21" s="8" t="inlineStr">
        <is>
          <t>Depreciation</t>
        </is>
      </c>
      <c r="H21" s="215">
        <f>'0.4 Budget Table (Fin)'!M13</f>
        <v>0.0</v>
      </c>
      <c r="I21" s="222" t="n">
        <v>0</v>
      </c>
      <c r="J21" s="9">
        <f>IFERROR(H21-I21,0)</f>
        <v>0.0</v>
      </c>
    </row>
    <row r="22">
      <c r="G22" s="225" t="inlineStr">
        <is>
          <t>Total applied</t>
        </is>
      </c>
      <c r="I22" s="35">
        <f>SUM(I12:I21)</f>
        <v>0.0</v>
      </c>
    </row>
    <row r="23">
      <c r="G23" s="8" t="inlineStr">
        <is>
          <t>Other cost (this model)</t>
        </is>
      </c>
      <c r="I23" s="9">
        <f>D9</f>
        <v>5.92</v>
      </c>
    </row>
    <row r="24">
      <c r="G24" s="216" t="inlineStr">
        <is>
          <t>Left to fund</t>
        </is>
      </c>
      <c r="H24" s="216" t="n"/>
      <c r="I24" s="217">
        <f>I23-I22</f>
        <v>5.92</v>
      </c>
      <c r="J24" s="216" t="n"/>
    </row>
    <row r="25"/>
    <row r="26"/>
    <row r="27">
      <c r="B27" s="284" t="inlineStr">
        <is>
          <t>Platform: Ampol Digital</t>
        </is>
      </c>
      <c r="C27" s="386" t="n"/>
      <c r="D27" s="386" t="n"/>
      <c r="E27" s="386" t="n"/>
      <c r="F27" s="386" t="n"/>
      <c r="G27" s="386" t="n"/>
      <c r="H27" s="386" t="n"/>
      <c r="I27" s="386" t="n"/>
    </row>
    <row r="28">
      <c r="B28" s="5" t="inlineStr">
        <is>
          <t>Squad</t>
        </is>
      </c>
      <c r="C28" s="5" t="inlineStr">
        <is>
          <t>Squad Type</t>
        </is>
      </c>
      <c r="D28" s="5" t="inlineStr">
        <is>
          <t>Size</t>
        </is>
      </c>
      <c r="E28" s="5" t="inlineStr">
        <is>
          <t>On/Off</t>
        </is>
      </c>
      <c r="F28" s="5" t="inlineStr">
        <is>
          <t>Support %</t>
        </is>
      </c>
      <c r="G28" s="5" t="inlineStr">
        <is>
          <t>Total Squad Cost ($m)</t>
        </is>
      </c>
      <c r="H28" s="5" t="inlineStr">
        <is>
          <t>TDD Cost ($m)</t>
        </is>
      </c>
      <c r="I28" s="5" t="inlineStr">
        <is>
          <t>Funded outside TDD ($m)</t>
        </is>
      </c>
      <c r="J28" s="231" t="inlineStr">
        <is>
          <t>FTE</t>
        </is>
      </c>
    </row>
    <row r="29">
      <c r="B29" s="8" t="inlineStr">
        <is>
          <t>Ampol App</t>
        </is>
      </c>
      <c r="C29" s="227" t="inlineStr">
        <is>
          <t>Product</t>
        </is>
      </c>
      <c r="D29" s="227" t="inlineStr">
        <is>
          <t>L</t>
        </is>
      </c>
      <c r="E29" s="227" t="inlineStr">
        <is>
          <t>Onshore</t>
        </is>
      </c>
      <c r="F29" s="228" t="n">
        <v>0.2</v>
      </c>
      <c r="G29" s="215">
        <f>IFERROR(IF($E29="Onshore",INDEX('0.1 Squads'!$G$5:$G$23,MATCH($C29&amp;"|"&amp;$D29,'0.1 Squads'!$A$5:$A$23,0)),INDEX('0.1 Squads'!$H$5:$H$23,MATCH($C29&amp;"|"&amp;$D29,'0.1 Squads'!$A$5:$A$23,0))),"check size")</f>
        <v>2.8</v>
      </c>
      <c r="H29" s="9">
        <f>IFERROR($G29*$F29,"")</f>
        <v>0.5599999999999999</v>
      </c>
      <c r="I29" s="9">
        <f>IFERROR($G29*(1-$F29),"")</f>
        <v>2.2399999999999998</v>
      </c>
      <c r="J29" t="n">
        <v>15</v>
      </c>
    </row>
    <row r="30">
      <c r="B30" s="8" t="inlineStr">
        <is>
          <t>Ampol Web</t>
        </is>
      </c>
      <c r="C30" s="227" t="inlineStr">
        <is>
          <t>Product</t>
        </is>
      </c>
      <c r="D30" s="227" t="inlineStr">
        <is>
          <t>M</t>
        </is>
      </c>
      <c r="E30" s="227" t="inlineStr">
        <is>
          <t>Onshore</t>
        </is>
      </c>
      <c r="F30" s="228" t="n">
        <v>0.2</v>
      </c>
      <c r="G30" s="215">
        <f>IFERROR(IF($E30="Onshore",INDEX('0.1 Squads'!$G$5:$G$23,MATCH($C30&amp;"|"&amp;$D30,'0.1 Squads'!$A$5:$A$23,0)),INDEX('0.1 Squads'!$H$5:$H$23,MATCH($C30&amp;"|"&amp;$D30,'0.1 Squads'!$A$5:$A$23,0))),"check size")</f>
        <v>1.9</v>
      </c>
      <c r="H30" s="9">
        <f>IFERROR($G30*$F30,"")</f>
        <v>0.38</v>
      </c>
      <c r="I30" s="9">
        <f>IFERROR($G30*(1-$F30),"")</f>
        <v>1.52</v>
      </c>
      <c r="J30" t="n">
        <v>9</v>
      </c>
    </row>
    <row r="31">
      <c r="B31" s="8" t="inlineStr">
        <is>
          <t>Digital Operations</t>
        </is>
      </c>
      <c r="C31" s="227" t="inlineStr">
        <is>
          <t>Operations</t>
        </is>
      </c>
      <c r="D31" s="227" t="inlineStr">
        <is>
          <t>M</t>
        </is>
      </c>
      <c r="E31" s="227" t="inlineStr">
        <is>
          <t>Onshore</t>
        </is>
      </c>
      <c r="F31" s="228" t="n">
        <v>1</v>
      </c>
      <c r="G31" s="215">
        <f>IFERROR(IF($E31="Onshore",INDEX('0.1 Squads'!$G$5:$G$23,MATCH($C31&amp;"|"&amp;$D31,'0.1 Squads'!$A$5:$A$23,0)),INDEX('0.1 Squads'!$H$5:$H$23,MATCH($C31&amp;"|"&amp;$D31,'0.1 Squads'!$A$5:$A$23,0))),"check size")</f>
        <v>1.4</v>
      </c>
      <c r="H31" s="9">
        <f>IFERROR($G31*$F31,"")</f>
        <v>1.4</v>
      </c>
      <c r="I31" s="9">
        <f>IFERROR($G31*(1-$F31),"")</f>
        <v>0.0</v>
      </c>
      <c r="J31" t="n">
        <v>6</v>
      </c>
    </row>
    <row r="32">
      <c r="B32" s="229" t="inlineStr">
        <is>
          <t>Platform Overhead</t>
        </is>
      </c>
      <c r="H32" s="215">
        <f>'0.0 Data Config'!$L$16</f>
        <v>0.165</v>
      </c>
    </row>
    <row r="33">
      <c r="B33" s="216" t="inlineStr">
        <is>
          <t>Ampol Digital Total</t>
        </is>
      </c>
      <c r="C33" s="226" t="n"/>
      <c r="D33" s="226" t="n"/>
      <c r="E33" s="226" t="n"/>
      <c r="F33" s="226" t="n"/>
      <c r="G33" s="226">
        <f>SUM(G29:G31)</f>
        <v>6.1</v>
      </c>
      <c r="H33" s="217">
        <f>SUM(H29:H32)</f>
        <v>2.505</v>
      </c>
      <c r="I33" s="217">
        <f>SUM(I29:I31)</f>
        <v>3.76</v>
      </c>
    </row>
    <row r="34"/>
    <row r="35">
      <c r="B35" s="284" t="inlineStr">
        <is>
          <t>Platform: Customer Z</t>
        </is>
      </c>
      <c r="C35" s="386" t="n"/>
      <c r="D35" s="386" t="n"/>
      <c r="E35" s="386" t="n"/>
      <c r="F35" s="386" t="n"/>
      <c r="G35" s="386" t="n"/>
      <c r="H35" s="386" t="n"/>
      <c r="I35" s="386" t="n"/>
    </row>
    <row r="36">
      <c r="B36" s="5" t="inlineStr">
        <is>
          <t>Squad</t>
        </is>
      </c>
      <c r="C36" s="5" t="inlineStr">
        <is>
          <t>Squad Type</t>
        </is>
      </c>
      <c r="D36" s="5" t="inlineStr">
        <is>
          <t>Size</t>
        </is>
      </c>
      <c r="E36" s="5" t="inlineStr">
        <is>
          <t>On/Off</t>
        </is>
      </c>
      <c r="F36" s="5" t="inlineStr">
        <is>
          <t>Support %</t>
        </is>
      </c>
      <c r="G36" s="5" t="inlineStr">
        <is>
          <t>Total Squad Cost ($m)</t>
        </is>
      </c>
      <c r="H36" s="5" t="inlineStr">
        <is>
          <t>TDD Cost ($m)</t>
        </is>
      </c>
      <c r="I36" s="5" t="inlineStr">
        <is>
          <t>Funded outside TDD ($m)</t>
        </is>
      </c>
    </row>
    <row r="37">
      <c r="B37" s="8" t="inlineStr">
        <is>
          <t>Z Energy Apps</t>
        </is>
      </c>
      <c r="C37" s="227" t="inlineStr">
        <is>
          <t>Product</t>
        </is>
      </c>
      <c r="D37" s="227" t="inlineStr">
        <is>
          <t>S</t>
        </is>
      </c>
      <c r="E37" s="227" t="inlineStr">
        <is>
          <t>Onshore</t>
        </is>
      </c>
      <c r="F37" s="228" t="n">
        <v>1</v>
      </c>
      <c r="G37" s="215">
        <f>IFERROR(IF($E37="Onshore",INDEX('0.1 Squads'!$G$5:$G$23,MATCH($C37&amp;"|"&amp;$D37,'0.1 Squads'!$A$5:$A$23,0)),INDEX('0.1 Squads'!$H$5:$H$23,MATCH($C37&amp;"|"&amp;$D37,'0.1 Squads'!$A$5:$A$23,0))),"check size")</f>
        <v>1.3</v>
      </c>
      <c r="H37" s="9">
        <f>IFERROR($G37*$F37,"")</f>
        <v>1.3</v>
      </c>
      <c r="I37" s="9">
        <f>IFERROR($G37*(1-$F37),"")</f>
        <v>0.0</v>
      </c>
      <c r="J37" t="inlineStr">
        <is>
          <t xml:space="preserve">Z funded incl. in the lights on budget. Needs to be under group customer platforms </t>
        </is>
      </c>
      <c r="K37" t="n">
        <v>5</v>
      </c>
    </row>
    <row r="38">
      <c r="B38" s="298" t="inlineStr">
        <is>
          <t>Z Energy Martech</t>
        </is>
      </c>
      <c r="C38" s="299" t="inlineStr">
        <is>
          <t>Product</t>
        </is>
      </c>
      <c r="D38" s="299" t="inlineStr">
        <is>
          <t>L</t>
        </is>
      </c>
      <c r="E38" s="299" t="inlineStr">
        <is>
          <t>Onshore</t>
        </is>
      </c>
      <c r="F38" s="300" t="n">
        <v>1</v>
      </c>
      <c r="G38" s="215">
        <f>IFERROR(IF($E38="Onshore",INDEX('0.1 Squads'!$G$5:$G$23,MATCH($C38&amp;"|"&amp;$D38,'0.1 Squads'!$A$5:$A$23,0)),INDEX('0.1 Squads'!$H$5:$H$23,MATCH($C38&amp;"|"&amp;$D38,'0.1 Squads'!$A$5:$A$23,0))),"check size")</f>
        <v>2.8</v>
      </c>
      <c r="H38" s="9">
        <f>IFERROR($G38*$F38,"")</f>
        <v>2.8</v>
      </c>
      <c r="I38" s="9">
        <f>IFERROR($G38*(1-$F38),"")</f>
        <v>0.0</v>
      </c>
      <c r="J38" t="inlineStr">
        <is>
          <t xml:space="preserve">Z funded incl. in the lights on budget. Needs to be under group customer platforms </t>
        </is>
      </c>
      <c r="K38" t="n">
        <v>16</v>
      </c>
    </row>
    <row r="39">
      <c r="A39" t="inlineStr">
        <is>
          <t>Net New</t>
        </is>
      </c>
      <c r="B39" s="8" t="inlineStr">
        <is>
          <t>Digital Support NZ</t>
        </is>
      </c>
      <c r="C39" s="295" t="inlineStr">
        <is>
          <t>Operations</t>
        </is>
      </c>
      <c r="D39" s="295" t="inlineStr">
        <is>
          <t>S</t>
        </is>
      </c>
      <c r="E39" s="295" t="inlineStr">
        <is>
          <t>Onshore</t>
        </is>
      </c>
      <c r="F39" s="296" t="n">
        <v>1</v>
      </c>
      <c r="G39" s="215">
        <f>IFERROR(IF($E39="Onshore",INDEX('0.1 Squads'!$G$5:$G$23,MATCH($C39&amp;"|"&amp;$D39,'0.1 Squads'!$A$5:$A$23,0)),INDEX('0.1 Squads'!$H$5:$H$23,MATCH($C39&amp;"|"&amp;$D39,'0.1 Squads'!$A$5:$A$23,0))),"check size")</f>
        <v>0.8</v>
      </c>
      <c r="H39" s="9">
        <f>IFERROR($G39*$F39,"")</f>
        <v>0.8</v>
      </c>
      <c r="I39" s="9">
        <f>IFERROR($G39*(1-$F39),"")</f>
        <v>0.0</v>
      </c>
      <c r="J39" t="inlineStr">
        <is>
          <t xml:space="preserve">Z funded incl. in the lights on budget. Needs to be under group customer platforms </t>
        </is>
      </c>
    </row>
    <row r="40">
      <c r="B40" s="229" t="inlineStr">
        <is>
          <t>Platform Overhead</t>
        </is>
      </c>
      <c r="H40" s="215">
        <f>'0.0 Data Config'!$L$16</f>
        <v>0.165</v>
      </c>
    </row>
    <row r="41">
      <c r="B41" s="216" t="inlineStr">
        <is>
          <t>Customer Z Total</t>
        </is>
      </c>
      <c r="C41" s="226" t="n"/>
      <c r="D41" s="226" t="n"/>
      <c r="E41" s="226" t="n"/>
      <c r="F41" s="226" t="n"/>
      <c r="G41" s="217">
        <f>SUM(G37:G39)</f>
        <v>4.8999999999999995</v>
      </c>
      <c r="H41" s="217">
        <f>SUM(H37:H40)</f>
        <v>5.0649999999999995</v>
      </c>
      <c r="I41" s="217">
        <f>SUM(I37:I39)</f>
        <v>0.0</v>
      </c>
    </row>
    <row r="42">
      <c r="M42" t="inlineStr">
        <is>
          <t>2 B2B Vacant FTEs</t>
        </is>
      </c>
    </row>
    <row r="43">
      <c r="B43" s="285" t="inlineStr">
        <is>
          <t>Platform: Group Customer Platforms</t>
        </is>
      </c>
    </row>
    <row r="44">
      <c r="B44" s="232" t="inlineStr">
        <is>
          <t>Squad</t>
        </is>
      </c>
      <c r="C44" s="232" t="inlineStr">
        <is>
          <t>Squad Type</t>
        </is>
      </c>
      <c r="D44" s="232" t="inlineStr">
        <is>
          <t>Size</t>
        </is>
      </c>
      <c r="E44" s="232" t="inlineStr">
        <is>
          <t>On/Off</t>
        </is>
      </c>
      <c r="F44" s="232" t="inlineStr">
        <is>
          <t>Support %</t>
        </is>
      </c>
      <c r="G44" s="232" t="inlineStr">
        <is>
          <t>Total Squad Cost ($m)</t>
        </is>
      </c>
      <c r="H44" s="232" t="inlineStr">
        <is>
          <t>TDD Cost ($m)</t>
        </is>
      </c>
      <c r="I44" s="232" t="inlineStr">
        <is>
          <t>Funded outside TDD ($m)</t>
        </is>
      </c>
    </row>
    <row r="45">
      <c r="B45" s="233" t="inlineStr">
        <is>
          <t>AU CRM &amp; Martech</t>
        </is>
      </c>
      <c r="C45" s="234" t="inlineStr">
        <is>
          <t>Product</t>
        </is>
      </c>
      <c r="D45" s="234" t="inlineStr">
        <is>
          <t>M</t>
        </is>
      </c>
      <c r="E45" s="234" t="inlineStr">
        <is>
          <t>Onshore</t>
        </is>
      </c>
      <c r="F45" s="235" t="n">
        <v>0.2</v>
      </c>
      <c r="G45" s="236">
        <f>IFERROR(IF($E45="Onshore",INDEX('0.1 Squads'!$G$5:$G$23,MATCH($C45&amp;"|"&amp;$D45,'0.1 Squads'!$A$5:$A$23,0)),INDEX('0.1 Squads'!$H$5:$H$23,MATCH($C45&amp;"|"&amp;$D45,'0.1 Squads'!$A$5:$A$23,0))),"check size")</f>
        <v>1.9</v>
      </c>
      <c r="H45" s="237">
        <f>IFERROR($G45*$F45,"")</f>
        <v>0.38</v>
      </c>
      <c r="I45" s="237">
        <f>IFERROR($G45*(1-$F45),"")</f>
        <v>1.52</v>
      </c>
      <c r="J45" t="n">
        <v>7</v>
      </c>
    </row>
    <row r="46">
      <c r="A46" t="inlineStr">
        <is>
          <t>Net New - 3FTE</t>
        </is>
      </c>
      <c r="B46" s="233" t="inlineStr">
        <is>
          <t xml:space="preserve">AI Enablement </t>
        </is>
      </c>
      <c r="C46" s="295" t="inlineStr">
        <is>
          <t>Engineering</t>
        </is>
      </c>
      <c r="D46" s="295" t="inlineStr">
        <is>
          <t>S</t>
        </is>
      </c>
      <c r="E46" s="295" t="inlineStr">
        <is>
          <t>Onshore</t>
        </is>
      </c>
      <c r="F46" s="235" t="n">
        <v>0.2</v>
      </c>
      <c r="G46" s="236">
        <f>IFERROR(IF($E46="Onshore",INDEX('0.1 Squads'!$G$5:$G$23,MATCH($C46&amp;"|"&amp;$D46,'0.1 Squads'!$A$5:$A$23,0)),INDEX('0.1 Squads'!$H$5:$H$23,MATCH($C46&amp;"|"&amp;$D46,'0.1 Squads'!$A$5:$A$23,0))),"check size")</f>
        <v>0.8</v>
      </c>
      <c r="H46" s="237">
        <f>IFERROR($G46*$F46,"")</f>
        <v>0.16000000000000003</v>
      </c>
      <c r="I46" s="237">
        <f>IFERROR($G46*(1-$F46),"")</f>
        <v>0.6400000000000001</v>
      </c>
    </row>
    <row r="47">
      <c r="B47" s="238" t="inlineStr">
        <is>
          <t>Platform Overhead</t>
        </is>
      </c>
      <c r="C47" s="214" t="n"/>
      <c r="D47" s="214" t="n"/>
      <c r="E47" s="214" t="n"/>
      <c r="F47" s="214" t="n"/>
      <c r="G47" s="239" t="n"/>
      <c r="H47" s="236">
        <f>'0.0 Data Config'!$L$16</f>
        <v>0.165</v>
      </c>
      <c r="I47" s="239" t="n"/>
    </row>
    <row r="48">
      <c r="B48" s="240" t="inlineStr">
        <is>
          <t>Group Customer Platforms Total</t>
        </is>
      </c>
      <c r="C48" s="226" t="n"/>
      <c r="D48" s="226" t="n"/>
      <c r="E48" s="226" t="n"/>
      <c r="F48" s="226" t="n"/>
      <c r="G48" s="240">
        <f>SUM(G45:G46)</f>
        <v>2.7</v>
      </c>
      <c r="H48" s="241">
        <f>SUM(H45:H47)</f>
        <v>0.7050000000000001</v>
      </c>
      <c r="I48" s="241">
        <f>SUM(I45:I46)</f>
        <v>2.16</v>
      </c>
    </row>
    <row r="49"/>
    <row r="50">
      <c r="B50" s="285" t="inlineStr">
        <is>
          <t>Platform: EGI Customer</t>
        </is>
      </c>
    </row>
    <row r="51">
      <c r="B51" s="232" t="inlineStr">
        <is>
          <t>Squad</t>
        </is>
      </c>
      <c r="C51" s="232" t="inlineStr">
        <is>
          <t>Squad Type</t>
        </is>
      </c>
      <c r="D51" s="232" t="inlineStr">
        <is>
          <t>Size</t>
        </is>
      </c>
      <c r="E51" s="232" t="inlineStr">
        <is>
          <t>On/Off</t>
        </is>
      </c>
      <c r="F51" s="232" t="inlineStr">
        <is>
          <t>Support %</t>
        </is>
      </c>
      <c r="G51" s="232" t="inlineStr">
        <is>
          <t>Total Squad Cost ($m)</t>
        </is>
      </c>
      <c r="H51" s="232" t="inlineStr">
        <is>
          <t>TDD Cost ($m)</t>
        </is>
      </c>
      <c r="I51" s="232" t="inlineStr">
        <is>
          <t>Funded outside TDD ($m)</t>
        </is>
      </c>
    </row>
    <row r="52">
      <c r="B52" s="233" t="inlineStr">
        <is>
          <t>EGI Customer</t>
        </is>
      </c>
      <c r="C52" s="234" t="inlineStr">
        <is>
          <t>Strategic Programs</t>
        </is>
      </c>
      <c r="D52" s="234" t="n"/>
      <c r="E52" s="234" t="inlineStr">
        <is>
          <t>Onshore</t>
        </is>
      </c>
      <c r="F52" s="235" t="n">
        <v>0</v>
      </c>
      <c r="G52" s="242" t="n">
        <v>0</v>
      </c>
      <c r="H52" s="237">
        <f>IFERROR($G52*$F52,"")</f>
        <v>0.0</v>
      </c>
      <c r="I52" s="237">
        <f>IFERROR($G52*(1-$F52),"")</f>
        <v>0.0</v>
      </c>
      <c r="J52" t="n">
        <v>9</v>
      </c>
      <c r="K52" t="inlineStr">
        <is>
          <t>EGI completely separate funded by EGI not within sig items budget</t>
        </is>
      </c>
    </row>
    <row r="53">
      <c r="B53" s="238" t="n"/>
      <c r="C53" s="214" t="n"/>
      <c r="D53" s="214" t="n"/>
      <c r="E53" s="214" t="n"/>
      <c r="F53" s="214" t="n"/>
      <c r="G53" s="239" t="n"/>
      <c r="H53" s="236" t="n"/>
      <c r="I53" s="239" t="n"/>
      <c r="K53" t="n">
        <v>2.25</v>
      </c>
    </row>
    <row r="54">
      <c r="B54" s="240" t="inlineStr">
        <is>
          <t>EGI Customer Total</t>
        </is>
      </c>
      <c r="C54" s="226" t="n"/>
      <c r="D54" s="226" t="n"/>
      <c r="E54" s="226" t="n"/>
      <c r="F54" s="226" t="n"/>
      <c r="G54" s="240">
        <f>SUM(G52:G52)</f>
        <v>0.0</v>
      </c>
      <c r="H54" s="241">
        <f>SUM(H52:H52)</f>
        <v>0.0</v>
      </c>
      <c r="I54" s="241">
        <f>SUM(I52:I52)</f>
        <v>0.0</v>
      </c>
    </row>
  </sheetData>
  <mergeCells count="8">
    <mergeCell ref="B11:D11"/>
    <mergeCell ref="B4:E4"/>
    <mergeCell ref="B12:D12"/>
    <mergeCell ref="B27:I27"/>
    <mergeCell ref="B35:I35"/>
    <mergeCell ref="B50:I50"/>
    <mergeCell ref="G10:J10"/>
    <mergeCell ref="B43:I43"/>
  </mergeCells>
  <conditionalFormatting sqref="H7">
    <cfRule type="cellIs" priority="5" operator="greaterThanOrEqual" dxfId="48">
      <formula>0</formula>
    </cfRule>
    <cfRule type="cellIs" priority="6" operator="lessThan" dxfId="49">
      <formula>0</formula>
    </cfRule>
  </conditionalFormatting>
  <conditionalFormatting sqref="I24">
    <cfRule type="cellIs" priority="7" operator="greaterThan" dxfId="49">
      <formula>0</formula>
    </cfRule>
    <cfRule type="cellIs" priority="8" operator="lessThanOrEqual" dxfId="48">
      <formula>0</formula>
    </cfRule>
  </conditionalFormatting>
  <dataValidations count="4">
    <dataValidation sqref="C29:C31 C37:C39 C45:C46" showDropDown="0" showInputMessage="0" showErrorMessage="0" allowBlank="1" type="list">
      <formula1>SquadTypes</formula1>
      <formula2>0</formula2>
    </dataValidation>
    <dataValidation sqref="D29:D31 D37:D39 D45:D46 D52" showDropDown="0" showInputMessage="0" showErrorMessage="0" allowBlank="1" type="list">
      <formula1>SquadSizes</formula1>
      <formula2>0</formula2>
    </dataValidation>
    <dataValidation sqref="E29:E31 E37:E39 E45:E46 E52" showDropDown="0" showInputMessage="0" showErrorMessage="0" allowBlank="1" type="list">
      <formula1>OnOff</formula1>
      <formula2>0</formula2>
    </dataValidation>
    <dataValidation sqref="F29:F31 F37:F39 F45:F46 F52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31"/>
  <sheetViews>
    <sheetView showGridLines="0" topLeftCell="A12" zoomScaleNormal="100" workbookViewId="0">
      <selection activeCell="M29" sqref="M29"/>
    </sheetView>
  </sheetViews>
  <sheetFormatPr baseColWidth="8" defaultColWidth="8.54296875" defaultRowHeight="14.5"/>
  <cols>
    <col width="28" customWidth="1" style="302" min="2" max="2"/>
    <col width="26" customWidth="1" style="302" min="3" max="3"/>
    <col width="9.54296875" customWidth="1" style="302" min="4" max="4"/>
    <col width="25.1796875" customWidth="1" style="302" min="5" max="5"/>
    <col width="11" customWidth="1" style="302" min="6" max="6"/>
    <col width="34.453125" bestFit="1" customWidth="1" style="302" min="7" max="7"/>
    <col width="14" customWidth="1" style="302" min="8" max="8"/>
    <col width="50.1796875" customWidth="1" style="302" min="9" max="9"/>
    <col width="24.81640625" customWidth="1" style="302" min="10" max="10"/>
  </cols>
  <sheetData>
    <row r="1"/>
    <row r="2" ht="21" customHeight="1" s="302">
      <c r="B2" s="212" t="inlineStr">
        <is>
          <t>Enterprise Data</t>
        </is>
      </c>
    </row>
    <row r="3"/>
    <row r="4">
      <c r="B4" s="259" t="inlineStr">
        <is>
          <t>Portfolio Summary</t>
        </is>
      </c>
      <c r="C4" s="251" t="n"/>
      <c r="D4" s="251" t="n"/>
      <c r="E4" s="252" t="n"/>
      <c r="G4" s="282" t="inlineStr">
        <is>
          <t>Budget vs TDD cost</t>
        </is>
      </c>
      <c r="H4" s="252" t="n"/>
    </row>
    <row r="5">
      <c r="B5" s="5" t="inlineStr">
        <is>
          <t>Cost</t>
        </is>
      </c>
      <c r="C5" s="5" t="inlineStr">
        <is>
          <t>TDD ($m)</t>
        </is>
      </c>
      <c r="D5" s="5" t="inlineStr">
        <is>
          <t>Other ($m)</t>
        </is>
      </c>
      <c r="E5" s="5" t="inlineStr">
        <is>
          <t>Total Enterprise Data Cost ($m)</t>
        </is>
      </c>
      <c r="G5" s="214" t="inlineStr">
        <is>
          <t>TDD Lights On Budget</t>
        </is>
      </c>
      <c r="H5" s="215">
        <f>'0.0 Data Config'!$E$22</f>
        <v>3.5</v>
      </c>
    </row>
    <row r="6">
      <c r="B6" s="8" t="inlineStr">
        <is>
          <t>Portfolio Overhead</t>
        </is>
      </c>
      <c r="C6" s="215">
        <f>'0.0 Data Config'!$L$10</f>
        <v>0.7495</v>
      </c>
      <c r="E6" s="9">
        <f>C6</f>
        <v>0.7495</v>
      </c>
      <c r="G6" s="214" t="inlineStr">
        <is>
          <t>Overheads &amp; Support (this model)</t>
        </is>
      </c>
      <c r="H6" s="9">
        <f>C9</f>
        <v>7.1345</v>
      </c>
    </row>
    <row r="7">
      <c r="B7" s="8" t="inlineStr">
        <is>
          <t>Platform Overheads</t>
        </is>
      </c>
      <c r="C7" s="9">
        <f>SUM(H29)</f>
        <v>0.165</v>
      </c>
      <c r="E7" s="9">
        <f>C7</f>
        <v>0.165</v>
      </c>
      <c r="G7" s="216" t="inlineStr">
        <is>
          <t>Variance (budget less cost)</t>
        </is>
      </c>
      <c r="H7" s="217">
        <f>H5-H6</f>
        <v>-3.6345</v>
      </c>
    </row>
    <row r="8">
      <c r="B8" s="8" t="inlineStr">
        <is>
          <t>Squad Support Costs</t>
        </is>
      </c>
      <c r="C8" s="9">
        <f>SUM(H24,H25,H26,H27,H28)</f>
        <v>6.22</v>
      </c>
      <c r="D8" s="9">
        <f>SUM(I24,I25,I26,I27,I28)</f>
        <v>2.0</v>
      </c>
      <c r="E8" s="9">
        <f>C8+D8</f>
        <v>8.219999999999999</v>
      </c>
    </row>
    <row r="9">
      <c r="B9" s="216" t="inlineStr">
        <is>
          <t>Total Cost</t>
        </is>
      </c>
      <c r="C9" s="217">
        <f>SUM(C6:C8)</f>
        <v>7.1345</v>
      </c>
      <c r="D9" s="217">
        <f>SUM(D6:D8)</f>
        <v>2.0</v>
      </c>
      <c r="E9" s="217">
        <f>C9+D9</f>
        <v>9.1345</v>
      </c>
    </row>
    <row r="10">
      <c r="G10" s="287" t="inlineStr">
        <is>
          <t xml:space="preserve">Other funding </t>
        </is>
      </c>
      <c r="H10" s="384" t="n"/>
      <c r="I10" s="384" t="n"/>
      <c r="J10" s="385" t="n"/>
    </row>
    <row r="11">
      <c r="B11" s="288" t="n"/>
      <c r="D11" s="387" t="n"/>
      <c r="E11" s="219" t="n"/>
      <c r="G11" s="5" t="inlineStr">
        <is>
          <t>Funding position</t>
        </is>
      </c>
      <c r="H11" s="232" t="n"/>
      <c r="I11" s="232" t="n"/>
      <c r="J11" s="232" t="n"/>
    </row>
    <row r="12">
      <c r="B12" s="289" t="n"/>
      <c r="D12" s="387" t="n"/>
      <c r="E12" s="220" t="n"/>
      <c r="G12" s="225" t="inlineStr">
        <is>
          <t>Other cost (this model)</t>
        </is>
      </c>
      <c r="H12" s="236" t="n"/>
      <c r="I12" s="243">
        <f>D9</f>
        <v>2.0</v>
      </c>
      <c r="J12" s="237" t="n"/>
    </row>
    <row r="13">
      <c r="G13" s="225" t="inlineStr">
        <is>
          <t>Funded from TDD Corporate pool (2.1 COE)</t>
        </is>
      </c>
      <c r="H13" s="236" t="n"/>
      <c r="I13" s="230" t="n">
        <v>0</v>
      </c>
      <c r="J13" s="237" t="n"/>
    </row>
    <row r="14">
      <c r="G14" s="216" t="inlineStr">
        <is>
          <t>Left to fund</t>
        </is>
      </c>
      <c r="H14" s="236" t="n"/>
      <c r="I14" s="217">
        <f>I12-I13</f>
        <v>2.0</v>
      </c>
      <c r="J14" s="237" t="n"/>
    </row>
    <row r="15">
      <c r="G15" s="233" t="n"/>
      <c r="H15" s="236" t="n"/>
      <c r="I15" s="244" t="n"/>
      <c r="J15" s="237" t="n"/>
    </row>
    <row r="16">
      <c r="G16" s="233" t="n"/>
      <c r="H16" s="236" t="n"/>
      <c r="I16" s="244" t="n"/>
      <c r="J16" s="237" t="n"/>
    </row>
    <row r="17">
      <c r="G17" s="245" t="n"/>
      <c r="H17" s="239" t="n"/>
      <c r="I17" s="246" t="n"/>
      <c r="J17" s="239" t="n"/>
    </row>
    <row r="18">
      <c r="G18" s="233" t="n"/>
      <c r="H18" s="239" t="n"/>
      <c r="I18" s="237" t="n"/>
      <c r="J18" s="239" t="n"/>
    </row>
    <row r="19">
      <c r="G19" s="240" t="n"/>
      <c r="H19" s="239" t="n"/>
      <c r="I19" s="241" t="n"/>
      <c r="J19" s="239" t="n"/>
    </row>
    <row r="20"/>
    <row r="21"/>
    <row r="22">
      <c r="B22" s="284" t="inlineStr">
        <is>
          <t>Platform: Group Data</t>
        </is>
      </c>
      <c r="C22" s="386" t="n"/>
      <c r="D22" s="386" t="n"/>
      <c r="E22" s="386" t="n"/>
      <c r="F22" s="386" t="n"/>
      <c r="G22" s="386" t="n"/>
      <c r="H22" s="386" t="n"/>
      <c r="I22" s="386" t="n"/>
    </row>
    <row r="23">
      <c r="B23" s="5" t="inlineStr">
        <is>
          <t>Squad</t>
        </is>
      </c>
      <c r="C23" s="5" t="inlineStr">
        <is>
          <t>Squad Type</t>
        </is>
      </c>
      <c r="D23" s="5" t="inlineStr">
        <is>
          <t>Size</t>
        </is>
      </c>
      <c r="E23" s="5" t="inlineStr">
        <is>
          <t>On/Off</t>
        </is>
      </c>
      <c r="F23" s="5" t="inlineStr">
        <is>
          <t>Support %</t>
        </is>
      </c>
      <c r="G23" s="5" t="inlineStr">
        <is>
          <t>Total Squad Cost ($m)</t>
        </is>
      </c>
      <c r="H23" s="5" t="inlineStr">
        <is>
          <t>TDD Cost ($m)</t>
        </is>
      </c>
      <c r="I23" s="5" t="inlineStr">
        <is>
          <t>Funded outside TDD ($m)</t>
        </is>
      </c>
    </row>
    <row r="24">
      <c r="B24" s="8" t="inlineStr">
        <is>
          <t>Data Science</t>
        </is>
      </c>
      <c r="C24" s="227" t="inlineStr">
        <is>
          <t>Enterprise Data and Insights</t>
        </is>
      </c>
      <c r="D24" s="227" t="inlineStr">
        <is>
          <t>M</t>
        </is>
      </c>
      <c r="E24" s="227" t="inlineStr">
        <is>
          <t>Onshore</t>
        </is>
      </c>
      <c r="F24" s="228" t="n">
        <v>0.2</v>
      </c>
      <c r="G24" s="215">
        <f>IFERROR(IF($E24="Onshore",INDEX('0.1 Squads'!$G$5:$G$23,MATCH($C24&amp;"|"&amp;$D24,'0.1 Squads'!$A$5:$A$23,0)),INDEX('0.1 Squads'!$H$5:$H$23,MATCH($C24&amp;"|"&amp;$D24,'0.1 Squads'!$A$5:$A$23,0))),"check size")</f>
        <v>1.7</v>
      </c>
      <c r="H24" s="9">
        <f>IFERROR($G24*$F24,"")</f>
        <v>0.34</v>
      </c>
      <c r="I24" s="9">
        <f>IFERROR($G24*(1-$F24),"")</f>
        <v>1.36</v>
      </c>
    </row>
    <row r="25">
      <c r="B25" s="8" t="inlineStr">
        <is>
          <t>Operations</t>
        </is>
      </c>
      <c r="C25" s="227" t="inlineStr">
        <is>
          <t>Operations</t>
        </is>
      </c>
      <c r="D25" s="227" t="inlineStr">
        <is>
          <t>L</t>
        </is>
      </c>
      <c r="E25" s="227" t="inlineStr">
        <is>
          <t>Offshore</t>
        </is>
      </c>
      <c r="F25" s="228" t="n">
        <v>1</v>
      </c>
      <c r="G25" s="215">
        <f>IFERROR(IF($E25="Onshore",INDEX('0.1 Squads'!$G$5:$G$23,MATCH($C25&amp;"|"&amp;$D25,'0.1 Squads'!$A$5:$A$23,0)),INDEX('0.1 Squads'!$H$5:$H$23,MATCH($C25&amp;"|"&amp;$D25,'0.1 Squads'!$A$5:$A$23,0))),"check size")</f>
        <v>0.92</v>
      </c>
      <c r="H25" s="9">
        <f>IFERROR($G25*$F25,"")</f>
        <v>0.92</v>
      </c>
      <c r="I25" s="9">
        <f>IFERROR($G25*(1-$F25),"")</f>
        <v>0.0</v>
      </c>
    </row>
    <row r="26">
      <c r="B26" s="8" t="inlineStr">
        <is>
          <t>Reporting &amp; Analytics</t>
        </is>
      </c>
      <c r="C26" s="227" t="inlineStr">
        <is>
          <t>Build and Run</t>
        </is>
      </c>
      <c r="D26" s="227" t="inlineStr">
        <is>
          <t>L</t>
        </is>
      </c>
      <c r="E26" s="227" t="inlineStr">
        <is>
          <t>Onshore</t>
        </is>
      </c>
      <c r="F26" s="228" t="n">
        <v>1</v>
      </c>
      <c r="G26" s="215">
        <f>IFERROR(IF($E26="Onshore",INDEX('0.1 Squads'!$G$5:$G$23,MATCH($C26&amp;"|"&amp;$D26,'0.1 Squads'!$A$5:$A$23,0)),INDEX('0.1 Squads'!$H$5:$H$23,MATCH($C26&amp;"|"&amp;$D26,'0.1 Squads'!$A$5:$A$23,0))),"check size")</f>
        <v>2.8</v>
      </c>
      <c r="H26" s="9">
        <f>IFERROR($G26*$F26,"")</f>
        <v>2.8</v>
      </c>
      <c r="I26" s="9">
        <f>IFERROR($G26*(1-$F26),"")</f>
        <v>0.0</v>
      </c>
    </row>
    <row r="27">
      <c r="B27" s="8" t="inlineStr">
        <is>
          <t>Data Platforms</t>
        </is>
      </c>
      <c r="C27" s="227" t="inlineStr">
        <is>
          <t>Build and Run</t>
        </is>
      </c>
      <c r="D27" s="227" t="inlineStr">
        <is>
          <t>M</t>
        </is>
      </c>
      <c r="E27" s="227" t="inlineStr">
        <is>
          <t>Onshore</t>
        </is>
      </c>
      <c r="F27" s="228" t="n">
        <v>1</v>
      </c>
      <c r="G27" s="215">
        <f>IFERROR(IF($E27="Onshore",INDEX('0.1 Squads'!$G$5:$G$23,MATCH($C27&amp;"|"&amp;$D27,'0.1 Squads'!$A$5:$A$23,0)),INDEX('0.1 Squads'!$H$5:$H$23,MATCH($C27&amp;"|"&amp;$D27,'0.1 Squads'!$A$5:$A$23,0))),"check size")</f>
        <v>2.0</v>
      </c>
      <c r="H27" s="9">
        <f>IFERROR($G27*$F27,"")</f>
        <v>2.0</v>
      </c>
      <c r="I27" s="9">
        <f>IFERROR($G27*(1-$F27),"")</f>
        <v>0.0</v>
      </c>
    </row>
    <row r="28">
      <c r="B28" s="8" t="inlineStr">
        <is>
          <t>Enterprise Data Delivery</t>
        </is>
      </c>
      <c r="C28" s="227" t="inlineStr">
        <is>
          <t>Enterprise Data and Insights</t>
        </is>
      </c>
      <c r="D28" s="227" t="inlineStr">
        <is>
          <t>L</t>
        </is>
      </c>
      <c r="E28" s="227" t="inlineStr">
        <is>
          <t>Offshore</t>
        </is>
      </c>
      <c r="F28" s="228" t="n">
        <v>0.2</v>
      </c>
      <c r="G28" s="215">
        <f>IFERROR(IF($E28="Onshore",INDEX('0.1 Squads'!$G$5:$G$23,MATCH($C28&amp;"|"&amp;$D28,'0.1 Squads'!$A$5:$A$23,0)),INDEX('0.1 Squads'!$H$5:$H$23,MATCH($C28&amp;"|"&amp;$D28,'0.1 Squads'!$A$5:$A$23,0))),"check size")</f>
        <v>0.8</v>
      </c>
      <c r="H28" s="9">
        <f>IFERROR($G28*$F28,"")</f>
        <v>0.16000000000000003</v>
      </c>
      <c r="I28" s="9">
        <f>IFERROR($G28*(1-$F28),"")</f>
        <v>0.6400000000000001</v>
      </c>
    </row>
    <row r="29">
      <c r="B29" s="229" t="inlineStr">
        <is>
          <t>Platform Overhead</t>
        </is>
      </c>
      <c r="H29" s="215">
        <f>'0.0 Data Config'!$L$16</f>
        <v>0.165</v>
      </c>
    </row>
    <row r="30">
      <c r="B30" s="216" t="inlineStr">
        <is>
          <t>Group Data Total</t>
        </is>
      </c>
      <c r="C30" s="226" t="n"/>
      <c r="D30" s="226" t="n"/>
      <c r="E30" s="226" t="n"/>
      <c r="F30" s="226" t="n"/>
      <c r="G30" s="217">
        <f>SUM(G24:G28)</f>
        <v>8.22</v>
      </c>
      <c r="H30" s="217">
        <f>SUM(H24:H29)</f>
        <v>6.385</v>
      </c>
      <c r="I30" s="217">
        <f>SUM(I24:I28)</f>
        <v>2.0</v>
      </c>
    </row>
    <row r="31"/>
  </sheetData>
  <mergeCells count="6">
    <mergeCell ref="B11:D11"/>
    <mergeCell ref="G4:H4"/>
    <mergeCell ref="B4:E4"/>
    <mergeCell ref="B22:I22"/>
    <mergeCell ref="B12:D12"/>
    <mergeCell ref="G10:J10"/>
  </mergeCells>
  <conditionalFormatting sqref="H7">
    <cfRule type="cellIs" priority="5" operator="greaterThanOrEqual" dxfId="48">
      <formula>0</formula>
    </cfRule>
    <cfRule type="cellIs" priority="6" operator="lessThan" dxfId="49">
      <formula>0</formula>
    </cfRule>
  </conditionalFormatting>
  <conditionalFormatting sqref="I14">
    <cfRule type="cellIs" priority="7" operator="greaterThan" dxfId="49">
      <formula>0</formula>
    </cfRule>
    <cfRule type="cellIs" priority="8" operator="lessThanOrEqual" dxfId="48">
      <formula>0</formula>
    </cfRule>
  </conditionalFormatting>
  <dataValidations count="4">
    <dataValidation sqref="C24:C28" showDropDown="0" showInputMessage="0" showErrorMessage="0" allowBlank="1" type="list">
      <formula1>SquadTypes</formula1>
      <formula2>0</formula2>
    </dataValidation>
    <dataValidation sqref="D24:D28" showDropDown="0" showInputMessage="0" showErrorMessage="0" allowBlank="1" type="list">
      <formula1>SquadSizes</formula1>
      <formula2>0</formula2>
    </dataValidation>
    <dataValidation sqref="E24:E28" showDropDown="0" showInputMessage="0" showErrorMessage="0" allowBlank="1" type="list">
      <formula1>OnOff</formula1>
      <formula2>0</formula2>
    </dataValidation>
    <dataValidation sqref="F24:F28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J35"/>
  <sheetViews>
    <sheetView showGridLines="0" topLeftCell="A3" zoomScale="110" zoomScaleNormal="110" workbookViewId="0">
      <selection activeCell="I21" sqref="I21"/>
    </sheetView>
  </sheetViews>
  <sheetFormatPr baseColWidth="8" defaultColWidth="8.54296875" defaultRowHeight="14.5"/>
  <cols>
    <col width="28" customWidth="1" style="302" min="2" max="2"/>
    <col width="26" customWidth="1" style="302" min="3" max="3"/>
    <col width="9.54296875" customWidth="1" style="302" min="4" max="4"/>
    <col width="29.7265625" customWidth="1" style="302" min="5" max="5"/>
    <col width="11" customWidth="1" style="302" min="6" max="6"/>
    <col width="27.1796875" customWidth="1" style="302" min="7" max="7"/>
    <col width="14" customWidth="1" style="302" min="8" max="8"/>
    <col width="50.1796875" customWidth="1" style="302" min="9" max="9"/>
    <col width="24.81640625" customWidth="1" style="302" min="10" max="10"/>
  </cols>
  <sheetData>
    <row r="1"/>
    <row r="2" ht="21" customHeight="1" s="302">
      <c r="B2" s="212" t="inlineStr">
        <is>
          <t>TDD Group Functions</t>
        </is>
      </c>
    </row>
    <row r="3"/>
    <row r="4">
      <c r="B4" s="259" t="inlineStr">
        <is>
          <t>Portfolio Summary</t>
        </is>
      </c>
      <c r="C4" s="251" t="n"/>
      <c r="D4" s="251" t="n"/>
      <c r="E4" s="252" t="n"/>
      <c r="G4" s="282" t="inlineStr">
        <is>
          <t>Budget vs TDD cost</t>
        </is>
      </c>
      <c r="H4" s="252" t="n"/>
    </row>
    <row r="5">
      <c r="B5" s="5" t="inlineStr">
        <is>
          <t>Cost</t>
        </is>
      </c>
      <c r="C5" s="5" t="inlineStr">
        <is>
          <t>TDD ($m)</t>
        </is>
      </c>
      <c r="D5" s="5" t="inlineStr">
        <is>
          <t>Other ($m)</t>
        </is>
      </c>
      <c r="E5" s="5" t="inlineStr">
        <is>
          <t>Total TDD Group Functions Cost ($m)</t>
        </is>
      </c>
      <c r="G5" s="214" t="inlineStr">
        <is>
          <t>TDD Lights On Budget</t>
        </is>
      </c>
      <c r="H5" s="215">
        <f>'0.0 Data Config'!$E$21</f>
        <v>5.5</v>
      </c>
    </row>
    <row r="6">
      <c r="B6" s="8" t="inlineStr">
        <is>
          <t>Portfolio Overhead</t>
        </is>
      </c>
      <c r="C6" s="215">
        <f>'0.0 Data Config'!$L$10</f>
        <v>0.7495</v>
      </c>
      <c r="E6" s="9">
        <f>C6</f>
        <v>0.7495</v>
      </c>
      <c r="G6" s="214" t="inlineStr">
        <is>
          <t>Overheads &amp; Support (this model)</t>
        </is>
      </c>
      <c r="H6" s="9">
        <f>C9</f>
        <v>3.6644999999999994</v>
      </c>
    </row>
    <row r="7">
      <c r="B7" s="8" t="inlineStr">
        <is>
          <t>Platform Overheads</t>
        </is>
      </c>
      <c r="C7" s="9">
        <f>SUM(H28)</f>
        <v>0.165</v>
      </c>
      <c r="E7" s="9">
        <f>C7</f>
        <v>0.165</v>
      </c>
      <c r="G7" s="216" t="inlineStr">
        <is>
          <t>Variance (budget less cost)</t>
        </is>
      </c>
      <c r="H7" s="217">
        <f>H5-H6</f>
        <v>1.8355000000000006</v>
      </c>
    </row>
    <row r="8">
      <c r="B8" s="8" t="inlineStr">
        <is>
          <t>Squad Support Costs</t>
        </is>
      </c>
      <c r="C8" s="9">
        <f>SUM(H24,H25,H26,H27,H33)</f>
        <v>2.7499999999999996</v>
      </c>
      <c r="D8" s="9">
        <f>SUM(I24,I25,I26,I27,I33)</f>
        <v>1.15</v>
      </c>
      <c r="E8" s="9">
        <f>C8+D8</f>
        <v>3.8999999999999995</v>
      </c>
    </row>
    <row r="9">
      <c r="B9" s="216" t="inlineStr">
        <is>
          <t>Total Cost</t>
        </is>
      </c>
      <c r="C9" s="217">
        <f>SUM(C6:C8)</f>
        <v>3.6644999999999994</v>
      </c>
      <c r="D9" s="217">
        <f>SUM(D6:D8)</f>
        <v>1.15</v>
      </c>
      <c r="E9" s="217">
        <f>C9+D9</f>
        <v>4.814499999999999</v>
      </c>
    </row>
    <row r="10">
      <c r="G10" s="284" t="inlineStr">
        <is>
          <t xml:space="preserve">Other funding </t>
        </is>
      </c>
      <c r="H10" s="386" t="n"/>
      <c r="I10" s="386" t="n"/>
      <c r="J10" s="386" t="n"/>
    </row>
    <row r="11">
      <c r="B11" s="288" t="inlineStr">
        <is>
          <t>Lights-on funded from the TDD allocation above (Data Config). Shared TDD Corporate pool sits on 2.1 COE.</t>
        </is>
      </c>
      <c r="D11" s="387" t="n"/>
      <c r="E11" s="219" t="n"/>
      <c r="G11" s="5" t="inlineStr">
        <is>
          <t>Funding position</t>
        </is>
      </c>
      <c r="H11" s="5" t="n"/>
      <c r="I11" s="5" t="n"/>
      <c r="J11" s="5" t="n"/>
    </row>
    <row r="12">
      <c r="B12" s="289" t="n"/>
      <c r="D12" s="387" t="n"/>
      <c r="E12" s="220" t="n"/>
      <c r="G12" s="225" t="inlineStr">
        <is>
          <t>Other cost (this model)</t>
        </is>
      </c>
      <c r="H12" s="215" t="n"/>
      <c r="I12" s="243">
        <f>D9</f>
        <v>1.15</v>
      </c>
      <c r="J12" s="9" t="n"/>
    </row>
    <row r="13">
      <c r="G13" s="225" t="inlineStr">
        <is>
          <t>Funded from TDD Corporate pool (2.1 COE)</t>
        </is>
      </c>
      <c r="H13" s="215" t="n"/>
      <c r="I13" s="243">
        <f>I33</f>
        <v>0.0</v>
      </c>
      <c r="J13" s="9" t="n"/>
    </row>
    <row r="14">
      <c r="G14" s="216" t="inlineStr">
        <is>
          <t>Left to fund</t>
        </is>
      </c>
      <c r="H14" s="215" t="n"/>
      <c r="I14" s="217">
        <f>I12-I13</f>
        <v>1.15</v>
      </c>
      <c r="J14" s="9" t="n"/>
    </row>
    <row r="15">
      <c r="G15" s="8" t="n"/>
      <c r="H15" s="215" t="n"/>
      <c r="I15" s="222" t="n"/>
      <c r="J15" s="9" t="n"/>
    </row>
    <row r="16">
      <c r="G16" s="8" t="n"/>
      <c r="H16" s="215" t="n"/>
      <c r="I16" s="222" t="n"/>
      <c r="J16" s="9" t="n"/>
    </row>
    <row r="17">
      <c r="G17" s="225" t="n"/>
      <c r="I17" s="35" t="n"/>
    </row>
    <row r="18">
      <c r="G18" s="8" t="n"/>
      <c r="I18" s="9" t="n"/>
    </row>
    <row r="19">
      <c r="G19" s="216" t="n"/>
      <c r="I19" s="217" t="n"/>
    </row>
    <row r="20"/>
    <row r="21"/>
    <row r="22">
      <c r="B22" s="284" t="inlineStr">
        <is>
          <t>Platform: TDD Group Functions</t>
        </is>
      </c>
      <c r="C22" s="386" t="n"/>
      <c r="D22" s="386" t="n"/>
      <c r="E22" s="386" t="n"/>
      <c r="F22" s="386" t="n"/>
      <c r="G22" s="386" t="n"/>
      <c r="H22" s="386" t="n"/>
      <c r="I22" s="386" t="n"/>
    </row>
    <row r="23">
      <c r="B23" s="5" t="inlineStr">
        <is>
          <t>Squad</t>
        </is>
      </c>
      <c r="C23" s="5" t="inlineStr">
        <is>
          <t>Squad Type</t>
        </is>
      </c>
      <c r="D23" s="5" t="inlineStr">
        <is>
          <t>Size</t>
        </is>
      </c>
      <c r="E23" s="5" t="inlineStr">
        <is>
          <t>On/Off</t>
        </is>
      </c>
      <c r="F23" s="5" t="inlineStr">
        <is>
          <t>Support %</t>
        </is>
      </c>
      <c r="G23" s="5" t="inlineStr">
        <is>
          <t>Total Squad Cost ($m)</t>
        </is>
      </c>
      <c r="H23" s="5" t="inlineStr">
        <is>
          <t>TDD Cost ($m)</t>
        </is>
      </c>
      <c r="I23" s="5" t="inlineStr">
        <is>
          <t>Funded outside TDD ($m)</t>
        </is>
      </c>
    </row>
    <row r="24">
      <c r="B24" s="8" t="inlineStr">
        <is>
          <t>Workplace &amp; Enterprise Tooling</t>
        </is>
      </c>
      <c r="C24" s="227" t="inlineStr">
        <is>
          <t>Configuration / Integration</t>
        </is>
      </c>
      <c r="D24" s="227" t="inlineStr">
        <is>
          <t>S</t>
        </is>
      </c>
      <c r="E24" s="227" t="inlineStr">
        <is>
          <t>Onshore</t>
        </is>
      </c>
      <c r="F24" s="228" t="n">
        <v>1</v>
      </c>
      <c r="G24" s="215">
        <f>IFERROR(IF($E24="Onshore",INDEX('0.1 Squads'!$G$5:$G$23,MATCH($C24&amp;"|"&amp;$D24,'0.1 Squads'!$A$5:$A$23,0)),INDEX('0.1 Squads'!$H$5:$H$23,MATCH($C24&amp;"|"&amp;$D24,'0.1 Squads'!$A$5:$A$23,0))),"check size")</f>
        <v>0.4</v>
      </c>
      <c r="H24" s="9">
        <f>IFERROR($G24*$F24,"")</f>
        <v>0.4</v>
      </c>
      <c r="I24" s="9">
        <f>IFERROR($G24*(1-$F24),"")</f>
        <v>0.0</v>
      </c>
    </row>
    <row r="25">
      <c r="B25" s="8" t="inlineStr">
        <is>
          <t>Network &amp; Infrastructure</t>
        </is>
      </c>
      <c r="C25" s="227" t="inlineStr">
        <is>
          <t>Operations</t>
        </is>
      </c>
      <c r="D25" s="227" t="inlineStr">
        <is>
          <t>L</t>
        </is>
      </c>
      <c r="E25" s="227" t="inlineStr">
        <is>
          <t>Onshore</t>
        </is>
      </c>
      <c r="F25" s="228" t="n">
        <v>0.5</v>
      </c>
      <c r="G25" s="215">
        <f>IFERROR(IF($E25="Onshore",INDEX('0.1 Squads'!$G$5:$G$23,MATCH($C25&amp;"|"&amp;$D25,'0.1 Squads'!$A$5:$A$23,0)),INDEX('0.1 Squads'!$H$5:$H$23,MATCH($C25&amp;"|"&amp;$D25,'0.1 Squads'!$A$5:$A$23,0))),"check size")</f>
        <v>2.3</v>
      </c>
      <c r="H25" s="9">
        <f>IFERROR($G25*$F25,"")</f>
        <v>1.15</v>
      </c>
      <c r="I25" s="9">
        <f>IFERROR($G25*(1-$F25),"")</f>
        <v>1.15</v>
      </c>
      <c r="J25" t="inlineStr">
        <is>
          <t xml:space="preserve">Could be 50% support </t>
        </is>
      </c>
    </row>
    <row r="26">
      <c r="B26" s="8" t="inlineStr">
        <is>
          <t>DevOps &amp; Engineering</t>
        </is>
      </c>
      <c r="C26" s="227" t="inlineStr">
        <is>
          <t>Engineering</t>
        </is>
      </c>
      <c r="D26" s="227" t="inlineStr">
        <is>
          <t>S</t>
        </is>
      </c>
      <c r="E26" s="227" t="inlineStr">
        <is>
          <t>Onshore</t>
        </is>
      </c>
      <c r="F26" s="228" t="n">
        <v>1</v>
      </c>
      <c r="G26" s="215">
        <f>IFERROR(IF($E26="Onshore",INDEX('0.1 Squads'!$G$5:$G$23,MATCH($C26&amp;"|"&amp;$D26,'0.1 Squads'!$A$5:$A$23,0)),INDEX('0.1 Squads'!$H$5:$H$23,MATCH($C26&amp;"|"&amp;$D26,'0.1 Squads'!$A$5:$A$23,0))),"check size")</f>
        <v>0.8</v>
      </c>
      <c r="H26" s="9">
        <f>IFERROR($G26*$F26,"")</f>
        <v>0.8</v>
      </c>
      <c r="I26" s="9">
        <f>IFERROR($G26*(1-$F26),"")</f>
        <v>0.0</v>
      </c>
      <c r="J26" t="inlineStr">
        <is>
          <t>Support could be more than 20%</t>
        </is>
      </c>
    </row>
    <row r="27">
      <c r="B27" s="8" t="inlineStr">
        <is>
          <t>Integration</t>
        </is>
      </c>
      <c r="C27" s="227" t="inlineStr">
        <is>
          <t>Configuration / Integration</t>
        </is>
      </c>
      <c r="D27" s="227" t="inlineStr">
        <is>
          <t>S</t>
        </is>
      </c>
      <c r="E27" s="227" t="inlineStr">
        <is>
          <t>Onshore</t>
        </is>
      </c>
      <c r="F27" s="228" t="n">
        <v>1</v>
      </c>
      <c r="G27" s="215">
        <f>IFERROR(IF($E27="Onshore",INDEX('0.1 Squads'!$G$5:$G$23,MATCH($C27&amp;"|"&amp;$D27,'0.1 Squads'!$A$5:$A$23,0)),INDEX('0.1 Squads'!$H$5:$H$23,MATCH($C27&amp;"|"&amp;$D27,'0.1 Squads'!$A$5:$A$23,0))),"check size")</f>
        <v>0.4</v>
      </c>
      <c r="H27" s="9">
        <f>IFERROR($G27*$F27,"")</f>
        <v>0.4</v>
      </c>
      <c r="I27" s="9">
        <f>IFERROR($G27*(1-$F27),"")</f>
        <v>0.0</v>
      </c>
    </row>
    <row r="28">
      <c r="B28" s="229" t="inlineStr">
        <is>
          <t>Platform Overhead</t>
        </is>
      </c>
      <c r="H28" s="215">
        <f>'0.0 Data Config'!$L$16</f>
        <v>0.165</v>
      </c>
    </row>
    <row r="29">
      <c r="B29" s="216" t="inlineStr">
        <is>
          <t>TDD Group Functions Total</t>
        </is>
      </c>
      <c r="C29" s="226" t="n"/>
      <c r="D29" s="226" t="n"/>
      <c r="E29" s="226" t="n"/>
      <c r="F29" s="226" t="n"/>
      <c r="G29" s="217">
        <f>SUM(G24:G27)</f>
        <v>3.9</v>
      </c>
      <c r="H29" s="217">
        <f>SUM(H24:H28)</f>
        <v>2.9149999999999996</v>
      </c>
      <c r="I29" s="217">
        <f>SUM(I24:I27)</f>
        <v>1.15</v>
      </c>
    </row>
    <row r="30"/>
    <row r="31">
      <c r="B31" s="282" t="inlineStr">
        <is>
          <t>Platform: EGI TDD</t>
        </is>
      </c>
    </row>
    <row r="32">
      <c r="B32" s="5" t="inlineStr">
        <is>
          <t>Squad</t>
        </is>
      </c>
      <c r="C32" s="5" t="inlineStr">
        <is>
          <t>Squad Type</t>
        </is>
      </c>
      <c r="D32" s="5" t="inlineStr">
        <is>
          <t>Size</t>
        </is>
      </c>
      <c r="E32" s="5" t="inlineStr">
        <is>
          <t>On/Off</t>
        </is>
      </c>
      <c r="F32" s="5" t="inlineStr">
        <is>
          <t>Support %</t>
        </is>
      </c>
      <c r="G32" s="5" t="inlineStr">
        <is>
          <t>Total Squad Cost ($m)</t>
        </is>
      </c>
      <c r="H32" s="5" t="inlineStr">
        <is>
          <t>TDD Cost ($m)</t>
        </is>
      </c>
      <c r="I32" s="5" t="inlineStr">
        <is>
          <t>Funded outside TDD ($m)</t>
        </is>
      </c>
    </row>
    <row r="33">
      <c r="B33" s="8" t="inlineStr">
        <is>
          <t>EGI TDD</t>
        </is>
      </c>
      <c r="C33" s="227" t="inlineStr">
        <is>
          <t>Strategic Programs</t>
        </is>
      </c>
      <c r="D33" s="227" t="n"/>
      <c r="E33" s="227" t="inlineStr">
        <is>
          <t>Onshore</t>
        </is>
      </c>
      <c r="F33" s="228" t="n">
        <v>0.2</v>
      </c>
      <c r="G33" s="230" t="n">
        <v>0</v>
      </c>
      <c r="H33" s="9">
        <f>IFERROR($G33*$F33,"")</f>
        <v>0.0</v>
      </c>
      <c r="I33" s="9">
        <f>IFERROR($G33*(1-$F33),"")</f>
        <v>0.0</v>
      </c>
    </row>
    <row r="34">
      <c r="B34" s="216" t="inlineStr">
        <is>
          <t>EGI TDD Total</t>
        </is>
      </c>
      <c r="G34" s="217">
        <f>SUM(G33:G33)</f>
        <v>0.0</v>
      </c>
      <c r="H34" s="217">
        <f>SUM(H33:H33)</f>
        <v>0.0</v>
      </c>
      <c r="I34" s="217">
        <f>SUM(I33:I33)</f>
        <v>0.0</v>
      </c>
    </row>
    <row r="35"/>
  </sheetData>
  <mergeCells count="6">
    <mergeCell ref="B11:D11"/>
    <mergeCell ref="G4:H4"/>
    <mergeCell ref="B4:E4"/>
    <mergeCell ref="B22:I22"/>
    <mergeCell ref="B12:D12"/>
    <mergeCell ref="G10:J10"/>
  </mergeCells>
  <conditionalFormatting sqref="H7">
    <cfRule type="cellIs" priority="5" operator="greaterThanOrEqual" dxfId="48">
      <formula>0</formula>
    </cfRule>
    <cfRule type="cellIs" priority="6" operator="lessThan" dxfId="49">
      <formula>0</formula>
    </cfRule>
  </conditionalFormatting>
  <conditionalFormatting sqref="I14">
    <cfRule type="cellIs" priority="7" operator="greaterThan" dxfId="49">
      <formula>0</formula>
    </cfRule>
    <cfRule type="cellIs" priority="8" operator="lessThanOrEqual" dxfId="48">
      <formula>0</formula>
    </cfRule>
  </conditionalFormatting>
  <dataValidations count="4">
    <dataValidation sqref="C24:C27 C33" showDropDown="0" showInputMessage="0" showErrorMessage="0" allowBlank="1" type="list">
      <formula1>SquadTypes</formula1>
      <formula2>0</formula2>
    </dataValidation>
    <dataValidation sqref="D24:D27 D33" showDropDown="0" showInputMessage="0" showErrorMessage="0" allowBlank="1" type="list">
      <formula1>SquadSizes</formula1>
      <formula2>0</formula2>
    </dataValidation>
    <dataValidation sqref="E24:E27 E33" showDropDown="0" showInputMessage="0" showErrorMessage="0" allowBlank="1" type="list">
      <formula1>OnOff</formula1>
      <formula2>0</formula2>
    </dataValidation>
    <dataValidation sqref="F24:F27 F33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32"/>
  <sheetViews>
    <sheetView showGridLines="0" topLeftCell="A21" zoomScale="110" zoomScaleNormal="110" workbookViewId="0">
      <selection activeCell="K15" sqref="K15"/>
    </sheetView>
  </sheetViews>
  <sheetFormatPr baseColWidth="8" defaultColWidth="8.54296875" defaultRowHeight="14.5"/>
  <cols>
    <col width="28" customWidth="1" style="302" min="2" max="2"/>
    <col width="26" customWidth="1" style="302" min="3" max="3"/>
    <col width="9.54296875" customWidth="1" style="302" min="4" max="4"/>
    <col width="17.81640625" customWidth="1" style="302" min="5" max="5"/>
    <col width="11" customWidth="1" style="302" min="6" max="6"/>
    <col width="27.1796875" customWidth="1" style="302" min="7" max="7"/>
    <col width="14" customWidth="1" style="302" min="8" max="8"/>
    <col width="50.1796875" customWidth="1" style="302" min="9" max="9"/>
    <col width="24.81640625" customWidth="1" style="302" min="10" max="10"/>
  </cols>
  <sheetData>
    <row r="1"/>
    <row r="2" ht="21" customHeight="1" s="302">
      <c r="B2" s="212" t="inlineStr">
        <is>
          <t>P&amp;C</t>
        </is>
      </c>
    </row>
    <row r="3"/>
    <row r="4">
      <c r="B4" s="259" t="inlineStr">
        <is>
          <t>Portfolio Summary</t>
        </is>
      </c>
      <c r="C4" s="251" t="n"/>
      <c r="D4" s="251" t="n"/>
      <c r="E4" s="252" t="n"/>
      <c r="G4" s="290" t="inlineStr">
        <is>
          <t>Budget vs TDD cost</t>
        </is>
      </c>
      <c r="H4" s="252" t="n"/>
    </row>
    <row r="5">
      <c r="B5" s="5" t="inlineStr">
        <is>
          <t>Cost</t>
        </is>
      </c>
      <c r="C5" s="5" t="inlineStr">
        <is>
          <t>TDD ($m)</t>
        </is>
      </c>
      <c r="D5" s="5" t="inlineStr">
        <is>
          <t>Other ($m)</t>
        </is>
      </c>
      <c r="E5" s="5" t="inlineStr">
        <is>
          <t>Total P&amp;C Cost ($m)</t>
        </is>
      </c>
      <c r="G5" s="214" t="inlineStr">
        <is>
          <t>TDD Lights On Budget</t>
        </is>
      </c>
      <c r="H5" s="215">
        <f>'0.0 Data Config'!$E$18</f>
        <v>2.0</v>
      </c>
    </row>
    <row r="6">
      <c r="B6" s="8" t="inlineStr">
        <is>
          <t>Portfolio Overhead</t>
        </is>
      </c>
      <c r="C6" s="215">
        <f>'0.0 Data Config'!$L$10</f>
        <v>0.7495</v>
      </c>
      <c r="E6" s="9">
        <f>C6</f>
        <v>0.7495</v>
      </c>
      <c r="G6" s="214" t="inlineStr">
        <is>
          <t>Overheads &amp; Support (this model)</t>
        </is>
      </c>
      <c r="H6" s="9">
        <f>C9</f>
        <v>1.2745000000000002</v>
      </c>
    </row>
    <row r="7">
      <c r="B7" s="8" t="inlineStr">
        <is>
          <t>Platform Overheads</t>
        </is>
      </c>
      <c r="C7" s="9">
        <f>SUM(H26)</f>
        <v>0.165</v>
      </c>
      <c r="E7" s="9">
        <f>C7</f>
        <v>0.165</v>
      </c>
      <c r="G7" s="216" t="inlineStr">
        <is>
          <t>Variance (budget less cost)</t>
        </is>
      </c>
      <c r="H7" s="217">
        <f>H5-H6</f>
        <v>0.7254999999999998</v>
      </c>
    </row>
    <row r="8">
      <c r="B8" s="8" t="inlineStr">
        <is>
          <t>Squad Support Costs</t>
        </is>
      </c>
      <c r="C8" s="9">
        <f>SUM(H24,H25,H31)</f>
        <v>0.36</v>
      </c>
      <c r="D8" s="9">
        <f>SUM(I24,I25,I31)</f>
        <v>1.44</v>
      </c>
      <c r="E8" s="9">
        <f>C8+D8</f>
        <v>1.7999999999999998</v>
      </c>
    </row>
    <row r="9">
      <c r="B9" s="216" t="inlineStr">
        <is>
          <t>Total Cost</t>
        </is>
      </c>
      <c r="C9" s="217">
        <f>SUM(C6:C8)</f>
        <v>1.2745000000000002</v>
      </c>
      <c r="D9" s="217">
        <f>SUM(D6:D8)</f>
        <v>1.44</v>
      </c>
      <c r="E9" s="217">
        <f>C9+D9</f>
        <v>2.7145</v>
      </c>
    </row>
    <row r="10">
      <c r="G10" s="287" t="inlineStr">
        <is>
          <t xml:space="preserve">Other funding </t>
        </is>
      </c>
      <c r="H10" s="384" t="n"/>
      <c r="I10" s="384" t="n"/>
      <c r="J10" s="385" t="n"/>
    </row>
    <row r="11">
      <c r="B11" s="289" t="inlineStr">
        <is>
          <t xml:space="preserve">Total P&amp;C budget </t>
        </is>
      </c>
      <c r="D11" s="387" t="n"/>
      <c r="E11" s="219">
        <f>SUM(H12:H17)</f>
        <v>5.799999999999999</v>
      </c>
      <c r="G11" s="232" t="inlineStr">
        <is>
          <t>Budget line</t>
        </is>
      </c>
      <c r="H11" s="232" t="inlineStr">
        <is>
          <t>Budget ($m)</t>
        </is>
      </c>
      <c r="I11" s="232" t="inlineStr">
        <is>
          <t>Amount that can be allocated to people</t>
        </is>
      </c>
      <c r="J11" s="232" t="inlineStr">
        <is>
          <t>Remaining for non-people ($m)</t>
        </is>
      </c>
    </row>
    <row r="12">
      <c r="B12" s="289" t="inlineStr">
        <is>
          <t xml:space="preserve">Reconciled to Finance </t>
        </is>
      </c>
      <c r="D12" s="387" t="n"/>
      <c r="E12" s="220">
        <f>'0.4 Budget Table (Fin)'!Q12</f>
        <v>5.8</v>
      </c>
      <c r="G12" s="233" t="inlineStr">
        <is>
          <t>P&amp;C Lights On</t>
        </is>
      </c>
      <c r="H12" s="236">
        <f>'0.4 Budget Table (Fin)'!L12</f>
        <v>2.1</v>
      </c>
      <c r="I12" s="239">
        <f>'0.4 Budget Table (Fin)'!G12</f>
        <v>0.0</v>
      </c>
      <c r="J12" s="237">
        <f>IFERROR(H12-I12,0)</f>
        <v>2.1</v>
      </c>
    </row>
    <row r="13">
      <c r="G13" s="233" t="inlineStr">
        <is>
          <t>OpEx Initiatives</t>
        </is>
      </c>
      <c r="H13" s="236">
        <f>'0.4 Budget Table (Fin)'!N12</f>
        <v>2.0</v>
      </c>
      <c r="I13" s="244" t="n">
        <v>0</v>
      </c>
      <c r="J13" s="237">
        <f>IFERROR(H13-I13,0)</f>
        <v>2.0</v>
      </c>
    </row>
    <row r="14">
      <c r="G14" s="233" t="inlineStr">
        <is>
          <t>CapEx</t>
        </is>
      </c>
      <c r="H14" s="236">
        <f>'0.4 Budget Table (Fin)'!P12</f>
        <v>0.3</v>
      </c>
      <c r="I14" s="244" t="n">
        <v>0</v>
      </c>
      <c r="J14" s="237">
        <f>IFERROR(H14-I14,0)</f>
        <v>0.3</v>
      </c>
    </row>
    <row r="15">
      <c r="G15" s="233" t="inlineStr">
        <is>
          <t>Significant Items</t>
        </is>
      </c>
      <c r="H15" s="236">
        <f>'0.4 Budget Table (Fin)'!O12</f>
        <v>1.4</v>
      </c>
      <c r="I15" s="244" t="n">
        <v>0</v>
      </c>
      <c r="J15" s="237">
        <f>IFERROR(H15-I15,0)</f>
        <v>1.4</v>
      </c>
    </row>
    <row r="16">
      <c r="G16" s="233" t="inlineStr">
        <is>
          <t>Significant Items EGI</t>
        </is>
      </c>
      <c r="H16" s="236" t="n"/>
      <c r="I16" s="244">
        <f>I31</f>
        <v>0.0</v>
      </c>
      <c r="J16" s="237" t="n"/>
    </row>
    <row r="17">
      <c r="G17" s="233" t="inlineStr">
        <is>
          <t>Depreciation</t>
        </is>
      </c>
      <c r="H17" s="236">
        <f>'0.4 Budget Table (Fin)'!M12</f>
        <v>0.0</v>
      </c>
      <c r="I17" s="244" t="n">
        <v>0</v>
      </c>
      <c r="J17" s="237">
        <f>IFERROR(H17-I17,0)</f>
        <v>0.0</v>
      </c>
    </row>
    <row r="18">
      <c r="G18" s="245" t="inlineStr">
        <is>
          <t>Total applied</t>
        </is>
      </c>
      <c r="H18" s="239" t="n"/>
      <c r="I18" s="246">
        <f>SUM(I12:I17)</f>
        <v>0.0</v>
      </c>
      <c r="J18" s="239" t="n"/>
    </row>
    <row r="19">
      <c r="G19" s="233" t="inlineStr">
        <is>
          <t>Other cost (this model)</t>
        </is>
      </c>
      <c r="H19" s="239" t="n"/>
      <c r="I19" s="237">
        <f>D9</f>
        <v>1.44</v>
      </c>
      <c r="J19" s="239" t="n"/>
    </row>
    <row r="20">
      <c r="G20" s="240" t="inlineStr">
        <is>
          <t>Left to fund</t>
        </is>
      </c>
      <c r="H20" s="239" t="n"/>
      <c r="I20" s="241">
        <f>I19-I18</f>
        <v>1.44</v>
      </c>
      <c r="J20" s="239" t="n"/>
    </row>
    <row r="21"/>
    <row r="22">
      <c r="B22" s="287" t="inlineStr">
        <is>
          <t>Platform: P&amp;C</t>
        </is>
      </c>
      <c r="C22" s="384" t="n"/>
      <c r="D22" s="384" t="n"/>
      <c r="E22" s="384" t="n"/>
      <c r="F22" s="384" t="n"/>
      <c r="G22" s="384" t="n"/>
      <c r="H22" s="384" t="n"/>
      <c r="I22" s="385" t="n"/>
    </row>
    <row r="23">
      <c r="B23" s="232" t="inlineStr">
        <is>
          <t>Squad</t>
        </is>
      </c>
      <c r="C23" s="232" t="inlineStr">
        <is>
          <t>Squad Type</t>
        </is>
      </c>
      <c r="D23" s="232" t="inlineStr">
        <is>
          <t>Size</t>
        </is>
      </c>
      <c r="E23" s="232" t="inlineStr">
        <is>
          <t>On/Off</t>
        </is>
      </c>
      <c r="F23" s="232" t="inlineStr">
        <is>
          <t>Support %</t>
        </is>
      </c>
      <c r="G23" s="232" t="inlineStr">
        <is>
          <t>Total Squad Cost ($m)</t>
        </is>
      </c>
      <c r="H23" s="232" t="inlineStr">
        <is>
          <t>TDD Cost ($m)</t>
        </is>
      </c>
      <c r="I23" s="232" t="inlineStr">
        <is>
          <t>Funded outside TDD ($m)</t>
        </is>
      </c>
    </row>
    <row r="24">
      <c r="B24" s="233" t="inlineStr">
        <is>
          <t>P&amp;C</t>
        </is>
      </c>
      <c r="C24" s="234" t="inlineStr">
        <is>
          <t>Configuration / Integration</t>
        </is>
      </c>
      <c r="D24" s="234" t="inlineStr">
        <is>
          <t>M</t>
        </is>
      </c>
      <c r="E24" s="234" t="inlineStr">
        <is>
          <t>Onshore</t>
        </is>
      </c>
      <c r="F24" s="235" t="n">
        <v>0.2</v>
      </c>
      <c r="G24" s="236">
        <f>IFERROR(IF($E24="Onshore",INDEX('0.1 Squads'!$G$5:$G$23,MATCH($C24&amp;"|"&amp;$D24,'0.1 Squads'!$A$5:$A$23,0)),INDEX('0.1 Squads'!$H$5:$H$23,MATCH($C24&amp;"|"&amp;$D24,'0.1 Squads'!$A$5:$A$23,0))),"check size")</f>
        <v>1.4</v>
      </c>
      <c r="H24" s="237">
        <f>IFERROR($G24*$F24,"")</f>
        <v>0.27999999999999997</v>
      </c>
      <c r="I24" s="237">
        <f>IFERROR($G24*(1-$F24),"")</f>
        <v>1.1199999999999999</v>
      </c>
    </row>
    <row r="25">
      <c r="B25" s="233" t="inlineStr">
        <is>
          <t>P&amp;C - RTA</t>
        </is>
      </c>
      <c r="C25" s="234" t="inlineStr">
        <is>
          <t>Configuration / Integration</t>
        </is>
      </c>
      <c r="D25" s="234" t="inlineStr">
        <is>
          <t>S</t>
        </is>
      </c>
      <c r="E25" s="234" t="inlineStr">
        <is>
          <t>Onshore</t>
        </is>
      </c>
      <c r="F25" s="235" t="n">
        <v>0.2</v>
      </c>
      <c r="G25" s="236">
        <f>IFERROR(IF($E25="Onshore",INDEX('0.1 Squads'!$G$5:$G$23,MATCH($C25&amp;"|"&amp;$D25,'0.1 Squads'!$A$5:$A$23,0)),INDEX('0.1 Squads'!$H$5:$H$23,MATCH($C25&amp;"|"&amp;$D25,'0.1 Squads'!$A$5:$A$23,0))),"check size")</f>
        <v>0.4</v>
      </c>
      <c r="H25" s="237">
        <f>IFERROR($G25*$F25,"")</f>
        <v>0.08000000000000002</v>
      </c>
      <c r="I25" s="237">
        <f>IFERROR($G25*(1-$F25),"")</f>
        <v>0.32000000000000006</v>
      </c>
    </row>
    <row r="26">
      <c r="B26" s="238" t="inlineStr">
        <is>
          <t>Platform Overhead</t>
        </is>
      </c>
      <c r="G26" s="239" t="n"/>
      <c r="H26" s="236">
        <f>'0.0 Data Config'!$L$16</f>
        <v>0.165</v>
      </c>
      <c r="I26" s="239" t="n"/>
    </row>
    <row r="27">
      <c r="B27" s="240" t="inlineStr">
        <is>
          <t>P&amp;C Total</t>
        </is>
      </c>
      <c r="C27" s="226" t="n"/>
      <c r="D27" s="226" t="n"/>
      <c r="E27" s="226" t="n"/>
      <c r="F27" s="226" t="n"/>
      <c r="G27" s="241">
        <f>SUM(G24:G25)</f>
        <v>1.7999999999999998</v>
      </c>
      <c r="H27" s="241">
        <f>SUM(H24:H26)</f>
        <v>0.525</v>
      </c>
      <c r="I27" s="241">
        <f>SUM(I24:I25)</f>
        <v>1.44</v>
      </c>
    </row>
    <row r="28"/>
    <row r="29">
      <c r="B29" s="282" t="inlineStr">
        <is>
          <t>Platform: EGI P&amp;C</t>
        </is>
      </c>
    </row>
    <row r="30">
      <c r="B30" s="5" t="inlineStr">
        <is>
          <t>Squad</t>
        </is>
      </c>
      <c r="C30" s="5" t="inlineStr">
        <is>
          <t>Squad Type</t>
        </is>
      </c>
      <c r="D30" s="5" t="inlineStr">
        <is>
          <t>Size</t>
        </is>
      </c>
      <c r="E30" s="5" t="inlineStr">
        <is>
          <t>On/Off</t>
        </is>
      </c>
      <c r="F30" s="5" t="inlineStr">
        <is>
          <t>Support %</t>
        </is>
      </c>
      <c r="G30" s="5" t="inlineStr">
        <is>
          <t>Total Squad Cost ($m)</t>
        </is>
      </c>
      <c r="H30" s="5" t="inlineStr">
        <is>
          <t>TDD Cost ($m)</t>
        </is>
      </c>
      <c r="I30" s="5" t="inlineStr">
        <is>
          <t>Funded outside TDD ($m)</t>
        </is>
      </c>
    </row>
    <row r="31">
      <c r="B31" s="8" t="inlineStr">
        <is>
          <t>EGI P&amp;C</t>
        </is>
      </c>
      <c r="C31" s="227" t="inlineStr">
        <is>
          <t>Strategic Programs</t>
        </is>
      </c>
      <c r="D31" s="227" t="n"/>
      <c r="E31" s="227" t="inlineStr">
        <is>
          <t>Onshore</t>
        </is>
      </c>
      <c r="F31" s="228" t="n">
        <v>0.2</v>
      </c>
      <c r="G31" s="230" t="n">
        <v>0</v>
      </c>
      <c r="H31" s="9">
        <f>IFERROR($G31*$F31,"")</f>
        <v>0.0</v>
      </c>
      <c r="I31" s="9">
        <f>IFERROR($G31*(1-$F31),"")</f>
        <v>0.0</v>
      </c>
    </row>
    <row r="32">
      <c r="B32" s="216" t="inlineStr">
        <is>
          <t>EGI P&amp;C Total</t>
        </is>
      </c>
      <c r="G32" s="217">
        <f>SUM(G31:G31)</f>
        <v>0.0</v>
      </c>
      <c r="H32" s="217">
        <f>SUM(H31:H31)</f>
        <v>0.0</v>
      </c>
      <c r="I32" s="217">
        <f>SUM(I31:I31)</f>
        <v>0.0</v>
      </c>
    </row>
  </sheetData>
  <mergeCells count="6">
    <mergeCell ref="B11:D11"/>
    <mergeCell ref="G4:H4"/>
    <mergeCell ref="B4:E4"/>
    <mergeCell ref="B22:I22"/>
    <mergeCell ref="B12:D12"/>
    <mergeCell ref="G10:J10"/>
  </mergeCells>
  <conditionalFormatting sqref="H7">
    <cfRule type="cellIs" priority="5" operator="greaterThanOrEqual" dxfId="48">
      <formula>0</formula>
    </cfRule>
    <cfRule type="cellIs" priority="6" operator="lessThan" dxfId="49">
      <formula>0</formula>
    </cfRule>
  </conditionalFormatting>
  <conditionalFormatting sqref="I20">
    <cfRule type="cellIs" priority="7" operator="greaterThan" dxfId="49">
      <formula>0</formula>
    </cfRule>
    <cfRule type="cellIs" priority="8" operator="lessThanOrEqual" dxfId="48">
      <formula>0</formula>
    </cfRule>
  </conditionalFormatting>
  <dataValidations count="4">
    <dataValidation sqref="C24:C25 C31" showDropDown="0" showInputMessage="0" showErrorMessage="0" allowBlank="1" type="list">
      <formula1>SquadTypes</formula1>
      <formula2>0</formula2>
    </dataValidation>
    <dataValidation sqref="D24:D25 D31" showDropDown="0" showInputMessage="0" showErrorMessage="0" allowBlank="1" type="list">
      <formula1>SquadSizes</formula1>
      <formula2>0</formula2>
    </dataValidation>
    <dataValidation sqref="E24:E25 E31" showDropDown="0" showInputMessage="0" showErrorMessage="0" allowBlank="1" type="list">
      <formula1>OnOff</formula1>
      <formula2>0</formula2>
    </dataValidation>
    <dataValidation sqref="F24:F25 F31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32"/>
  <sheetViews>
    <sheetView showGridLines="0" topLeftCell="A9" zoomScaleNormal="100" workbookViewId="0">
      <selection activeCell="G31" sqref="G31"/>
    </sheetView>
  </sheetViews>
  <sheetFormatPr baseColWidth="8" defaultColWidth="8.54296875" defaultRowHeight="14.5"/>
  <cols>
    <col width="28" customWidth="1" style="302" min="2" max="2"/>
    <col width="26" customWidth="1" style="302" min="3" max="3"/>
    <col width="9.54296875" customWidth="1" style="302" min="4" max="4"/>
    <col width="17.81640625" customWidth="1" style="302" min="5" max="5"/>
    <col width="11" customWidth="1" style="302" min="6" max="6"/>
    <col width="27.1796875" customWidth="1" style="302" min="7" max="7"/>
    <col width="14" customWidth="1" style="302" min="8" max="8"/>
    <col width="50.1796875" customWidth="1" style="302" min="9" max="9"/>
    <col width="24.81640625" customWidth="1" style="302" min="10" max="10"/>
  </cols>
  <sheetData>
    <row r="1"/>
    <row r="2" ht="21" customHeight="1" s="302">
      <c r="B2" s="212" t="inlineStr">
        <is>
          <t>Finance</t>
        </is>
      </c>
    </row>
    <row r="3"/>
    <row r="4">
      <c r="B4" s="259" t="inlineStr">
        <is>
          <t>Portfolio Summary</t>
        </is>
      </c>
      <c r="C4" s="251" t="n"/>
      <c r="D4" s="251" t="n"/>
      <c r="E4" s="252" t="n"/>
      <c r="G4" s="282" t="inlineStr">
        <is>
          <t>Budget vs TDD cost</t>
        </is>
      </c>
      <c r="H4" s="252" t="n"/>
    </row>
    <row r="5">
      <c r="B5" s="5" t="inlineStr">
        <is>
          <t>Cost</t>
        </is>
      </c>
      <c r="C5" s="5" t="inlineStr">
        <is>
          <t>TDD ($m)</t>
        </is>
      </c>
      <c r="D5" s="5" t="inlineStr">
        <is>
          <t>Other ($m)</t>
        </is>
      </c>
      <c r="E5" s="5" t="inlineStr">
        <is>
          <t>Total Finance Cost ($m)</t>
        </is>
      </c>
      <c r="G5" s="214" t="inlineStr">
        <is>
          <t>TDD Lights On Budget</t>
        </is>
      </c>
      <c r="H5" s="215">
        <f>'0.0 Data Config'!$E$19</f>
        <v>2.0</v>
      </c>
    </row>
    <row r="6">
      <c r="B6" s="8" t="inlineStr">
        <is>
          <t>Portfolio Overhead</t>
        </is>
      </c>
      <c r="C6" s="215">
        <f>'0.0 Data Config'!$L$10</f>
        <v>0.7495</v>
      </c>
      <c r="E6" s="9">
        <f>C6</f>
        <v>0.7495</v>
      </c>
      <c r="G6" s="214" t="inlineStr">
        <is>
          <t>Overheads &amp; Support (this model)</t>
        </is>
      </c>
      <c r="H6" s="9">
        <f>C9</f>
        <v>1.4145</v>
      </c>
    </row>
    <row r="7">
      <c r="B7" s="8" t="inlineStr">
        <is>
          <t>Platform Overheads</t>
        </is>
      </c>
      <c r="C7" s="9">
        <f>SUM(H26)</f>
        <v>0.165</v>
      </c>
      <c r="E7" s="9">
        <f>C7</f>
        <v>0.165</v>
      </c>
      <c r="G7" s="216" t="inlineStr">
        <is>
          <t>Variance (budget less cost)</t>
        </is>
      </c>
      <c r="H7" s="217">
        <f>H5-H6</f>
        <v>0.5854999999999999</v>
      </c>
    </row>
    <row r="8">
      <c r="B8" s="8" t="inlineStr">
        <is>
          <t>Squad Support Costs</t>
        </is>
      </c>
      <c r="C8" s="9">
        <f>SUM(H24,H25,H31)</f>
        <v>0.5</v>
      </c>
      <c r="D8" s="9">
        <f>SUM(I24,I25,I31)</f>
        <v>2.0</v>
      </c>
      <c r="E8" s="9">
        <f>C8+D8</f>
        <v>2.5</v>
      </c>
    </row>
    <row r="9">
      <c r="B9" s="216" t="inlineStr">
        <is>
          <t>Total Cost</t>
        </is>
      </c>
      <c r="C9" s="217">
        <f>SUM(C6:C8)</f>
        <v>1.4145</v>
      </c>
      <c r="D9" s="217">
        <f>SUM(D6:D8)</f>
        <v>2.0</v>
      </c>
      <c r="E9" s="217">
        <f>C9+D9</f>
        <v>3.4145000000000003</v>
      </c>
    </row>
    <row r="10">
      <c r="G10" s="287" t="inlineStr">
        <is>
          <t xml:space="preserve">Other funding </t>
        </is>
      </c>
      <c r="H10" s="384" t="n"/>
      <c r="I10" s="384" t="n"/>
      <c r="J10" s="385" t="n"/>
    </row>
    <row r="11">
      <c r="B11" s="289" t="inlineStr">
        <is>
          <t xml:space="preserve">Total Corporate Finance budget </t>
        </is>
      </c>
      <c r="D11" s="387" t="n"/>
      <c r="E11" s="219">
        <f>SUM(H12:H17)</f>
        <v>3.5</v>
      </c>
      <c r="G11" s="232" t="inlineStr">
        <is>
          <t>Budget line</t>
        </is>
      </c>
      <c r="H11" s="232" t="inlineStr">
        <is>
          <t>Budget ($m)</t>
        </is>
      </c>
      <c r="I11" s="232" t="inlineStr">
        <is>
          <t>Amount that can be allocated to people</t>
        </is>
      </c>
      <c r="J11" s="232" t="inlineStr">
        <is>
          <t>Remaining for non-people ($m)</t>
        </is>
      </c>
    </row>
    <row r="12">
      <c r="B12" s="289" t="inlineStr">
        <is>
          <t xml:space="preserve">Reconciled to Finance </t>
        </is>
      </c>
      <c r="D12" s="387" t="n"/>
      <c r="E12" s="220">
        <f>'0.4 Budget Table (Fin)'!Q11</f>
        <v>3.5</v>
      </c>
      <c r="G12" s="233" t="inlineStr">
        <is>
          <t>Corporate Finance Lights On</t>
        </is>
      </c>
      <c r="H12" s="236">
        <f>'0.4 Budget Table (Fin)'!L11</f>
        <v>2.6</v>
      </c>
      <c r="I12" s="239">
        <f>'0.4 Budget Table (Fin)'!G11</f>
        <v>0.0</v>
      </c>
      <c r="J12" s="237">
        <f>IFERROR(H12-I12,0)</f>
        <v>2.6</v>
      </c>
    </row>
    <row r="13">
      <c r="G13" s="233" t="inlineStr">
        <is>
          <t>OpEx Initiatives</t>
        </is>
      </c>
      <c r="H13" s="236">
        <f>'0.4 Budget Table (Fin)'!N11</f>
        <v>0.9</v>
      </c>
      <c r="I13" s="244" t="n">
        <v>0</v>
      </c>
      <c r="J13" s="237">
        <f>IFERROR(H13-I13,0)</f>
        <v>0.9</v>
      </c>
    </row>
    <row r="14">
      <c r="G14" s="233" t="inlineStr">
        <is>
          <t>CapEx</t>
        </is>
      </c>
      <c r="H14" s="236">
        <f>'0.4 Budget Table (Fin)'!P11</f>
        <v>0.0</v>
      </c>
      <c r="I14" s="244" t="n">
        <v>0</v>
      </c>
      <c r="J14" s="237">
        <f>IFERROR(H14-I14,0)</f>
        <v>0.0</v>
      </c>
    </row>
    <row r="15">
      <c r="G15" s="233" t="inlineStr">
        <is>
          <t>Significant Items</t>
        </is>
      </c>
      <c r="H15" s="236">
        <f>'0.4 Budget Table (Fin)'!O11</f>
        <v>0.0</v>
      </c>
      <c r="I15" s="244" t="n">
        <v>0</v>
      </c>
      <c r="J15" s="237">
        <f>IFERROR(H15-I15,0)</f>
        <v>0.0</v>
      </c>
    </row>
    <row r="16">
      <c r="G16" s="233" t="inlineStr">
        <is>
          <t>Significant Items EGI</t>
        </is>
      </c>
      <c r="H16" s="236" t="n"/>
      <c r="I16" s="244">
        <f>I31</f>
        <v>0.0</v>
      </c>
      <c r="J16" s="237" t="n"/>
    </row>
    <row r="17">
      <c r="G17" s="233" t="inlineStr">
        <is>
          <t>Depreciation</t>
        </is>
      </c>
      <c r="H17" s="236">
        <f>'0.4 Budget Table (Fin)'!M11</f>
        <v>0.0</v>
      </c>
      <c r="I17" s="244" t="n">
        <v>0</v>
      </c>
      <c r="J17" s="237">
        <f>IFERROR(H17-I17,0)</f>
        <v>0.0</v>
      </c>
    </row>
    <row r="18">
      <c r="G18" s="245" t="inlineStr">
        <is>
          <t>Total applied</t>
        </is>
      </c>
      <c r="H18" s="239" t="n"/>
      <c r="I18" s="246">
        <f>SUM(I12:I17)</f>
        <v>0.0</v>
      </c>
      <c r="J18" s="239" t="n"/>
    </row>
    <row r="19">
      <c r="G19" s="233" t="inlineStr">
        <is>
          <t>Other cost (this model)</t>
        </is>
      </c>
      <c r="H19" s="239" t="n"/>
      <c r="I19" s="237">
        <f>D9</f>
        <v>2.0</v>
      </c>
      <c r="J19" s="239" t="n"/>
    </row>
    <row r="20">
      <c r="G20" s="240" t="inlineStr">
        <is>
          <t>Left to fund</t>
        </is>
      </c>
      <c r="H20" s="239" t="n"/>
      <c r="I20" s="241">
        <f>I19-I18</f>
        <v>2.0</v>
      </c>
      <c r="J20" s="239" t="n"/>
    </row>
    <row r="21"/>
    <row r="22">
      <c r="B22" s="285" t="inlineStr">
        <is>
          <t>Platform: Finance</t>
        </is>
      </c>
    </row>
    <row r="23">
      <c r="B23" s="232" t="inlineStr">
        <is>
          <t>Squad</t>
        </is>
      </c>
      <c r="C23" s="232" t="inlineStr">
        <is>
          <t>Squad Type</t>
        </is>
      </c>
      <c r="D23" s="232" t="inlineStr">
        <is>
          <t>Size</t>
        </is>
      </c>
      <c r="E23" s="232" t="inlineStr">
        <is>
          <t>On/Off</t>
        </is>
      </c>
      <c r="F23" s="232" t="inlineStr">
        <is>
          <t>Support %</t>
        </is>
      </c>
      <c r="G23" s="232" t="inlineStr">
        <is>
          <t>Total Squad Cost ($m)</t>
        </is>
      </c>
      <c r="H23" s="232" t="inlineStr">
        <is>
          <t>TDD Cost ($m)</t>
        </is>
      </c>
      <c r="I23" s="232" t="inlineStr">
        <is>
          <t>Funded outside TDD ($m)</t>
        </is>
      </c>
    </row>
    <row r="24">
      <c r="B24" s="233" t="inlineStr">
        <is>
          <t>AU Finance</t>
        </is>
      </c>
      <c r="C24" s="234" t="inlineStr">
        <is>
          <t>Configuration / Integration</t>
        </is>
      </c>
      <c r="D24" s="234" t="inlineStr">
        <is>
          <t>L</t>
        </is>
      </c>
      <c r="E24" s="234" t="inlineStr">
        <is>
          <t>Onshore</t>
        </is>
      </c>
      <c r="F24" s="235" t="n">
        <v>0.2</v>
      </c>
      <c r="G24" s="236">
        <f>IFERROR(IF($E24="Onshore",INDEX('0.1 Squads'!$G$5:$G$23,MATCH($C24&amp;"|"&amp;$D24,'0.1 Squads'!$A$5:$A$23,0)),INDEX('0.1 Squads'!$H$5:$H$23,MATCH($C24&amp;"|"&amp;$D24,'0.1 Squads'!$A$5:$A$23,0))),"check size")</f>
        <v>2.1</v>
      </c>
      <c r="H24" s="237">
        <f>IFERROR($G24*$F24,"")</f>
        <v>0.42000000000000004</v>
      </c>
      <c r="I24" s="237">
        <f>IFERROR($G24*(1-$F24),"")</f>
        <v>1.6800000000000002</v>
      </c>
    </row>
    <row r="25">
      <c r="B25" s="233" t="inlineStr">
        <is>
          <t>NZ Finance</t>
        </is>
      </c>
      <c r="C25" s="234" t="inlineStr">
        <is>
          <t>Configuration / Integration</t>
        </is>
      </c>
      <c r="D25" s="234" t="inlineStr">
        <is>
          <t>S</t>
        </is>
      </c>
      <c r="E25" s="234" t="inlineStr">
        <is>
          <t>Onshore</t>
        </is>
      </c>
      <c r="F25" s="235" t="n">
        <v>0.2</v>
      </c>
      <c r="G25" s="236">
        <f>IFERROR(IF($E25="Onshore",INDEX('0.1 Squads'!$G$5:$G$23,MATCH($C25&amp;"|"&amp;$D25,'0.1 Squads'!$A$5:$A$23,0)),INDEX('0.1 Squads'!$H$5:$H$23,MATCH($C25&amp;"|"&amp;$D25,'0.1 Squads'!$A$5:$A$23,0))),"check size")</f>
        <v>0.4</v>
      </c>
      <c r="H25" s="237">
        <f>IFERROR($G25*$F25,"")</f>
        <v>0.08000000000000002</v>
      </c>
      <c r="I25" s="237">
        <f>IFERROR($G25*(1-$F25),"")</f>
        <v>0.32000000000000006</v>
      </c>
    </row>
    <row r="26">
      <c r="B26" s="238" t="inlineStr">
        <is>
          <t>Platform Overhead</t>
        </is>
      </c>
      <c r="C26" s="239" t="n"/>
      <c r="D26" s="239" t="n"/>
      <c r="E26" s="239" t="n"/>
      <c r="F26" s="239" t="n"/>
      <c r="G26" s="239" t="n"/>
      <c r="H26" s="236">
        <f>'0.0 Data Config'!$L$16</f>
        <v>0.165</v>
      </c>
      <c r="I26" s="239" t="n"/>
    </row>
    <row r="27">
      <c r="B27" s="240" t="inlineStr">
        <is>
          <t>Finance Total</t>
        </is>
      </c>
      <c r="C27" s="226" t="n"/>
      <c r="D27" s="226" t="n"/>
      <c r="E27" s="226" t="n"/>
      <c r="F27" s="226" t="n"/>
      <c r="G27" s="241">
        <f>SUM(G24:G25)</f>
        <v>2.5</v>
      </c>
      <c r="H27" s="241">
        <f>SUM(H24:H26)</f>
        <v>0.665</v>
      </c>
      <c r="I27" s="241">
        <f>SUM(I24:I25)</f>
        <v>2.0</v>
      </c>
    </row>
    <row r="28"/>
    <row r="29">
      <c r="B29" s="282" t="inlineStr">
        <is>
          <t>Platform: EGI Finance</t>
        </is>
      </c>
    </row>
    <row r="30">
      <c r="B30" s="5" t="inlineStr">
        <is>
          <t>Squad</t>
        </is>
      </c>
      <c r="C30" s="5" t="inlineStr">
        <is>
          <t>Squad Type</t>
        </is>
      </c>
      <c r="D30" s="5" t="inlineStr">
        <is>
          <t>Size</t>
        </is>
      </c>
      <c r="E30" s="5" t="inlineStr">
        <is>
          <t>On/Off</t>
        </is>
      </c>
      <c r="F30" s="5" t="inlineStr">
        <is>
          <t>Support %</t>
        </is>
      </c>
      <c r="G30" s="5" t="inlineStr">
        <is>
          <t>Total Squad Cost ($m)</t>
        </is>
      </c>
      <c r="H30" s="5" t="inlineStr">
        <is>
          <t>TDD Cost ($m)</t>
        </is>
      </c>
      <c r="I30" s="5" t="inlineStr">
        <is>
          <t>Funded outside TDD ($m)</t>
        </is>
      </c>
    </row>
    <row r="31">
      <c r="B31" s="8" t="inlineStr">
        <is>
          <t>EGI Finance</t>
        </is>
      </c>
      <c r="C31" s="227" t="inlineStr">
        <is>
          <t>Strategic Programs</t>
        </is>
      </c>
      <c r="D31" s="227" t="n"/>
      <c r="E31" s="227" t="inlineStr">
        <is>
          <t>Onshore</t>
        </is>
      </c>
      <c r="F31" s="228" t="n">
        <v>0.2</v>
      </c>
      <c r="G31" s="230" t="n">
        <v>0</v>
      </c>
      <c r="H31" s="9">
        <f>IFERROR($G31*$F31,"")</f>
        <v>0.0</v>
      </c>
      <c r="I31" s="9">
        <f>IFERROR($G31*(1-$F31),"")</f>
        <v>0.0</v>
      </c>
    </row>
    <row r="32">
      <c r="B32" s="216" t="inlineStr">
        <is>
          <t>EGI Finance Total</t>
        </is>
      </c>
      <c r="G32" s="217">
        <f>SUM(G31:G31)</f>
        <v>0.0</v>
      </c>
      <c r="H32" s="217">
        <f>SUM(H31:H31)</f>
        <v>0.0</v>
      </c>
      <c r="I32" s="217">
        <f>SUM(I31:I31)</f>
        <v>0.0</v>
      </c>
    </row>
  </sheetData>
  <mergeCells count="6">
    <mergeCell ref="B11:D11"/>
    <mergeCell ref="G4:H4"/>
    <mergeCell ref="B4:E4"/>
    <mergeCell ref="B22:I22"/>
    <mergeCell ref="B12:D12"/>
    <mergeCell ref="G10:J10"/>
  </mergeCells>
  <conditionalFormatting sqref="H7">
    <cfRule type="cellIs" priority="5" operator="greaterThanOrEqual" dxfId="48">
      <formula>0</formula>
    </cfRule>
    <cfRule type="cellIs" priority="6" operator="lessThan" dxfId="49">
      <formula>0</formula>
    </cfRule>
  </conditionalFormatting>
  <conditionalFormatting sqref="I20">
    <cfRule type="cellIs" priority="7" operator="greaterThan" dxfId="49">
      <formula>0</formula>
    </cfRule>
    <cfRule type="cellIs" priority="8" operator="lessThanOrEqual" dxfId="48">
      <formula>0</formula>
    </cfRule>
  </conditionalFormatting>
  <dataValidations count="4">
    <dataValidation sqref="C24:C25 C31" showDropDown="0" showInputMessage="0" showErrorMessage="0" allowBlank="1" type="list">
      <formula1>SquadTypes</formula1>
      <formula2>0</formula2>
    </dataValidation>
    <dataValidation sqref="D24:D25 D31" showDropDown="0" showInputMessage="0" showErrorMessage="0" allowBlank="1" type="list">
      <formula1>SquadSizes</formula1>
      <formula2>0</formula2>
    </dataValidation>
    <dataValidation sqref="E24:E25 E31" showDropDown="0" showInputMessage="0" showErrorMessage="0" allowBlank="1" type="list">
      <formula1>OnOff</formula1>
      <formula2>0</formula2>
    </dataValidation>
    <dataValidation sqref="F24:F25 F31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J40"/>
  <sheetViews>
    <sheetView showGridLines="0" topLeftCell="A6" zoomScaleNormal="100" workbookViewId="0">
      <selection activeCell="H38" sqref="H38"/>
    </sheetView>
  </sheetViews>
  <sheetFormatPr baseColWidth="8" defaultColWidth="8.54296875" defaultRowHeight="14.5"/>
  <cols>
    <col width="28" customWidth="1" style="302" min="2" max="2"/>
    <col width="26" customWidth="1" style="302" min="3" max="3"/>
    <col width="9.54296875" customWidth="1" style="302" min="4" max="4"/>
    <col width="23.54296875" customWidth="1" style="302" min="5" max="5"/>
    <col width="11" customWidth="1" style="302" min="6" max="6"/>
    <col width="27.1796875" customWidth="1" style="302" min="7" max="7"/>
    <col width="14" customWidth="1" style="302" min="8" max="8"/>
    <col width="50.1796875" customWidth="1" style="302" min="9" max="9"/>
    <col width="24.81640625" customWidth="1" style="302" min="10" max="10"/>
  </cols>
  <sheetData>
    <row r="1"/>
    <row r="2" ht="21" customHeight="1" s="302">
      <c r="B2" s="212" t="inlineStr">
        <is>
          <t>Infrastructure</t>
        </is>
      </c>
    </row>
    <row r="3"/>
    <row r="4"/>
    <row r="5">
      <c r="B5" s="259" t="inlineStr">
        <is>
          <t>Portfolio Summary</t>
        </is>
      </c>
      <c r="C5" s="251" t="n"/>
      <c r="D5" s="251" t="n"/>
      <c r="E5" s="252" t="n"/>
      <c r="G5" s="213" t="inlineStr">
        <is>
          <t>Budget vs TDD cost</t>
        </is>
      </c>
      <c r="H5" s="213" t="n"/>
    </row>
    <row r="6">
      <c r="B6" s="5" t="inlineStr">
        <is>
          <t>Cost</t>
        </is>
      </c>
      <c r="C6" s="247" t="inlineStr">
        <is>
          <t>TDD ($m)</t>
        </is>
      </c>
      <c r="D6" s="247" t="inlineStr">
        <is>
          <t>Other ($m)</t>
        </is>
      </c>
      <c r="E6" s="247" t="inlineStr">
        <is>
          <t>Total Infrastructure Cost ($m)</t>
        </is>
      </c>
      <c r="G6" s="214" t="inlineStr">
        <is>
          <t>TDD Lights On Budget</t>
        </is>
      </c>
      <c r="H6" s="215">
        <f>'0.0 Data Config'!$E$17</f>
        <v>2.5</v>
      </c>
    </row>
    <row r="7">
      <c r="B7" s="248" t="inlineStr">
        <is>
          <t>Portfolio Overhead</t>
        </is>
      </c>
      <c r="C7" s="236">
        <f>'0.0 Data Config'!$L$10</f>
        <v>0.7495</v>
      </c>
      <c r="D7" s="239" t="n"/>
      <c r="E7" s="237">
        <f>C7</f>
        <v>0.7495</v>
      </c>
      <c r="G7" s="214" t="inlineStr">
        <is>
          <t>Overheads &amp; Support (this model)</t>
        </is>
      </c>
      <c r="H7" s="9">
        <f>C10</f>
        <v>2.5245</v>
      </c>
    </row>
    <row r="8">
      <c r="B8" s="248" t="inlineStr">
        <is>
          <t>Platform Overheads</t>
        </is>
      </c>
      <c r="C8" s="237">
        <f>SUM(H26,H33,H39)</f>
        <v>0.495</v>
      </c>
      <c r="D8" s="239" t="n"/>
      <c r="E8" s="237">
        <f>C8</f>
        <v>0.495</v>
      </c>
      <c r="G8" s="216" t="inlineStr">
        <is>
          <t>Variance (budget less cost)</t>
        </is>
      </c>
      <c r="H8" s="217">
        <f>H6-H7</f>
        <v>-0.02450000000000019</v>
      </c>
    </row>
    <row r="9">
      <c r="B9" s="8" t="inlineStr">
        <is>
          <t>Squad Support Costs</t>
        </is>
      </c>
      <c r="C9" s="249">
        <f>SUM(H25,H31,H32,H38)</f>
        <v>1.2800000000000002</v>
      </c>
      <c r="D9" s="249">
        <f>SUM(I25,I31,I32,I38)</f>
        <v>2.7199999999999998</v>
      </c>
      <c r="E9" s="249">
        <f>C9+D9</f>
        <v>4.0</v>
      </c>
    </row>
    <row r="10">
      <c r="B10" s="216" t="inlineStr">
        <is>
          <t>Total Cost</t>
        </is>
      </c>
      <c r="C10" s="217">
        <f>SUM(C7:C9)</f>
        <v>2.5245</v>
      </c>
      <c r="D10" s="217">
        <f>SUM(D7:D9)</f>
        <v>2.7199999999999998</v>
      </c>
      <c r="E10" s="217">
        <f>C10+D10</f>
        <v>5.2445</v>
      </c>
    </row>
    <row r="11">
      <c r="G11" s="287" t="inlineStr">
        <is>
          <t xml:space="preserve">Other funding </t>
        </is>
      </c>
      <c r="H11" s="384" t="n"/>
      <c r="I11" s="384" t="n"/>
      <c r="J11" s="385" t="n"/>
    </row>
    <row r="12">
      <c r="B12" s="289" t="inlineStr">
        <is>
          <t xml:space="preserve">Total Infrastructure budget </t>
        </is>
      </c>
      <c r="D12" s="387" t="n"/>
      <c r="E12" s="219">
        <f>SUM(H13:H17)</f>
        <v>9.3</v>
      </c>
      <c r="G12" s="232" t="inlineStr">
        <is>
          <t>Budget line</t>
        </is>
      </c>
      <c r="H12" s="232" t="inlineStr">
        <is>
          <t>Budget ($m)</t>
        </is>
      </c>
      <c r="I12" s="232" t="inlineStr">
        <is>
          <t>Amount that can be allocated to people</t>
        </is>
      </c>
      <c r="J12" s="232" t="inlineStr">
        <is>
          <t>Remaining for non-people ($m)</t>
        </is>
      </c>
    </row>
    <row r="13">
      <c r="B13" s="291" t="inlineStr">
        <is>
          <t xml:space="preserve">Reconciled to Finance </t>
        </is>
      </c>
      <c r="C13" s="384" t="n"/>
      <c r="D13" s="385" t="n"/>
      <c r="E13" s="220">
        <f>'0.4 Budget Table (Fin)'!Q10</f>
        <v>9.3</v>
      </c>
      <c r="G13" s="233" t="inlineStr">
        <is>
          <t>Infrastructure Lights On</t>
        </is>
      </c>
      <c r="H13" s="236">
        <f>'0.4 Budget Table (Fin)'!L10</f>
        <v>3.9</v>
      </c>
      <c r="I13" s="239">
        <f>'0.4 Budget Table (Fin)'!G10</f>
        <v>0.0</v>
      </c>
      <c r="J13" s="237">
        <f>IFERROR(H13-I13,0)</f>
        <v>3.9</v>
      </c>
    </row>
    <row r="14">
      <c r="G14" s="233" t="inlineStr">
        <is>
          <t>OpEx Initiatives</t>
        </is>
      </c>
      <c r="H14" s="236">
        <f>'0.4 Budget Table (Fin)'!N10</f>
        <v>0.4</v>
      </c>
      <c r="I14" s="244" t="n">
        <v>0</v>
      </c>
      <c r="J14" s="237">
        <f>IFERROR(H14-I14,0)</f>
        <v>0.4</v>
      </c>
    </row>
    <row r="15">
      <c r="G15" s="233" t="inlineStr">
        <is>
          <t>CapEx</t>
        </is>
      </c>
      <c r="H15" s="236">
        <f>'0.4 Budget Table (Fin)'!P10</f>
        <v>5.0</v>
      </c>
      <c r="I15" s="244" t="n">
        <v>0</v>
      </c>
      <c r="J15" s="237">
        <f>IFERROR(H15-I15,0)</f>
        <v>5.0</v>
      </c>
    </row>
    <row r="16">
      <c r="G16" s="233" t="inlineStr">
        <is>
          <t>Significant Items</t>
        </is>
      </c>
      <c r="H16" s="236">
        <f>'0.4 Budget Table (Fin)'!O10</f>
        <v>0.0</v>
      </c>
      <c r="I16" s="244" t="n">
        <v>0</v>
      </c>
      <c r="J16" s="237">
        <f>IFERROR(H16-I16,0)</f>
        <v>0.0</v>
      </c>
    </row>
    <row r="17">
      <c r="G17" s="233" t="inlineStr">
        <is>
          <t>Depreciation</t>
        </is>
      </c>
      <c r="H17" s="236">
        <f>'0.4 Budget Table (Fin)'!M10</f>
        <v>0.0</v>
      </c>
      <c r="I17" s="244" t="n">
        <v>0</v>
      </c>
      <c r="J17" s="237">
        <f>IFERROR(H17-I17,0)</f>
        <v>0.0</v>
      </c>
    </row>
    <row r="18">
      <c r="G18" s="245" t="inlineStr">
        <is>
          <t>Total applied</t>
        </is>
      </c>
      <c r="H18" s="239" t="n"/>
      <c r="I18" s="246">
        <f>SUM(I13:I17)</f>
        <v>0.0</v>
      </c>
      <c r="J18" s="239" t="n"/>
    </row>
    <row r="19">
      <c r="G19" s="233" t="inlineStr">
        <is>
          <t>Other cost (this model)</t>
        </is>
      </c>
      <c r="H19" s="239" t="n"/>
      <c r="I19" s="237">
        <f>D10</f>
        <v>2.7199999999999998</v>
      </c>
      <c r="J19" s="239" t="n"/>
    </row>
    <row r="20">
      <c r="G20" s="240" t="inlineStr">
        <is>
          <t>Left to fund</t>
        </is>
      </c>
      <c r="H20" s="239" t="n"/>
      <c r="I20" s="241">
        <f>I19-I18</f>
        <v>2.7199999999999998</v>
      </c>
      <c r="J20" s="239" t="n"/>
    </row>
    <row r="21"/>
    <row r="22"/>
    <row r="23">
      <c r="B23" s="287" t="inlineStr">
        <is>
          <t>Platform: Distribution</t>
        </is>
      </c>
      <c r="C23" s="384" t="n"/>
      <c r="D23" s="384" t="n"/>
      <c r="E23" s="384" t="n"/>
      <c r="F23" s="384" t="n"/>
      <c r="G23" s="384" t="n"/>
      <c r="H23" s="384" t="n"/>
      <c r="I23" s="385" t="n"/>
    </row>
    <row r="24">
      <c r="B24" s="232" t="inlineStr">
        <is>
          <t>Squad</t>
        </is>
      </c>
      <c r="C24" s="232" t="inlineStr">
        <is>
          <t>Squad Type</t>
        </is>
      </c>
      <c r="D24" s="232" t="inlineStr">
        <is>
          <t>Size</t>
        </is>
      </c>
      <c r="E24" s="232" t="inlineStr">
        <is>
          <t>On/Off</t>
        </is>
      </c>
      <c r="F24" s="232" t="inlineStr">
        <is>
          <t>Support %</t>
        </is>
      </c>
      <c r="G24" s="232" t="inlineStr">
        <is>
          <t>Total Squad Cost ($m)</t>
        </is>
      </c>
      <c r="H24" s="232" t="inlineStr">
        <is>
          <t>TDD Cost ($m)</t>
        </is>
      </c>
      <c r="I24" s="232" t="inlineStr">
        <is>
          <t>Funded outside TDD ($m)</t>
        </is>
      </c>
    </row>
    <row r="25">
      <c r="B25" s="233" t="inlineStr">
        <is>
          <t>Distribution, Sales &amp; Services</t>
        </is>
      </c>
      <c r="C25" s="234" t="inlineStr">
        <is>
          <t>Configuration / Integration</t>
        </is>
      </c>
      <c r="D25" s="234" t="inlineStr">
        <is>
          <t>M</t>
        </is>
      </c>
      <c r="E25" s="234" t="inlineStr">
        <is>
          <t>Onshore</t>
        </is>
      </c>
      <c r="F25" s="235" t="n">
        <v>0.2</v>
      </c>
      <c r="G25" s="236">
        <f>IFERROR(IF($E25="Onshore",INDEX('0.1 Squads'!$G$5:$G$23,MATCH($C25&amp;"|"&amp;$D25,'0.1 Squads'!$A$5:$A$23,0)),INDEX('0.1 Squads'!$H$5:$H$23,MATCH($C25&amp;"|"&amp;$D25,'0.1 Squads'!$A$5:$A$23,0))),"check size")</f>
        <v>1.4</v>
      </c>
      <c r="H25" s="237">
        <f>IFERROR($G25*$F25,"")</f>
        <v>0.27999999999999997</v>
      </c>
      <c r="I25" s="237">
        <f>IFERROR($G25*(1-$F25),"")</f>
        <v>1.1199999999999999</v>
      </c>
    </row>
    <row r="26">
      <c r="B26" s="238" t="inlineStr">
        <is>
          <t>Platform Overhead</t>
        </is>
      </c>
      <c r="C26" s="239" t="n"/>
      <c r="D26" s="239" t="n"/>
      <c r="E26" s="239" t="n"/>
      <c r="F26" s="239" t="n"/>
      <c r="G26" s="239" t="n"/>
      <c r="H26" s="236">
        <f>'0.0 Data Config'!$L$16</f>
        <v>0.165</v>
      </c>
      <c r="I26" s="239" t="n"/>
    </row>
    <row r="27">
      <c r="B27" s="240" t="inlineStr">
        <is>
          <t>Distribution Total</t>
        </is>
      </c>
      <c r="C27" s="226" t="n"/>
      <c r="D27" s="226" t="n"/>
      <c r="E27" s="226" t="n"/>
      <c r="F27" s="226" t="n"/>
      <c r="G27" s="241">
        <f>SUM(G25:G25)</f>
        <v>1.4</v>
      </c>
      <c r="H27" s="241">
        <f>SUM(H25:H26)</f>
        <v>0.44499999999999995</v>
      </c>
      <c r="I27" s="241">
        <f>SUM(I25:I25)</f>
        <v>1.1199999999999999</v>
      </c>
    </row>
    <row r="28"/>
    <row r="29">
      <c r="B29" s="287" t="inlineStr">
        <is>
          <t>Platform: Manufacturing</t>
        </is>
      </c>
      <c r="C29" s="384" t="n"/>
      <c r="D29" s="384" t="n"/>
      <c r="E29" s="384" t="n"/>
      <c r="F29" s="384" t="n"/>
      <c r="G29" s="384" t="n"/>
      <c r="H29" s="384" t="n"/>
      <c r="I29" s="385" t="n"/>
    </row>
    <row r="30">
      <c r="B30" s="232" t="inlineStr">
        <is>
          <t>Squad</t>
        </is>
      </c>
      <c r="C30" s="232" t="inlineStr">
        <is>
          <t>Squad Type</t>
        </is>
      </c>
      <c r="D30" s="232" t="inlineStr">
        <is>
          <t>Size</t>
        </is>
      </c>
      <c r="E30" s="232" t="inlineStr">
        <is>
          <t>On/Off</t>
        </is>
      </c>
      <c r="F30" s="232" t="inlineStr">
        <is>
          <t>Support %</t>
        </is>
      </c>
      <c r="G30" s="232" t="inlineStr">
        <is>
          <t>Total Squad Cost ($m)</t>
        </is>
      </c>
      <c r="H30" s="232" t="inlineStr">
        <is>
          <t>TDD Cost ($m)</t>
        </is>
      </c>
      <c r="I30" s="232" t="inlineStr">
        <is>
          <t>Funded outside TDD ($m)</t>
        </is>
      </c>
    </row>
    <row r="31">
      <c r="B31" s="233" t="inlineStr">
        <is>
          <t>Manufacturing &amp; Group Projects</t>
        </is>
      </c>
      <c r="C31" s="234" t="inlineStr">
        <is>
          <t>Configuration / Integration</t>
        </is>
      </c>
      <c r="D31" s="234" t="inlineStr">
        <is>
          <t>M</t>
        </is>
      </c>
      <c r="E31" s="234" t="inlineStr">
        <is>
          <t>Onshore</t>
        </is>
      </c>
      <c r="F31" s="235" t="n">
        <v>0.2</v>
      </c>
      <c r="G31" s="236">
        <f>IFERROR(IF($E31="Onshore",INDEX('0.1 Squads'!$G$5:$G$23,MATCH($C31&amp;"|"&amp;$D31,'0.1 Squads'!$A$5:$A$23,0)),INDEX('0.1 Squads'!$H$5:$H$23,MATCH($C31&amp;"|"&amp;$D31,'0.1 Squads'!$A$5:$A$23,0))),"check size")</f>
        <v>1.4</v>
      </c>
      <c r="H31" s="237">
        <f>IFERROR($G31*$F31,"")</f>
        <v>0.27999999999999997</v>
      </c>
      <c r="I31" s="237">
        <f>IFERROR($G31*(1-$F31),"")</f>
        <v>1.1199999999999999</v>
      </c>
    </row>
    <row r="32">
      <c r="B32" s="233" t="inlineStr">
        <is>
          <t>Technology Support</t>
        </is>
      </c>
      <c r="C32" s="234" t="inlineStr">
        <is>
          <t>Operations</t>
        </is>
      </c>
      <c r="D32" s="234" t="inlineStr">
        <is>
          <t>S</t>
        </is>
      </c>
      <c r="E32" s="234" t="inlineStr">
        <is>
          <t>Onshore</t>
        </is>
      </c>
      <c r="F32" s="235" t="n">
        <v>0.8</v>
      </c>
      <c r="G32" s="236">
        <f>IFERROR(IF($E32="Onshore",INDEX('0.1 Squads'!$G$5:$G$23,MATCH($C32&amp;"|"&amp;$D32,'0.1 Squads'!$A$5:$A$23,0)),INDEX('0.1 Squads'!$H$5:$H$23,MATCH($C32&amp;"|"&amp;$D32,'0.1 Squads'!$A$5:$A$23,0))),"check size")</f>
        <v>0.8</v>
      </c>
      <c r="H32" s="237">
        <f>IFERROR($G32*$F32,"")</f>
        <v>0.6400000000000001</v>
      </c>
      <c r="I32" s="237">
        <f>IFERROR($G32*(1-$F32),"")</f>
        <v>0.15999999999999998</v>
      </c>
    </row>
    <row r="33">
      <c r="B33" s="238" t="inlineStr">
        <is>
          <t>Platform Overhead</t>
        </is>
      </c>
      <c r="C33" s="239" t="n"/>
      <c r="D33" s="239" t="n"/>
      <c r="E33" s="239" t="n"/>
      <c r="F33" s="239" t="n"/>
      <c r="G33" s="239" t="n"/>
      <c r="H33" s="236">
        <f>'0.0 Data Config'!$L$16</f>
        <v>0.165</v>
      </c>
      <c r="I33" s="239" t="n"/>
    </row>
    <row r="34">
      <c r="B34" s="240" t="inlineStr">
        <is>
          <t>Manufacturing Total</t>
        </is>
      </c>
      <c r="C34" s="226" t="n"/>
      <c r="D34" s="226" t="n"/>
      <c r="E34" s="226" t="n"/>
      <c r="F34" s="226" t="n"/>
      <c r="G34" s="241">
        <f>SUM(G31:G32)</f>
        <v>2.2</v>
      </c>
      <c r="H34" s="241">
        <f>SUM(H31:H33)</f>
        <v>1.0850000000000002</v>
      </c>
      <c r="I34" s="241">
        <f>SUM(I31:I32)</f>
        <v>1.2799999999999998</v>
      </c>
    </row>
    <row r="35"/>
    <row r="36">
      <c r="B36" s="287" t="inlineStr">
        <is>
          <t>Platform: Data &amp; Insights</t>
        </is>
      </c>
      <c r="C36" s="384" t="n"/>
      <c r="D36" s="384" t="n"/>
      <c r="E36" s="384" t="n"/>
      <c r="F36" s="384" t="n"/>
      <c r="G36" s="384" t="n"/>
      <c r="H36" s="384" t="n"/>
      <c r="I36" s="385" t="n"/>
    </row>
    <row r="37">
      <c r="B37" s="232" t="inlineStr">
        <is>
          <t>Squad</t>
        </is>
      </c>
      <c r="C37" s="232" t="inlineStr">
        <is>
          <t>Squad Type</t>
        </is>
      </c>
      <c r="D37" s="232" t="inlineStr">
        <is>
          <t>Size</t>
        </is>
      </c>
      <c r="E37" s="232" t="inlineStr">
        <is>
          <t>On/Off</t>
        </is>
      </c>
      <c r="F37" s="232" t="inlineStr">
        <is>
          <t>Support %</t>
        </is>
      </c>
      <c r="G37" s="232" t="inlineStr">
        <is>
          <t>Total Squad Cost ($m)</t>
        </is>
      </c>
      <c r="H37" s="232" t="inlineStr">
        <is>
          <t>TDD Cost ($m)</t>
        </is>
      </c>
      <c r="I37" s="232" t="inlineStr">
        <is>
          <t>Funded outside TDD ($m)</t>
        </is>
      </c>
    </row>
    <row r="38">
      <c r="B38" s="233" t="inlineStr">
        <is>
          <t>Data &amp; Insights</t>
        </is>
      </c>
      <c r="C38" s="234" t="inlineStr">
        <is>
          <t>Configuration / Integration</t>
        </is>
      </c>
      <c r="D38" s="234" t="inlineStr">
        <is>
          <t>S</t>
        </is>
      </c>
      <c r="E38" s="234" t="inlineStr">
        <is>
          <t>Onshore</t>
        </is>
      </c>
      <c r="F38" s="235" t="n">
        <v>0.2</v>
      </c>
      <c r="G38" s="236">
        <f>IFERROR(IF($E38="Onshore",INDEX('0.1 Squads'!$G$5:$G$23,MATCH($C38&amp;"|"&amp;$D38,'0.1 Squads'!$A$5:$A$23,0)),INDEX('0.1 Squads'!$H$5:$H$23,MATCH($C38&amp;"|"&amp;$D38,'0.1 Squads'!$A$5:$A$23,0))),"check size")</f>
        <v>0.4</v>
      </c>
      <c r="H38" s="237">
        <f>IFERROR($G38*$F38,"")</f>
        <v>0.08000000000000002</v>
      </c>
      <c r="I38" s="237">
        <f>IFERROR($G38*(1-$F38),"")</f>
        <v>0.32000000000000006</v>
      </c>
      <c r="J38" t="inlineStr">
        <is>
          <t>Data team to be worked out</t>
        </is>
      </c>
    </row>
    <row r="39">
      <c r="B39" s="238" t="inlineStr">
        <is>
          <t>Platform Overhead</t>
        </is>
      </c>
      <c r="C39" s="239" t="n"/>
      <c r="D39" s="239" t="n"/>
      <c r="E39" s="239" t="n"/>
      <c r="F39" s="239" t="n"/>
      <c r="G39" s="239" t="n"/>
      <c r="H39" s="236">
        <f>'0.0 Data Config'!$L$16</f>
        <v>0.165</v>
      </c>
      <c r="I39" s="239" t="n"/>
    </row>
    <row r="40">
      <c r="B40" s="240" t="inlineStr">
        <is>
          <t>Data &amp; Insights Total</t>
        </is>
      </c>
      <c r="C40" s="226" t="n"/>
      <c r="D40" s="226" t="n"/>
      <c r="E40" s="226" t="n"/>
      <c r="F40" s="226" t="n"/>
      <c r="G40" s="241">
        <f>SUM(G38:G38)</f>
        <v>0.4</v>
      </c>
      <c r="H40" s="241">
        <f>SUM(H38:H39)</f>
        <v>0.24500000000000002</v>
      </c>
      <c r="I40" s="241">
        <f>SUM(I38:I38)</f>
        <v>0.32000000000000006</v>
      </c>
    </row>
  </sheetData>
  <mergeCells count="7">
    <mergeCell ref="G11:J11"/>
    <mergeCell ref="B29:I29"/>
    <mergeCell ref="B13:D13"/>
    <mergeCell ref="B36:I36"/>
    <mergeCell ref="B5:E5"/>
    <mergeCell ref="B12:D12"/>
    <mergeCell ref="B23:I23"/>
  </mergeCells>
  <conditionalFormatting sqref="H8">
    <cfRule type="cellIs" priority="5" operator="greaterThanOrEqual" dxfId="48">
      <formula>0</formula>
    </cfRule>
    <cfRule type="cellIs" priority="6" operator="lessThan" dxfId="49">
      <formula>0</formula>
    </cfRule>
  </conditionalFormatting>
  <conditionalFormatting sqref="I20">
    <cfRule type="cellIs" priority="7" operator="greaterThan" dxfId="49">
      <formula>0</formula>
    </cfRule>
    <cfRule type="cellIs" priority="8" operator="lessThanOrEqual" dxfId="48">
      <formula>0</formula>
    </cfRule>
  </conditionalFormatting>
  <dataValidations count="4">
    <dataValidation sqref="C25 C31:C32 C38" showDropDown="0" showInputMessage="0" showErrorMessage="0" allowBlank="1" type="list">
      <formula1>SquadTypes</formula1>
      <formula2>0</formula2>
    </dataValidation>
    <dataValidation sqref="D25 D31:D32 D38" showDropDown="0" showInputMessage="0" showErrorMessage="0" allowBlank="1" type="list">
      <formula1>SquadSizes</formula1>
      <formula2>0</formula2>
    </dataValidation>
    <dataValidation sqref="E25 E31:E32 E38" showDropDown="0" showInputMessage="0" showErrorMessage="0" allowBlank="1" type="list">
      <formula1>OnOff</formula1>
      <formula2>0</formula2>
    </dataValidation>
    <dataValidation sqref="F25 F31:F32 F38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J36"/>
  <sheetViews>
    <sheetView showGridLines="0" topLeftCell="A5" zoomScale="110" zoomScaleNormal="110" workbookViewId="0">
      <selection activeCell="I11" sqref="I11"/>
    </sheetView>
  </sheetViews>
  <sheetFormatPr baseColWidth="8" defaultColWidth="8.54296875" defaultRowHeight="14.5"/>
  <cols>
    <col width="28" customWidth="1" style="302" min="2" max="2"/>
    <col width="26" customWidth="1" style="302" min="3" max="3"/>
    <col width="9.54296875" customWidth="1" style="302" min="4" max="4"/>
    <col width="19.81640625" customWidth="1" style="302" min="5" max="5"/>
    <col width="11" customWidth="1" style="302" min="6" max="6"/>
    <col width="27.1796875" customWidth="1" style="302" min="7" max="7"/>
    <col width="14" customWidth="1" style="302" min="8" max="8"/>
    <col width="50.1796875" customWidth="1" style="302" min="9" max="9"/>
    <col width="24.81640625" customWidth="1" style="302" min="10" max="10"/>
  </cols>
  <sheetData>
    <row r="1"/>
    <row r="2" ht="21" customHeight="1" s="302">
      <c r="B2" s="212" t="inlineStr">
        <is>
          <t>Energy Solutions &amp; B2B</t>
        </is>
      </c>
    </row>
    <row r="3"/>
    <row r="4">
      <c r="B4" s="259" t="inlineStr">
        <is>
          <t>Portfolio Summary</t>
        </is>
      </c>
      <c r="C4" s="251" t="n"/>
      <c r="D4" s="251" t="n"/>
      <c r="E4" s="252" t="n"/>
      <c r="G4" s="213" t="inlineStr">
        <is>
          <t>Budget vs TDD cost</t>
        </is>
      </c>
      <c r="H4" s="213" t="n"/>
    </row>
    <row r="5">
      <c r="B5" s="5" t="inlineStr">
        <is>
          <t>Cost</t>
        </is>
      </c>
      <c r="C5" s="5" t="inlineStr">
        <is>
          <t>TDD ($m)</t>
        </is>
      </c>
      <c r="D5" s="5" t="inlineStr">
        <is>
          <t>Other ($m)</t>
        </is>
      </c>
      <c r="E5" s="5" t="inlineStr">
        <is>
          <t>Total ES &amp; B2B Cost ($m)</t>
        </is>
      </c>
      <c r="G5" s="214" t="inlineStr">
        <is>
          <t>TDD Lights On Budget</t>
        </is>
      </c>
      <c r="H5" s="215">
        <f>'0.0 Data Config'!$E$16</f>
        <v>2.5</v>
      </c>
    </row>
    <row r="6">
      <c r="B6" s="8" t="inlineStr">
        <is>
          <t>Portfolio Overhead</t>
        </is>
      </c>
      <c r="C6" s="215">
        <f>'0.0 Data Config'!$L$10</f>
        <v>0.7495</v>
      </c>
      <c r="E6" s="9">
        <f>C6</f>
        <v>0.7495</v>
      </c>
      <c r="G6" s="214" t="inlineStr">
        <is>
          <t>Overheads &amp; Support (this model)</t>
        </is>
      </c>
      <c r="H6" s="9">
        <f>C9</f>
        <v>2.5095</v>
      </c>
      <c r="J6" t="inlineStr">
        <is>
          <t xml:space="preserve">Will need to split out B2B for budget </t>
        </is>
      </c>
    </row>
    <row r="7">
      <c r="B7" s="8" t="inlineStr">
        <is>
          <t>Platform Overheads</t>
        </is>
      </c>
      <c r="C7" s="9">
        <f>SUM(H29,H35)</f>
        <v>0.33</v>
      </c>
      <c r="E7" s="9">
        <f>C7</f>
        <v>0.33</v>
      </c>
      <c r="G7" s="216" t="inlineStr">
        <is>
          <t>Variance (budget less cost)</t>
        </is>
      </c>
      <c r="H7" s="217">
        <f>H5-H6</f>
        <v>-0.009500000000000064</v>
      </c>
    </row>
    <row r="8">
      <c r="B8" s="8" t="inlineStr">
        <is>
          <t>Squad Support Costs</t>
        </is>
      </c>
      <c r="C8" s="9">
        <f>SUM(H27,H28,H34)</f>
        <v>1.4300000000000002</v>
      </c>
      <c r="D8" s="9">
        <f>SUM(I27,I28,I34)</f>
        <v>4.67</v>
      </c>
      <c r="E8" s="9">
        <f>C8+D8</f>
        <v>6.1</v>
      </c>
    </row>
    <row r="9">
      <c r="B9" s="216" t="inlineStr">
        <is>
          <t>Total Cost</t>
        </is>
      </c>
      <c r="C9" s="217">
        <f>SUM(C6:C8)</f>
        <v>2.5095</v>
      </c>
      <c r="D9" s="217">
        <f>SUM(D6:D8)</f>
        <v>4.67</v>
      </c>
      <c r="E9" s="217">
        <f>C9+D9</f>
        <v>7.1795</v>
      </c>
    </row>
    <row r="10">
      <c r="G10" s="287" t="inlineStr">
        <is>
          <t xml:space="preserve">Other funding </t>
        </is>
      </c>
      <c r="H10" s="384" t="n"/>
      <c r="I10" s="384" t="n"/>
      <c r="J10" s="385" t="n"/>
    </row>
    <row r="11">
      <c r="B11" s="286" t="inlineStr">
        <is>
          <t xml:space="preserve">Total Energy Solutions budget </t>
        </is>
      </c>
      <c r="D11" s="387" t="n"/>
      <c r="E11" s="219">
        <f>SUM(H12:H19)</f>
        <v>12.4</v>
      </c>
      <c r="G11" s="232" t="inlineStr">
        <is>
          <t>Budget line</t>
        </is>
      </c>
      <c r="H11" s="232" t="inlineStr">
        <is>
          <t>Budget ($m)</t>
        </is>
      </c>
      <c r="I11" s="232" t="inlineStr">
        <is>
          <t>Amount that can be allocated to people</t>
        </is>
      </c>
      <c r="J11" s="232" t="inlineStr">
        <is>
          <t>Remaining for non-people ($m)</t>
        </is>
      </c>
    </row>
    <row r="12">
      <c r="B12" s="286" t="inlineStr">
        <is>
          <t xml:space="preserve">Reconciled to Finance </t>
        </is>
      </c>
      <c r="D12" s="387" t="n"/>
      <c r="E12" s="220">
        <f>'0.4 Budget Table (Fin)'!Q7</f>
        <v>7.2</v>
      </c>
      <c r="G12" s="233" t="inlineStr">
        <is>
          <t>Energy Solutions Lights On</t>
        </is>
      </c>
      <c r="H12" s="236">
        <f>'0.4 Budget Table (Fin)'!L7</f>
        <v>3.9</v>
      </c>
      <c r="I12" s="239">
        <f>'0.4 Budget Table (Fin)'!G7</f>
        <v>1.0</v>
      </c>
      <c r="J12" s="237">
        <f>IFERROR(H12-I12,0)</f>
        <v>2.9</v>
      </c>
    </row>
    <row r="13">
      <c r="G13" s="233" t="inlineStr">
        <is>
          <t xml:space="preserve">ES OpEx Initiatives </t>
        </is>
      </c>
      <c r="H13" s="236">
        <f>'0.4 Budget Table (Fin)'!N7</f>
        <v>1.0</v>
      </c>
      <c r="I13" s="244" t="n">
        <v>0</v>
      </c>
      <c r="J13" s="237">
        <f>IFERROR(H13-I13,0)</f>
        <v>1.0</v>
      </c>
    </row>
    <row r="14">
      <c r="G14" s="233" t="inlineStr">
        <is>
          <t>ES CapEx</t>
        </is>
      </c>
      <c r="H14" s="236">
        <f>'0.4 Budget Table (Fin)'!P7</f>
        <v>2.3</v>
      </c>
      <c r="I14" s="244" t="n">
        <v>1</v>
      </c>
      <c r="J14" s="237">
        <f>IFERROR(H14-I14,0)</f>
        <v>1.2999999999999998</v>
      </c>
    </row>
    <row r="15">
      <c r="G15" s="301" t="inlineStr">
        <is>
          <t>B2B Lights On</t>
        </is>
      </c>
      <c r="H15" s="244" t="n"/>
      <c r="I15" s="244" t="n"/>
      <c r="J15" s="237" t="n"/>
    </row>
    <row r="16">
      <c r="E16" t="inlineStr">
        <is>
          <t>What is the B2B initiatives #?</t>
        </is>
      </c>
      <c r="G16" s="301" t="inlineStr">
        <is>
          <t xml:space="preserve">B2B OpEx Initiatives </t>
        </is>
      </c>
      <c r="H16" s="244" t="n"/>
      <c r="I16" s="244" t="n"/>
      <c r="J16" s="237" t="n"/>
    </row>
    <row r="17">
      <c r="E17" t="inlineStr">
        <is>
          <t>What is the B2B CapEx?</t>
        </is>
      </c>
      <c r="G17" s="301" t="inlineStr">
        <is>
          <t>B2B CapEx</t>
        </is>
      </c>
      <c r="H17" s="244" t="n">
        <v>5.2</v>
      </c>
      <c r="I17" s="244" t="n">
        <v>1.5</v>
      </c>
      <c r="J17" s="237" t="n"/>
    </row>
    <row r="18">
      <c r="G18" s="233" t="inlineStr">
        <is>
          <t>Significant Items</t>
        </is>
      </c>
      <c r="H18" s="236">
        <f>'0.4 Budget Table (Fin)'!O7</f>
        <v>0.0</v>
      </c>
      <c r="I18" s="244" t="n">
        <v>0</v>
      </c>
      <c r="J18" s="237">
        <f>IFERROR(H18-I18,0)</f>
        <v>0.0</v>
      </c>
    </row>
    <row r="19">
      <c r="G19" s="233" t="inlineStr">
        <is>
          <t>Depreciation</t>
        </is>
      </c>
      <c r="H19" s="236">
        <f>'0.4 Budget Table (Fin)'!M7</f>
        <v>0.0</v>
      </c>
      <c r="I19" s="244" t="n">
        <v>0</v>
      </c>
      <c r="J19" s="237">
        <f>IFERROR(H19-I19,0)</f>
        <v>0.0</v>
      </c>
    </row>
    <row r="20">
      <c r="G20" s="245" t="inlineStr">
        <is>
          <t>Total applied</t>
        </is>
      </c>
      <c r="H20" s="239" t="n"/>
      <c r="I20" s="246">
        <f>SUM(I12:I19)</f>
        <v>3.5</v>
      </c>
      <c r="J20" s="239" t="n"/>
    </row>
    <row r="21">
      <c r="G21" s="233" t="inlineStr">
        <is>
          <t>Other cost (this model)</t>
        </is>
      </c>
      <c r="H21" s="239" t="n"/>
      <c r="I21" s="237">
        <f>D9</f>
        <v>4.67</v>
      </c>
      <c r="J21" s="239" t="n"/>
    </row>
    <row r="22">
      <c r="G22" s="240" t="inlineStr">
        <is>
          <t>Left to fund</t>
        </is>
      </c>
      <c r="H22" s="239" t="n"/>
      <c r="I22" s="241">
        <f>I21-I20</f>
        <v>1.17</v>
      </c>
      <c r="J22" s="239" t="n"/>
    </row>
    <row r="23"/>
    <row r="24"/>
    <row r="25">
      <c r="B25" s="287" t="inlineStr">
        <is>
          <t>Platform: Energy Solutions</t>
        </is>
      </c>
      <c r="C25" s="384" t="n"/>
      <c r="D25" s="384" t="n"/>
      <c r="E25" s="384" t="n"/>
      <c r="F25" s="384" t="n"/>
      <c r="G25" s="384" t="n"/>
      <c r="H25" s="384" t="n"/>
      <c r="I25" s="385" t="n"/>
    </row>
    <row r="26">
      <c r="B26" s="232" t="inlineStr">
        <is>
          <t>Squad</t>
        </is>
      </c>
      <c r="C26" s="232" t="inlineStr">
        <is>
          <t>Squad Type</t>
        </is>
      </c>
      <c r="D26" s="232" t="inlineStr">
        <is>
          <t>Size</t>
        </is>
      </c>
      <c r="E26" s="232" t="inlineStr">
        <is>
          <t>On/Off</t>
        </is>
      </c>
      <c r="F26" s="232" t="inlineStr">
        <is>
          <t>Support %</t>
        </is>
      </c>
      <c r="G26" s="232" t="inlineStr">
        <is>
          <t>Total Squad Cost ($m)</t>
        </is>
      </c>
      <c r="H26" s="232" t="inlineStr">
        <is>
          <t>TDD Cost ($m)</t>
        </is>
      </c>
      <c r="I26" s="232" t="inlineStr">
        <is>
          <t>Funded outside TDD ($m)</t>
        </is>
      </c>
    </row>
    <row r="27">
      <c r="B27" s="233" t="inlineStr">
        <is>
          <t>Energy</t>
        </is>
      </c>
      <c r="C27" s="234" t="inlineStr">
        <is>
          <t>Engineering</t>
        </is>
      </c>
      <c r="D27" s="234" t="inlineStr">
        <is>
          <t>M</t>
        </is>
      </c>
      <c r="E27" s="234" t="inlineStr">
        <is>
          <t>Onshore</t>
        </is>
      </c>
      <c r="F27" s="235" t="n">
        <v>0.2</v>
      </c>
      <c r="G27" s="236">
        <f>IFERROR(IF($E27="Onshore",INDEX('0.1 Squads'!$G$5:$G$23,MATCH($C27&amp;"|"&amp;$D27,'0.1 Squads'!$A$5:$A$23,0)),INDEX('0.1 Squads'!$H$5:$H$23,MATCH($C27&amp;"|"&amp;$D27,'0.1 Squads'!$A$5:$A$23,0))),"check size")</f>
        <v>2.0</v>
      </c>
      <c r="H27" s="237">
        <f>IFERROR($G27*$F27,"")</f>
        <v>0.4</v>
      </c>
      <c r="I27" s="237">
        <f>IFERROR($G27*(1-$F27),"")</f>
        <v>1.6</v>
      </c>
    </row>
    <row r="28">
      <c r="B28" s="233" t="inlineStr">
        <is>
          <t>EVCI</t>
        </is>
      </c>
      <c r="C28" s="234" t="inlineStr">
        <is>
          <t>Engineering</t>
        </is>
      </c>
      <c r="D28" s="234" t="inlineStr">
        <is>
          <t>M</t>
        </is>
      </c>
      <c r="E28" s="234" t="inlineStr">
        <is>
          <t>Onshore</t>
        </is>
      </c>
      <c r="F28" s="235" t="n">
        <v>0.2</v>
      </c>
      <c r="G28" s="236">
        <f>IFERROR(IF($E28="Onshore",INDEX('0.1 Squads'!$G$5:$G$23,MATCH($C28&amp;"|"&amp;$D28,'0.1 Squads'!$A$5:$A$23,0)),INDEX('0.1 Squads'!$H$5:$H$23,MATCH($C28&amp;"|"&amp;$D28,'0.1 Squads'!$A$5:$A$23,0))),"check size")</f>
        <v>2.0</v>
      </c>
      <c r="H28" s="237">
        <f>IFERROR($G28*$F28,"")</f>
        <v>0.4</v>
      </c>
      <c r="I28" s="237">
        <f>IFERROR($G28*(1-$F28),"")</f>
        <v>1.6</v>
      </c>
      <c r="J28" t="inlineStr">
        <is>
          <t xml:space="preserve">current FTE 6 </t>
        </is>
      </c>
    </row>
    <row r="29">
      <c r="B29" s="238" t="inlineStr">
        <is>
          <t>Platform Overhead</t>
        </is>
      </c>
      <c r="C29" s="239" t="n"/>
      <c r="D29" s="239" t="n"/>
      <c r="E29" s="239" t="n"/>
      <c r="F29" s="239" t="n"/>
      <c r="G29" s="239" t="n"/>
      <c r="H29" s="236">
        <f>'0.0 Data Config'!$L$16</f>
        <v>0.165</v>
      </c>
      <c r="I29" s="239" t="n"/>
    </row>
    <row r="30">
      <c r="B30" s="240" t="inlineStr">
        <is>
          <t>Energy Solutions Total</t>
        </is>
      </c>
      <c r="C30" s="226" t="n"/>
      <c r="D30" s="226" t="n"/>
      <c r="E30" s="226" t="n"/>
      <c r="F30" s="226" t="n"/>
      <c r="G30" s="241">
        <f>SUM(G27:G28)</f>
        <v>4.0</v>
      </c>
      <c r="H30" s="241">
        <f>SUM(H27:H29)</f>
        <v>0.9650000000000001</v>
      </c>
      <c r="I30" s="241">
        <f>SUM(I27:I28)</f>
        <v>3.2</v>
      </c>
    </row>
    <row r="31"/>
    <row r="32">
      <c r="B32" s="287" t="inlineStr">
        <is>
          <t>Platform: B2B</t>
        </is>
      </c>
      <c r="C32" s="384" t="n"/>
      <c r="D32" s="384" t="n"/>
      <c r="E32" s="384" t="n"/>
      <c r="F32" s="384" t="n"/>
      <c r="G32" s="384" t="n"/>
      <c r="H32" s="384" t="n"/>
      <c r="I32" s="385" t="n"/>
    </row>
    <row r="33">
      <c r="B33" s="232" t="inlineStr">
        <is>
          <t>Squad</t>
        </is>
      </c>
      <c r="C33" s="232" t="inlineStr">
        <is>
          <t>Squad Type</t>
        </is>
      </c>
      <c r="D33" s="232" t="inlineStr">
        <is>
          <t>Size</t>
        </is>
      </c>
      <c r="E33" s="232" t="inlineStr">
        <is>
          <t>On/Off</t>
        </is>
      </c>
      <c r="F33" s="232" t="inlineStr">
        <is>
          <t>Support %</t>
        </is>
      </c>
      <c r="G33" s="232" t="inlineStr">
        <is>
          <t>Total Squad Cost ($m)</t>
        </is>
      </c>
      <c r="H33" s="232" t="inlineStr">
        <is>
          <t>TDD Cost ($m)</t>
        </is>
      </c>
      <c r="I33" s="232" t="inlineStr">
        <is>
          <t>Funded outside TDD ($m)</t>
        </is>
      </c>
    </row>
    <row r="34">
      <c r="B34" s="233" t="inlineStr">
        <is>
          <t>B2B</t>
        </is>
      </c>
      <c r="C34" s="234" t="inlineStr">
        <is>
          <t>Configuration / Integration</t>
        </is>
      </c>
      <c r="D34" s="234" t="inlineStr">
        <is>
          <t>L</t>
        </is>
      </c>
      <c r="E34" s="234" t="inlineStr">
        <is>
          <t>Onshore</t>
        </is>
      </c>
      <c r="F34" s="235" t="n">
        <v>0.3</v>
      </c>
      <c r="G34" s="236">
        <f>IFERROR(IF($E34="Onshore",INDEX('0.1 Squads'!$G$5:$G$23,MATCH($C34&amp;"|"&amp;$D34,'0.1 Squads'!$A$5:$A$23,0)),INDEX('0.1 Squads'!$H$5:$H$23,MATCH($C34&amp;"|"&amp;$D34,'0.1 Squads'!$A$5:$A$23,0))),"check size")</f>
        <v>2.1</v>
      </c>
      <c r="H34" s="237">
        <f>IFERROR($G34*$F34,"")</f>
        <v>0.63</v>
      </c>
      <c r="I34" s="237">
        <f>IFERROR($G34*(1-$F34),"")</f>
        <v>1.47</v>
      </c>
    </row>
    <row r="35">
      <c r="B35" s="238" t="inlineStr">
        <is>
          <t>Platform Overhead</t>
        </is>
      </c>
      <c r="C35" s="239" t="n"/>
      <c r="D35" s="239" t="n"/>
      <c r="E35" s="239" t="n"/>
      <c r="F35" s="239" t="n"/>
      <c r="G35" s="239" t="n"/>
      <c r="H35" s="236">
        <f>'0.0 Data Config'!$L$16</f>
        <v>0.165</v>
      </c>
      <c r="I35" s="239" t="n"/>
    </row>
    <row r="36">
      <c r="B36" s="240" t="inlineStr">
        <is>
          <t>B2B Total</t>
        </is>
      </c>
      <c r="C36" s="226" t="n"/>
      <c r="D36" s="226" t="n"/>
      <c r="E36" s="226" t="n"/>
      <c r="F36" s="226" t="n"/>
      <c r="G36" s="241">
        <f>SUM(G34:G34)</f>
        <v>2.1</v>
      </c>
      <c r="H36" s="241">
        <f>SUM(H34:H35)</f>
        <v>0.795</v>
      </c>
      <c r="I36" s="241">
        <f>SUM(I34:I34)</f>
        <v>1.47</v>
      </c>
    </row>
  </sheetData>
  <mergeCells count="6">
    <mergeCell ref="B11:D11"/>
    <mergeCell ref="B4:E4"/>
    <mergeCell ref="B25:I25"/>
    <mergeCell ref="B12:D12"/>
    <mergeCell ref="B32:I32"/>
    <mergeCell ref="G10:J10"/>
  </mergeCells>
  <conditionalFormatting sqref="H7">
    <cfRule type="cellIs" priority="5" operator="greaterThanOrEqual" dxfId="48">
      <formula>0</formula>
    </cfRule>
    <cfRule type="cellIs" priority="6" operator="lessThan" dxfId="49">
      <formula>0</formula>
    </cfRule>
  </conditionalFormatting>
  <conditionalFormatting sqref="I22">
    <cfRule type="cellIs" priority="7" operator="greaterThan" dxfId="49">
      <formula>0</formula>
    </cfRule>
    <cfRule type="cellIs" priority="8" operator="lessThanOrEqual" dxfId="48">
      <formula>0</formula>
    </cfRule>
  </conditionalFormatting>
  <dataValidations count="4">
    <dataValidation sqref="C27:C28 C34" showDropDown="0" showInputMessage="0" showErrorMessage="0" allowBlank="1" type="list">
      <formula1>SquadTypes</formula1>
      <formula2>0</formula2>
    </dataValidation>
    <dataValidation sqref="D27:D28 D34" showDropDown="0" showInputMessage="0" showErrorMessage="0" allowBlank="1" type="list">
      <formula1>SquadSizes</formula1>
      <formula2>0</formula2>
    </dataValidation>
    <dataValidation sqref="E27:E28 E34" showDropDown="0" showInputMessage="0" showErrorMessage="0" allowBlank="1" type="list">
      <formula1>OnOff</formula1>
      <formula2>0</formula2>
    </dataValidation>
    <dataValidation sqref="F27:F28 F34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L40"/>
  <sheetViews>
    <sheetView showGridLines="0" topLeftCell="A9" zoomScale="120" zoomScaleNormal="120" workbookViewId="0">
      <selection activeCell="G38" sqref="G38"/>
    </sheetView>
  </sheetViews>
  <sheetFormatPr baseColWidth="8" defaultColWidth="8.54296875" defaultRowHeight="14.5"/>
  <cols>
    <col width="28" customWidth="1" style="302" min="2" max="2"/>
    <col width="26" customWidth="1" style="302" min="3" max="3"/>
    <col width="9.54296875" customWidth="1" style="302" min="4" max="4"/>
    <col width="26.54296875" customWidth="1" style="302" min="5" max="5"/>
    <col width="11" customWidth="1" style="302" min="6" max="6"/>
    <col width="27.1796875" customWidth="1" style="302" min="7" max="7"/>
    <col width="14" customWidth="1" style="302" min="8" max="8"/>
    <col width="50.1796875" customWidth="1" style="302" min="9" max="9"/>
    <col width="24.81640625" customWidth="1" style="302" min="10" max="10"/>
  </cols>
  <sheetData>
    <row r="1"/>
    <row r="2" ht="21" customHeight="1" s="302">
      <c r="B2" s="212" t="inlineStr">
        <is>
          <t>Commercial Fuels</t>
        </is>
      </c>
    </row>
    <row r="3"/>
    <row r="4">
      <c r="B4" s="259" t="inlineStr">
        <is>
          <t>Portfolio Summary</t>
        </is>
      </c>
      <c r="C4" s="251" t="n"/>
      <c r="D4" s="251" t="n"/>
      <c r="E4" s="252" t="n"/>
      <c r="G4" s="213" t="inlineStr">
        <is>
          <t>Budget vs TDD cost</t>
        </is>
      </c>
      <c r="H4" s="213" t="n"/>
    </row>
    <row r="5">
      <c r="B5" s="5" t="inlineStr">
        <is>
          <t>Cost</t>
        </is>
      </c>
      <c r="C5" s="5" t="inlineStr">
        <is>
          <t>TDD ($m)</t>
        </is>
      </c>
      <c r="D5" s="5" t="inlineStr">
        <is>
          <t>Other ($m)</t>
        </is>
      </c>
      <c r="E5" s="5" t="inlineStr">
        <is>
          <t>Total Commercial Fuels Cost ($m)</t>
        </is>
      </c>
      <c r="G5" s="214" t="inlineStr">
        <is>
          <t>TDD Lights On Budget</t>
        </is>
      </c>
      <c r="H5" s="215">
        <f>'0.0 Data Config'!$E$15</f>
        <v>2.5</v>
      </c>
    </row>
    <row r="6">
      <c r="B6" s="8" t="inlineStr">
        <is>
          <t>Portfolio Overhead</t>
        </is>
      </c>
      <c r="C6" s="215">
        <f>'0.0 Data Config'!$L$10</f>
        <v>0.7495</v>
      </c>
      <c r="E6" s="9">
        <f>C6</f>
        <v>0.7495</v>
      </c>
      <c r="G6" s="214" t="inlineStr">
        <is>
          <t>Overheads &amp; Support (this model)</t>
        </is>
      </c>
      <c r="H6" s="9">
        <f>C9</f>
        <v>2.0845</v>
      </c>
    </row>
    <row r="7">
      <c r="B7" s="8" t="inlineStr">
        <is>
          <t>Platform Overheads</t>
        </is>
      </c>
      <c r="C7" s="9">
        <f>SUM(H27,H33,H39)</f>
        <v>0.495</v>
      </c>
      <c r="E7" s="9">
        <f>C7</f>
        <v>0.495</v>
      </c>
      <c r="G7" s="216" t="inlineStr">
        <is>
          <t>Variance (budget less cost)</t>
        </is>
      </c>
      <c r="H7" s="217">
        <f>H5-H6</f>
        <v>0.4155000000000002</v>
      </c>
    </row>
    <row r="8">
      <c r="B8" s="8" t="inlineStr">
        <is>
          <t>Squad Support Costs</t>
        </is>
      </c>
      <c r="C8" s="9">
        <f>SUM(H25,H26,H32,H38)</f>
        <v>0.8399999999999999</v>
      </c>
      <c r="D8" s="9">
        <f>SUM(I25,I26,I32,I38)</f>
        <v>5.0600000000000005</v>
      </c>
      <c r="E8" s="9">
        <f>C8+D8</f>
        <v>5.9</v>
      </c>
    </row>
    <row r="9">
      <c r="B9" s="216" t="inlineStr">
        <is>
          <t>Total Cost</t>
        </is>
      </c>
      <c r="C9" s="217">
        <f>SUM(C6:C8)</f>
        <v>2.0845</v>
      </c>
      <c r="D9" s="217">
        <f>SUM(D6:D8)</f>
        <v>5.0600000000000005</v>
      </c>
      <c r="E9" s="217">
        <f>C9+D9</f>
        <v>7.144500000000001</v>
      </c>
    </row>
    <row r="10">
      <c r="G10" s="282" t="inlineStr">
        <is>
          <t xml:space="preserve">Other funding </t>
        </is>
      </c>
      <c r="H10" s="251" t="n"/>
      <c r="I10" s="251" t="n"/>
      <c r="J10" s="252" t="n"/>
    </row>
    <row r="11">
      <c r="B11" s="289" t="inlineStr">
        <is>
          <t xml:space="preserve">Total Commercial Fuels budget </t>
        </is>
      </c>
      <c r="D11" s="387" t="n"/>
      <c r="E11" s="219">
        <f>SUM(H12:H17)</f>
        <v>45.400000000000006</v>
      </c>
      <c r="G11" s="5" t="inlineStr">
        <is>
          <t>Budget line</t>
        </is>
      </c>
      <c r="H11" s="5" t="inlineStr">
        <is>
          <t>Budget ($m)</t>
        </is>
      </c>
      <c r="I11" s="5" t="inlineStr">
        <is>
          <t>Amount that can be allocated to people</t>
        </is>
      </c>
      <c r="J11" s="5" t="inlineStr">
        <is>
          <t>Remaining for non-people ($m)</t>
        </is>
      </c>
    </row>
    <row r="12">
      <c r="B12" s="289" t="inlineStr">
        <is>
          <t xml:space="preserve">Reconciled to Finance </t>
        </is>
      </c>
      <c r="D12" s="387" t="n"/>
      <c r="E12" s="220">
        <f>'0.4 Budget Table (Fin)'!Q8</f>
        <v>40.5</v>
      </c>
      <c r="G12" s="8" t="inlineStr">
        <is>
          <t>Commercial Fuels Lights On</t>
        </is>
      </c>
      <c r="H12" s="215">
        <f>'0.4 Budget Table (Fin)'!L8</f>
        <v>13.4</v>
      </c>
      <c r="I12">
        <f>'0.4 Budget Table (Fin)'!G8</f>
        <v>0.0</v>
      </c>
      <c r="J12" s="9">
        <f>IFERROR(H12-I12,0)</f>
        <v>13.4</v>
      </c>
    </row>
    <row r="13">
      <c r="G13" s="8" t="inlineStr">
        <is>
          <t>OpEx Initiatives</t>
        </is>
      </c>
      <c r="H13" s="215">
        <f>'0.4 Budget Table (Fin)'!N8</f>
        <v>6.1</v>
      </c>
      <c r="I13" s="222" t="n">
        <v>0</v>
      </c>
      <c r="J13" s="9">
        <f>IFERROR(H13-I13,0)</f>
        <v>6.1</v>
      </c>
    </row>
    <row r="14">
      <c r="G14" s="8" t="inlineStr">
        <is>
          <t>CapEx</t>
        </is>
      </c>
      <c r="H14" s="215">
        <f>'0.4 Budget Table (Fin)'!P8</f>
        <v>6.8</v>
      </c>
      <c r="I14" s="222" t="n">
        <v>1.7</v>
      </c>
      <c r="J14" s="9">
        <f>IFERROR(H14-I14,0)</f>
        <v>5.1</v>
      </c>
    </row>
    <row r="15">
      <c r="G15" s="8" t="inlineStr">
        <is>
          <t>TDD CapEx</t>
        </is>
      </c>
      <c r="H15" s="215">
        <f>'0.4 Budget Table (Fin)'!P5</f>
        <v>4.9</v>
      </c>
      <c r="I15" s="222" t="n"/>
      <c r="J15" s="9">
        <f>IFERROR(H15-I15,0)</f>
        <v>4.9</v>
      </c>
    </row>
    <row r="16">
      <c r="G16" s="8" t="inlineStr">
        <is>
          <t>Significant Items</t>
        </is>
      </c>
      <c r="H16" s="215">
        <f>'0.4 Budget Table (Fin)'!O8</f>
        <v>14.2</v>
      </c>
      <c r="I16" s="222">
        <f>I38</f>
        <v>1.4</v>
      </c>
      <c r="J16" s="9">
        <f>IFERROR(H16-I16,0)</f>
        <v>12.799999999999999</v>
      </c>
    </row>
    <row r="17">
      <c r="G17" s="8" t="inlineStr">
        <is>
          <t>Depreciation</t>
        </is>
      </c>
      <c r="H17" s="215">
        <f>'0.4 Budget Table (Fin)'!M8</f>
        <v>0.0</v>
      </c>
      <c r="I17" s="222" t="n">
        <v>0</v>
      </c>
      <c r="J17" s="9">
        <f>IFERROR(H17-I17,0)</f>
        <v>0.0</v>
      </c>
    </row>
    <row r="18">
      <c r="G18" s="225" t="inlineStr">
        <is>
          <t>Total applied</t>
        </is>
      </c>
      <c r="I18" s="35">
        <f>SUM(I12:I17)</f>
        <v>3.0999999999999996</v>
      </c>
    </row>
    <row r="19">
      <c r="G19" s="8" t="inlineStr">
        <is>
          <t>Other cost (this model)</t>
        </is>
      </c>
      <c r="I19" s="9">
        <f>D9</f>
        <v>5.0600000000000005</v>
      </c>
    </row>
    <row r="20">
      <c r="G20" s="216" t="inlineStr">
        <is>
          <t>Left to fund</t>
        </is>
      </c>
      <c r="I20" s="217">
        <f>I19-I18</f>
        <v>1.9600000000000009</v>
      </c>
    </row>
    <row r="21"/>
    <row r="22"/>
    <row r="23">
      <c r="B23" s="284" t="inlineStr">
        <is>
          <t>Platform: Trading &amp; Shipping</t>
        </is>
      </c>
      <c r="C23" s="386" t="n"/>
      <c r="D23" s="386" t="n"/>
      <c r="E23" s="386" t="n"/>
      <c r="F23" s="386" t="n"/>
      <c r="G23" s="386" t="n"/>
      <c r="H23" s="386" t="n"/>
      <c r="I23" s="386" t="n"/>
    </row>
    <row r="24">
      <c r="B24" s="5" t="inlineStr">
        <is>
          <t>Squad</t>
        </is>
      </c>
      <c r="C24" s="5" t="inlineStr">
        <is>
          <t>Squad Type</t>
        </is>
      </c>
      <c r="D24" s="5" t="inlineStr">
        <is>
          <t>Size</t>
        </is>
      </c>
      <c r="E24" s="5" t="inlineStr">
        <is>
          <t>On/Off</t>
        </is>
      </c>
      <c r="F24" s="5" t="inlineStr">
        <is>
          <t>Support %</t>
        </is>
      </c>
      <c r="G24" s="5" t="inlineStr">
        <is>
          <t>Total Squad Cost ($m)</t>
        </is>
      </c>
      <c r="H24" s="5" t="inlineStr">
        <is>
          <t>TDD Cost ($m)</t>
        </is>
      </c>
      <c r="I24" s="5" t="inlineStr">
        <is>
          <t>Funded outside TDD ($m)</t>
        </is>
      </c>
    </row>
    <row r="25">
      <c r="B25" s="8" t="inlineStr">
        <is>
          <t>Trading &amp; Shipping</t>
        </is>
      </c>
      <c r="C25" s="227" t="inlineStr">
        <is>
          <t>Configuration / Integration</t>
        </is>
      </c>
      <c r="D25" s="227" t="inlineStr">
        <is>
          <t>M</t>
        </is>
      </c>
      <c r="E25" s="227" t="inlineStr">
        <is>
          <t>Onshore</t>
        </is>
      </c>
      <c r="F25" s="228" t="n">
        <v>0.4</v>
      </c>
      <c r="G25" s="215">
        <f>IFERROR(IF($E25="Onshore",INDEX('0.1 Squads'!$G$5:$G$23,MATCH($C25&amp;"|"&amp;$D25,'0.1 Squads'!$A$5:$A$23,0)),INDEX('0.1 Squads'!$H$5:$H$23,MATCH($C25&amp;"|"&amp;$D25,'0.1 Squads'!$A$5:$A$23,0))),"check size")</f>
        <v>1.4</v>
      </c>
      <c r="H25" s="9">
        <f>IFERROR($G25*$F25,"")</f>
        <v>0.5599999999999999</v>
      </c>
      <c r="I25" s="9">
        <f>IFERROR($G25*(1-$F25),"")</f>
        <v>0.84</v>
      </c>
    </row>
    <row r="26">
      <c r="B26" s="8" t="inlineStr">
        <is>
          <t>Trading &amp; Shipping Data</t>
        </is>
      </c>
      <c r="C26" s="227" t="inlineStr">
        <is>
          <t>Enterprise Data and Insights</t>
        </is>
      </c>
      <c r="D26" s="227" t="inlineStr">
        <is>
          <t>M</t>
        </is>
      </c>
      <c r="E26" s="227" t="inlineStr">
        <is>
          <t>Onshore</t>
        </is>
      </c>
      <c r="F26" s="228" t="n">
        <v>0</v>
      </c>
      <c r="G26" s="215">
        <f>IFERROR(IF($E26="Onshore",INDEX('0.1 Squads'!$G$5:$G$23,MATCH($C26&amp;"|"&amp;$D26,'0.1 Squads'!$A$5:$A$23,0)),INDEX('0.1 Squads'!$H$5:$H$23,MATCH($C26&amp;"|"&amp;$D26,'0.1 Squads'!$A$5:$A$23,0))),"check size")</f>
        <v>1.7</v>
      </c>
      <c r="H26" s="9">
        <f>IFERROR($G26*$F26,"")</f>
        <v>0.0</v>
      </c>
      <c r="I26" s="9">
        <f>IFERROR($G26*(1-$F26),"")</f>
        <v>1.7</v>
      </c>
      <c r="J26" s="115" t="inlineStr">
        <is>
          <t>Fully funded by CF</t>
        </is>
      </c>
    </row>
    <row r="27">
      <c r="B27" s="229" t="inlineStr">
        <is>
          <t>Platform Overhead</t>
        </is>
      </c>
      <c r="H27" s="215">
        <f>'0.0 Data Config'!$L$16</f>
        <v>0.165</v>
      </c>
    </row>
    <row r="28">
      <c r="B28" s="216" t="inlineStr">
        <is>
          <t>Trading &amp; Shipping Total</t>
        </is>
      </c>
      <c r="C28" s="226" t="n"/>
      <c r="D28" s="226" t="n"/>
      <c r="E28" s="226" t="n"/>
      <c r="F28" s="226" t="n"/>
      <c r="G28" s="217">
        <f>SUM(G25:G26)</f>
        <v>3.0999999999999996</v>
      </c>
      <c r="H28" s="217">
        <f>SUM(H25:H27)</f>
        <v>0.725</v>
      </c>
      <c r="I28" s="217">
        <f>SUM(I25:I26)</f>
        <v>2.54</v>
      </c>
      <c r="L28" s="115" t="n"/>
    </row>
    <row r="29"/>
    <row r="30">
      <c r="B30" s="284" t="inlineStr">
        <is>
          <t>Platform: Supply</t>
        </is>
      </c>
      <c r="C30" s="386" t="n"/>
      <c r="D30" s="386" t="n"/>
      <c r="E30" s="386" t="n"/>
      <c r="F30" s="386" t="n"/>
      <c r="G30" s="386" t="n"/>
      <c r="H30" s="386" t="n"/>
      <c r="I30" s="386" t="n"/>
    </row>
    <row r="31">
      <c r="B31" s="5" t="inlineStr">
        <is>
          <t>Squad</t>
        </is>
      </c>
      <c r="C31" s="5" t="inlineStr">
        <is>
          <t>Squad Type</t>
        </is>
      </c>
      <c r="D31" s="5" t="inlineStr">
        <is>
          <t>Size</t>
        </is>
      </c>
      <c r="E31" s="5" t="inlineStr">
        <is>
          <t>On/Off</t>
        </is>
      </c>
      <c r="F31" s="5" t="inlineStr">
        <is>
          <t>Support %</t>
        </is>
      </c>
      <c r="G31" s="5" t="inlineStr">
        <is>
          <t>Total Squad Cost ($m)</t>
        </is>
      </c>
      <c r="H31" s="5" t="inlineStr">
        <is>
          <t>TDD Cost ($m)</t>
        </is>
      </c>
      <c r="I31" s="5" t="inlineStr">
        <is>
          <t>Funded outside TDD ($m)</t>
        </is>
      </c>
    </row>
    <row r="32">
      <c r="B32" s="8" t="inlineStr">
        <is>
          <t>Supply</t>
        </is>
      </c>
      <c r="C32" s="227" t="inlineStr">
        <is>
          <t>Configuration / Integration</t>
        </is>
      </c>
      <c r="D32" s="227" t="inlineStr">
        <is>
          <t>M</t>
        </is>
      </c>
      <c r="E32" s="227" t="inlineStr">
        <is>
          <t>Onshore</t>
        </is>
      </c>
      <c r="F32" s="228" t="n">
        <v>0.2</v>
      </c>
      <c r="G32" s="215">
        <f>IFERROR(IF($E32="Onshore",INDEX('0.1 Squads'!$G$5:$G$23,MATCH($C32&amp;"|"&amp;$D32,'0.1 Squads'!$A$5:$A$23,0)),INDEX('0.1 Squads'!$H$5:$H$23,MATCH($C32&amp;"|"&amp;$D32,'0.1 Squads'!$A$5:$A$23,0))),"check size")</f>
        <v>1.4</v>
      </c>
      <c r="H32" s="9">
        <f>IFERROR($G32*$F32,"")</f>
        <v>0.27999999999999997</v>
      </c>
      <c r="I32" s="9">
        <f>IFERROR($G32*(1-$F32),"")</f>
        <v>1.1199999999999999</v>
      </c>
    </row>
    <row r="33">
      <c r="B33" s="229" t="inlineStr">
        <is>
          <t>Platform Overhead</t>
        </is>
      </c>
      <c r="H33" s="215">
        <f>'0.0 Data Config'!$L$16</f>
        <v>0.165</v>
      </c>
    </row>
    <row r="34">
      <c r="B34" s="216" t="inlineStr">
        <is>
          <t>Supply Total</t>
        </is>
      </c>
      <c r="C34" s="226" t="n"/>
      <c r="D34" s="226" t="n"/>
      <c r="E34" s="226" t="n"/>
      <c r="F34" s="226" t="n"/>
      <c r="G34" s="217">
        <f>SUM(G32:G32)</f>
        <v>1.4</v>
      </c>
      <c r="H34" s="217">
        <f>SUM(H32:H33)</f>
        <v>0.44499999999999995</v>
      </c>
      <c r="I34" s="217">
        <f>SUM(I32:I32)</f>
        <v>1.1199999999999999</v>
      </c>
    </row>
    <row r="35"/>
    <row r="36">
      <c r="B36" s="284" t="inlineStr">
        <is>
          <t>Platform: CTRM</t>
        </is>
      </c>
      <c r="C36" s="386" t="n"/>
      <c r="D36" s="386" t="n"/>
      <c r="E36" s="386" t="n"/>
      <c r="F36" s="386" t="n"/>
      <c r="G36" s="386" t="n"/>
      <c r="H36" s="386" t="n"/>
      <c r="I36" s="386" t="n"/>
    </row>
    <row r="37">
      <c r="B37" s="5" t="inlineStr">
        <is>
          <t>Squad</t>
        </is>
      </c>
      <c r="C37" s="5" t="inlineStr">
        <is>
          <t>Squad Type</t>
        </is>
      </c>
      <c r="D37" s="5" t="inlineStr">
        <is>
          <t>Size</t>
        </is>
      </c>
      <c r="E37" s="5" t="inlineStr">
        <is>
          <t>On/Off</t>
        </is>
      </c>
      <c r="F37" s="5" t="inlineStr">
        <is>
          <t>Support %</t>
        </is>
      </c>
      <c r="G37" s="5" t="inlineStr">
        <is>
          <t>Total Squad Cost ($m)</t>
        </is>
      </c>
      <c r="H37" s="5" t="inlineStr">
        <is>
          <t>TDD Cost ($m)</t>
        </is>
      </c>
      <c r="I37" s="5" t="inlineStr">
        <is>
          <t>Funded outside TDD ($m)</t>
        </is>
      </c>
    </row>
    <row r="38">
      <c r="B38" s="8" t="inlineStr">
        <is>
          <t>CTRM</t>
        </is>
      </c>
      <c r="C38" s="227" t="inlineStr">
        <is>
          <t>Strategic Programs</t>
        </is>
      </c>
      <c r="D38" s="227" t="n"/>
      <c r="E38" s="227" t="inlineStr">
        <is>
          <t>Onshore</t>
        </is>
      </c>
      <c r="F38" s="228" t="n">
        <v>0</v>
      </c>
      <c r="G38" s="230" t="n">
        <v>1.4</v>
      </c>
      <c r="H38" s="9">
        <f>IFERROR($G38*$F38,"")</f>
        <v>0.0</v>
      </c>
      <c r="I38" s="9">
        <f>IFERROR($G38*(1-$F38),"")</f>
        <v>1.4</v>
      </c>
      <c r="J38" s="115" t="inlineStr">
        <is>
          <t>Fully funded by CTRM</t>
        </is>
      </c>
    </row>
    <row r="39">
      <c r="B39" s="229" t="inlineStr">
        <is>
          <t>Platform Overhead</t>
        </is>
      </c>
      <c r="H39" s="215">
        <f>'0.0 Data Config'!$L$16</f>
        <v>0.165</v>
      </c>
    </row>
    <row r="40">
      <c r="B40" s="216" t="inlineStr">
        <is>
          <t>CTRM Total</t>
        </is>
      </c>
      <c r="C40" s="226" t="n"/>
      <c r="D40" s="226" t="n"/>
      <c r="E40" s="226" t="n"/>
      <c r="F40" s="226" t="n"/>
      <c r="G40" s="217">
        <f>SUM(G38:G38)</f>
        <v>1.4</v>
      </c>
      <c r="H40" s="217">
        <f>SUM(H38:H39)</f>
        <v>0.165</v>
      </c>
      <c r="I40" s="217">
        <f>SUM(I38:I38)</f>
        <v>1.4</v>
      </c>
    </row>
  </sheetData>
  <mergeCells count="7">
    <mergeCell ref="B11:D11"/>
    <mergeCell ref="B30:I30"/>
    <mergeCell ref="B4:E4"/>
    <mergeCell ref="B36:I36"/>
    <mergeCell ref="B12:D12"/>
    <mergeCell ref="G10:J10"/>
    <mergeCell ref="B23:I23"/>
  </mergeCells>
  <conditionalFormatting sqref="H7">
    <cfRule type="cellIs" priority="5" operator="greaterThanOrEqual" dxfId="48">
      <formula>0</formula>
    </cfRule>
    <cfRule type="cellIs" priority="6" operator="lessThan" dxfId="49">
      <formula>0</formula>
    </cfRule>
  </conditionalFormatting>
  <conditionalFormatting sqref="I20">
    <cfRule type="cellIs" priority="7" operator="greaterThan" dxfId="49">
      <formula>0</formula>
    </cfRule>
    <cfRule type="cellIs" priority="8" operator="lessThanOrEqual" dxfId="48">
      <formula>0</formula>
    </cfRule>
  </conditionalFormatting>
  <dataValidations count="4">
    <dataValidation sqref="C25:C26 C32 C38" showDropDown="0" showInputMessage="0" showErrorMessage="0" allowBlank="1" type="list">
      <formula1>SquadTypes</formula1>
      <formula2>0</formula2>
    </dataValidation>
    <dataValidation sqref="D25:D26 D32 D38" showDropDown="0" showInputMessage="0" showErrorMessage="0" allowBlank="1" type="list">
      <formula1>SquadSizes</formula1>
      <formula2>0</formula2>
    </dataValidation>
    <dataValidation sqref="E25:E26 E32 E38" showDropDown="0" showInputMessage="0" showErrorMessage="0" allowBlank="1" type="list">
      <formula1>OnOff</formula1>
      <formula2>0</formula2>
    </dataValidation>
    <dataValidation sqref="F25:F26 F32 F38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J33"/>
  <sheetViews>
    <sheetView showGridLines="0" zoomScale="110" zoomScaleNormal="110" workbookViewId="0">
      <selection activeCell="L10" sqref="L10"/>
    </sheetView>
  </sheetViews>
  <sheetFormatPr baseColWidth="8" defaultColWidth="8.54296875" defaultRowHeight="14.5"/>
  <cols>
    <col width="28" customWidth="1" style="302" min="2" max="2"/>
    <col width="26" customWidth="1" style="302" min="3" max="3"/>
    <col width="9.54296875" customWidth="1" style="302" min="4" max="4"/>
    <col width="17.81640625" customWidth="1" style="302" min="5" max="5"/>
    <col width="11" customWidth="1" style="302" min="6" max="6"/>
    <col width="27.1796875" customWidth="1" style="302" min="7" max="7"/>
    <col width="14" customWidth="1" style="302" min="8" max="8"/>
    <col width="50.1796875" customWidth="1" style="302" min="9" max="9"/>
    <col width="24.81640625" customWidth="1" style="302" min="10" max="10"/>
  </cols>
  <sheetData>
    <row r="1"/>
    <row r="2" ht="21" customHeight="1" s="302">
      <c r="B2" s="212" t="inlineStr">
        <is>
          <t>Z Retail</t>
        </is>
      </c>
    </row>
    <row r="3"/>
    <row r="4">
      <c r="B4" s="259" t="inlineStr">
        <is>
          <t>Portfolio Summary</t>
        </is>
      </c>
      <c r="C4" s="251" t="n"/>
      <c r="D4" s="251" t="n"/>
      <c r="E4" s="252" t="n"/>
      <c r="G4" s="213" t="inlineStr">
        <is>
          <t>Budget vs TDD cost</t>
        </is>
      </c>
      <c r="H4" s="213" t="n"/>
    </row>
    <row r="5">
      <c r="B5" s="5" t="inlineStr">
        <is>
          <t>Cost</t>
        </is>
      </c>
      <c r="C5" s="5" t="inlineStr">
        <is>
          <t>TDD ($m)</t>
        </is>
      </c>
      <c r="D5" s="5" t="inlineStr">
        <is>
          <t>Other ($m)</t>
        </is>
      </c>
      <c r="E5" s="5" t="inlineStr">
        <is>
          <t>Total Z Retail Cost ($m)</t>
        </is>
      </c>
      <c r="G5" s="214" t="inlineStr">
        <is>
          <t>TDD Lights On Budget</t>
        </is>
      </c>
      <c r="H5" s="215">
        <f>'0.0 Data Config'!$E$12</f>
        <v>2.5</v>
      </c>
    </row>
    <row r="6">
      <c r="B6" s="8" t="inlineStr">
        <is>
          <t>Portfolio Overhead</t>
        </is>
      </c>
      <c r="C6" s="215">
        <f>'0.0 Data Config'!$L$10</f>
        <v>0.7495</v>
      </c>
      <c r="E6" s="9">
        <f>C6</f>
        <v>0.7495</v>
      </c>
      <c r="G6" s="214" t="inlineStr">
        <is>
          <t>Overheads &amp; Support (this model)</t>
        </is>
      </c>
      <c r="H6" s="9">
        <f>C9</f>
        <v>5.399500000000001</v>
      </c>
    </row>
    <row r="7">
      <c r="B7" s="8" t="inlineStr">
        <is>
          <t>Platform Overheads</t>
        </is>
      </c>
      <c r="C7" s="9">
        <f>SUM(H25,H32)</f>
        <v>0.33</v>
      </c>
      <c r="E7" s="9">
        <f>C7</f>
        <v>0.33</v>
      </c>
      <c r="G7" s="216" t="inlineStr">
        <is>
          <t>Variance (budget less cost)</t>
        </is>
      </c>
      <c r="H7" s="217">
        <f>H5-H6</f>
        <v>-2.8995000000000006</v>
      </c>
      <c r="I7" t="inlineStr">
        <is>
          <t>Z funded - out of Z OpEx</t>
        </is>
      </c>
    </row>
    <row r="8">
      <c r="B8" s="8" t="inlineStr">
        <is>
          <t>Squad Support Costs</t>
        </is>
      </c>
      <c r="C8" s="9">
        <f>SUM(H24,H30,H31)</f>
        <v>4.32</v>
      </c>
      <c r="D8" s="9">
        <f>SUM(I24,I30,I31)</f>
        <v>1.0799999999999996</v>
      </c>
      <c r="E8" s="9">
        <f>C8+D8</f>
        <v>5.4</v>
      </c>
    </row>
    <row r="9">
      <c r="B9" s="216" t="inlineStr">
        <is>
          <t>Total Cost</t>
        </is>
      </c>
      <c r="C9" s="217">
        <f>SUM(C6:C8)</f>
        <v>5.399500000000001</v>
      </c>
      <c r="D9" s="217">
        <f>SUM(D6:D8)</f>
        <v>1.0799999999999996</v>
      </c>
      <c r="E9" s="217">
        <f>C9+D9</f>
        <v>6.4795</v>
      </c>
    </row>
    <row r="10">
      <c r="G10" s="287" t="inlineStr">
        <is>
          <t xml:space="preserve">Other funding </t>
        </is>
      </c>
      <c r="H10" s="384" t="n"/>
      <c r="I10" s="384" t="n"/>
      <c r="J10" s="385" t="n"/>
    </row>
    <row r="11">
      <c r="B11" s="289" t="inlineStr">
        <is>
          <t xml:space="preserve">Total Z-Energy budget </t>
        </is>
      </c>
      <c r="D11" s="387" t="n"/>
      <c r="E11" s="219">
        <f>SUM(H12:H16)</f>
        <v>76.60000000000001</v>
      </c>
      <c r="G11" s="232" t="inlineStr">
        <is>
          <t>Budget line</t>
        </is>
      </c>
      <c r="H11" s="232" t="inlineStr">
        <is>
          <t>Budget ($m)</t>
        </is>
      </c>
      <c r="I11" s="232" t="inlineStr">
        <is>
          <t>Amount that can be allocated to people</t>
        </is>
      </c>
      <c r="J11" s="232" t="inlineStr">
        <is>
          <t>Remaining for non-people ($m)</t>
        </is>
      </c>
    </row>
    <row r="12">
      <c r="B12" s="289" t="inlineStr">
        <is>
          <t xml:space="preserve">Reconciled to Finance </t>
        </is>
      </c>
      <c r="D12" s="387" t="n"/>
      <c r="E12" s="220">
        <f>'0.4 Budget Table (Fin)'!Q6</f>
        <v>76.60000000000002</v>
      </c>
      <c r="G12" s="233" t="inlineStr">
        <is>
          <t>Z-Energy Lights On</t>
        </is>
      </c>
      <c r="H12" s="236">
        <f>'0.4 Budget Table (Fin)'!L6</f>
        <v>52.20000000000001</v>
      </c>
      <c r="I12" s="239" t="n"/>
      <c r="J12" s="237">
        <f>IFERROR(H12-I12,0)</f>
        <v>52.20000000000001</v>
      </c>
    </row>
    <row r="13">
      <c r="G13" s="233" t="inlineStr">
        <is>
          <t>OpEx Initiatives</t>
        </is>
      </c>
      <c r="H13" s="236">
        <f>'0.4 Budget Table (Fin)'!N6</f>
        <v>1.4</v>
      </c>
      <c r="I13" s="244" t="n">
        <v>0</v>
      </c>
      <c r="J13" s="237">
        <f>IFERROR(H13-I13,0)</f>
        <v>1.4</v>
      </c>
    </row>
    <row r="14">
      <c r="G14" s="233" t="inlineStr">
        <is>
          <t>CapEx</t>
        </is>
      </c>
      <c r="H14" s="236">
        <f>'0.4 Budget Table (Fin)'!P6</f>
        <v>11.7</v>
      </c>
      <c r="I14" s="244" t="n">
        <v>1.08</v>
      </c>
      <c r="J14" s="237">
        <f>IFERROR(H14-I14,0)</f>
        <v>10.62</v>
      </c>
    </row>
    <row r="15">
      <c r="G15" s="233" t="inlineStr">
        <is>
          <t>Significant Items</t>
        </is>
      </c>
      <c r="H15" s="236" t="str">
        <f>'0.4 Budget Table (Fin)'!$O$6</f>
        <v>-</v>
      </c>
      <c r="I15" s="244" t="n">
        <v>0</v>
      </c>
      <c r="J15" s="237">
        <f>IFERROR(H15-I15,0)</f>
        <v>0.0</v>
      </c>
    </row>
    <row r="16">
      <c r="G16" s="233" t="inlineStr">
        <is>
          <t>Depreciation</t>
        </is>
      </c>
      <c r="H16" s="236">
        <f>'0.4 Budget Table (Fin)'!M6</f>
        <v>11.3</v>
      </c>
      <c r="I16" s="244" t="n">
        <v>0</v>
      </c>
      <c r="J16" s="237">
        <f>IFERROR(H16-I16,0)</f>
        <v>11.3</v>
      </c>
    </row>
    <row r="17">
      <c r="G17" s="245" t="inlineStr">
        <is>
          <t>Total applied</t>
        </is>
      </c>
      <c r="H17" s="239" t="n"/>
      <c r="I17" s="246">
        <f>SUM(I12:I16)</f>
        <v>1.08</v>
      </c>
      <c r="J17" s="239" t="n"/>
    </row>
    <row r="18">
      <c r="G18" s="233" t="inlineStr">
        <is>
          <t>Other cost (this model)</t>
        </is>
      </c>
      <c r="H18" s="239" t="n"/>
      <c r="I18" s="237">
        <f>D9</f>
        <v>1.0799999999999996</v>
      </c>
      <c r="J18" s="239" t="n"/>
    </row>
    <row r="19">
      <c r="G19" s="240" t="inlineStr">
        <is>
          <t>Left to fund</t>
        </is>
      </c>
      <c r="H19" s="239" t="n"/>
      <c r="I19" s="241">
        <f>I18-I17</f>
        <v>-4.440892098500626e-16</v>
      </c>
      <c r="J19" s="239" t="n"/>
    </row>
    <row r="20"/>
    <row r="21"/>
    <row r="22">
      <c r="B22" s="292" t="inlineStr">
        <is>
          <t>Platform: Z Supply</t>
        </is>
      </c>
      <c r="C22" s="384" t="n"/>
      <c r="D22" s="384" t="n"/>
      <c r="E22" s="384" t="n"/>
      <c r="F22" s="384" t="n"/>
      <c r="G22" s="384" t="n"/>
      <c r="H22" s="384" t="n"/>
      <c r="I22" s="385" t="n"/>
    </row>
    <row r="23">
      <c r="B23" s="232" t="inlineStr">
        <is>
          <t>Squad</t>
        </is>
      </c>
      <c r="C23" s="232" t="inlineStr">
        <is>
          <t>Squad Type</t>
        </is>
      </c>
      <c r="D23" s="232" t="inlineStr">
        <is>
          <t>Size</t>
        </is>
      </c>
      <c r="E23" s="232" t="inlineStr">
        <is>
          <t>On/Off</t>
        </is>
      </c>
      <c r="F23" s="232" t="inlineStr">
        <is>
          <t>Support %</t>
        </is>
      </c>
      <c r="G23" s="232" t="inlineStr">
        <is>
          <t>Total Squad Cost ($m)</t>
        </is>
      </c>
      <c r="H23" s="232" t="inlineStr">
        <is>
          <t>TDD Cost ($m)</t>
        </is>
      </c>
      <c r="I23" s="232" t="inlineStr">
        <is>
          <t>Funded outside TDD ($m)</t>
        </is>
      </c>
    </row>
    <row r="24">
      <c r="B24" s="233" t="inlineStr">
        <is>
          <t>Z Supply</t>
        </is>
      </c>
      <c r="C24" s="234" t="inlineStr">
        <is>
          <t>Build and Run</t>
        </is>
      </c>
      <c r="D24" s="234" t="inlineStr">
        <is>
          <t>M</t>
        </is>
      </c>
      <c r="E24" s="234" t="inlineStr">
        <is>
          <t>Onshore</t>
        </is>
      </c>
      <c r="F24" s="235" t="n">
        <v>0.8</v>
      </c>
      <c r="G24" s="236">
        <f>IFERROR(IF($E24="Onshore",INDEX('0.1 Squads'!$G$5:$G$23,MATCH($C24&amp;"|"&amp;$D24,'0.1 Squads'!$A$5:$A$23,0)),INDEX('0.1 Squads'!$H$5:$H$23,MATCH($C24&amp;"|"&amp;$D24,'0.1 Squads'!$A$5:$A$23,0))),"check size")</f>
        <v>2.0</v>
      </c>
      <c r="H24" s="237">
        <f>IFERROR($G24*$F24,"")</f>
        <v>1.6</v>
      </c>
      <c r="I24" s="237">
        <f>IFERROR($G24*(1-$F24),"")</f>
        <v>0.3999999999999999</v>
      </c>
      <c r="J24" t="inlineStr">
        <is>
          <t>100% Z covered</t>
        </is>
      </c>
    </row>
    <row r="25">
      <c r="B25" s="238" t="inlineStr">
        <is>
          <t>Platform Overhead</t>
        </is>
      </c>
      <c r="C25" s="239" t="n"/>
      <c r="D25" s="239" t="n"/>
      <c r="E25" s="239" t="n"/>
      <c r="F25" s="239" t="n"/>
      <c r="G25" s="239" t="n"/>
      <c r="H25" s="236">
        <f>'0.0 Data Config'!$L$16</f>
        <v>0.165</v>
      </c>
      <c r="I25" s="239" t="n"/>
    </row>
    <row r="26">
      <c r="B26" s="240" t="inlineStr">
        <is>
          <t>Z Supply Total</t>
        </is>
      </c>
      <c r="C26" s="226" t="n"/>
      <c r="D26" s="226" t="n"/>
      <c r="E26" s="226" t="n"/>
      <c r="F26" s="226" t="n"/>
      <c r="G26" s="250">
        <f>SUM(G24:G24)</f>
        <v>2.0</v>
      </c>
      <c r="H26" s="241">
        <f>SUM(H24:H25)</f>
        <v>1.7650000000000001</v>
      </c>
      <c r="I26" s="241">
        <f>SUM(I24:I24)</f>
        <v>0.3999999999999999</v>
      </c>
    </row>
    <row r="27"/>
    <row r="28">
      <c r="B28" s="287" t="inlineStr">
        <is>
          <t>Platform: Z Customer</t>
        </is>
      </c>
      <c r="C28" s="384" t="n"/>
      <c r="D28" s="384" t="n"/>
      <c r="E28" s="384" t="n"/>
      <c r="F28" s="384" t="n"/>
      <c r="G28" s="384" t="n"/>
      <c r="H28" s="384" t="n"/>
      <c r="I28" s="385" t="n"/>
    </row>
    <row r="29">
      <c r="B29" s="232" t="inlineStr">
        <is>
          <t>Squad</t>
        </is>
      </c>
      <c r="C29" s="232" t="inlineStr">
        <is>
          <t>Squad Type</t>
        </is>
      </c>
      <c r="D29" s="232" t="inlineStr">
        <is>
          <t>Size</t>
        </is>
      </c>
      <c r="E29" s="232" t="inlineStr">
        <is>
          <t>On/Off</t>
        </is>
      </c>
      <c r="F29" s="232" t="inlineStr">
        <is>
          <t>Support %</t>
        </is>
      </c>
      <c r="G29" s="232" t="inlineStr">
        <is>
          <t>Total Squad Cost ($m)</t>
        </is>
      </c>
      <c r="H29" s="232" t="inlineStr">
        <is>
          <t>TDD Cost ($m)</t>
        </is>
      </c>
      <c r="I29" s="232" t="inlineStr">
        <is>
          <t>Funded outside TDD ($m)</t>
        </is>
      </c>
    </row>
    <row r="30">
      <c r="B30" s="233" t="inlineStr">
        <is>
          <t>Site Systems</t>
        </is>
      </c>
      <c r="C30" s="234" t="inlineStr">
        <is>
          <t>Configuration / Integration</t>
        </is>
      </c>
      <c r="D30" s="234" t="inlineStr">
        <is>
          <t>M</t>
        </is>
      </c>
      <c r="E30" s="234" t="inlineStr">
        <is>
          <t>Onshore</t>
        </is>
      </c>
      <c r="F30" s="235" t="n">
        <v>0.8</v>
      </c>
      <c r="G30" s="236">
        <f>IFERROR(IF($E30="Onshore",INDEX('0.1 Squads'!$G$5:$G$23,MATCH($C30&amp;"|"&amp;$D30,'0.1 Squads'!$A$5:$A$23,0)),INDEX('0.1 Squads'!$H$5:$H$23,MATCH($C30&amp;"|"&amp;$D30,'0.1 Squads'!$A$5:$A$23,0))),"check size")</f>
        <v>1.4</v>
      </c>
      <c r="H30" s="237">
        <f>IFERROR($G30*$F30,"")</f>
        <v>1.1199999999999999</v>
      </c>
      <c r="I30" s="237">
        <f>IFERROR($G30*(1-$F30),"")</f>
        <v>0.2799999999999999</v>
      </c>
      <c r="J30" t="inlineStr">
        <is>
          <t>20% is CapEx</t>
        </is>
      </c>
    </row>
    <row r="31">
      <c r="B31" s="233" t="inlineStr">
        <is>
          <t>Z Retail Backend</t>
        </is>
      </c>
      <c r="C31" s="234" t="inlineStr">
        <is>
          <t>Build and Run</t>
        </is>
      </c>
      <c r="D31" s="234" t="inlineStr">
        <is>
          <t>M</t>
        </is>
      </c>
      <c r="E31" s="234" t="inlineStr">
        <is>
          <t>Onshore</t>
        </is>
      </c>
      <c r="F31" s="235" t="n">
        <v>0.8</v>
      </c>
      <c r="G31" s="236">
        <f>IFERROR(IF($E31="Onshore",INDEX('0.1 Squads'!$G$5:$G$23,MATCH($C31&amp;"|"&amp;$D31,'0.1 Squads'!$A$5:$A$23,0)),INDEX('0.1 Squads'!$H$5:$H$23,MATCH($C31&amp;"|"&amp;$D31,'0.1 Squads'!$A$5:$A$23,0))),"check size")</f>
        <v>2.0</v>
      </c>
      <c r="H31" s="237">
        <f>IFERROR($G31*$F31,"")</f>
        <v>1.6</v>
      </c>
      <c r="I31" s="237">
        <f>IFERROR($G31*(1-$F31),"")</f>
        <v>0.3999999999999999</v>
      </c>
    </row>
    <row r="32">
      <c r="B32" s="238" t="inlineStr">
        <is>
          <t>Platform Overhead</t>
        </is>
      </c>
      <c r="C32" s="239" t="n"/>
      <c r="D32" s="239" t="n"/>
      <c r="E32" s="239" t="n"/>
      <c r="F32" s="239" t="n"/>
      <c r="G32" s="239" t="n"/>
      <c r="H32" s="236">
        <f>'0.0 Data Config'!$L$16</f>
        <v>0.165</v>
      </c>
      <c r="I32" s="239" t="n"/>
    </row>
    <row r="33">
      <c r="B33" s="240" t="inlineStr">
        <is>
          <t>Z Customer Total</t>
        </is>
      </c>
      <c r="C33" s="226" t="n"/>
      <c r="D33" s="226" t="n"/>
      <c r="E33" s="226" t="n"/>
      <c r="F33" s="226" t="n"/>
      <c r="G33" s="241">
        <f>SUM(G30:G31)</f>
        <v>3.4</v>
      </c>
      <c r="H33" s="241">
        <f>SUM(H30:H32)</f>
        <v>2.885</v>
      </c>
      <c r="I33" s="241">
        <f>SUM(I30:I31)</f>
        <v>0.6799999999999998</v>
      </c>
    </row>
  </sheetData>
  <mergeCells count="6">
    <mergeCell ref="B11:D11"/>
    <mergeCell ref="B4:E4"/>
    <mergeCell ref="B28:I28"/>
    <mergeCell ref="B22:I22"/>
    <mergeCell ref="B12:D12"/>
    <mergeCell ref="G10:J10"/>
  </mergeCells>
  <conditionalFormatting sqref="H7">
    <cfRule type="cellIs" priority="5" operator="greaterThanOrEqual" dxfId="48">
      <formula>0</formula>
    </cfRule>
    <cfRule type="cellIs" priority="6" operator="lessThan" dxfId="49">
      <formula>0</formula>
    </cfRule>
  </conditionalFormatting>
  <conditionalFormatting sqref="I19">
    <cfRule type="cellIs" priority="7" operator="greaterThan" dxfId="49">
      <formula>0</formula>
    </cfRule>
    <cfRule type="cellIs" priority="8" operator="lessThanOrEqual" dxfId="48">
      <formula>0</formula>
    </cfRule>
  </conditionalFormatting>
  <dataValidations count="4">
    <dataValidation sqref="C24 C30:C31" showDropDown="0" showInputMessage="0" showErrorMessage="0" allowBlank="1" type="list">
      <formula1>SquadTypes</formula1>
      <formula2>0</formula2>
    </dataValidation>
    <dataValidation sqref="D24 D30:D31" showDropDown="0" showInputMessage="0" showErrorMessage="0" allowBlank="1" type="list">
      <formula1>SquadSizes</formula1>
      <formula2>0</formula2>
    </dataValidation>
    <dataValidation sqref="E24 E30:E31" showDropDown="0" showInputMessage="0" showErrorMessage="0" allowBlank="1" type="list">
      <formula1>OnOff</formula1>
      <formula2>0</formula2>
    </dataValidation>
    <dataValidation sqref="F24 F30:F31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32"/>
  <sheetViews>
    <sheetView showGridLines="0" topLeftCell="A14" zoomScaleNormal="100" workbookViewId="0">
      <selection activeCell="G16" sqref="G16"/>
    </sheetView>
  </sheetViews>
  <sheetFormatPr baseColWidth="8" defaultColWidth="8.54296875" defaultRowHeight="14.5"/>
  <cols>
    <col width="28" customWidth="1" style="302" min="2" max="2"/>
    <col width="26" customWidth="1" style="302" min="3" max="3"/>
    <col width="9.1796875" bestFit="1" customWidth="1" style="302" min="4" max="4"/>
    <col width="21.26953125" customWidth="1" style="302" min="5" max="5"/>
    <col width="24.08984375" customWidth="1" style="302" min="6" max="6"/>
    <col width="27.1796875" customWidth="1" style="302" min="7" max="7"/>
    <col width="11.81640625" bestFit="1" customWidth="1" style="302" min="8" max="8"/>
    <col width="50.1796875" customWidth="1" style="302" min="9" max="9"/>
    <col width="24.81640625" customWidth="1" style="302" min="10" max="10"/>
  </cols>
  <sheetData>
    <row r="1"/>
    <row r="2" ht="21" customHeight="1" s="302">
      <c r="B2" s="212" t="inlineStr">
        <is>
          <t>TDD Cyber</t>
        </is>
      </c>
    </row>
    <row r="3"/>
    <row r="4">
      <c r="B4" s="259" t="inlineStr">
        <is>
          <t>Portfolio Summary</t>
        </is>
      </c>
      <c r="C4" s="251" t="n"/>
      <c r="D4" s="251" t="n"/>
      <c r="E4" s="252" t="n"/>
      <c r="G4" s="290" t="inlineStr">
        <is>
          <t>Budget vs TDD cost</t>
        </is>
      </c>
      <c r="H4" s="252" t="n"/>
    </row>
    <row r="5">
      <c r="B5" s="5" t="inlineStr">
        <is>
          <t>Cost</t>
        </is>
      </c>
      <c r="C5" s="5" t="inlineStr">
        <is>
          <t>TDD ($m)</t>
        </is>
      </c>
      <c r="D5" s="5" t="inlineStr">
        <is>
          <t>Other ($m)</t>
        </is>
      </c>
      <c r="E5" s="5" t="inlineStr">
        <is>
          <t>Total TDD Cyber Cost ($m)</t>
        </is>
      </c>
      <c r="G5" s="214" t="inlineStr">
        <is>
          <t>TDD Lights On Budget</t>
        </is>
      </c>
      <c r="H5" s="215">
        <f>'0.0 Data Config'!$E$23</f>
        <v>3.5</v>
      </c>
    </row>
    <row r="6">
      <c r="B6" s="8" t="inlineStr">
        <is>
          <t>Portfolio Overhead</t>
        </is>
      </c>
      <c r="C6" s="215">
        <f>'0.0 Data Config'!$L$10</f>
        <v>0.7495</v>
      </c>
      <c r="E6" s="9">
        <f>C6</f>
        <v>0.7495</v>
      </c>
      <c r="G6" s="214" t="inlineStr">
        <is>
          <t>Overheads &amp; Support (this model)</t>
        </is>
      </c>
      <c r="H6" s="9">
        <f>C9</f>
        <v>4.3145</v>
      </c>
    </row>
    <row r="7">
      <c r="B7" s="8" t="inlineStr">
        <is>
          <t>Platform Overheads</t>
        </is>
      </c>
      <c r="C7" s="9">
        <f>SUM(H30)</f>
        <v>0.165</v>
      </c>
      <c r="E7" s="9">
        <f>C7</f>
        <v>0.165</v>
      </c>
      <c r="G7" s="216" t="inlineStr">
        <is>
          <t>Variance (budget less cost)</t>
        </is>
      </c>
      <c r="H7" s="217">
        <f>H5-H6</f>
        <v>-0.8144999999999998</v>
      </c>
    </row>
    <row r="8">
      <c r="B8" s="8" t="inlineStr">
        <is>
          <t>Squad Support Costs</t>
        </is>
      </c>
      <c r="C8" s="9">
        <f>SUM(H24,H25)</f>
        <v>3.4</v>
      </c>
      <c r="D8" s="9">
        <f>SUM(I24,I25)</f>
        <v>0.0</v>
      </c>
      <c r="E8" s="9">
        <f>C8+D8</f>
        <v>3.4</v>
      </c>
    </row>
    <row r="9">
      <c r="B9" s="216" t="inlineStr">
        <is>
          <t>Total Cost</t>
        </is>
      </c>
      <c r="C9" s="217">
        <f>SUM(C6:C8)</f>
        <v>4.3145</v>
      </c>
      <c r="D9" s="217">
        <f>SUM(D6:D8)</f>
        <v>0.0</v>
      </c>
      <c r="E9" s="217">
        <f>C9+D9</f>
        <v>4.3145</v>
      </c>
    </row>
    <row r="10">
      <c r="G10" s="287" t="inlineStr">
        <is>
          <t xml:space="preserve">Other funding </t>
        </is>
      </c>
      <c r="H10" s="384" t="n"/>
      <c r="I10" s="384" t="n"/>
      <c r="J10" s="385" t="n"/>
    </row>
    <row r="11" ht="28" customHeight="1" s="302">
      <c r="B11" s="293" t="inlineStr">
        <is>
          <t>Lights-on funded from the TDD allocation above (Data Config). Shared TDD Corporate pool sits on 2.1 COE.</t>
        </is>
      </c>
      <c r="D11" s="387" t="n"/>
      <c r="E11" s="219" t="n"/>
      <c r="G11" s="5" t="inlineStr">
        <is>
          <t>Funding position</t>
        </is>
      </c>
      <c r="H11" s="232" t="n"/>
      <c r="I11" s="232" t="n"/>
      <c r="J11" s="232" t="n"/>
    </row>
    <row r="12">
      <c r="B12" s="286" t="n"/>
      <c r="D12" s="387" t="n"/>
      <c r="E12" s="220" t="n"/>
      <c r="G12" s="225" t="inlineStr">
        <is>
          <t>Other cost (this model)</t>
        </is>
      </c>
      <c r="H12" s="236" t="n"/>
      <c r="I12" s="243">
        <f>D9</f>
        <v>0.0</v>
      </c>
      <c r="J12" s="237" t="n"/>
    </row>
    <row r="13">
      <c r="F13" t="inlineStr">
        <is>
          <t xml:space="preserve">Cyber uplift bucket </t>
        </is>
      </c>
      <c r="G13" s="225" t="inlineStr">
        <is>
          <t>Funded from TDD Corporate pool (2.1 COE)</t>
        </is>
      </c>
      <c r="H13" s="236" t="n"/>
      <c r="I13" s="230" t="n">
        <v>0</v>
      </c>
      <c r="J13" s="237" t="n"/>
    </row>
    <row r="14">
      <c r="G14" s="216" t="inlineStr">
        <is>
          <t>Left to fund</t>
        </is>
      </c>
      <c r="H14" s="236" t="n"/>
      <c r="I14" s="217">
        <f>I12-I13-I16</f>
        <v>0.0</v>
      </c>
      <c r="J14" s="237" t="n"/>
    </row>
    <row r="15">
      <c r="G15" s="233" t="n"/>
      <c r="H15" s="236" t="n"/>
      <c r="I15" s="244" t="n"/>
      <c r="J15" s="237" t="n"/>
    </row>
    <row r="16">
      <c r="B16" t="inlineStr">
        <is>
          <t>Budget - 6.6m Cyber</t>
        </is>
      </c>
      <c r="D16" t="inlineStr">
        <is>
          <t xml:space="preserve">Identity - can be charging back </t>
        </is>
      </c>
      <c r="G16" s="233" t="inlineStr">
        <is>
          <t>Cyber CapEx (Monitoring)</t>
        </is>
      </c>
      <c r="H16" s="388" t="n">
        <v>0</v>
      </c>
      <c r="I16" s="388" t="n">
        <v>0</v>
      </c>
      <c r="J16" s="237" t="n"/>
    </row>
    <row r="17">
      <c r="B17" t="inlineStr">
        <is>
          <t xml:space="preserve">Cyber Architects could be charged back </t>
        </is>
      </c>
      <c r="D17" t="inlineStr">
        <is>
          <t xml:space="preserve">Governance, Risk &amp; Complaince 
- Some can be charged back </t>
        </is>
      </c>
      <c r="G17" s="245" t="n"/>
      <c r="H17" s="239" t="n"/>
      <c r="I17" s="246" t="n"/>
      <c r="J17" s="239" t="n"/>
    </row>
    <row r="18">
      <c r="B18" t="inlineStr">
        <is>
          <t xml:space="preserve">Initiatives within Cyber &amp; outside </t>
        </is>
      </c>
      <c r="G18" s="233" t="n"/>
      <c r="H18" s="239" t="n"/>
      <c r="I18" s="237" t="n"/>
      <c r="J18" s="239" t="n"/>
    </row>
    <row r="19">
      <c r="B19" t="inlineStr">
        <is>
          <t>4x Architects can be charged out 100%</t>
        </is>
      </c>
      <c r="G19" s="240" t="n"/>
      <c r="H19" s="239" t="n"/>
      <c r="I19" s="241" t="n"/>
      <c r="J19" s="239" t="n"/>
    </row>
    <row r="20"/>
    <row r="21"/>
    <row r="22">
      <c r="B22" s="287" t="inlineStr">
        <is>
          <t xml:space="preserve">Platform: TDD Cyber, Risk &amp; Service Ops </t>
        </is>
      </c>
      <c r="C22" s="384" t="n"/>
      <c r="D22" s="384" t="n"/>
      <c r="E22" s="384" t="n"/>
      <c r="F22" s="384" t="n"/>
      <c r="G22" s="384" t="n"/>
      <c r="H22" s="384" t="n"/>
      <c r="I22" s="385" t="n"/>
    </row>
    <row r="23">
      <c r="B23" s="232" t="inlineStr">
        <is>
          <t>Squad</t>
        </is>
      </c>
      <c r="C23" s="232" t="inlineStr">
        <is>
          <t>Squad Type</t>
        </is>
      </c>
      <c r="D23" s="232" t="inlineStr">
        <is>
          <t>Size</t>
        </is>
      </c>
      <c r="E23" s="232" t="inlineStr">
        <is>
          <t>On/Off</t>
        </is>
      </c>
      <c r="F23" s="232" t="inlineStr">
        <is>
          <t>Support %</t>
        </is>
      </c>
      <c r="G23" s="232" t="inlineStr">
        <is>
          <t>Total Squad Cost ($m)</t>
        </is>
      </c>
      <c r="H23" s="232" t="inlineStr">
        <is>
          <t>TDD Cost ($m)</t>
        </is>
      </c>
      <c r="I23" s="232" t="inlineStr">
        <is>
          <t>Funded outside TDD ($m)</t>
        </is>
      </c>
    </row>
    <row r="24">
      <c r="B24" s="233" t="inlineStr">
        <is>
          <t>TDD COE</t>
        </is>
      </c>
      <c r="C24" s="389" t="inlineStr">
        <is>
          <t>Strategic Programs</t>
        </is>
      </c>
      <c r="D24" s="389" t="n"/>
      <c r="E24" s="389" t="inlineStr">
        <is>
          <t>Onshore</t>
        </is>
      </c>
      <c r="F24" s="390" t="n">
        <v>1</v>
      </c>
      <c r="G24" s="388" t="n">
        <v>2</v>
      </c>
      <c r="H24" s="237">
        <f>IFERROR($G24*$F24,"")</f>
        <v>2.0</v>
      </c>
      <c r="I24" s="237">
        <f>IFERROR($G24*(1-$F24),"")</f>
        <v>0.0</v>
      </c>
    </row>
    <row r="25">
      <c r="B25" s="233" t="inlineStr">
        <is>
          <t>TDD Cyber</t>
        </is>
      </c>
      <c r="C25" s="389" t="inlineStr">
        <is>
          <t>Operations</t>
        </is>
      </c>
      <c r="D25" s="389" t="inlineStr">
        <is>
          <t>M</t>
        </is>
      </c>
      <c r="E25" s="389" t="inlineStr">
        <is>
          <t>Onshore</t>
        </is>
      </c>
      <c r="F25" s="390" t="n">
        <v>1</v>
      </c>
      <c r="G25" s="391">
        <f>IFERROR(IF($E25="Onshore",INDEX('0.1 Squads'!$G$5:$G$23,MATCH($C25&amp;"|"&amp;$D25,'0.1 Squads'!$A$5:$A$23,0)),INDEX('0.1 Squads'!$H$5:$H$23,MATCH($C25&amp;"|"&amp;$D25,'0.1 Squads'!$A$5:$A$23,0))),"check size")</f>
        <v>1.4</v>
      </c>
      <c r="H25" s="237">
        <f>IFERROR($G25*$F25,"")</f>
        <v>1.4</v>
      </c>
      <c r="I25" s="237">
        <f>IFERROR($G25*(1-$F25),"")</f>
        <v>0.0</v>
      </c>
    </row>
    <row r="26">
      <c r="B26" s="233" t="n"/>
      <c r="C26" s="234" t="n"/>
      <c r="D26" s="234" t="n"/>
      <c r="E26" s="234" t="n"/>
      <c r="F26" s="235" t="n"/>
      <c r="G26" s="236" t="n"/>
      <c r="H26" s="237" t="n"/>
      <c r="I26" s="237" t="n"/>
    </row>
    <row r="27">
      <c r="B27" s="233" t="n"/>
      <c r="C27" s="234" t="n"/>
      <c r="D27" s="234" t="n"/>
      <c r="E27" s="234" t="n"/>
      <c r="F27" s="235" t="n"/>
      <c r="G27" s="236" t="n"/>
      <c r="H27" s="237" t="n"/>
      <c r="I27" s="237" t="n"/>
    </row>
    <row r="28">
      <c r="B28" s="233" t="n"/>
      <c r="C28" s="234" t="n"/>
      <c r="D28" s="234" t="n"/>
      <c r="E28" s="234" t="n"/>
      <c r="F28" s="235" t="n"/>
      <c r="G28" s="236" t="n"/>
      <c r="H28" s="237" t="n"/>
      <c r="I28" s="237" t="n"/>
    </row>
    <row r="29">
      <c r="B29" s="233" t="n"/>
      <c r="C29" s="234" t="n"/>
      <c r="D29" s="234" t="n"/>
      <c r="E29" s="234" t="n"/>
      <c r="F29" s="235" t="n"/>
      <c r="G29" s="236" t="n"/>
      <c r="H29" s="237" t="n"/>
      <c r="I29" s="237" t="n"/>
    </row>
    <row r="30">
      <c r="B30" s="238" t="inlineStr">
        <is>
          <t>Platform Overhead</t>
        </is>
      </c>
      <c r="C30" s="239" t="n"/>
      <c r="D30" s="239" t="n"/>
      <c r="E30" s="239" t="n"/>
      <c r="F30" s="239" t="n"/>
      <c r="G30" s="239" t="n"/>
      <c r="H30" s="236">
        <f>'0.0 Data Config'!$L$16</f>
        <v>0.165</v>
      </c>
      <c r="I30" s="239" t="n"/>
    </row>
    <row r="31">
      <c r="B31" s="226" t="inlineStr">
        <is>
          <t>TDD Cyber Total</t>
        </is>
      </c>
      <c r="C31" s="226" t="n"/>
      <c r="D31" s="226" t="n"/>
      <c r="E31" s="226" t="n"/>
      <c r="F31" s="226" t="n"/>
      <c r="G31" s="241">
        <f>SUM(G24:G25)</f>
        <v>3.4</v>
      </c>
      <c r="H31" s="241">
        <f>SUM(H24:H30)</f>
        <v>3.565</v>
      </c>
      <c r="I31" s="241">
        <f>SUM(I24:I25)</f>
        <v>0.0</v>
      </c>
    </row>
    <row r="32"/>
  </sheetData>
  <mergeCells count="6">
    <mergeCell ref="B11:D11"/>
    <mergeCell ref="G4:H4"/>
    <mergeCell ref="B4:E4"/>
    <mergeCell ref="B22:I22"/>
    <mergeCell ref="B12:D12"/>
    <mergeCell ref="G10:J10"/>
  </mergeCells>
  <conditionalFormatting sqref="H7">
    <cfRule type="cellIs" priority="5" operator="greaterThanOrEqual" dxfId="48">
      <formula>0</formula>
    </cfRule>
    <cfRule type="cellIs" priority="6" operator="lessThan" dxfId="49">
      <formula>0</formula>
    </cfRule>
  </conditionalFormatting>
  <conditionalFormatting sqref="I14">
    <cfRule type="cellIs" priority="7" operator="greaterThan" dxfId="49">
      <formula>0</formula>
    </cfRule>
    <cfRule type="cellIs" priority="8" operator="lessThanOrEqual" dxfId="48">
      <formula>0</formula>
    </cfRule>
  </conditionalFormatting>
  <dataValidations count="4">
    <dataValidation sqref="C24:C29" showDropDown="0" showInputMessage="0" showErrorMessage="0" allowBlank="1" type="list">
      <formula1>SquadTypes</formula1>
      <formula2>0</formula2>
    </dataValidation>
    <dataValidation sqref="D24:D29" showDropDown="0" showInputMessage="0" showErrorMessage="0" allowBlank="1" type="list">
      <formula1>SquadSizes</formula1>
      <formula2>0</formula2>
    </dataValidation>
    <dataValidation sqref="E24:E29" showDropDown="0" showInputMessage="0" showErrorMessage="0" allowBlank="1" type="list">
      <formula1>OnOff</formula1>
      <formula2>0</formula2>
    </dataValidation>
    <dataValidation sqref="F24:F29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J37"/>
  <sheetViews>
    <sheetView showGridLines="0" topLeftCell="A15" zoomScale="110" zoomScaleNormal="110" workbookViewId="0">
      <selection activeCell="D19" sqref="D19"/>
    </sheetView>
  </sheetViews>
  <sheetFormatPr baseColWidth="8" defaultColWidth="8.54296875" defaultRowHeight="14.5"/>
  <cols>
    <col width="8.54296875" customWidth="1" style="302" min="1" max="1"/>
    <col width="67.7265625" bestFit="1" customWidth="1" style="302" min="2" max="2"/>
    <col width="21.54296875" customWidth="1" style="302" min="3" max="3"/>
    <col width="16" customWidth="1" style="302" min="4" max="5"/>
    <col width="5.6328125" customWidth="1" style="302" min="6" max="6"/>
    <col width="17.6328125" customWidth="1" style="302" min="7" max="7"/>
    <col width="21.6328125" customWidth="1" style="302" min="8" max="9"/>
    <col width="12.453125" customWidth="1" style="302" min="10" max="10"/>
  </cols>
  <sheetData>
    <row r="2" ht="21" customHeight="1" s="302">
      <c r="B2" s="212" t="inlineStr">
        <is>
          <t>TDD Summary - all portfolios</t>
        </is>
      </c>
    </row>
    <row r="4">
      <c r="B4" s="259" t="inlineStr">
        <is>
          <t>TDD cost vs TDD lights-on budget, by portfolio</t>
        </is>
      </c>
      <c r="C4" s="251" t="n"/>
      <c r="D4" s="251" t="n"/>
      <c r="E4" s="251" t="n"/>
      <c r="F4" s="251" t="n"/>
      <c r="G4" s="251" t="n"/>
      <c r="H4" s="251" t="n"/>
      <c r="I4" s="251" t="n"/>
      <c r="J4" s="252" t="n"/>
    </row>
    <row r="5" ht="29.5" customFormat="1" customHeight="1" s="304">
      <c r="B5" s="303" t="inlineStr">
        <is>
          <t>Portfolio</t>
        </is>
      </c>
      <c r="C5" s="303" t="inlineStr">
        <is>
          <t>TDD Lights On Budget ($m)</t>
        </is>
      </c>
      <c r="D5" s="303" t="inlineStr">
        <is>
          <t>TDD Cost ($m)</t>
        </is>
      </c>
      <c r="E5" s="303" t="inlineStr">
        <is>
          <t>Variance ($m)</t>
        </is>
      </c>
      <c r="F5" s="303" t="n"/>
      <c r="G5" s="303" t="inlineStr">
        <is>
          <t>What will be funded outside TDD</t>
        </is>
      </c>
      <c r="H5" s="303" t="inlineStr">
        <is>
          <t>What has been allocated</t>
        </is>
      </c>
      <c r="I5" s="303" t="inlineStr">
        <is>
          <t>Left to fund (outside TDD)</t>
        </is>
      </c>
      <c r="J5" s="303" t="inlineStr">
        <is>
          <t>Total Cost ($m)</t>
        </is>
      </c>
    </row>
    <row r="6">
      <c r="B6" s="8" t="inlineStr">
        <is>
          <t>Ampol Retail</t>
        </is>
      </c>
      <c r="C6" s="9">
        <f>'1.1 Ampol Retail'!$H$5</f>
        <v>2.5</v>
      </c>
      <c r="D6" s="9">
        <f>'1.1 Ampol Retail'!$C$9</f>
        <v>5.6265</v>
      </c>
      <c r="E6" s="9">
        <f>'1.1 Ampol Retail'!$H$7</f>
        <v>-3.1265</v>
      </c>
      <c r="F6" s="217" t="n"/>
      <c r="G6" s="9">
        <f>'1.1 Ampol Retail'!$D$9</f>
        <v>4.728</v>
      </c>
      <c r="H6" s="9">
        <f>'1.1 Ampol Retail'!$I$17</f>
        <v>0.0</v>
      </c>
      <c r="I6" s="9">
        <f>'1.1 Ampol Retail'!$I$19</f>
        <v>4.728</v>
      </c>
      <c r="J6" s="9">
        <f>'1.1 Ampol Retail'!$E$9</f>
        <v>10.3545</v>
      </c>
    </row>
    <row r="7">
      <c r="B7" s="8" t="inlineStr">
        <is>
          <t>Customer</t>
        </is>
      </c>
      <c r="C7" s="9">
        <f>'1.2 Customer'!$H$5</f>
        <v>6.5</v>
      </c>
      <c r="D7" s="9">
        <f>'1.2 Customer'!$C$9</f>
        <v>9.0245</v>
      </c>
      <c r="E7" s="9">
        <f>'1.2 Customer'!$H$7</f>
        <v>-2.5244999999999997</v>
      </c>
      <c r="F7" s="217" t="n"/>
      <c r="G7" s="9">
        <f>'1.2 Customer'!$D$9</f>
        <v>5.92</v>
      </c>
      <c r="H7" s="9">
        <f>'1.2 Customer'!$I$22</f>
        <v>0.0</v>
      </c>
      <c r="I7" s="9">
        <f>'1.2 Customer'!$I$24</f>
        <v>5.92</v>
      </c>
      <c r="J7" s="9">
        <f>'1.2 Customer'!$E$9</f>
        <v>14.9445</v>
      </c>
    </row>
    <row r="8">
      <c r="B8" s="8" t="inlineStr">
        <is>
          <t>Enterprise Data</t>
        </is>
      </c>
      <c r="C8" s="9">
        <f>'1.3 Enterprise Data'!$H$5</f>
        <v>3.5</v>
      </c>
      <c r="D8" s="9">
        <f>'1.3 Enterprise Data'!$C$9</f>
        <v>7.1345</v>
      </c>
      <c r="E8" s="9">
        <f>'1.3 Enterprise Data'!$H$7</f>
        <v>-3.6345</v>
      </c>
      <c r="F8" s="217" t="n"/>
      <c r="G8" s="9">
        <f>'1.3 Enterprise Data'!$D$9</f>
        <v>2.0</v>
      </c>
      <c r="H8" s="9">
        <f>'1.3 Enterprise Data'!$I$13</f>
        <v>0.0</v>
      </c>
      <c r="I8" s="9">
        <f>'1.3 Enterprise Data'!$I$14</f>
        <v>2.0</v>
      </c>
      <c r="J8" s="9">
        <f>'1.3 Enterprise Data'!$E$9</f>
        <v>9.1345</v>
      </c>
    </row>
    <row r="9">
      <c r="B9" s="8" t="inlineStr">
        <is>
          <t>TDD Group Functions</t>
        </is>
      </c>
      <c r="C9" s="9">
        <f>'1.4 TDD Group Functions'!$H$5</f>
        <v>5.5</v>
      </c>
      <c r="D9" s="9">
        <f>'1.4 TDD Group Functions'!$C$9</f>
        <v>3.6644999999999994</v>
      </c>
      <c r="E9" s="9">
        <f>'1.4 TDD Group Functions'!$H$7</f>
        <v>1.8355000000000006</v>
      </c>
      <c r="F9" s="217" t="n"/>
      <c r="G9" s="9">
        <f>'1.4 TDD Group Functions'!$D$9</f>
        <v>1.15</v>
      </c>
      <c r="H9" s="9">
        <f>'1.4 TDD Group Functions'!$I$13</f>
        <v>0.0</v>
      </c>
      <c r="I9" s="9">
        <f>'1.4 TDD Group Functions'!$I$14</f>
        <v>1.15</v>
      </c>
      <c r="J9" s="9">
        <f>'1.4 TDD Group Functions'!$E$9</f>
        <v>4.814499999999999</v>
      </c>
    </row>
    <row r="10">
      <c r="B10" s="8" t="inlineStr">
        <is>
          <t>P&amp;C</t>
        </is>
      </c>
      <c r="C10" s="9">
        <f>'1.5 P&amp;C'!$H$5</f>
        <v>2.0</v>
      </c>
      <c r="D10" s="9">
        <f>'1.5 P&amp;C'!$C$9</f>
        <v>1.2745000000000002</v>
      </c>
      <c r="E10" s="9">
        <f>'1.5 P&amp;C'!$H$7</f>
        <v>0.7254999999999998</v>
      </c>
      <c r="F10" s="217" t="n"/>
      <c r="G10" s="9">
        <f>'1.5 P&amp;C'!$D$9</f>
        <v>1.44</v>
      </c>
      <c r="H10" s="9">
        <f>'1.5 P&amp;C'!$I$18</f>
        <v>0.0</v>
      </c>
      <c r="I10" s="9">
        <f>'1.5 P&amp;C'!$I$20</f>
        <v>1.44</v>
      </c>
      <c r="J10" s="9">
        <f>'1.5 P&amp;C'!$E$9</f>
        <v>2.7145</v>
      </c>
    </row>
    <row r="11">
      <c r="B11" s="8" t="inlineStr">
        <is>
          <t>Finance</t>
        </is>
      </c>
      <c r="C11" s="9">
        <f>'1.6 Finance'!$H$5</f>
        <v>2.0</v>
      </c>
      <c r="D11" s="9">
        <f>'1.6 Finance'!$C$9</f>
        <v>1.4145</v>
      </c>
      <c r="E11" s="9">
        <f>'1.6 Finance'!$H$7</f>
        <v>0.5854999999999999</v>
      </c>
      <c r="F11" s="217" t="n"/>
      <c r="G11" s="9">
        <f>'1.6 Finance'!$D$9</f>
        <v>2.0</v>
      </c>
      <c r="H11" s="9">
        <f>'1.6 Finance'!$I$18</f>
        <v>0.0</v>
      </c>
      <c r="I11" s="9">
        <f>'1.6 Finance'!$I$20</f>
        <v>2.0</v>
      </c>
      <c r="J11" s="9">
        <f>'1.6 Finance'!$E$9</f>
        <v>3.4145000000000003</v>
      </c>
    </row>
    <row r="12">
      <c r="B12" s="8" t="inlineStr">
        <is>
          <t>Infrastructure</t>
        </is>
      </c>
      <c r="C12" s="9">
        <f>'1.7 Infrastructure'!$H$6</f>
        <v>2.5</v>
      </c>
      <c r="D12" s="9">
        <f>'1.7 Infrastructure'!$C$10</f>
        <v>2.5245</v>
      </c>
      <c r="E12" s="9">
        <f>'1.7 Infrastructure'!$H$8</f>
        <v>-0.02450000000000019</v>
      </c>
      <c r="F12" s="217" t="n"/>
      <c r="G12" s="9">
        <f>'1.7 Infrastructure'!$D$10</f>
        <v>2.7199999999999998</v>
      </c>
      <c r="H12" s="9">
        <f>'1.7 Infrastructure'!$I$18</f>
        <v>0.0</v>
      </c>
      <c r="I12" s="9">
        <f>'1.7 Infrastructure'!$I$20</f>
        <v>2.7199999999999998</v>
      </c>
      <c r="J12" s="9">
        <f>'1.7 Infrastructure'!$E$10</f>
        <v>5.2445</v>
      </c>
    </row>
    <row r="13">
      <c r="B13" s="8" t="inlineStr">
        <is>
          <t>Energy Solutions &amp; B2B</t>
        </is>
      </c>
      <c r="C13" s="9">
        <f>'1.8 Energy Solutions &amp; B2B'!$H$5</f>
        <v>2.5</v>
      </c>
      <c r="D13" s="9">
        <f>'1.8 Energy Solutions &amp; B2B'!$C$9</f>
        <v>2.5095</v>
      </c>
      <c r="E13" s="9">
        <f>'1.8 Energy Solutions &amp; B2B'!$H$7</f>
        <v>-0.009500000000000064</v>
      </c>
      <c r="F13" s="217" t="n"/>
      <c r="G13" s="9">
        <f>'1.8 Energy Solutions &amp; B2B'!$D$9</f>
        <v>4.67</v>
      </c>
      <c r="H13" s="9">
        <f>'1.8 Energy Solutions &amp; B2B'!$I$20</f>
        <v>3.5</v>
      </c>
      <c r="I13" s="9">
        <f>'1.8 Energy Solutions &amp; B2B'!$I$22</f>
        <v>1.17</v>
      </c>
      <c r="J13" s="9">
        <f>'1.8 Energy Solutions &amp; B2B'!$E$9</f>
        <v>7.1795</v>
      </c>
    </row>
    <row r="14">
      <c r="B14" s="8" t="inlineStr">
        <is>
          <t>Commercial Fuels</t>
        </is>
      </c>
      <c r="C14" s="9">
        <f>'1.9 Commercial Fuels'!$H$5</f>
        <v>2.5</v>
      </c>
      <c r="D14" s="9">
        <f>'1.9 Commercial Fuels'!$C$9</f>
        <v>2.0845</v>
      </c>
      <c r="E14" s="9">
        <f>'1.9 Commercial Fuels'!$H$7</f>
        <v>0.4155000000000002</v>
      </c>
      <c r="F14" s="217" t="n"/>
      <c r="G14" s="9">
        <f>'1.9 Commercial Fuels'!$D$9</f>
        <v>5.0600000000000005</v>
      </c>
      <c r="H14" s="9">
        <f>'1.9 Commercial Fuels'!$I$18</f>
        <v>3.0999999999999996</v>
      </c>
      <c r="I14" s="9">
        <f>'1.9 Commercial Fuels'!$I$20</f>
        <v>1.9600000000000009</v>
      </c>
      <c r="J14" s="9">
        <f>'1.9 Commercial Fuels'!$E$9</f>
        <v>7.144500000000001</v>
      </c>
    </row>
    <row r="15">
      <c r="B15" s="8" t="inlineStr">
        <is>
          <t>Z Retail</t>
        </is>
      </c>
      <c r="C15" s="9">
        <f>'1.10 Z Retail'!$H$5</f>
        <v>2.5</v>
      </c>
      <c r="D15" s="9">
        <f>'1.10 Z Retail'!$C$9</f>
        <v>5.399500000000001</v>
      </c>
      <c r="E15" s="9">
        <f>'1.10 Z Retail'!$H$7</f>
        <v>-2.8995000000000006</v>
      </c>
      <c r="F15" s="217" t="n"/>
      <c r="G15" s="9">
        <f>'1.10 Z Retail'!$D$9</f>
        <v>1.0799999999999996</v>
      </c>
      <c r="H15" s="9">
        <f>'1.10 Z Retail'!$I$17</f>
        <v>1.08</v>
      </c>
      <c r="I15" s="9">
        <f>'1.10 Z Retail'!$I$19</f>
        <v>-4.440892098500626e-16</v>
      </c>
      <c r="J15" s="9">
        <f>'1.10 Z Retail'!$E$9</f>
        <v>6.4795</v>
      </c>
    </row>
    <row r="16">
      <c r="B16" s="8" t="inlineStr">
        <is>
          <t>TDD Cyber</t>
        </is>
      </c>
      <c r="C16" s="9">
        <f>'1.11 TDD Cyber'!$H$5</f>
        <v>3.5</v>
      </c>
      <c r="D16" s="9">
        <f>'1.11 TDD Cyber'!$C$9</f>
        <v>4.3145</v>
      </c>
      <c r="E16" s="9">
        <f>'1.11 TDD Cyber'!$H$7</f>
        <v>-0.8144999999999998</v>
      </c>
      <c r="F16" s="217" t="n"/>
      <c r="G16" s="9">
        <f>'1.11 TDD Cyber'!$D$9</f>
        <v>0.0</v>
      </c>
      <c r="H16" s="9">
        <f>'1.11 TDD Cyber'!$I$13</f>
        <v>0.0</v>
      </c>
      <c r="I16" s="9">
        <f>'1.11 TDD Cyber'!$I$14</f>
        <v>0.0</v>
      </c>
      <c r="J16" s="9">
        <f>'1.11 TDD Cyber'!$E$9</f>
        <v>4.3145</v>
      </c>
    </row>
    <row r="17">
      <c r="B17" s="216" t="inlineStr">
        <is>
          <t>Total - all portfolios</t>
        </is>
      </c>
      <c r="C17" s="217">
        <f>SUM(C6:C16)</f>
        <v>35.5</v>
      </c>
      <c r="D17" s="217">
        <f>SUM(D6:D16)</f>
        <v>44.971500000000006</v>
      </c>
      <c r="E17" s="217">
        <f>SUM(E6:E16)</f>
        <v>-9.471499999999999</v>
      </c>
      <c r="F17" s="217" t="n"/>
      <c r="G17" s="217">
        <f>SUM(G6:G16)</f>
        <v>30.768</v>
      </c>
      <c r="H17" s="217">
        <f>SUM(H6:H16)</f>
        <v>7.68</v>
      </c>
      <c r="I17" s="217">
        <f>SUM(I6:I16)</f>
        <v>23.088</v>
      </c>
      <c r="J17" s="217">
        <f>SUM(J6:J16)</f>
        <v>75.7395</v>
      </c>
    </row>
    <row r="18">
      <c r="B18" s="8" t="inlineStr">
        <is>
          <t>COE - Strategy Architecture</t>
        </is>
      </c>
      <c r="C18" s="9">
        <f>'0.0 Data Config'!$E$6</f>
        <v>2.0</v>
      </c>
      <c r="D18" s="9">
        <f>'2.1 COE'!$D$8</f>
        <v>0.0</v>
      </c>
      <c r="E18" s="9">
        <f>C18-D18</f>
        <v>2.0</v>
      </c>
      <c r="F18" s="217" t="n"/>
      <c r="G18" s="9" t="n">
        <v>0</v>
      </c>
      <c r="H18" s="9">
        <f>'2.1 COE'!$E$8</f>
        <v>0.0</v>
      </c>
      <c r="I18" s="9">
        <f>'2.1 COE'!$F$8</f>
        <v>0.0</v>
      </c>
      <c r="J18" s="9">
        <f>'2.1 COE'!$G$8</f>
        <v>0.0</v>
      </c>
    </row>
    <row r="19">
      <c r="B19" s="8" t="inlineStr">
        <is>
          <t>COE - Cyber, Risk &amp; Service Ops (rolled into 1.11)</t>
        </is>
      </c>
      <c r="C19" s="9">
        <f>'0.0 Data Config'!$E$7</f>
        <v>0.0</v>
      </c>
      <c r="D19" s="9">
        <f>'2.1 COE'!$D$9</f>
        <v>0.0</v>
      </c>
      <c r="E19" s="9">
        <f>C19-D19</f>
        <v>0.0</v>
      </c>
      <c r="F19" s="217" t="n"/>
      <c r="G19" s="9" t="n">
        <v>0</v>
      </c>
      <c r="H19" s="9">
        <f>'2.1 COE'!$E$9</f>
        <v>0.0</v>
      </c>
      <c r="I19" s="9">
        <f>'2.1 COE'!$F$9</f>
        <v>0.0</v>
      </c>
      <c r="J19" s="9">
        <f>'2.1 COE'!$G$9</f>
        <v>0.0</v>
      </c>
    </row>
    <row r="20">
      <c r="B20" s="8" t="inlineStr">
        <is>
          <t>COE - Transformation</t>
        </is>
      </c>
      <c r="C20" s="9">
        <f>'0.0 Data Config'!$E$8</f>
        <v>2.0</v>
      </c>
      <c r="D20" s="9">
        <f>'2.1 COE'!$D$10</f>
        <v>0.0</v>
      </c>
      <c r="E20" s="9">
        <f>C20-D20</f>
        <v>2.0</v>
      </c>
      <c r="F20" s="217" t="n"/>
      <c r="G20" s="9" t="n">
        <v>0</v>
      </c>
      <c r="H20" s="9">
        <f>'2.1 COE'!$E$10</f>
        <v>0.0</v>
      </c>
      <c r="I20" s="9">
        <f>'2.1 COE'!$F$10</f>
        <v>0.0</v>
      </c>
      <c r="J20" s="9">
        <f>'2.1 COE'!$G$10</f>
        <v>0.0</v>
      </c>
    </row>
    <row r="21">
      <c r="B21" s="8" t="inlineStr">
        <is>
          <t>COE - Business Partnering</t>
        </is>
      </c>
      <c r="C21" s="9">
        <f>'0.0 Data Config'!$E$9</f>
        <v>2.0</v>
      </c>
      <c r="D21" s="9">
        <f>'2.1 COE'!$D$11</f>
        <v>0.0</v>
      </c>
      <c r="E21" s="9">
        <f>C21-D21</f>
        <v>2.0</v>
      </c>
      <c r="F21" s="217" t="n"/>
      <c r="G21" s="9" t="n">
        <v>0</v>
      </c>
      <c r="H21" s="9">
        <f>'2.1 COE'!$E$11</f>
        <v>0.0</v>
      </c>
      <c r="I21" s="9">
        <f>'2.1 COE'!$F$11</f>
        <v>0.0</v>
      </c>
      <c r="J21" s="9">
        <f>'2.1 COE'!$G$11</f>
        <v>0.0</v>
      </c>
    </row>
    <row r="22">
      <c r="B22" s="8" t="inlineStr">
        <is>
          <t>COE - Data</t>
        </is>
      </c>
      <c r="C22" s="9">
        <f>'0.0 Data Config'!$E$10</f>
        <v>2.0</v>
      </c>
      <c r="D22" s="9">
        <f>'2.1 COE'!$D$12</f>
        <v>0.0</v>
      </c>
      <c r="E22" s="9">
        <f>C22-D22</f>
        <v>2.0</v>
      </c>
      <c r="F22" s="217" t="n"/>
      <c r="G22" s="9" t="n">
        <v>0</v>
      </c>
      <c r="H22" s="9">
        <f>'2.1 COE'!$E$12</f>
        <v>0.0</v>
      </c>
      <c r="I22" s="9">
        <f>'2.1 COE'!$F$12</f>
        <v>0.0</v>
      </c>
      <c r="J22" s="9">
        <f>'2.1 COE'!$G$12</f>
        <v>0.0</v>
      </c>
    </row>
    <row r="23">
      <c r="B23" s="8" t="n"/>
      <c r="C23" s="9" t="n"/>
      <c r="D23" s="9" t="n"/>
      <c r="E23" s="9" t="n"/>
      <c r="F23" s="217" t="n"/>
      <c r="G23" s="9" t="n"/>
      <c r="H23" s="9" t="n"/>
      <c r="I23" s="9" t="n"/>
      <c r="J23" s="9" t="n"/>
    </row>
    <row r="24">
      <c r="B24" s="216" t="inlineStr">
        <is>
          <t>Total - portfolios + COEs</t>
        </is>
      </c>
      <c r="C24" s="217">
        <f>SUM(C17,C18,C19,C20,C21,C22)</f>
        <v>43.5</v>
      </c>
      <c r="D24" s="217">
        <f>SUM(D17,D18,D19,D20,D21,D22)</f>
        <v>44.971500000000006</v>
      </c>
      <c r="E24" s="217">
        <f>SUM(E17,E18,E19,E20,E21,E22)</f>
        <v>-1.471499999999999</v>
      </c>
      <c r="F24" s="217" t="n"/>
      <c r="G24" s="217">
        <f>SUM(G17,G18,G19,G20,G21,G22)</f>
        <v>30.768</v>
      </c>
      <c r="H24" s="217">
        <f>SUM(H17,H18,H19,H20,H21,H22)</f>
        <v>7.68</v>
      </c>
      <c r="I24" s="217">
        <f>SUM(I17,I18,I19,I20,I21,I22)</f>
        <v>23.088</v>
      </c>
      <c r="J24" s="217">
        <f>SUM(J17,J18,J19,J20,J21,J22)</f>
        <v>75.7395</v>
      </c>
    </row>
    <row r="25"/>
    <row r="27">
      <c r="B27" s="259" t="inlineStr">
        <is>
          <t>Reconciliation to Data Config TDD budget allocation</t>
        </is>
      </c>
      <c r="C27" s="251" t="n"/>
      <c r="D27" s="251" t="n"/>
      <c r="E27" s="251" t="n"/>
      <c r="F27" s="251" t="n"/>
      <c r="G27" s="251" t="n"/>
      <c r="H27" s="251" t="n"/>
      <c r="I27" s="251" t="n"/>
      <c r="J27" s="252" t="n"/>
    </row>
    <row r="28">
      <c r="B28" s="8" t="inlineStr">
        <is>
          <t>Portfolio budgets (above)</t>
        </is>
      </c>
      <c r="C28" s="9">
        <f>C17</f>
        <v>35.5</v>
      </c>
    </row>
    <row r="29">
      <c r="B29" s="8" t="inlineStr">
        <is>
          <t>COE allocations (2.1 COE)</t>
        </is>
      </c>
      <c r="C29" s="215">
        <f>'2.1 COE'!$C$13</f>
        <v>8.0</v>
      </c>
    </row>
    <row r="30">
      <c r="B30" s="216" t="inlineStr">
        <is>
          <t>Total allocation accounted for</t>
        </is>
      </c>
      <c r="C30" s="217">
        <f>C28+C29</f>
        <v>43.5</v>
      </c>
    </row>
    <row r="31">
      <c r="B31" s="8" t="inlineStr">
        <is>
          <t>Data Config total allocation</t>
        </is>
      </c>
      <c r="C31" s="215">
        <f>'0.0 Data Config'!$E$26</f>
        <v>43.5</v>
      </c>
    </row>
    <row r="32">
      <c r="B32" s="216" t="inlineStr">
        <is>
          <t>Check (should be 0)</t>
        </is>
      </c>
      <c r="C32" s="217">
        <f>C30-C31</f>
        <v>0.0</v>
      </c>
    </row>
    <row r="33">
      <c r="B33" s="8" t="inlineStr">
        <is>
          <t>Unallocated TDD budget (headroom)</t>
        </is>
      </c>
      <c r="C33" s="215">
        <f>'0.0 Data Config'!$E$27-'0.0 Data Config'!$E$26</f>
        <v>10.300000000000004</v>
      </c>
    </row>
    <row r="34">
      <c r="B34" s="253" t="inlineStr">
        <is>
          <t>Total TDD Lights On budget (Finance)</t>
        </is>
      </c>
      <c r="C34" s="254">
        <f>'0.0 Data Config'!$E$27</f>
        <v>53.800000000000004</v>
      </c>
    </row>
    <row r="35">
      <c r="B35" s="8" t="inlineStr">
        <is>
          <t>% of TDD budget allocated</t>
        </is>
      </c>
      <c r="C35" s="255">
        <f>C30/C34</f>
        <v>0.8085501858736058</v>
      </c>
    </row>
    <row r="37">
      <c r="B37" s="256" t="n"/>
    </row>
  </sheetData>
  <mergeCells count="2">
    <mergeCell ref="B25:J25"/>
    <mergeCell ref="B4:J4"/>
  </mergeCells>
  <conditionalFormatting sqref="E6:E24">
    <cfRule type="cellIs" priority="5" operator="greaterThanOrEqual" dxfId="48">
      <formula>0</formula>
    </cfRule>
    <cfRule type="cellIs" priority="6" operator="lessThan" dxfId="49">
      <formula>0</formula>
    </cfRule>
  </conditionalFormatting>
  <conditionalFormatting sqref="I6:I24">
    <cfRule type="cellIs" priority="7" operator="greaterThan" dxfId="49">
      <formula>0</formula>
    </cfRule>
    <cfRule type="cellIs" priority="8" operator="lessThanOrEqual" dxfId="48">
      <formula>0</formula>
    </cfRule>
  </conditionalFormatting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8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G23"/>
  <sheetViews>
    <sheetView showGridLines="0" topLeftCell="A2" zoomScaleNormal="100" workbookViewId="0">
      <selection activeCell="T16" sqref="T16"/>
    </sheetView>
  </sheetViews>
  <sheetFormatPr baseColWidth="8" defaultColWidth="8.54296875" defaultRowHeight="14.5"/>
  <cols>
    <col width="34" customWidth="1" style="302" min="2" max="2"/>
    <col width="22" customWidth="1" style="302" min="3" max="3"/>
    <col width="20" customWidth="1" style="302" min="4" max="4"/>
    <col width="16" customWidth="1" style="302" min="5" max="6"/>
  </cols>
  <sheetData>
    <row r="2" ht="21" customHeight="1" s="302">
      <c r="B2" s="212" t="inlineStr">
        <is>
          <t>COE Budget View</t>
        </is>
      </c>
    </row>
    <row r="6">
      <c r="B6" s="259" t="inlineStr">
        <is>
          <t>COE Budgets</t>
        </is>
      </c>
      <c r="C6" s="251" t="n"/>
      <c r="D6" s="251" t="n"/>
      <c r="E6" s="252" t="n"/>
    </row>
    <row r="7">
      <c r="B7" s="5" t="inlineStr">
        <is>
          <t>COE</t>
        </is>
      </c>
      <c r="C7" s="5" t="inlineStr">
        <is>
          <t>TDD Lights On Budget ($m)</t>
        </is>
      </c>
      <c r="D7" s="5" t="inlineStr">
        <is>
          <t>Planned spend ($m)</t>
        </is>
      </c>
      <c r="E7" s="5" t="inlineStr">
        <is>
          <t>Funded ($m)</t>
        </is>
      </c>
      <c r="F7" s="5" t="inlineStr">
        <is>
          <t>Left to fund ($m)</t>
        </is>
      </c>
      <c r="G7" s="5" t="inlineStr">
        <is>
          <t>Total cost ($m)</t>
        </is>
      </c>
    </row>
    <row r="8">
      <c r="B8" s="8" t="inlineStr">
        <is>
          <t>COE - Strategy Architecture</t>
        </is>
      </c>
      <c r="C8" s="215">
        <f>'0.0 Data Config'!$E$6</f>
        <v>2.0</v>
      </c>
      <c r="D8" s="362" t="n">
        <v>0</v>
      </c>
      <c r="E8" s="362" t="n">
        <v>0</v>
      </c>
      <c r="F8" s="215">
        <f>D8-E8</f>
        <v>0.0</v>
      </c>
      <c r="G8" s="215">
        <f>D8</f>
        <v>0.0</v>
      </c>
    </row>
    <row r="9">
      <c r="B9" s="8" t="inlineStr">
        <is>
          <t>COE - Cyber, Risk &amp; Service Ops (rolled into 1.11)</t>
        </is>
      </c>
      <c r="C9" s="215">
        <f>'0.0 Data Config'!$E$7</f>
        <v>0.0</v>
      </c>
      <c r="D9" s="362" t="n">
        <v>0</v>
      </c>
      <c r="E9" s="362" t="n">
        <v>0</v>
      </c>
      <c r="F9" s="215">
        <f>D9-E9</f>
        <v>0.0</v>
      </c>
      <c r="G9" s="215">
        <f>D9</f>
        <v>0.0</v>
      </c>
    </row>
    <row r="10">
      <c r="B10" s="8" t="inlineStr">
        <is>
          <t>COE - Transformation</t>
        </is>
      </c>
      <c r="C10" s="215">
        <f>'0.0 Data Config'!$E$8</f>
        <v>2.0</v>
      </c>
      <c r="D10" s="362" t="n">
        <v>0</v>
      </c>
      <c r="E10" s="362" t="n">
        <v>0</v>
      </c>
      <c r="F10" s="215">
        <f>D10-E10</f>
        <v>0.0</v>
      </c>
      <c r="G10" s="215">
        <f>D10</f>
        <v>0.0</v>
      </c>
    </row>
    <row r="11">
      <c r="B11" s="8" t="inlineStr">
        <is>
          <t>COE - Business Partnering</t>
        </is>
      </c>
      <c r="C11" s="215">
        <f>'0.0 Data Config'!$E$9</f>
        <v>2.0</v>
      </c>
      <c r="D11" s="362" t="n">
        <v>0</v>
      </c>
      <c r="E11" s="362" t="n">
        <v>0</v>
      </c>
      <c r="F11" s="215">
        <f>D11-E11</f>
        <v>0.0</v>
      </c>
      <c r="G11" s="215">
        <f>D11</f>
        <v>0.0</v>
      </c>
    </row>
    <row r="12">
      <c r="B12" s="8" t="inlineStr">
        <is>
          <t>COE - Data</t>
        </is>
      </c>
      <c r="C12" s="215">
        <f>'0.0 Data Config'!$E$10</f>
        <v>2.0</v>
      </c>
      <c r="D12" s="362" t="n">
        <v>0</v>
      </c>
      <c r="E12" s="362" t="n">
        <v>0</v>
      </c>
      <c r="F12" s="215">
        <f>D12-E12</f>
        <v>0.0</v>
      </c>
      <c r="G12" s="215">
        <f>D12</f>
        <v>0.0</v>
      </c>
    </row>
    <row r="13">
      <c r="B13" s="216" t="inlineStr">
        <is>
          <t>Total</t>
        </is>
      </c>
      <c r="C13" s="217">
        <f>SUM(C8:C12)</f>
        <v>8.0</v>
      </c>
      <c r="D13" s="217">
        <f>SUM(D8:D12)</f>
        <v>0.0</v>
      </c>
      <c r="E13" s="217">
        <f>SUM(E8:E12)</f>
        <v>0.0</v>
      </c>
      <c r="F13" s="217">
        <f>SUM(F8:F12)</f>
        <v>0.0</v>
      </c>
      <c r="G13" s="217">
        <f>SUM(G8:G12)</f>
        <v>0.0</v>
      </c>
    </row>
    <row r="16">
      <c r="B16" s="259" t="inlineStr">
        <is>
          <t>TDD Corporate funding pool ($m)</t>
        </is>
      </c>
      <c r="C16" s="251" t="n"/>
      <c r="D16" s="251" t="n"/>
      <c r="E16" s="252" t="n"/>
    </row>
    <row r="17">
      <c r="B17" s="5" t="inlineStr">
        <is>
          <t>Funding line</t>
        </is>
      </c>
      <c r="C17" s="5" t="inlineStr">
        <is>
          <t>Pool ($m)</t>
        </is>
      </c>
      <c r="D17" s="5" t="inlineStr">
        <is>
          <t>Drawn ($m)</t>
        </is>
      </c>
      <c r="E17" s="5" t="inlineStr">
        <is>
          <t>Remaining ($m)</t>
        </is>
      </c>
    </row>
    <row r="18">
      <c r="B18" s="8" t="inlineStr">
        <is>
          <t>OpEx Initiatives</t>
        </is>
      </c>
      <c r="C18" s="215">
        <f>'0.4 Budget Table (Fin)'!$N$5</f>
        <v>3.0</v>
      </c>
      <c r="D18" s="230" t="n">
        <v>0</v>
      </c>
      <c r="E18" s="215">
        <f>C18-D18</f>
        <v>3.0</v>
      </c>
    </row>
    <row r="19">
      <c r="B19" s="8" t="inlineStr">
        <is>
          <t>Significant Items</t>
        </is>
      </c>
      <c r="C19" s="215">
        <f>'0.4 Budget Table (Fin)'!$O$5</f>
        <v>20.2</v>
      </c>
      <c r="D19" s="215">
        <f>'1.3 Enterprise Data'!$I$13+'1.4 TDD Group Functions'!$I$13+'1.11 TDD Cyber'!$I$13</f>
        <v>0.0</v>
      </c>
      <c r="E19" s="215">
        <f>C19-D19</f>
        <v>20.2</v>
      </c>
    </row>
    <row r="20">
      <c r="B20" s="8" t="inlineStr">
        <is>
          <t>CapEx</t>
        </is>
      </c>
      <c r="C20" s="215">
        <f>'0.4 Budget Table (Fin)'!$P$5</f>
        <v>4.9</v>
      </c>
      <c r="D20" s="215">
        <f>'1.9 Commercial Fuels'!$I$15</f>
        <v>0.0</v>
      </c>
      <c r="E20" s="215">
        <f>C20-D20</f>
        <v>4.9</v>
      </c>
    </row>
    <row r="21">
      <c r="B21" s="216" t="inlineStr">
        <is>
          <t>Total</t>
        </is>
      </c>
      <c r="C21" s="217">
        <f>SUM(C18:C20)</f>
        <v>28.1</v>
      </c>
      <c r="D21" s="217">
        <f>SUM(D18:D20)</f>
        <v>0.0</v>
      </c>
      <c r="E21" s="217">
        <f>SUM(E18:E20)</f>
        <v>28.1</v>
      </c>
    </row>
    <row r="23">
      <c r="B23" s="256" t="n"/>
    </row>
  </sheetData>
  <mergeCells count="1">
    <mergeCell ref="B6:E6"/>
  </mergeCell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9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L94"/>
  <sheetViews>
    <sheetView showGridLines="0" workbookViewId="0">
      <selection activeCell="A1" sqref="A1"/>
    </sheetView>
  </sheetViews>
  <sheetFormatPr baseColWidth="8" defaultRowHeight="15"/>
  <cols>
    <col width="3" customWidth="1" style="302" min="1" max="1"/>
    <col width="22" customWidth="1" style="302" min="2" max="2"/>
    <col width="26" customWidth="1" style="302" min="3" max="3"/>
    <col width="28" customWidth="1" style="302" min="4" max="4"/>
    <col width="26" customWidth="1" style="302" min="5" max="5"/>
    <col width="6" customWidth="1" style="302" min="6" max="6"/>
    <col width="15" customWidth="1" style="302" min="7" max="7"/>
    <col width="8" customWidth="1" style="302" min="8" max="8"/>
    <col width="8" customWidth="1" style="302" min="9" max="9"/>
    <col width="11" customWidth="1" style="302" min="10" max="10"/>
    <col width="16" customWidth="1" style="302" min="11" max="11"/>
    <col width="16" customWidth="1" style="302" min="12" max="12"/>
  </cols>
  <sheetData>
    <row r="2" ht="21" customHeight="1" s="302">
      <c r="B2" s="212" t="inlineStr">
        <is>
          <t>FTE View - archetypes vs actual org</t>
        </is>
      </c>
    </row>
    <row r="4">
      <c r="B4" s="259" t="inlineStr">
        <is>
          <t>Modelled squads - archetype vs org data (live: archetype follows the tab dropdowns; counts follow raw data cols N-R)</t>
        </is>
      </c>
      <c r="C4" s="251" t="n"/>
      <c r="D4" s="251" t="n"/>
      <c r="E4" s="251" t="n"/>
      <c r="F4" s="251" t="n"/>
      <c r="G4" s="251" t="n"/>
      <c r="H4" s="251" t="n"/>
      <c r="I4" s="251" t="n"/>
      <c r="J4" s="251" t="n"/>
      <c r="K4" s="251" t="n"/>
      <c r="L4" s="252" t="n"/>
    </row>
    <row r="5">
      <c r="B5" s="5" t="inlineStr">
        <is>
          <t>Portfolio</t>
        </is>
      </c>
      <c r="C5" s="5" t="inlineStr">
        <is>
          <t>Platform</t>
        </is>
      </c>
      <c r="D5" s="5" t="inlineStr">
        <is>
          <t>Squad</t>
        </is>
      </c>
      <c r="E5" s="5" t="inlineStr">
        <is>
          <t>Squad Type</t>
        </is>
      </c>
      <c r="F5" s="5" t="inlineStr">
        <is>
          <t>Size</t>
        </is>
      </c>
      <c r="G5" s="5" t="inlineStr">
        <is>
          <t>Archetype FTE</t>
        </is>
      </c>
      <c r="H5" s="5" t="inlineStr">
        <is>
          <t>Filled</t>
        </is>
      </c>
      <c r="I5" s="5" t="inlineStr">
        <is>
          <t>Vacant</t>
        </is>
      </c>
      <c r="J5" s="5" t="inlineStr">
        <is>
          <t>Total seats</t>
        </is>
      </c>
      <c r="K5" s="5" t="inlineStr">
        <is>
          <t>Seats vs archetype</t>
        </is>
      </c>
      <c r="L5" s="5" t="inlineStr">
        <is>
          <t>Archetype cost ($m)</t>
        </is>
      </c>
    </row>
    <row r="6">
      <c r="B6" s="8" t="inlineStr">
        <is>
          <t>Ampol Retail</t>
        </is>
      </c>
      <c r="C6" s="8" t="inlineStr">
        <is>
          <t>Store Operations</t>
        </is>
      </c>
      <c r="D6" s="8" t="inlineStr">
        <is>
          <t>POS</t>
        </is>
      </c>
      <c r="E6" s="8" t="str">
        <f>'1.1 Ampol Retail'!$C$23</f>
        <v>Configuration / Integration</v>
      </c>
      <c r="F6" s="8" t="str">
        <f>'1.1 Ampol Retail'!$D$23</f>
        <v>M</v>
      </c>
      <c r="G6" s="8">
        <f>IFERROR(INDEX('0.1 Squads'!$F$5:$F$23,MATCH('1.1 Ampol Retail'!$C$23&amp;"|"&amp;'1.1 Ampol Retail'!$D$23,'0.1 Squads'!$A$5:$A$23,0)),"-")</f>
        <v>9.0</v>
      </c>
      <c r="H6" s="8">
        <f>COUNTIFS('raw data'!$N:$N,"Ampol Retail",'raw data'!$P:$P,"POS",'raw data'!$R:$R,"Filled")</f>
        <v>0.0</v>
      </c>
      <c r="I6" s="8">
        <f>COUNTIFS('raw data'!$N:$N,"Ampol Retail",'raw data'!$P:$P,"POS",'raw data'!$R:$R,"Vacant")</f>
        <v>7.0</v>
      </c>
      <c r="J6" s="8">
        <f>H6+I6</f>
        <v>7.0</v>
      </c>
      <c r="K6" s="8">
        <f>IFERROR(J6-G6,"-")</f>
        <v>-2.0</v>
      </c>
      <c r="L6" s="9">
        <f>'1.1 Ampol Retail'!$G$23</f>
        <v>1.4</v>
      </c>
    </row>
    <row r="7">
      <c r="B7" s="8" t="inlineStr">
        <is>
          <t>Ampol Retail</t>
        </is>
      </c>
      <c r="C7" s="8" t="inlineStr">
        <is>
          <t>Store Operations</t>
        </is>
      </c>
      <c r="D7" s="8" t="inlineStr">
        <is>
          <t>Payments</t>
        </is>
      </c>
      <c r="E7" s="8" t="str">
        <f>'1.1 Ampol Retail'!$C$24</f>
        <v>Configuration / Integration</v>
      </c>
      <c r="F7" s="8" t="str">
        <f>'1.1 Ampol Retail'!$D$24</f>
        <v>S</v>
      </c>
      <c r="G7" s="8">
        <f>IFERROR(INDEX('0.1 Squads'!$F$5:$F$23,MATCH('1.1 Ampol Retail'!$C$24&amp;"|"&amp;'1.1 Ampol Retail'!$D$24,'0.1 Squads'!$A$5:$A$23,0)),"-")</f>
        <v>6.0</v>
      </c>
      <c r="H7" s="8">
        <f>COUNTIFS('raw data'!$N:$N,"Ampol Retail",'raw data'!$P:$P,"Payments",'raw data'!$R:$R,"Filled")</f>
        <v>3.0</v>
      </c>
      <c r="I7" s="8">
        <f>COUNTIFS('raw data'!$N:$N,"Ampol Retail",'raw data'!$P:$P,"Payments",'raw data'!$R:$R,"Vacant")</f>
        <v>1.0</v>
      </c>
      <c r="J7" s="8">
        <f>H7+I7</f>
        <v>4.0</v>
      </c>
      <c r="K7" s="8">
        <f>IFERROR(J7-G7,"-")</f>
        <v>-2.0</v>
      </c>
      <c r="L7" s="9">
        <f>'1.1 Ampol Retail'!$G$24</f>
        <v>0.4</v>
      </c>
    </row>
    <row r="8">
      <c r="B8" s="8" t="inlineStr">
        <is>
          <t>Ampol Retail</t>
        </is>
      </c>
      <c r="C8" s="8" t="inlineStr">
        <is>
          <t>Store Operations</t>
        </is>
      </c>
      <c r="D8" s="8" t="inlineStr">
        <is>
          <t>Store Operations</t>
        </is>
      </c>
      <c r="E8" s="8" t="str">
        <f>'1.1 Ampol Retail'!$C$25</f>
        <v>Operations</v>
      </c>
      <c r="F8" s="8" t="str">
        <f>'1.1 Ampol Retail'!$D$25</f>
        <v>M</v>
      </c>
      <c r="G8" s="8">
        <f>IFERROR(INDEX('0.1 Squads'!$F$5:$F$23,MATCH('1.1 Ampol Retail'!$C$25&amp;"|"&amp;'1.1 Ampol Retail'!$D$25,'0.1 Squads'!$A$5:$A$23,0)),"-")</f>
        <v>6.0</v>
      </c>
      <c r="H8" s="8">
        <f>COUNTIFS('raw data'!$N:$N,"Ampol Retail",'raw data'!$P:$P,"Store Operations",'raw data'!$R:$R,"Filled")</f>
        <v>7.0</v>
      </c>
      <c r="I8" s="8">
        <f>COUNTIFS('raw data'!$N:$N,"Ampol Retail",'raw data'!$P:$P,"Store Operations",'raw data'!$R:$R,"Vacant")</f>
        <v>1.0</v>
      </c>
      <c r="J8" s="8">
        <f>H8+I8</f>
        <v>8.0</v>
      </c>
      <c r="K8" s="8">
        <f>IFERROR(J8-G8,"-")</f>
        <v>2.0</v>
      </c>
      <c r="L8" s="9">
        <f>'1.1 Ampol Retail'!$G$25</f>
        <v>1.4</v>
      </c>
    </row>
    <row r="9">
      <c r="B9" s="8" t="inlineStr">
        <is>
          <t>Ampol Retail</t>
        </is>
      </c>
      <c r="C9" s="8" t="inlineStr">
        <is>
          <t>Store Operations</t>
        </is>
      </c>
      <c r="D9" s="8" t="inlineStr">
        <is>
          <t>Deployment</t>
        </is>
      </c>
      <c r="E9" s="8" t="str">
        <f>'1.1 Ampol Retail'!$C$26</f>
        <v>Configuration / Integration</v>
      </c>
      <c r="F9" s="8" t="str">
        <f>'1.1 Ampol Retail'!$D$26</f>
        <v>M</v>
      </c>
      <c r="G9" s="8">
        <f>IFERROR(INDEX('0.1 Squads'!$F$5:$F$23,MATCH('1.1 Ampol Retail'!$C$26&amp;"|"&amp;'1.1 Ampol Retail'!$D$26,'0.1 Squads'!$A$5:$A$23,0)),"-")</f>
        <v>9.0</v>
      </c>
      <c r="H9" s="8">
        <f>COUNTIFS('raw data'!$N:$N,"Ampol Retail",'raw data'!$P:$P,"Deployment",'raw data'!$R:$R,"Filled")</f>
        <v>5.0</v>
      </c>
      <c r="I9" s="8">
        <f>COUNTIFS('raw data'!$N:$N,"Ampol Retail",'raw data'!$P:$P,"Deployment",'raw data'!$R:$R,"Vacant")</f>
        <v>0.0</v>
      </c>
      <c r="J9" s="8">
        <f>H9+I9</f>
        <v>5.0</v>
      </c>
      <c r="K9" s="8">
        <f>IFERROR(J9-G9,"-")</f>
        <v>-4.0</v>
      </c>
      <c r="L9" s="9">
        <f>'1.1 Ampol Retail'!$G$26</f>
        <v>1.4</v>
      </c>
    </row>
    <row r="10">
      <c r="B10" s="8" t="inlineStr">
        <is>
          <t>Ampol Retail</t>
        </is>
      </c>
      <c r="C10" s="8" t="inlineStr">
        <is>
          <t>Above Store</t>
        </is>
      </c>
      <c r="D10" s="8" t="inlineStr">
        <is>
          <t>Above Store</t>
        </is>
      </c>
      <c r="E10" s="8" t="str">
        <f>'1.1 Ampol Retail'!$C$32</f>
        <v>Configuration / Integration</v>
      </c>
      <c r="F10" s="8" t="str">
        <f>'1.1 Ampol Retail'!$D$32</f>
        <v>L</v>
      </c>
      <c r="G10" s="8">
        <f>IFERROR(INDEX('0.1 Squads'!$F$5:$F$23,MATCH('1.1 Ampol Retail'!$C$32&amp;"|"&amp;'1.1 Ampol Retail'!$D$32,'0.1 Squads'!$A$5:$A$23,0)),"-")</f>
        <v>14.0</v>
      </c>
      <c r="H10" s="8">
        <f>COUNTIFS('raw data'!$N:$N,"Ampol Retail",'raw data'!$P:$P,"Above Store",'raw data'!$R:$R,"Filled")</f>
        <v>11.0</v>
      </c>
      <c r="I10" s="8">
        <f>COUNTIFS('raw data'!$N:$N,"Ampol Retail",'raw data'!$P:$P,"Above Store",'raw data'!$R:$R,"Vacant")</f>
        <v>11.0</v>
      </c>
      <c r="J10" s="8">
        <f>H10+I10</f>
        <v>22.0</v>
      </c>
      <c r="K10" s="8">
        <f>IFERROR(J10-G10,"-")</f>
        <v>8.0</v>
      </c>
      <c r="L10" s="9">
        <f>'1.1 Ampol Retail'!$G$32</f>
        <v>2.1</v>
      </c>
    </row>
    <row r="11">
      <c r="B11" s="8" t="inlineStr">
        <is>
          <t>Ampol Retail</t>
        </is>
      </c>
      <c r="C11" s="8" t="inlineStr">
        <is>
          <t>AmPOS</t>
        </is>
      </c>
      <c r="D11" s="8" t="inlineStr">
        <is>
          <t>AmPOS</t>
        </is>
      </c>
      <c r="E11" s="8" t="str">
        <f>'1.1 Ampol Retail'!$C$46</f>
        <v>Strategic Programs</v>
      </c>
      <c r="F11" s="8">
        <f>'1.1 Ampol Retail'!$D$46</f>
        <v>0.0</v>
      </c>
      <c r="G11" s="8" t="str">
        <f>IFERROR(INDEX('0.1 Squads'!$F$5:$F$23,MATCH('1.1 Ampol Retail'!$C$46&amp;"|"&amp;'1.1 Ampol Retail'!$D$46,'0.1 Squads'!$A$5:$A$23,0)),"-")</f>
        <v>-</v>
      </c>
      <c r="H11" s="8">
        <f>COUNTIFS('raw data'!$N:$N,"Ampol Retail",'raw data'!$P:$P,"AmPOS",'raw data'!$R:$R,"Filled")</f>
        <v>10.0</v>
      </c>
      <c r="I11" s="8">
        <f>COUNTIFS('raw data'!$N:$N,"Ampol Retail",'raw data'!$P:$P,"AmPOS",'raw data'!$R:$R,"Vacant")</f>
        <v>0.0</v>
      </c>
      <c r="J11" s="8">
        <f>H11+I11</f>
        <v>10.0</v>
      </c>
      <c r="K11" s="8" t="str">
        <f>IFERROR(J11-G11,"-")</f>
        <v>-</v>
      </c>
      <c r="L11" s="9">
        <f>'1.1 Ampol Retail'!$G$46</f>
        <v>0.0</v>
      </c>
    </row>
    <row r="12">
      <c r="B12" s="8" t="inlineStr">
        <is>
          <t>Ampol Retail</t>
        </is>
      </c>
      <c r="C12" s="8" t="inlineStr">
        <is>
          <t>Network / QSR</t>
        </is>
      </c>
      <c r="D12" s="8" t="inlineStr">
        <is>
          <t>Network / QSR</t>
        </is>
      </c>
      <c r="E12" s="8" t="str">
        <f>'1.1 Ampol Retail'!$C$52</f>
        <v>Configuration / Integration</v>
      </c>
      <c r="F12" s="8" t="str">
        <f>'1.1 Ampol Retail'!$D$52</f>
        <v>M</v>
      </c>
      <c r="G12" s="8">
        <f>IFERROR(INDEX('0.1 Squads'!$F$5:$F$23,MATCH('1.1 Ampol Retail'!$C$52&amp;"|"&amp;'1.1 Ampol Retail'!$D$52,'0.1 Squads'!$A$5:$A$23,0)),"-")</f>
        <v>9.0</v>
      </c>
      <c r="H12" s="8">
        <f>COUNTIFS('raw data'!$N:$N,"Ampol Retail",'raw data'!$P:$P,"Network / QSR",'raw data'!$R:$R,"Filled")</f>
        <v>5.0</v>
      </c>
      <c r="I12" s="8">
        <f>COUNTIFS('raw data'!$N:$N,"Ampol Retail",'raw data'!$P:$P,"Network / QSR",'raw data'!$R:$R,"Vacant")</f>
        <v>3.0</v>
      </c>
      <c r="J12" s="8">
        <f>H12+I12</f>
        <v>8.0</v>
      </c>
      <c r="K12" s="8">
        <f>IFERROR(J12-G12,"-")</f>
        <v>-1.0</v>
      </c>
      <c r="L12" s="9">
        <f>'1.1 Ampol Retail'!$G$52</f>
        <v>1.4</v>
      </c>
    </row>
    <row r="13">
      <c r="B13" s="8" t="inlineStr">
        <is>
          <t>Ampol Retail</t>
        </is>
      </c>
      <c r="C13" s="8" t="inlineStr">
        <is>
          <t>Data AU</t>
        </is>
      </c>
      <c r="D13" s="8" t="inlineStr">
        <is>
          <t>Data AU</t>
        </is>
      </c>
      <c r="E13" s="8" t="str">
        <f>'1.1 Ampol Retail'!$C$58</f>
        <v>Enterprise Data and Insights</v>
      </c>
      <c r="F13" s="8" t="str">
        <f>'1.1 Ampol Retail'!$D$58</f>
        <v>M</v>
      </c>
      <c r="G13" s="8">
        <f>IFERROR(INDEX('0.1 Squads'!$F$5:$F$23,MATCH('1.1 Ampol Retail'!$C$58&amp;"|"&amp;'1.1 Ampol Retail'!$D$58,'0.1 Squads'!$A$5:$A$23,0)),"-")</f>
        <v>7.5</v>
      </c>
      <c r="H13" s="8">
        <f>COUNTIFS('raw data'!$N:$N,"Ampol Retail",'raw data'!$P:$P,"Data AU",'raw data'!$R:$R,"Filled")</f>
        <v>0.0</v>
      </c>
      <c r="I13" s="8">
        <f>COUNTIFS('raw data'!$N:$N,"Ampol Retail",'raw data'!$P:$P,"Data AU",'raw data'!$R:$R,"Vacant")</f>
        <v>5.0</v>
      </c>
      <c r="J13" s="8">
        <f>H13+I13</f>
        <v>5.0</v>
      </c>
      <c r="K13" s="8">
        <f>IFERROR(J13-G13,"-")</f>
        <v>-2.5</v>
      </c>
      <c r="L13" s="9">
        <f>'1.1 Ampol Retail'!$G$58</f>
        <v>0.68</v>
      </c>
    </row>
    <row r="14">
      <c r="B14" s="8" t="inlineStr">
        <is>
          <t>Ampol Retail</t>
        </is>
      </c>
      <c r="C14" s="8" t="inlineStr">
        <is>
          <t>EGI Retail</t>
        </is>
      </c>
      <c r="D14" s="8" t="inlineStr">
        <is>
          <t>EGI Retail</t>
        </is>
      </c>
      <c r="E14" s="8" t="str">
        <f>'1.1 Ampol Retail'!$C$64</f>
        <v>Strategic Programs</v>
      </c>
      <c r="F14" s="8">
        <f>'1.1 Ampol Retail'!$D$64</f>
        <v>0.0</v>
      </c>
      <c r="G14" s="8" t="str">
        <f>IFERROR(INDEX('0.1 Squads'!$F$5:$F$23,MATCH('1.1 Ampol Retail'!$C$64&amp;"|"&amp;'1.1 Ampol Retail'!$D$64,'0.1 Squads'!$A$5:$A$23,0)),"-")</f>
        <v>-</v>
      </c>
      <c r="H14" s="8">
        <f>COUNTIFS('raw data'!$N:$N,"Ampol Retail",'raw data'!$P:$P,"EGI Retail",'raw data'!$R:$R,"Filled")</f>
        <v>6.0</v>
      </c>
      <c r="I14" s="8">
        <f>COUNTIFS('raw data'!$N:$N,"Ampol Retail",'raw data'!$P:$P,"EGI Retail",'raw data'!$R:$R,"Vacant")</f>
        <v>0.0</v>
      </c>
      <c r="J14" s="8">
        <f>H14+I14</f>
        <v>6.0</v>
      </c>
      <c r="K14" s="8" t="str">
        <f>IFERROR(J14-G14,"-")</f>
        <v>-</v>
      </c>
      <c r="L14" s="9">
        <f>'1.1 Ampol Retail'!$G$64</f>
        <v>0.0</v>
      </c>
    </row>
    <row r="15">
      <c r="B15" s="8" t="inlineStr">
        <is>
          <t>Customer</t>
        </is>
      </c>
      <c r="C15" s="8" t="inlineStr">
        <is>
          <t>Ampol Digital</t>
        </is>
      </c>
      <c r="D15" s="8" t="inlineStr">
        <is>
          <t>Ampol App</t>
        </is>
      </c>
      <c r="E15" s="8" t="str">
        <f>'1.2 Customer'!$C$29</f>
        <v>Product</v>
      </c>
      <c r="F15" s="8" t="str">
        <f>'1.2 Customer'!$D$29</f>
        <v>L</v>
      </c>
      <c r="G15" s="8">
        <f>IFERROR(INDEX('0.1 Squads'!$F$5:$F$23,MATCH('1.2 Customer'!$C$29&amp;"|"&amp;'1.2 Customer'!$D$29,'0.1 Squads'!$A$5:$A$23,0)),"-")</f>
        <v>12.0</v>
      </c>
      <c r="H15" s="8">
        <f>COUNTIFS('raw data'!$N:$N,"Customer",'raw data'!$P:$P,"Ampol App",'raw data'!$R:$R,"Filled")</f>
        <v>13.0</v>
      </c>
      <c r="I15" s="8">
        <f>COUNTIFS('raw data'!$N:$N,"Customer",'raw data'!$P:$P,"Ampol App",'raw data'!$R:$R,"Vacant")</f>
        <v>1.0</v>
      </c>
      <c r="J15" s="8">
        <f>H15+I15</f>
        <v>14.0</v>
      </c>
      <c r="K15" s="8">
        <f>IFERROR(J15-G15,"-")</f>
        <v>2.0</v>
      </c>
      <c r="L15" s="9">
        <f>'1.2 Customer'!$G$29</f>
        <v>2.8</v>
      </c>
    </row>
    <row r="16">
      <c r="B16" s="8" t="inlineStr">
        <is>
          <t>Customer</t>
        </is>
      </c>
      <c r="C16" s="8" t="inlineStr">
        <is>
          <t>Ampol Digital</t>
        </is>
      </c>
      <c r="D16" s="8" t="inlineStr">
        <is>
          <t>Ampol Web</t>
        </is>
      </c>
      <c r="E16" s="8" t="str">
        <f>'1.2 Customer'!$C$30</f>
        <v>Product</v>
      </c>
      <c r="F16" s="8" t="str">
        <f>'1.2 Customer'!$D$30</f>
        <v>M</v>
      </c>
      <c r="G16" s="8">
        <f>IFERROR(INDEX('0.1 Squads'!$F$5:$F$23,MATCH('1.2 Customer'!$C$30&amp;"|"&amp;'1.2 Customer'!$D$30,'0.1 Squads'!$A$5:$A$23,0)),"-")</f>
        <v>8.5</v>
      </c>
      <c r="H16" s="8">
        <f>COUNTIFS('raw data'!$N:$N,"Customer",'raw data'!$P:$P,"Ampol Web",'raw data'!$R:$R,"Filled")</f>
        <v>9.0</v>
      </c>
      <c r="I16" s="8">
        <f>COUNTIFS('raw data'!$N:$N,"Customer",'raw data'!$P:$P,"Ampol Web",'raw data'!$R:$R,"Vacant")</f>
        <v>1.0</v>
      </c>
      <c r="J16" s="8">
        <f>H16+I16</f>
        <v>10.0</v>
      </c>
      <c r="K16" s="8">
        <f>IFERROR(J16-G16,"-")</f>
        <v>1.5</v>
      </c>
      <c r="L16" s="9">
        <f>'1.2 Customer'!$G$30</f>
        <v>1.9</v>
      </c>
    </row>
    <row r="17">
      <c r="B17" s="8" t="inlineStr">
        <is>
          <t>Customer</t>
        </is>
      </c>
      <c r="C17" s="8" t="inlineStr">
        <is>
          <t>Ampol Digital</t>
        </is>
      </c>
      <c r="D17" s="8" t="inlineStr">
        <is>
          <t>Digital Operations</t>
        </is>
      </c>
      <c r="E17" s="8" t="str">
        <f>'1.2 Customer'!$C$31</f>
        <v>Operations</v>
      </c>
      <c r="F17" s="8" t="str">
        <f>'1.2 Customer'!$D$31</f>
        <v>M</v>
      </c>
      <c r="G17" s="8">
        <f>IFERROR(INDEX('0.1 Squads'!$F$5:$F$23,MATCH('1.2 Customer'!$C$31&amp;"|"&amp;'1.2 Customer'!$D$31,'0.1 Squads'!$A$5:$A$23,0)),"-")</f>
        <v>6.0</v>
      </c>
      <c r="H17" s="8">
        <f>COUNTIFS('raw data'!$N:$N,"Customer",'raw data'!$P:$P,"Digital Operations",'raw data'!$R:$R,"Filled")</f>
        <v>4.0</v>
      </c>
      <c r="I17" s="8">
        <f>COUNTIFS('raw data'!$N:$N,"Customer",'raw data'!$P:$P,"Digital Operations",'raw data'!$R:$R,"Vacant")</f>
        <v>3.0</v>
      </c>
      <c r="J17" s="8">
        <f>H17+I17</f>
        <v>7.0</v>
      </c>
      <c r="K17" s="8">
        <f>IFERROR(J17-G17,"-")</f>
        <v>1.0</v>
      </c>
      <c r="L17" s="9">
        <f>'1.2 Customer'!$G$31</f>
        <v>1.4</v>
      </c>
    </row>
    <row r="18">
      <c r="B18" s="8" t="inlineStr">
        <is>
          <t>Customer</t>
        </is>
      </c>
      <c r="C18" s="8" t="inlineStr">
        <is>
          <t>Customer Z</t>
        </is>
      </c>
      <c r="D18" s="8" t="inlineStr">
        <is>
          <t>Z Energy Apps</t>
        </is>
      </c>
      <c r="E18" s="8" t="str">
        <f>'1.2 Customer'!$C$37</f>
        <v>Product</v>
      </c>
      <c r="F18" s="8" t="str">
        <f>'1.2 Customer'!$D$37</f>
        <v>S</v>
      </c>
      <c r="G18" s="8">
        <f>IFERROR(INDEX('0.1 Squads'!$F$5:$F$23,MATCH('1.2 Customer'!$C$37&amp;"|"&amp;'1.2 Customer'!$D$37,'0.1 Squads'!$A$5:$A$23,0)),"-")</f>
        <v>5.5</v>
      </c>
      <c r="H18" s="8">
        <f>COUNTIFS('raw data'!$N:$N,"Customer",'raw data'!$P:$P,"Z Energy Apps",'raw data'!$R:$R,"Filled")</f>
        <v>5.0</v>
      </c>
      <c r="I18" s="8">
        <f>COUNTIFS('raw data'!$N:$N,"Customer",'raw data'!$P:$P,"Z Energy Apps",'raw data'!$R:$R,"Vacant")</f>
        <v>0.0</v>
      </c>
      <c r="J18" s="8">
        <f>H18+I18</f>
        <v>5.0</v>
      </c>
      <c r="K18" s="8">
        <f>IFERROR(J18-G18,"-")</f>
        <v>-0.5</v>
      </c>
      <c r="L18" s="9">
        <f>'1.2 Customer'!$G$37</f>
        <v>1.3</v>
      </c>
    </row>
    <row r="19">
      <c r="B19" s="8" t="inlineStr">
        <is>
          <t>Customer</t>
        </is>
      </c>
      <c r="C19" s="8" t="inlineStr">
        <is>
          <t>Customer Z</t>
        </is>
      </c>
      <c r="D19" s="8" t="inlineStr">
        <is>
          <t>Z Energy Martech</t>
        </is>
      </c>
      <c r="E19" s="8" t="str">
        <f>'1.2 Customer'!$C$38</f>
        <v>Product</v>
      </c>
      <c r="F19" s="8" t="str">
        <f>'1.2 Customer'!$D$38</f>
        <v>L</v>
      </c>
      <c r="G19" s="8">
        <f>IFERROR(INDEX('0.1 Squads'!$F$5:$F$23,MATCH('1.2 Customer'!$C$38&amp;"|"&amp;'1.2 Customer'!$D$38,'0.1 Squads'!$A$5:$A$23,0)),"-")</f>
        <v>12.0</v>
      </c>
      <c r="H19" s="8">
        <f>COUNTIFS('raw data'!$N:$N,"Customer",'raw data'!$P:$P,"Z Energy Martech",'raw data'!$R:$R,"Filled")</f>
        <v>13.0</v>
      </c>
      <c r="I19" s="8">
        <f>COUNTIFS('raw data'!$N:$N,"Customer",'raw data'!$P:$P,"Z Energy Martech",'raw data'!$R:$R,"Vacant")</f>
        <v>3.0</v>
      </c>
      <c r="J19" s="8">
        <f>H19+I19</f>
        <v>16.0</v>
      </c>
      <c r="K19" s="8">
        <f>IFERROR(J19-G19,"-")</f>
        <v>4.0</v>
      </c>
      <c r="L19" s="9">
        <f>'1.2 Customer'!$G$38</f>
        <v>2.8</v>
      </c>
    </row>
    <row r="20">
      <c r="B20" s="8" t="inlineStr">
        <is>
          <t>Customer</t>
        </is>
      </c>
      <c r="C20" s="8" t="inlineStr">
        <is>
          <t>Customer Z</t>
        </is>
      </c>
      <c r="D20" s="8" t="inlineStr">
        <is>
          <t>Digital Support NZ</t>
        </is>
      </c>
      <c r="E20" s="8" t="str">
        <f>'1.2 Customer'!$C$39</f>
        <v>Operations</v>
      </c>
      <c r="F20" s="8" t="str">
        <f>'1.2 Customer'!$D$39</f>
        <v>S</v>
      </c>
      <c r="G20" s="8">
        <f>IFERROR(INDEX('0.1 Squads'!$F$5:$F$23,MATCH('1.2 Customer'!$C$39&amp;"|"&amp;'1.2 Customer'!$D$39,'0.1 Squads'!$A$5:$A$23,0)),"-")</f>
        <v>4.0</v>
      </c>
      <c r="H20" s="8">
        <f>COUNTIFS('raw data'!$N:$N,"Customer",'raw data'!$P:$P,"Digital Support NZ",'raw data'!$R:$R,"Filled")</f>
        <v>0.0</v>
      </c>
      <c r="I20" s="8">
        <f>COUNTIFS('raw data'!$N:$N,"Customer",'raw data'!$P:$P,"Digital Support NZ",'raw data'!$R:$R,"Vacant")</f>
        <v>0.0</v>
      </c>
      <c r="J20" s="8">
        <f>H20+I20</f>
        <v>0.0</v>
      </c>
      <c r="K20" s="8">
        <f>IFERROR(J20-G20,"-")</f>
        <v>-4.0</v>
      </c>
      <c r="L20" s="9">
        <f>'1.2 Customer'!$G$39</f>
        <v>0.8</v>
      </c>
    </row>
    <row r="21">
      <c r="B21" s="8" t="inlineStr">
        <is>
          <t>Customer</t>
        </is>
      </c>
      <c r="C21" s="8" t="inlineStr">
        <is>
          <t>Group Customer Platforms</t>
        </is>
      </c>
      <c r="D21" s="8" t="inlineStr">
        <is>
          <t>AU CRM &amp; Martech</t>
        </is>
      </c>
      <c r="E21" s="8" t="str">
        <f>'1.2 Customer'!$C$45</f>
        <v>Product</v>
      </c>
      <c r="F21" s="8" t="str">
        <f>'1.2 Customer'!$D$45</f>
        <v>M</v>
      </c>
      <c r="G21" s="8">
        <f>IFERROR(INDEX('0.1 Squads'!$F$5:$F$23,MATCH('1.2 Customer'!$C$45&amp;"|"&amp;'1.2 Customer'!$D$45,'0.1 Squads'!$A$5:$A$23,0)),"-")</f>
        <v>8.5</v>
      </c>
      <c r="H21" s="8">
        <f>COUNTIFS('raw data'!$N:$N,"Customer",'raw data'!$P:$P,"AU CRM &amp; Martech",'raw data'!$R:$R,"Filled")</f>
        <v>6.0</v>
      </c>
      <c r="I21" s="8">
        <f>COUNTIFS('raw data'!$N:$N,"Customer",'raw data'!$P:$P,"AU CRM &amp; Martech",'raw data'!$R:$R,"Vacant")</f>
        <v>7.0</v>
      </c>
      <c r="J21" s="8">
        <f>H21+I21</f>
        <v>13.0</v>
      </c>
      <c r="K21" s="8">
        <f>IFERROR(J21-G21,"-")</f>
        <v>4.5</v>
      </c>
      <c r="L21" s="9">
        <f>'1.2 Customer'!$G$45</f>
        <v>1.9</v>
      </c>
    </row>
    <row r="22">
      <c r="B22" s="8" t="inlineStr">
        <is>
          <t>Customer</t>
        </is>
      </c>
      <c r="C22" s="8" t="inlineStr">
        <is>
          <t>Group Customer Platforms</t>
        </is>
      </c>
      <c r="D22" s="8" t="inlineStr">
        <is>
          <t xml:space="preserve">AI Enablement </t>
        </is>
      </c>
      <c r="E22" s="8" t="str">
        <f>'1.2 Customer'!$C$46</f>
        <v>Engineering</v>
      </c>
      <c r="F22" s="8" t="str">
        <f>'1.2 Customer'!$D$46</f>
        <v>S</v>
      </c>
      <c r="G22" s="8">
        <f>IFERROR(INDEX('0.1 Squads'!$F$5:$F$23,MATCH('1.2 Customer'!$C$46&amp;"|"&amp;'1.2 Customer'!$D$46,'0.1 Squads'!$A$5:$A$23,0)),"-")</f>
        <v>4.5</v>
      </c>
      <c r="H22" s="8">
        <f>COUNTIFS('raw data'!$N:$N,"Customer",'raw data'!$P:$P,"AI Enablement ",'raw data'!$R:$R,"Filled")</f>
        <v>0.0</v>
      </c>
      <c r="I22" s="8">
        <f>COUNTIFS('raw data'!$N:$N,"Customer",'raw data'!$P:$P,"AI Enablement ",'raw data'!$R:$R,"Vacant")</f>
        <v>0.0</v>
      </c>
      <c r="J22" s="8">
        <f>H22+I22</f>
        <v>0.0</v>
      </c>
      <c r="K22" s="8">
        <f>IFERROR(J22-G22,"-")</f>
        <v>-4.5</v>
      </c>
      <c r="L22" s="9">
        <f>'1.2 Customer'!$G$46</f>
        <v>0.8</v>
      </c>
    </row>
    <row r="23">
      <c r="B23" s="8" t="inlineStr">
        <is>
          <t>Customer</t>
        </is>
      </c>
      <c r="C23" s="8" t="inlineStr">
        <is>
          <t>EGI Customer</t>
        </is>
      </c>
      <c r="D23" s="8" t="inlineStr">
        <is>
          <t>EGI Customer</t>
        </is>
      </c>
      <c r="E23" s="8" t="str">
        <f>'1.2 Customer'!$C$52</f>
        <v>Strategic Programs</v>
      </c>
      <c r="F23" s="8">
        <f>'1.2 Customer'!$D$52</f>
        <v>0.0</v>
      </c>
      <c r="G23" s="8" t="str">
        <f>IFERROR(INDEX('0.1 Squads'!$F$5:$F$23,MATCH('1.2 Customer'!$C$52&amp;"|"&amp;'1.2 Customer'!$D$52,'0.1 Squads'!$A$5:$A$23,0)),"-")</f>
        <v>-</v>
      </c>
      <c r="H23" s="8">
        <f>COUNTIFS('raw data'!$N:$N,"Customer",'raw data'!$P:$P,"EGI Customer",'raw data'!$R:$R,"Filled")</f>
        <v>9.0</v>
      </c>
      <c r="I23" s="8">
        <f>COUNTIFS('raw data'!$N:$N,"Customer",'raw data'!$P:$P,"EGI Customer",'raw data'!$R:$R,"Vacant")</f>
        <v>0.0</v>
      </c>
      <c r="J23" s="8">
        <f>H23+I23</f>
        <v>9.0</v>
      </c>
      <c r="K23" s="8" t="str">
        <f>IFERROR(J23-G23,"-")</f>
        <v>-</v>
      </c>
      <c r="L23" s="9">
        <f>'1.2 Customer'!$G$52</f>
        <v>0.0</v>
      </c>
    </row>
    <row r="24">
      <c r="B24" s="8" t="inlineStr">
        <is>
          <t>Enterprise Data</t>
        </is>
      </c>
      <c r="C24" s="8" t="inlineStr">
        <is>
          <t>Group Data</t>
        </is>
      </c>
      <c r="D24" s="8" t="inlineStr">
        <is>
          <t>Data Science</t>
        </is>
      </c>
      <c r="E24" s="8" t="str">
        <f>'1.3 Enterprise Data'!$C$24</f>
        <v>Enterprise Data and Insights</v>
      </c>
      <c r="F24" s="8" t="str">
        <f>'1.3 Enterprise Data'!$D$24</f>
        <v>M</v>
      </c>
      <c r="G24" s="8">
        <f>IFERROR(INDEX('0.1 Squads'!$F$5:$F$23,MATCH('1.3 Enterprise Data'!$C$24&amp;"|"&amp;'1.3 Enterprise Data'!$D$24,'0.1 Squads'!$A$5:$A$23,0)),"-")</f>
        <v>7.5</v>
      </c>
      <c r="H24" s="8">
        <f>COUNTIFS('raw data'!$N:$N,"Enterprise Data",'raw data'!$P:$P,"Data Science",'raw data'!$R:$R,"Filled")</f>
        <v>3.0</v>
      </c>
      <c r="I24" s="8">
        <f>COUNTIFS('raw data'!$N:$N,"Enterprise Data",'raw data'!$P:$P,"Data Science",'raw data'!$R:$R,"Vacant")</f>
        <v>4.0</v>
      </c>
      <c r="J24" s="8">
        <f>H24+I24</f>
        <v>7.0</v>
      </c>
      <c r="K24" s="8">
        <f>IFERROR(J24-G24,"-")</f>
        <v>-0.5</v>
      </c>
      <c r="L24" s="9">
        <f>'1.3 Enterprise Data'!$G$24</f>
        <v>1.7</v>
      </c>
    </row>
    <row r="25">
      <c r="B25" s="8" t="inlineStr">
        <is>
          <t>Enterprise Data</t>
        </is>
      </c>
      <c r="C25" s="8" t="inlineStr">
        <is>
          <t>Group Data</t>
        </is>
      </c>
      <c r="D25" s="8" t="inlineStr">
        <is>
          <t>Operations</t>
        </is>
      </c>
      <c r="E25" s="8" t="str">
        <f>'1.3 Enterprise Data'!$C$25</f>
        <v>Operations</v>
      </c>
      <c r="F25" s="8" t="str">
        <f>'1.3 Enterprise Data'!$D$25</f>
        <v>L</v>
      </c>
      <c r="G25" s="8">
        <f>IFERROR(INDEX('0.1 Squads'!$F$5:$F$23,MATCH('1.3 Enterprise Data'!$C$25&amp;"|"&amp;'1.3 Enterprise Data'!$D$25,'0.1 Squads'!$A$5:$A$23,0)),"-")</f>
        <v>10.0</v>
      </c>
      <c r="H25" s="8">
        <f>COUNTIFS('raw data'!$N:$N,"Enterprise Data",'raw data'!$P:$P,"Operations",'raw data'!$R:$R,"Filled")</f>
        <v>1.0</v>
      </c>
      <c r="I25" s="8">
        <f>COUNTIFS('raw data'!$N:$N,"Enterprise Data",'raw data'!$P:$P,"Operations",'raw data'!$R:$R,"Vacant")</f>
        <v>1.0</v>
      </c>
      <c r="J25" s="8">
        <f>H25+I25</f>
        <v>2.0</v>
      </c>
      <c r="K25" s="8">
        <f>IFERROR(J25-G25,"-")</f>
        <v>-8.0</v>
      </c>
      <c r="L25" s="9">
        <f>'1.3 Enterprise Data'!$G$25</f>
        <v>0.92</v>
      </c>
    </row>
    <row r="26">
      <c r="B26" s="8" t="inlineStr">
        <is>
          <t>Enterprise Data</t>
        </is>
      </c>
      <c r="C26" s="8" t="inlineStr">
        <is>
          <t>Group Data</t>
        </is>
      </c>
      <c r="D26" s="8" t="inlineStr">
        <is>
          <t>Reporting &amp; Analytics</t>
        </is>
      </c>
      <c r="E26" s="8" t="str">
        <f>'1.3 Enterprise Data'!$C$26</f>
        <v>Build and Run</v>
      </c>
      <c r="F26" s="8" t="str">
        <f>'1.3 Enterprise Data'!$D$26</f>
        <v>L</v>
      </c>
      <c r="G26" s="8">
        <f>IFERROR(INDEX('0.1 Squads'!$F$5:$F$23,MATCH('1.3 Enterprise Data'!$C$26&amp;"|"&amp;'1.3 Enterprise Data'!$D$26,'0.1 Squads'!$A$5:$A$23,0)),"-")</f>
        <v>13.0</v>
      </c>
      <c r="H26" s="8">
        <f>COUNTIFS('raw data'!$N:$N,"Enterprise Data",'raw data'!$P:$P,"Reporting &amp; Analytics",'raw data'!$R:$R,"Filled")</f>
        <v>10.0</v>
      </c>
      <c r="I26" s="8">
        <f>COUNTIFS('raw data'!$N:$N,"Enterprise Data",'raw data'!$P:$P,"Reporting &amp; Analytics",'raw data'!$R:$R,"Vacant")</f>
        <v>4.0</v>
      </c>
      <c r="J26" s="8">
        <f>H26+I26</f>
        <v>14.0</v>
      </c>
      <c r="K26" s="8">
        <f>IFERROR(J26-G26,"-")</f>
        <v>1.0</v>
      </c>
      <c r="L26" s="9">
        <f>'1.3 Enterprise Data'!$G$26</f>
        <v>2.8</v>
      </c>
    </row>
    <row r="27">
      <c r="B27" s="8" t="inlineStr">
        <is>
          <t>Enterprise Data</t>
        </is>
      </c>
      <c r="C27" s="8" t="inlineStr">
        <is>
          <t>Group Data</t>
        </is>
      </c>
      <c r="D27" s="8" t="inlineStr">
        <is>
          <t>Data Platforms</t>
        </is>
      </c>
      <c r="E27" s="8" t="str">
        <f>'1.3 Enterprise Data'!$C$27</f>
        <v>Build and Run</v>
      </c>
      <c r="F27" s="8" t="str">
        <f>'1.3 Enterprise Data'!$D$27</f>
        <v>M</v>
      </c>
      <c r="G27" s="8">
        <f>IFERROR(INDEX('0.1 Squads'!$F$5:$F$23,MATCH('1.3 Enterprise Data'!$C$27&amp;"|"&amp;'1.3 Enterprise Data'!$D$27,'0.1 Squads'!$A$5:$A$23,0)),"-")</f>
        <v>9.0</v>
      </c>
      <c r="H27" s="8">
        <f>COUNTIFS('raw data'!$N:$N,"Enterprise Data",'raw data'!$P:$P,"Data Platforms",'raw data'!$R:$R,"Filled")</f>
        <v>4.0</v>
      </c>
      <c r="I27" s="8">
        <f>COUNTIFS('raw data'!$N:$N,"Enterprise Data",'raw data'!$P:$P,"Data Platforms",'raw data'!$R:$R,"Vacant")</f>
        <v>6.0</v>
      </c>
      <c r="J27" s="8">
        <f>H27+I27</f>
        <v>10.0</v>
      </c>
      <c r="K27" s="8">
        <f>IFERROR(J27-G27,"-")</f>
        <v>1.0</v>
      </c>
      <c r="L27" s="9">
        <f>'1.3 Enterprise Data'!$G$27</f>
        <v>2.0</v>
      </c>
    </row>
    <row r="28">
      <c r="B28" s="8" t="inlineStr">
        <is>
          <t>Enterprise Data</t>
        </is>
      </c>
      <c r="C28" s="8" t="inlineStr">
        <is>
          <t>Group Data</t>
        </is>
      </c>
      <c r="D28" s="8" t="inlineStr">
        <is>
          <t>Enterprise Data Delivery</t>
        </is>
      </c>
      <c r="E28" s="8" t="str">
        <f>'1.3 Enterprise Data'!$C$28</f>
        <v>Enterprise Data and Insights</v>
      </c>
      <c r="F28" s="8" t="str">
        <f>'1.3 Enterprise Data'!$D$28</f>
        <v>L</v>
      </c>
      <c r="G28" s="8">
        <f>IFERROR(INDEX('0.1 Squads'!$F$5:$F$23,MATCH('1.3 Enterprise Data'!$C$28&amp;"|"&amp;'1.3 Enterprise Data'!$D$28,'0.1 Squads'!$A$5:$A$23,0)),"-")</f>
        <v>9.0</v>
      </c>
      <c r="H28" s="8">
        <f>COUNTIFS('raw data'!$N:$N,"Enterprise Data",'raw data'!$P:$P,"Enterprise Data Delivery",'raw data'!$R:$R,"Filled")</f>
        <v>0.0</v>
      </c>
      <c r="I28" s="8">
        <f>COUNTIFS('raw data'!$N:$N,"Enterprise Data",'raw data'!$P:$P,"Enterprise Data Delivery",'raw data'!$R:$R,"Vacant")</f>
        <v>0.0</v>
      </c>
      <c r="J28" s="8">
        <f>H28+I28</f>
        <v>0.0</v>
      </c>
      <c r="K28" s="8">
        <f>IFERROR(J28-G28,"-")</f>
        <v>-9.0</v>
      </c>
      <c r="L28" s="9">
        <f>'1.3 Enterprise Data'!$G$28</f>
        <v>0.8</v>
      </c>
    </row>
    <row r="29">
      <c r="B29" s="8" t="inlineStr">
        <is>
          <t>TDD Group Functions</t>
        </is>
      </c>
      <c r="C29" s="8" t="inlineStr">
        <is>
          <t>TDD Group Functions</t>
        </is>
      </c>
      <c r="D29" s="8" t="inlineStr">
        <is>
          <t>Workplace &amp; Enterprise Tooling</t>
        </is>
      </c>
      <c r="E29" s="8" t="str">
        <f>'1.4 TDD Group Functions'!$C$24</f>
        <v>Configuration / Integration</v>
      </c>
      <c r="F29" s="8" t="str">
        <f>'1.4 TDD Group Functions'!$D$24</f>
        <v>S</v>
      </c>
      <c r="G29" s="8">
        <f>IFERROR(INDEX('0.1 Squads'!$F$5:$F$23,MATCH('1.4 TDD Group Functions'!$C$24&amp;"|"&amp;'1.4 TDD Group Functions'!$D$24,'0.1 Squads'!$A$5:$A$23,0)),"-")</f>
        <v>6.0</v>
      </c>
      <c r="H29" s="8">
        <f>COUNTIFS('raw data'!$N:$N,"TDD Group Functions",'raw data'!$P:$P,"Workplace &amp; Enterprise Tooling",'raw data'!$R:$R,"Filled")</f>
        <v>4.0</v>
      </c>
      <c r="I29" s="8">
        <f>COUNTIFS('raw data'!$N:$N,"TDD Group Functions",'raw data'!$P:$P,"Workplace &amp; Enterprise Tooling",'raw data'!$R:$R,"Vacant")</f>
        <v>2.0</v>
      </c>
      <c r="J29" s="8">
        <f>H29+I29</f>
        <v>6.0</v>
      </c>
      <c r="K29" s="8">
        <f>IFERROR(J29-G29,"-")</f>
        <v>0.0</v>
      </c>
      <c r="L29" s="9">
        <f>'1.4 TDD Group Functions'!$G$24</f>
        <v>0.4</v>
      </c>
    </row>
    <row r="30">
      <c r="B30" s="8" t="inlineStr">
        <is>
          <t>TDD Group Functions</t>
        </is>
      </c>
      <c r="C30" s="8" t="inlineStr">
        <is>
          <t>TDD Group Functions</t>
        </is>
      </c>
      <c r="D30" s="8" t="inlineStr">
        <is>
          <t>Network &amp; Infrastructure</t>
        </is>
      </c>
      <c r="E30" s="8" t="str">
        <f>'1.4 TDD Group Functions'!$C$25</f>
        <v>Operations</v>
      </c>
      <c r="F30" s="8" t="str">
        <f>'1.4 TDD Group Functions'!$D$25</f>
        <v>L</v>
      </c>
      <c r="G30" s="8">
        <f>IFERROR(INDEX('0.1 Squads'!$F$5:$F$23,MATCH('1.4 TDD Group Functions'!$C$25&amp;"|"&amp;'1.4 TDD Group Functions'!$D$25,'0.1 Squads'!$A$5:$A$23,0)),"-")</f>
        <v>10.0</v>
      </c>
      <c r="H30" s="8">
        <f>COUNTIFS('raw data'!$N:$N,"TDD Group Functions",'raw data'!$P:$P,"Network &amp; Infrastructure",'raw data'!$R:$R,"Filled")</f>
        <v>10.0</v>
      </c>
      <c r="I30" s="8">
        <f>COUNTIFS('raw data'!$N:$N,"TDD Group Functions",'raw data'!$P:$P,"Network &amp; Infrastructure",'raw data'!$R:$R,"Vacant")</f>
        <v>1.0</v>
      </c>
      <c r="J30" s="8">
        <f>H30+I30</f>
        <v>11.0</v>
      </c>
      <c r="K30" s="8">
        <f>IFERROR(J30-G30,"-")</f>
        <v>1.0</v>
      </c>
      <c r="L30" s="9">
        <f>'1.4 TDD Group Functions'!$G$25</f>
        <v>2.3</v>
      </c>
    </row>
    <row r="31">
      <c r="B31" s="8" t="inlineStr">
        <is>
          <t>TDD Group Functions</t>
        </is>
      </c>
      <c r="C31" s="8" t="inlineStr">
        <is>
          <t>TDD Group Functions</t>
        </is>
      </c>
      <c r="D31" s="8" t="inlineStr">
        <is>
          <t>DevOps &amp; Engineering</t>
        </is>
      </c>
      <c r="E31" s="8" t="str">
        <f>'1.4 TDD Group Functions'!$C$26</f>
        <v>Engineering</v>
      </c>
      <c r="F31" s="8" t="str">
        <f>'1.4 TDD Group Functions'!$D$26</f>
        <v>S</v>
      </c>
      <c r="G31" s="8">
        <f>IFERROR(INDEX('0.1 Squads'!$F$5:$F$23,MATCH('1.4 TDD Group Functions'!$C$26&amp;"|"&amp;'1.4 TDD Group Functions'!$D$26,'0.1 Squads'!$A$5:$A$23,0)),"-")</f>
        <v>4.5</v>
      </c>
      <c r="H31" s="8">
        <f>COUNTIFS('raw data'!$N:$N,"TDD Group Functions",'raw data'!$P:$P,"DevOps &amp; Engineering",'raw data'!$R:$R,"Filled")</f>
        <v>4.0</v>
      </c>
      <c r="I31" s="8">
        <f>COUNTIFS('raw data'!$N:$N,"TDD Group Functions",'raw data'!$P:$P,"DevOps &amp; Engineering",'raw data'!$R:$R,"Vacant")</f>
        <v>4.0</v>
      </c>
      <c r="J31" s="8">
        <f>H31+I31</f>
        <v>8.0</v>
      </c>
      <c r="K31" s="8">
        <f>IFERROR(J31-G31,"-")</f>
        <v>3.5</v>
      </c>
      <c r="L31" s="9">
        <f>'1.4 TDD Group Functions'!$G$26</f>
        <v>0.8</v>
      </c>
    </row>
    <row r="32">
      <c r="B32" s="8" t="inlineStr">
        <is>
          <t>TDD Group Functions</t>
        </is>
      </c>
      <c r="C32" s="8" t="inlineStr">
        <is>
          <t>TDD Group Functions</t>
        </is>
      </c>
      <c r="D32" s="8" t="inlineStr">
        <is>
          <t>Integration</t>
        </is>
      </c>
      <c r="E32" s="8" t="str">
        <f>'1.4 TDD Group Functions'!$C$27</f>
        <v>Configuration / Integration</v>
      </c>
      <c r="F32" s="8" t="str">
        <f>'1.4 TDD Group Functions'!$D$27</f>
        <v>S</v>
      </c>
      <c r="G32" s="8">
        <f>IFERROR(INDEX('0.1 Squads'!$F$5:$F$23,MATCH('1.4 TDD Group Functions'!$C$27&amp;"|"&amp;'1.4 TDD Group Functions'!$D$27,'0.1 Squads'!$A$5:$A$23,0)),"-")</f>
        <v>6.0</v>
      </c>
      <c r="H32" s="8">
        <f>COUNTIFS('raw data'!$N:$N,"TDD Group Functions",'raw data'!$P:$P,"Integration",'raw data'!$R:$R,"Filled")</f>
        <v>6.0</v>
      </c>
      <c r="I32" s="8">
        <f>COUNTIFS('raw data'!$N:$N,"TDD Group Functions",'raw data'!$P:$P,"Integration",'raw data'!$R:$R,"Vacant")</f>
        <v>2.0</v>
      </c>
      <c r="J32" s="8">
        <f>H32+I32</f>
        <v>8.0</v>
      </c>
      <c r="K32" s="8">
        <f>IFERROR(J32-G32,"-")</f>
        <v>2.0</v>
      </c>
      <c r="L32" s="9">
        <f>'1.4 TDD Group Functions'!$G$27</f>
        <v>0.4</v>
      </c>
    </row>
    <row r="33">
      <c r="B33" s="8" t="inlineStr">
        <is>
          <t>TDD Group Functions</t>
        </is>
      </c>
      <c r="C33" s="8" t="inlineStr">
        <is>
          <t>EGI TDD</t>
        </is>
      </c>
      <c r="D33" s="8" t="inlineStr">
        <is>
          <t>EGI TDD</t>
        </is>
      </c>
      <c r="E33" s="8" t="str">
        <f>'1.4 TDD Group Functions'!$C$33</f>
        <v>Strategic Programs</v>
      </c>
      <c r="F33" s="8">
        <f>'1.4 TDD Group Functions'!$D$33</f>
        <v>0.0</v>
      </c>
      <c r="G33" s="8" t="str">
        <f>IFERROR(INDEX('0.1 Squads'!$F$5:$F$23,MATCH('1.4 TDD Group Functions'!$C$33&amp;"|"&amp;'1.4 TDD Group Functions'!$D$33,'0.1 Squads'!$A$5:$A$23,0)),"-")</f>
        <v>-</v>
      </c>
      <c r="H33" s="8">
        <f>COUNTIFS('raw data'!$N:$N,"TDD Group Functions",'raw data'!$P:$P,"EGI TDD",'raw data'!$R:$R,"Filled")</f>
        <v>5.0</v>
      </c>
      <c r="I33" s="8">
        <f>COUNTIFS('raw data'!$N:$N,"TDD Group Functions",'raw data'!$P:$P,"EGI TDD",'raw data'!$R:$R,"Vacant")</f>
        <v>0.0</v>
      </c>
      <c r="J33" s="8">
        <f>H33+I33</f>
        <v>5.0</v>
      </c>
      <c r="K33" s="8" t="str">
        <f>IFERROR(J33-G33,"-")</f>
        <v>-</v>
      </c>
      <c r="L33" s="9">
        <f>'1.4 TDD Group Functions'!$G$33</f>
        <v>0.0</v>
      </c>
    </row>
    <row r="34">
      <c r="B34" s="8" t="inlineStr">
        <is>
          <t>P&amp;C</t>
        </is>
      </c>
      <c r="C34" s="8" t="inlineStr">
        <is>
          <t>P&amp;C</t>
        </is>
      </c>
      <c r="D34" s="8" t="inlineStr">
        <is>
          <t>P&amp;C</t>
        </is>
      </c>
      <c r="E34" s="8" t="str">
        <f>'1.5 P&amp;C'!$C$24</f>
        <v>Configuration / Integration</v>
      </c>
      <c r="F34" s="8" t="str">
        <f>'1.5 P&amp;C'!$D$24</f>
        <v>M</v>
      </c>
      <c r="G34" s="8">
        <f>IFERROR(INDEX('0.1 Squads'!$F$5:$F$23,MATCH('1.5 P&amp;C'!$C$24&amp;"|"&amp;'1.5 P&amp;C'!$D$24,'0.1 Squads'!$A$5:$A$23,0)),"-")</f>
        <v>9.0</v>
      </c>
      <c r="H34" s="8">
        <f>COUNTIFS('raw data'!$N:$N,"P&amp;C",'raw data'!$P:$P,"P&amp;C",'raw data'!$R:$R,"Filled")</f>
        <v>5.0</v>
      </c>
      <c r="I34" s="8">
        <f>COUNTIFS('raw data'!$N:$N,"P&amp;C",'raw data'!$P:$P,"P&amp;C",'raw data'!$R:$R,"Vacant")</f>
        <v>3.0</v>
      </c>
      <c r="J34" s="8">
        <f>H34+I34</f>
        <v>8.0</v>
      </c>
      <c r="K34" s="8">
        <f>IFERROR(J34-G34,"-")</f>
        <v>-1.0</v>
      </c>
      <c r="L34" s="9">
        <f>'1.5 P&amp;C'!$G$24</f>
        <v>1.4</v>
      </c>
    </row>
    <row r="35">
      <c r="B35" s="8" t="inlineStr">
        <is>
          <t>P&amp;C</t>
        </is>
      </c>
      <c r="C35" s="8" t="inlineStr">
        <is>
          <t>P&amp;C</t>
        </is>
      </c>
      <c r="D35" s="8" t="inlineStr">
        <is>
          <t>P&amp;C - RTA</t>
        </is>
      </c>
      <c r="E35" s="8" t="str">
        <f>'1.5 P&amp;C'!$C$25</f>
        <v>Configuration / Integration</v>
      </c>
      <c r="F35" s="8" t="str">
        <f>'1.5 P&amp;C'!$D$25</f>
        <v>S</v>
      </c>
      <c r="G35" s="8">
        <f>IFERROR(INDEX('0.1 Squads'!$F$5:$F$23,MATCH('1.5 P&amp;C'!$C$25&amp;"|"&amp;'1.5 P&amp;C'!$D$25,'0.1 Squads'!$A$5:$A$23,0)),"-")</f>
        <v>6.0</v>
      </c>
      <c r="H35" s="8">
        <f>COUNTIFS('raw data'!$N:$N,"P&amp;C",'raw data'!$P:$P,"P&amp;C - RTA",'raw data'!$R:$R,"Filled")</f>
        <v>1.0</v>
      </c>
      <c r="I35" s="8">
        <f>COUNTIFS('raw data'!$N:$N,"P&amp;C",'raw data'!$P:$P,"P&amp;C - RTA",'raw data'!$R:$R,"Vacant")</f>
        <v>5.0</v>
      </c>
      <c r="J35" s="8">
        <f>H35+I35</f>
        <v>6.0</v>
      </c>
      <c r="K35" s="8">
        <f>IFERROR(J35-G35,"-")</f>
        <v>0.0</v>
      </c>
      <c r="L35" s="9">
        <f>'1.5 P&amp;C'!$G$25</f>
        <v>0.4</v>
      </c>
    </row>
    <row r="36">
      <c r="B36" s="8" t="inlineStr">
        <is>
          <t>P&amp;C</t>
        </is>
      </c>
      <c r="C36" s="8" t="inlineStr">
        <is>
          <t>EGI P&amp;C</t>
        </is>
      </c>
      <c r="D36" s="8" t="inlineStr">
        <is>
          <t>EGI P&amp;C</t>
        </is>
      </c>
      <c r="E36" s="8" t="str">
        <f>'1.5 P&amp;C'!$C$31</f>
        <v>Strategic Programs</v>
      </c>
      <c r="F36" s="8">
        <f>'1.5 P&amp;C'!$D$31</f>
        <v>0.0</v>
      </c>
      <c r="G36" s="8" t="str">
        <f>IFERROR(INDEX('0.1 Squads'!$F$5:$F$23,MATCH('1.5 P&amp;C'!$C$31&amp;"|"&amp;'1.5 P&amp;C'!$D$31,'0.1 Squads'!$A$5:$A$23,0)),"-")</f>
        <v>-</v>
      </c>
      <c r="H36" s="8">
        <f>COUNTIFS('raw data'!$N:$N,"P&amp;C",'raw data'!$P:$P,"EGI P&amp;C",'raw data'!$R:$R,"Filled")</f>
        <v>1.0</v>
      </c>
      <c r="I36" s="8">
        <f>COUNTIFS('raw data'!$N:$N,"P&amp;C",'raw data'!$P:$P,"EGI P&amp;C",'raw data'!$R:$R,"Vacant")</f>
        <v>0.0</v>
      </c>
      <c r="J36" s="8">
        <f>H36+I36</f>
        <v>1.0</v>
      </c>
      <c r="K36" s="8" t="str">
        <f>IFERROR(J36-G36,"-")</f>
        <v>-</v>
      </c>
      <c r="L36" s="9">
        <f>'1.5 P&amp;C'!$G$31</f>
        <v>0.0</v>
      </c>
    </row>
    <row r="37">
      <c r="B37" s="8" t="inlineStr">
        <is>
          <t>Finance</t>
        </is>
      </c>
      <c r="C37" s="8" t="inlineStr">
        <is>
          <t>Finance</t>
        </is>
      </c>
      <c r="D37" s="8" t="inlineStr">
        <is>
          <t>AU Finance</t>
        </is>
      </c>
      <c r="E37" s="8" t="str">
        <f>'1.6 Finance'!$C$24</f>
        <v>Configuration / Integration</v>
      </c>
      <c r="F37" s="8" t="str">
        <f>'1.6 Finance'!$D$24</f>
        <v>L</v>
      </c>
      <c r="G37" s="8">
        <f>IFERROR(INDEX('0.1 Squads'!$F$5:$F$23,MATCH('1.6 Finance'!$C$24&amp;"|"&amp;'1.6 Finance'!$D$24,'0.1 Squads'!$A$5:$A$23,0)),"-")</f>
        <v>14.0</v>
      </c>
      <c r="H37" s="8">
        <f>COUNTIFS('raw data'!$N:$N,"Finance",'raw data'!$P:$P,"AU Finance",'raw data'!$R:$R,"Filled")</f>
        <v>2.0</v>
      </c>
      <c r="I37" s="8">
        <f>COUNTIFS('raw data'!$N:$N,"Finance",'raw data'!$P:$P,"AU Finance",'raw data'!$R:$R,"Vacant")</f>
        <v>7.0</v>
      </c>
      <c r="J37" s="8">
        <f>H37+I37</f>
        <v>9.0</v>
      </c>
      <c r="K37" s="8">
        <f>IFERROR(J37-G37,"-")</f>
        <v>-5.0</v>
      </c>
      <c r="L37" s="9">
        <f>'1.6 Finance'!$G$24</f>
        <v>2.1</v>
      </c>
    </row>
    <row r="38">
      <c r="B38" s="8" t="inlineStr">
        <is>
          <t>Finance</t>
        </is>
      </c>
      <c r="C38" s="8" t="inlineStr">
        <is>
          <t>Finance</t>
        </is>
      </c>
      <c r="D38" s="8" t="inlineStr">
        <is>
          <t>NZ Finance</t>
        </is>
      </c>
      <c r="E38" s="8" t="str">
        <f>'1.6 Finance'!$C$25</f>
        <v>Configuration / Integration</v>
      </c>
      <c r="F38" s="8" t="str">
        <f>'1.6 Finance'!$D$25</f>
        <v>S</v>
      </c>
      <c r="G38" s="8">
        <f>IFERROR(INDEX('0.1 Squads'!$F$5:$F$23,MATCH('1.6 Finance'!$C$25&amp;"|"&amp;'1.6 Finance'!$D$25,'0.1 Squads'!$A$5:$A$23,0)),"-")</f>
        <v>6.0</v>
      </c>
      <c r="H38" s="8">
        <f>COUNTIFS('raw data'!$N:$N,"Finance",'raw data'!$P:$P,"NZ Finance",'raw data'!$R:$R,"Filled")</f>
        <v>4.0</v>
      </c>
      <c r="I38" s="8">
        <f>COUNTIFS('raw data'!$N:$N,"Finance",'raw data'!$P:$P,"NZ Finance",'raw data'!$R:$R,"Vacant")</f>
        <v>1.0</v>
      </c>
      <c r="J38" s="8">
        <f>H38+I38</f>
        <v>5.0</v>
      </c>
      <c r="K38" s="8">
        <f>IFERROR(J38-G38,"-")</f>
        <v>-1.0</v>
      </c>
      <c r="L38" s="9">
        <f>'1.6 Finance'!$G$25</f>
        <v>0.4</v>
      </c>
    </row>
    <row r="39">
      <c r="B39" s="8" t="inlineStr">
        <is>
          <t>Finance</t>
        </is>
      </c>
      <c r="C39" s="8" t="inlineStr">
        <is>
          <t>EGI Finance</t>
        </is>
      </c>
      <c r="D39" s="8" t="inlineStr">
        <is>
          <t>EGI Finance</t>
        </is>
      </c>
      <c r="E39" s="8" t="str">
        <f>'1.6 Finance'!$C$31</f>
        <v>Strategic Programs</v>
      </c>
      <c r="F39" s="8">
        <f>'1.6 Finance'!$D$31</f>
        <v>0.0</v>
      </c>
      <c r="G39" s="8" t="str">
        <f>IFERROR(INDEX('0.1 Squads'!$F$5:$F$23,MATCH('1.6 Finance'!$C$31&amp;"|"&amp;'1.6 Finance'!$D$31,'0.1 Squads'!$A$5:$A$23,0)),"-")</f>
        <v>-</v>
      </c>
      <c r="H39" s="8">
        <f>COUNTIFS('raw data'!$N:$N,"Finance",'raw data'!$P:$P,"EGI Finance",'raw data'!$R:$R,"Filled")</f>
        <v>1.0</v>
      </c>
      <c r="I39" s="8">
        <f>COUNTIFS('raw data'!$N:$N,"Finance",'raw data'!$P:$P,"EGI Finance",'raw data'!$R:$R,"Vacant")</f>
        <v>0.0</v>
      </c>
      <c r="J39" s="8">
        <f>H39+I39</f>
        <v>1.0</v>
      </c>
      <c r="K39" s="8" t="str">
        <f>IFERROR(J39-G39,"-")</f>
        <v>-</v>
      </c>
      <c r="L39" s="9">
        <f>'1.6 Finance'!$G$31</f>
        <v>0.0</v>
      </c>
    </row>
    <row r="40">
      <c r="B40" s="8" t="inlineStr">
        <is>
          <t>Infrastructure</t>
        </is>
      </c>
      <c r="C40" s="8" t="inlineStr">
        <is>
          <t>Distribution</t>
        </is>
      </c>
      <c r="D40" s="8" t="inlineStr">
        <is>
          <t>Distribution, Sales &amp; Services</t>
        </is>
      </c>
      <c r="E40" s="8" t="str">
        <f>'1.7 Infrastructure'!$C$25</f>
        <v>Configuration / Integration</v>
      </c>
      <c r="F40" s="8" t="str">
        <f>'1.7 Infrastructure'!$D$25</f>
        <v>M</v>
      </c>
      <c r="G40" s="8">
        <f>IFERROR(INDEX('0.1 Squads'!$F$5:$F$23,MATCH('1.7 Infrastructure'!$C$25&amp;"|"&amp;'1.7 Infrastructure'!$D$25,'0.1 Squads'!$A$5:$A$23,0)),"-")</f>
        <v>9.0</v>
      </c>
      <c r="H40" s="8">
        <f>COUNTIFS('raw data'!$N:$N,"Infrastructure",'raw data'!$P:$P,"Distribution, Sales &amp; Services",'raw data'!$R:$R,"Filled")</f>
        <v>6.0</v>
      </c>
      <c r="I40" s="8">
        <f>COUNTIFS('raw data'!$N:$N,"Infrastructure",'raw data'!$P:$P,"Distribution, Sales &amp; Services",'raw data'!$R:$R,"Vacant")</f>
        <v>4.0</v>
      </c>
      <c r="J40" s="8">
        <f>H40+I40</f>
        <v>10.0</v>
      </c>
      <c r="K40" s="8">
        <f>IFERROR(J40-G40,"-")</f>
        <v>1.0</v>
      </c>
      <c r="L40" s="9">
        <f>'1.7 Infrastructure'!$G$25</f>
        <v>1.4</v>
      </c>
    </row>
    <row r="41">
      <c r="B41" s="8" t="inlineStr">
        <is>
          <t>Infrastructure</t>
        </is>
      </c>
      <c r="C41" s="8" t="inlineStr">
        <is>
          <t>Manufacturing</t>
        </is>
      </c>
      <c r="D41" s="8" t="inlineStr">
        <is>
          <t>Manufacturing &amp; Group Projects</t>
        </is>
      </c>
      <c r="E41" s="8" t="str">
        <f>'1.7 Infrastructure'!$C$31</f>
        <v>Configuration / Integration</v>
      </c>
      <c r="F41" s="8" t="str">
        <f>'1.7 Infrastructure'!$D$31</f>
        <v>M</v>
      </c>
      <c r="G41" s="8">
        <f>IFERROR(INDEX('0.1 Squads'!$F$5:$F$23,MATCH('1.7 Infrastructure'!$C$31&amp;"|"&amp;'1.7 Infrastructure'!$D$31,'0.1 Squads'!$A$5:$A$23,0)),"-")</f>
        <v>9.0</v>
      </c>
      <c r="H41" s="8">
        <f>COUNTIFS('raw data'!$N:$N,"Infrastructure",'raw data'!$P:$P,"Manufacturing &amp; Group Projects",'raw data'!$R:$R,"Filled")</f>
        <v>6.0</v>
      </c>
      <c r="I41" s="8">
        <f>COUNTIFS('raw data'!$N:$N,"Infrastructure",'raw data'!$P:$P,"Manufacturing &amp; Group Projects",'raw data'!$R:$R,"Vacant")</f>
        <v>3.0</v>
      </c>
      <c r="J41" s="8">
        <f>H41+I41</f>
        <v>9.0</v>
      </c>
      <c r="K41" s="8">
        <f>IFERROR(J41-G41,"-")</f>
        <v>0.0</v>
      </c>
      <c r="L41" s="9">
        <f>'1.7 Infrastructure'!$G$31</f>
        <v>1.4</v>
      </c>
    </row>
    <row r="42">
      <c r="B42" s="8" t="inlineStr">
        <is>
          <t>Infrastructure</t>
        </is>
      </c>
      <c r="C42" s="8" t="inlineStr">
        <is>
          <t>Manufacturing</t>
        </is>
      </c>
      <c r="D42" s="8" t="inlineStr">
        <is>
          <t>Technology Support</t>
        </is>
      </c>
      <c r="E42" s="8" t="str">
        <f>'1.7 Infrastructure'!$C$32</f>
        <v>Operations</v>
      </c>
      <c r="F42" s="8" t="str">
        <f>'1.7 Infrastructure'!$D$32</f>
        <v>S</v>
      </c>
      <c r="G42" s="8">
        <f>IFERROR(INDEX('0.1 Squads'!$F$5:$F$23,MATCH('1.7 Infrastructure'!$C$32&amp;"|"&amp;'1.7 Infrastructure'!$D$32,'0.1 Squads'!$A$5:$A$23,0)),"-")</f>
        <v>4.0</v>
      </c>
      <c r="H42" s="8">
        <f>COUNTIFS('raw data'!$N:$N,"Infrastructure",'raw data'!$P:$P,"Technology Support",'raw data'!$R:$R,"Filled")</f>
        <v>3.0</v>
      </c>
      <c r="I42" s="8">
        <f>COUNTIFS('raw data'!$N:$N,"Infrastructure",'raw data'!$P:$P,"Technology Support",'raw data'!$R:$R,"Vacant")</f>
        <v>1.0</v>
      </c>
      <c r="J42" s="8">
        <f>H42+I42</f>
        <v>4.0</v>
      </c>
      <c r="K42" s="8">
        <f>IFERROR(J42-G42,"-")</f>
        <v>0.0</v>
      </c>
      <c r="L42" s="9">
        <f>'1.7 Infrastructure'!$G$32</f>
        <v>0.8</v>
      </c>
    </row>
    <row r="43">
      <c r="B43" s="8" t="inlineStr">
        <is>
          <t>Infrastructure</t>
        </is>
      </c>
      <c r="C43" s="8" t="inlineStr">
        <is>
          <t>Data &amp; Insights</t>
        </is>
      </c>
      <c r="D43" s="8" t="inlineStr">
        <is>
          <t>Data &amp; Insights</t>
        </is>
      </c>
      <c r="E43" s="8" t="str">
        <f>'1.7 Infrastructure'!$C$38</f>
        <v>Configuration / Integration</v>
      </c>
      <c r="F43" s="8" t="str">
        <f>'1.7 Infrastructure'!$D$38</f>
        <v>S</v>
      </c>
      <c r="G43" s="8">
        <f>IFERROR(INDEX('0.1 Squads'!$F$5:$F$23,MATCH('1.7 Infrastructure'!$C$38&amp;"|"&amp;'1.7 Infrastructure'!$D$38,'0.1 Squads'!$A$5:$A$23,0)),"-")</f>
        <v>6.0</v>
      </c>
      <c r="H43" s="8">
        <f>COUNTIFS('raw data'!$N:$N,"Infrastructure",'raw data'!$P:$P,"Data &amp; Insights",'raw data'!$R:$R,"Filled")</f>
        <v>2.0</v>
      </c>
      <c r="I43" s="8">
        <f>COUNTIFS('raw data'!$N:$N,"Infrastructure",'raw data'!$P:$P,"Data &amp; Insights",'raw data'!$R:$R,"Vacant")</f>
        <v>5.0</v>
      </c>
      <c r="J43" s="8">
        <f>H43+I43</f>
        <v>7.0</v>
      </c>
      <c r="K43" s="8">
        <f>IFERROR(J43-G43,"-")</f>
        <v>1.0</v>
      </c>
      <c r="L43" s="9">
        <f>'1.7 Infrastructure'!$G$38</f>
        <v>0.4</v>
      </c>
    </row>
    <row r="44">
      <c r="B44" s="8" t="inlineStr">
        <is>
          <t>Energy Solutions &amp; B2B</t>
        </is>
      </c>
      <c r="C44" s="8" t="inlineStr">
        <is>
          <t>Energy Solutions</t>
        </is>
      </c>
      <c r="D44" s="8" t="inlineStr">
        <is>
          <t>Energy</t>
        </is>
      </c>
      <c r="E44" s="8" t="str">
        <f>'1.8 Energy Solutions &amp; B2B'!$C$27</f>
        <v>Engineering</v>
      </c>
      <c r="F44" s="8" t="str">
        <f>'1.8 Energy Solutions &amp; B2B'!$D$27</f>
        <v>M</v>
      </c>
      <c r="G44" s="8">
        <f>IFERROR(INDEX('0.1 Squads'!$F$5:$F$23,MATCH('1.8 Energy Solutions &amp; B2B'!$C$27&amp;"|"&amp;'1.8 Energy Solutions &amp; B2B'!$D$27,'0.1 Squads'!$A$5:$A$23,0)),"-")</f>
        <v>9.0</v>
      </c>
      <c r="H44" s="8">
        <f>COUNTIFS('raw data'!$N:$N,"Energy Solutions &amp; B2B",'raw data'!$P:$P,"Energy",'raw data'!$R:$R,"Filled")</f>
        <v>5.0</v>
      </c>
      <c r="I44" s="8">
        <f>COUNTIFS('raw data'!$N:$N,"Energy Solutions &amp; B2B",'raw data'!$P:$P,"Energy",'raw data'!$R:$R,"Vacant")</f>
        <v>6.0</v>
      </c>
      <c r="J44" s="8">
        <f>H44+I44</f>
        <v>11.0</v>
      </c>
      <c r="K44" s="8">
        <f>IFERROR(J44-G44,"-")</f>
        <v>2.0</v>
      </c>
      <c r="L44" s="9">
        <f>'1.8 Energy Solutions &amp; B2B'!$G$27</f>
        <v>2.0</v>
      </c>
    </row>
    <row r="45">
      <c r="B45" s="8" t="inlineStr">
        <is>
          <t>Energy Solutions &amp; B2B</t>
        </is>
      </c>
      <c r="C45" s="8" t="inlineStr">
        <is>
          <t>Energy Solutions</t>
        </is>
      </c>
      <c r="D45" s="8" t="inlineStr">
        <is>
          <t>EVCI</t>
        </is>
      </c>
      <c r="E45" s="8" t="str">
        <f>'1.8 Energy Solutions &amp; B2B'!$C$28</f>
        <v>Engineering</v>
      </c>
      <c r="F45" s="8" t="str">
        <f>'1.8 Energy Solutions &amp; B2B'!$D$28</f>
        <v>M</v>
      </c>
      <c r="G45" s="8">
        <f>IFERROR(INDEX('0.1 Squads'!$F$5:$F$23,MATCH('1.8 Energy Solutions &amp; B2B'!$C$28&amp;"|"&amp;'1.8 Energy Solutions &amp; B2B'!$D$28,'0.1 Squads'!$A$5:$A$23,0)),"-")</f>
        <v>9.0</v>
      </c>
      <c r="H45" s="8">
        <f>COUNTIFS('raw data'!$N:$N,"Energy Solutions &amp; B2B",'raw data'!$P:$P,"EVCI",'raw data'!$R:$R,"Filled")</f>
        <v>5.0</v>
      </c>
      <c r="I45" s="8">
        <f>COUNTIFS('raw data'!$N:$N,"Energy Solutions &amp; B2B",'raw data'!$P:$P,"EVCI",'raw data'!$R:$R,"Vacant")</f>
        <v>1.0</v>
      </c>
      <c r="J45" s="8">
        <f>H45+I45</f>
        <v>6.0</v>
      </c>
      <c r="K45" s="8">
        <f>IFERROR(J45-G45,"-")</f>
        <v>-3.0</v>
      </c>
      <c r="L45" s="9">
        <f>'1.8 Energy Solutions &amp; B2B'!$G$28</f>
        <v>2.0</v>
      </c>
    </row>
    <row r="46">
      <c r="B46" s="8" t="inlineStr">
        <is>
          <t>Energy Solutions &amp; B2B</t>
        </is>
      </c>
      <c r="C46" s="8" t="inlineStr">
        <is>
          <t>B2B</t>
        </is>
      </c>
      <c r="D46" s="8" t="inlineStr">
        <is>
          <t>B2B</t>
        </is>
      </c>
      <c r="E46" s="8" t="str">
        <f>'1.8 Energy Solutions &amp; B2B'!$C$34</f>
        <v>Configuration / Integration</v>
      </c>
      <c r="F46" s="8" t="str">
        <f>'1.8 Energy Solutions &amp; B2B'!$D$34</f>
        <v>L</v>
      </c>
      <c r="G46" s="8">
        <f>IFERROR(INDEX('0.1 Squads'!$F$5:$F$23,MATCH('1.8 Energy Solutions &amp; B2B'!$C$34&amp;"|"&amp;'1.8 Energy Solutions &amp; B2B'!$D$34,'0.1 Squads'!$A$5:$A$23,0)),"-")</f>
        <v>14.0</v>
      </c>
      <c r="H46" s="8">
        <f>COUNTIFS('raw data'!$N:$N,"Energy Solutions &amp; B2B",'raw data'!$P:$P,"B2B",'raw data'!$R:$R,"Filled")</f>
        <v>13.0</v>
      </c>
      <c r="I46" s="8">
        <f>COUNTIFS('raw data'!$N:$N,"Energy Solutions &amp; B2B",'raw data'!$P:$P,"B2B",'raw data'!$R:$R,"Vacant")</f>
        <v>3.0</v>
      </c>
      <c r="J46" s="8">
        <f>H46+I46</f>
        <v>16.0</v>
      </c>
      <c r="K46" s="8">
        <f>IFERROR(J46-G46,"-")</f>
        <v>2.0</v>
      </c>
      <c r="L46" s="9">
        <f>'1.8 Energy Solutions &amp; B2B'!$G$34</f>
        <v>2.1</v>
      </c>
    </row>
    <row r="47">
      <c r="B47" s="8" t="inlineStr">
        <is>
          <t>Commercial Fuels</t>
        </is>
      </c>
      <c r="C47" s="8" t="inlineStr">
        <is>
          <t>Trading &amp; Shipping</t>
        </is>
      </c>
      <c r="D47" s="8" t="inlineStr">
        <is>
          <t>Trading &amp; Shipping</t>
        </is>
      </c>
      <c r="E47" s="8" t="str">
        <f>'1.9 Commercial Fuels'!$C$25</f>
        <v>Configuration / Integration</v>
      </c>
      <c r="F47" s="8" t="str">
        <f>'1.9 Commercial Fuels'!$D$25</f>
        <v>M</v>
      </c>
      <c r="G47" s="8">
        <f>IFERROR(INDEX('0.1 Squads'!$F$5:$F$23,MATCH('1.9 Commercial Fuels'!$C$25&amp;"|"&amp;'1.9 Commercial Fuels'!$D$25,'0.1 Squads'!$A$5:$A$23,0)),"-")</f>
        <v>9.0</v>
      </c>
      <c r="H47" s="8">
        <f>COUNTIFS('raw data'!$N:$N,"Commercial Fuels",'raw data'!$P:$P,"Trading &amp; Shipping",'raw data'!$R:$R,"Filled")</f>
        <v>9.0</v>
      </c>
      <c r="I47" s="8">
        <f>COUNTIFS('raw data'!$N:$N,"Commercial Fuels",'raw data'!$P:$P,"Trading &amp; Shipping",'raw data'!$R:$R,"Vacant")</f>
        <v>5.0</v>
      </c>
      <c r="J47" s="8">
        <f>H47+I47</f>
        <v>14.0</v>
      </c>
      <c r="K47" s="8">
        <f>IFERROR(J47-G47,"-")</f>
        <v>5.0</v>
      </c>
      <c r="L47" s="9">
        <f>'1.9 Commercial Fuels'!$G$25</f>
        <v>1.4</v>
      </c>
    </row>
    <row r="48">
      <c r="B48" s="8" t="inlineStr">
        <is>
          <t>Commercial Fuels</t>
        </is>
      </c>
      <c r="C48" s="8" t="inlineStr">
        <is>
          <t>Trading &amp; Shipping</t>
        </is>
      </c>
      <c r="D48" s="8" t="inlineStr">
        <is>
          <t>Trading &amp; Shipping Data</t>
        </is>
      </c>
      <c r="E48" s="8" t="str">
        <f>'1.9 Commercial Fuels'!$C$26</f>
        <v>Enterprise Data and Insights</v>
      </c>
      <c r="F48" s="8" t="str">
        <f>'1.9 Commercial Fuels'!$D$26</f>
        <v>M</v>
      </c>
      <c r="G48" s="8">
        <f>IFERROR(INDEX('0.1 Squads'!$F$5:$F$23,MATCH('1.9 Commercial Fuels'!$C$26&amp;"|"&amp;'1.9 Commercial Fuels'!$D$26,'0.1 Squads'!$A$5:$A$23,0)),"-")</f>
        <v>7.5</v>
      </c>
      <c r="H48" s="8">
        <f>COUNTIFS('raw data'!$N:$N,"Commercial Fuels",'raw data'!$P:$P,"Trading &amp; Shipping Data",'raw data'!$R:$R,"Filled")</f>
        <v>7.0</v>
      </c>
      <c r="I48" s="8">
        <f>COUNTIFS('raw data'!$N:$N,"Commercial Fuels",'raw data'!$P:$P,"Trading &amp; Shipping Data",'raw data'!$R:$R,"Vacant")</f>
        <v>0.0</v>
      </c>
      <c r="J48" s="8">
        <f>H48+I48</f>
        <v>7.0</v>
      </c>
      <c r="K48" s="8">
        <f>IFERROR(J48-G48,"-")</f>
        <v>-0.5</v>
      </c>
      <c r="L48" s="9">
        <f>'1.9 Commercial Fuels'!$G$26</f>
        <v>1.7</v>
      </c>
    </row>
    <row r="49">
      <c r="B49" s="8" t="inlineStr">
        <is>
          <t>Commercial Fuels</t>
        </is>
      </c>
      <c r="C49" s="8" t="inlineStr">
        <is>
          <t>Supply</t>
        </is>
      </c>
      <c r="D49" s="8" t="inlineStr">
        <is>
          <t>Supply</t>
        </is>
      </c>
      <c r="E49" s="8" t="str">
        <f>'1.9 Commercial Fuels'!$C$32</f>
        <v>Configuration / Integration</v>
      </c>
      <c r="F49" s="8" t="str">
        <f>'1.9 Commercial Fuels'!$D$32</f>
        <v>M</v>
      </c>
      <c r="G49" s="8">
        <f>IFERROR(INDEX('0.1 Squads'!$F$5:$F$23,MATCH('1.9 Commercial Fuels'!$C$32&amp;"|"&amp;'1.9 Commercial Fuels'!$D$32,'0.1 Squads'!$A$5:$A$23,0)),"-")</f>
        <v>9.0</v>
      </c>
      <c r="H49" s="8">
        <f>COUNTIFS('raw data'!$N:$N,"Commercial Fuels",'raw data'!$P:$P,"Supply",'raw data'!$R:$R,"Filled")</f>
        <v>2.0</v>
      </c>
      <c r="I49" s="8">
        <f>COUNTIFS('raw data'!$N:$N,"Commercial Fuels",'raw data'!$P:$P,"Supply",'raw data'!$R:$R,"Vacant")</f>
        <v>3.0</v>
      </c>
      <c r="J49" s="8">
        <f>H49+I49</f>
        <v>5.0</v>
      </c>
      <c r="K49" s="8">
        <f>IFERROR(J49-G49,"-")</f>
        <v>-4.0</v>
      </c>
      <c r="L49" s="9">
        <f>'1.9 Commercial Fuels'!$G$32</f>
        <v>1.4</v>
      </c>
    </row>
    <row r="50">
      <c r="B50" s="8" t="inlineStr">
        <is>
          <t>Commercial Fuels</t>
        </is>
      </c>
      <c r="C50" s="8" t="inlineStr">
        <is>
          <t>CTRM</t>
        </is>
      </c>
      <c r="D50" s="8" t="inlineStr">
        <is>
          <t>CTRM</t>
        </is>
      </c>
      <c r="E50" s="8" t="str">
        <f>'1.9 Commercial Fuels'!$C$38</f>
        <v>Strategic Programs</v>
      </c>
      <c r="F50" s="8">
        <f>'1.9 Commercial Fuels'!$D$38</f>
        <v>0.0</v>
      </c>
      <c r="G50" s="8" t="str">
        <f>IFERROR(INDEX('0.1 Squads'!$F$5:$F$23,MATCH('1.9 Commercial Fuels'!$C$38&amp;"|"&amp;'1.9 Commercial Fuels'!$D$38,'0.1 Squads'!$A$5:$A$23,0)),"-")</f>
        <v>-</v>
      </c>
      <c r="H50" s="8">
        <f>COUNTIFS('raw data'!$N:$N,"Commercial Fuels",'raw data'!$P:$P,"CTRM",'raw data'!$R:$R,"Filled")</f>
        <v>14.0</v>
      </c>
      <c r="I50" s="8">
        <f>COUNTIFS('raw data'!$N:$N,"Commercial Fuels",'raw data'!$P:$P,"CTRM",'raw data'!$R:$R,"Vacant")</f>
        <v>0.0</v>
      </c>
      <c r="J50" s="8">
        <f>H50+I50</f>
        <v>14.0</v>
      </c>
      <c r="K50" s="8" t="str">
        <f>IFERROR(J50-G50,"-")</f>
        <v>-</v>
      </c>
      <c r="L50" s="9">
        <f>'1.9 Commercial Fuels'!$G$38</f>
        <v>1.4</v>
      </c>
    </row>
    <row r="51">
      <c r="B51" s="8" t="inlineStr">
        <is>
          <t>Z Retail</t>
        </is>
      </c>
      <c r="C51" s="8" t="inlineStr">
        <is>
          <t>Z Supply</t>
        </is>
      </c>
      <c r="D51" s="8" t="inlineStr">
        <is>
          <t>Z Supply</t>
        </is>
      </c>
      <c r="E51" s="8" t="str">
        <f>'1.10 Z Retail'!$C$24</f>
        <v>Build and Run</v>
      </c>
      <c r="F51" s="8" t="str">
        <f>'1.10 Z Retail'!$D$24</f>
        <v>M</v>
      </c>
      <c r="G51" s="8">
        <f>IFERROR(INDEX('0.1 Squads'!$F$5:$F$23,MATCH('1.10 Z Retail'!$C$24&amp;"|"&amp;'1.10 Z Retail'!$D$24,'0.1 Squads'!$A$5:$A$23,0)),"-")</f>
        <v>9.0</v>
      </c>
      <c r="H51" s="8">
        <f>COUNTIFS('raw data'!$N:$N,"Z Retail",'raw data'!$P:$P,"Z Supply",'raw data'!$R:$R,"Filled")</f>
        <v>7.0</v>
      </c>
      <c r="I51" s="8">
        <f>COUNTIFS('raw data'!$N:$N,"Z Retail",'raw data'!$P:$P,"Z Supply",'raw data'!$R:$R,"Vacant")</f>
        <v>1.0</v>
      </c>
      <c r="J51" s="8">
        <f>H51+I51</f>
        <v>8.0</v>
      </c>
      <c r="K51" s="8">
        <f>IFERROR(J51-G51,"-")</f>
        <v>-1.0</v>
      </c>
      <c r="L51" s="9">
        <f>'1.10 Z Retail'!$G$24</f>
        <v>2.0</v>
      </c>
    </row>
    <row r="52">
      <c r="B52" s="8" t="inlineStr">
        <is>
          <t>Z Retail</t>
        </is>
      </c>
      <c r="C52" s="8" t="inlineStr">
        <is>
          <t>Z Customer</t>
        </is>
      </c>
      <c r="D52" s="8" t="inlineStr">
        <is>
          <t>Site Systems</t>
        </is>
      </c>
      <c r="E52" s="8" t="str">
        <f>'1.10 Z Retail'!$C$30</f>
        <v>Configuration / Integration</v>
      </c>
      <c r="F52" s="8" t="str">
        <f>'1.10 Z Retail'!$D$30</f>
        <v>M</v>
      </c>
      <c r="G52" s="8">
        <f>IFERROR(INDEX('0.1 Squads'!$F$5:$F$23,MATCH('1.10 Z Retail'!$C$30&amp;"|"&amp;'1.10 Z Retail'!$D$30,'0.1 Squads'!$A$5:$A$23,0)),"-")</f>
        <v>9.0</v>
      </c>
      <c r="H52" s="8">
        <f>COUNTIFS('raw data'!$N:$N,"Z Retail",'raw data'!$P:$P,"Site Systems",'raw data'!$R:$R,"Filled")</f>
        <v>8.0</v>
      </c>
      <c r="I52" s="8">
        <f>COUNTIFS('raw data'!$N:$N,"Z Retail",'raw data'!$P:$P,"Site Systems",'raw data'!$R:$R,"Vacant")</f>
        <v>0.0</v>
      </c>
      <c r="J52" s="8">
        <f>H52+I52</f>
        <v>8.0</v>
      </c>
      <c r="K52" s="8">
        <f>IFERROR(J52-G52,"-")</f>
        <v>-1.0</v>
      </c>
      <c r="L52" s="9">
        <f>'1.10 Z Retail'!$G$30</f>
        <v>1.4</v>
      </c>
    </row>
    <row r="53">
      <c r="B53" s="8" t="inlineStr">
        <is>
          <t>Z Retail</t>
        </is>
      </c>
      <c r="C53" s="8" t="inlineStr">
        <is>
          <t>Z Customer</t>
        </is>
      </c>
      <c r="D53" s="8" t="inlineStr">
        <is>
          <t>Z Retail Backend</t>
        </is>
      </c>
      <c r="E53" s="8" t="str">
        <f>'1.10 Z Retail'!$C$31</f>
        <v>Build and Run</v>
      </c>
      <c r="F53" s="8" t="str">
        <f>'1.10 Z Retail'!$D$31</f>
        <v>M</v>
      </c>
      <c r="G53" s="8">
        <f>IFERROR(INDEX('0.1 Squads'!$F$5:$F$23,MATCH('1.10 Z Retail'!$C$31&amp;"|"&amp;'1.10 Z Retail'!$D$31,'0.1 Squads'!$A$5:$A$23,0)),"-")</f>
        <v>9.0</v>
      </c>
      <c r="H53" s="8">
        <f>COUNTIFS('raw data'!$N:$N,"Z Retail",'raw data'!$P:$P,"Z Retail Backend",'raw data'!$R:$R,"Filled")</f>
        <v>6.0</v>
      </c>
      <c r="I53" s="8">
        <f>COUNTIFS('raw data'!$N:$N,"Z Retail",'raw data'!$P:$P,"Z Retail Backend",'raw data'!$R:$R,"Vacant")</f>
        <v>2.0</v>
      </c>
      <c r="J53" s="8">
        <f>H53+I53</f>
        <v>8.0</v>
      </c>
      <c r="K53" s="8">
        <f>IFERROR(J53-G53,"-")</f>
        <v>-1.0</v>
      </c>
      <c r="L53" s="9">
        <f>'1.10 Z Retail'!$G$31</f>
        <v>2.0</v>
      </c>
    </row>
    <row r="54">
      <c r="B54" s="8" t="inlineStr">
        <is>
          <t>TDD Cyber</t>
        </is>
      </c>
      <c r="C54" s="8" t="inlineStr">
        <is>
          <t xml:space="preserve">TDD Cyber, Risk &amp; Service Ops </t>
        </is>
      </c>
      <c r="D54" s="8" t="inlineStr">
        <is>
          <t>TDD COE</t>
        </is>
      </c>
      <c r="E54" s="8" t="str">
        <f>'1.11 TDD Cyber'!$C$24</f>
        <v>Strategic Programs</v>
      </c>
      <c r="F54" s="8">
        <f>'1.11 TDD Cyber'!$D$24</f>
        <v>0.0</v>
      </c>
      <c r="G54" s="8" t="str">
        <f>IFERROR(INDEX('0.1 Squads'!$F$5:$F$23,MATCH('1.11 TDD Cyber'!$C$24&amp;"|"&amp;'1.11 TDD Cyber'!$D$24,'0.1 Squads'!$A$5:$A$23,0)),"-")</f>
        <v>-</v>
      </c>
      <c r="H54" s="8">
        <f>COUNTIFS('raw data'!$N:$N,"TDD Cyber",'raw data'!$P:$P,"TDD COE",'raw data'!$R:$R,"Filled")</f>
        <v>0.0</v>
      </c>
      <c r="I54" s="8">
        <f>COUNTIFS('raw data'!$N:$N,"TDD Cyber",'raw data'!$P:$P,"TDD COE",'raw data'!$R:$R,"Vacant")</f>
        <v>0.0</v>
      </c>
      <c r="J54" s="8">
        <f>H54+I54</f>
        <v>0.0</v>
      </c>
      <c r="K54" s="8" t="str">
        <f>IFERROR(J54-G54,"-")</f>
        <v>-</v>
      </c>
      <c r="L54" s="9">
        <f>'1.11 TDD Cyber'!$G$24</f>
        <v>2.0</v>
      </c>
    </row>
    <row r="55">
      <c r="B55" s="8" t="inlineStr">
        <is>
          <t>TDD Cyber</t>
        </is>
      </c>
      <c r="C55" s="8" t="inlineStr">
        <is>
          <t xml:space="preserve">TDD Cyber, Risk &amp; Service Ops </t>
        </is>
      </c>
      <c r="D55" s="8" t="inlineStr">
        <is>
          <t>TDD Cyber</t>
        </is>
      </c>
      <c r="E55" s="8" t="str">
        <f>'1.11 TDD Cyber'!$C$25</f>
        <v>Operations</v>
      </c>
      <c r="F55" s="8" t="str">
        <f>'1.11 TDD Cyber'!$D$25</f>
        <v>M</v>
      </c>
      <c r="G55" s="8">
        <f>IFERROR(INDEX('0.1 Squads'!$F$5:$F$23,MATCH('1.11 TDD Cyber'!$C$25&amp;"|"&amp;'1.11 TDD Cyber'!$D$25,'0.1 Squads'!$A$5:$A$23,0)),"-")</f>
        <v>6.0</v>
      </c>
      <c r="H55" s="8">
        <f>COUNTIFS('raw data'!$N:$N,"TDD Cyber",'raw data'!$P:$P,"TDD Cyber",'raw data'!$R:$R,"Filled")</f>
        <v>40.0</v>
      </c>
      <c r="I55" s="8">
        <f>COUNTIFS('raw data'!$N:$N,"TDD Cyber",'raw data'!$P:$P,"TDD Cyber",'raw data'!$R:$R,"Vacant")</f>
        <v>8.0</v>
      </c>
      <c r="J55" s="8">
        <f>H55+I55</f>
        <v>48.0</v>
      </c>
      <c r="K55" s="8">
        <f>IFERROR(J55-G55,"-")</f>
        <v>42.0</v>
      </c>
      <c r="L55" s="9">
        <f>'1.11 TDD Cyber'!$G$25</f>
        <v>1.4</v>
      </c>
    </row>
    <row r="56">
      <c r="B56" s="216" t="inlineStr">
        <is>
          <t>Total modelled squads</t>
        </is>
      </c>
      <c r="C56" s="216" t="n"/>
      <c r="D56" s="216" t="n"/>
      <c r="E56" s="216" t="n"/>
      <c r="F56" s="216" t="n"/>
      <c r="G56" s="216">
        <f>SUM(G6:G55)</f>
        <v>350.0</v>
      </c>
      <c r="H56" s="216">
        <f>SUM(H6:H55)</f>
        <v>300.0</v>
      </c>
      <c r="I56" s="216">
        <f>SUM(I6:I55)</f>
        <v>125.0</v>
      </c>
      <c r="J56" s="216">
        <f>SUM(J6:J55)</f>
        <v>425.0</v>
      </c>
      <c r="K56" s="216" t="n"/>
      <c r="L56" s="216">
        <f>SUM(L6:L55)</f>
        <v>63.7</v>
      </c>
    </row>
    <row r="58">
      <c r="B58" s="259" t="inlineStr">
        <is>
          <t>Leadership roles - roll up to platform / portfolio overhead (Data Config roles), not to squads</t>
        </is>
      </c>
      <c r="C58" s="251" t="n"/>
      <c r="D58" s="251" t="n"/>
      <c r="E58" s="251" t="n"/>
      <c r="F58" s="251" t="n"/>
      <c r="G58" s="251" t="n"/>
      <c r="H58" s="251" t="n"/>
      <c r="I58" s="251" t="n"/>
      <c r="J58" s="251" t="n"/>
      <c r="K58" s="251" t="n"/>
      <c r="L58" s="252" t="n"/>
    </row>
    <row r="59">
      <c r="B59" s="5" t="inlineStr">
        <is>
          <t>Portfolio</t>
        </is>
      </c>
      <c r="C59" s="5" t="inlineStr"/>
      <c r="D59" s="5" t="inlineStr"/>
      <c r="E59" s="5" t="inlineStr"/>
      <c r="F59" s="5" t="inlineStr"/>
      <c r="G59" s="5" t="inlineStr"/>
      <c r="H59" s="5" t="inlineStr">
        <is>
          <t>Filled</t>
        </is>
      </c>
      <c r="I59" s="5" t="inlineStr">
        <is>
          <t>Vacant</t>
        </is>
      </c>
      <c r="J59" s="5" t="inlineStr">
        <is>
          <t>Total</t>
        </is>
      </c>
    </row>
    <row r="60">
      <c r="B60" s="8" t="inlineStr">
        <is>
          <t>Ampol Retail</t>
        </is>
      </c>
      <c r="C60" s="8" t="n"/>
      <c r="D60" s="8" t="n"/>
      <c r="E60" s="8" t="n"/>
      <c r="F60" s="8" t="n"/>
      <c r="G60" s="8" t="n"/>
      <c r="H60" s="8">
        <f>COUNTIFS('raw data'!$N:$N,"Ampol Retail",'raw data'!$Q:$Q,"Leadership",'raw data'!$R:$R,"Filled")</f>
        <v>5.0</v>
      </c>
      <c r="I60" s="8">
        <f>COUNTIFS('raw data'!$N:$N,"Ampol Retail",'raw data'!$Q:$Q,"Leadership",'raw data'!$R:$R,"Vacant")</f>
        <v>0.0</v>
      </c>
      <c r="J60" s="8">
        <f>H60+I60</f>
        <v>5.0</v>
      </c>
      <c r="K60" s="8" t="n"/>
      <c r="L60" s="8" t="n"/>
    </row>
    <row r="61">
      <c r="B61" s="8" t="inlineStr">
        <is>
          <t>Customer</t>
        </is>
      </c>
      <c r="C61" s="8" t="n"/>
      <c r="D61" s="8" t="n"/>
      <c r="E61" s="8" t="n"/>
      <c r="F61" s="8" t="n"/>
      <c r="G61" s="8" t="n"/>
      <c r="H61" s="8">
        <f>COUNTIFS('raw data'!$N:$N,"Customer",'raw data'!$Q:$Q,"Leadership",'raw data'!$R:$R,"Filled")</f>
        <v>10.0</v>
      </c>
      <c r="I61" s="8">
        <f>COUNTIFS('raw data'!$N:$N,"Customer",'raw data'!$Q:$Q,"Leadership",'raw data'!$R:$R,"Vacant")</f>
        <v>4.0</v>
      </c>
      <c r="J61" s="8">
        <f>H61+I61</f>
        <v>14.0</v>
      </c>
      <c r="K61" s="8" t="n"/>
      <c r="L61" s="8" t="n"/>
    </row>
    <row r="62">
      <c r="B62" s="8" t="inlineStr">
        <is>
          <t>Enterprise Data</t>
        </is>
      </c>
      <c r="C62" s="8" t="n"/>
      <c r="D62" s="8" t="n"/>
      <c r="E62" s="8" t="n"/>
      <c r="F62" s="8" t="n"/>
      <c r="G62" s="8" t="n"/>
      <c r="H62" s="8">
        <f>COUNTIFS('raw data'!$N:$N,"Enterprise Data",'raw data'!$Q:$Q,"Leadership",'raw data'!$R:$R,"Filled")</f>
        <v>1.0</v>
      </c>
      <c r="I62" s="8">
        <f>COUNTIFS('raw data'!$N:$N,"Enterprise Data",'raw data'!$Q:$Q,"Leadership",'raw data'!$R:$R,"Vacant")</f>
        <v>0.0</v>
      </c>
      <c r="J62" s="8">
        <f>H62+I62</f>
        <v>1.0</v>
      </c>
      <c r="K62" s="8" t="n"/>
      <c r="L62" s="8" t="n"/>
    </row>
    <row r="63">
      <c r="B63" s="8" t="inlineStr">
        <is>
          <t>TDD Group Functions</t>
        </is>
      </c>
      <c r="C63" s="8" t="n"/>
      <c r="D63" s="8" t="n"/>
      <c r="E63" s="8" t="n"/>
      <c r="F63" s="8" t="n"/>
      <c r="G63" s="8" t="n"/>
      <c r="H63" s="8">
        <f>COUNTIFS('raw data'!$N:$N,"TDD Group Functions",'raw data'!$Q:$Q,"Leadership",'raw data'!$R:$R,"Filled")</f>
        <v>2.0</v>
      </c>
      <c r="I63" s="8">
        <f>COUNTIFS('raw data'!$N:$N,"TDD Group Functions",'raw data'!$Q:$Q,"Leadership",'raw data'!$R:$R,"Vacant")</f>
        <v>5.0</v>
      </c>
      <c r="J63" s="8">
        <f>H63+I63</f>
        <v>7.0</v>
      </c>
      <c r="K63" s="8" t="n"/>
      <c r="L63" s="8" t="n"/>
    </row>
    <row r="64">
      <c r="B64" s="8" t="inlineStr">
        <is>
          <t>P&amp;C</t>
        </is>
      </c>
      <c r="C64" s="8" t="n"/>
      <c r="D64" s="8" t="n"/>
      <c r="E64" s="8" t="n"/>
      <c r="F64" s="8" t="n"/>
      <c r="G64" s="8" t="n"/>
      <c r="H64" s="8">
        <f>COUNTIFS('raw data'!$N:$N,"P&amp;C",'raw data'!$Q:$Q,"Leadership",'raw data'!$R:$R,"Filled")</f>
        <v>2.0</v>
      </c>
      <c r="I64" s="8">
        <f>COUNTIFS('raw data'!$N:$N,"P&amp;C",'raw data'!$Q:$Q,"Leadership",'raw data'!$R:$R,"Vacant")</f>
        <v>1.0</v>
      </c>
      <c r="J64" s="8">
        <f>H64+I64</f>
        <v>3.0</v>
      </c>
      <c r="K64" s="8" t="n"/>
      <c r="L64" s="8" t="n"/>
    </row>
    <row r="65">
      <c r="B65" s="8" t="inlineStr">
        <is>
          <t>Finance</t>
        </is>
      </c>
      <c r="C65" s="8" t="n"/>
      <c r="D65" s="8" t="n"/>
      <c r="E65" s="8" t="n"/>
      <c r="F65" s="8" t="n"/>
      <c r="G65" s="8" t="n"/>
      <c r="H65" s="8">
        <f>COUNTIFS('raw data'!$N:$N,"Finance",'raw data'!$Q:$Q,"Leadership",'raw data'!$R:$R,"Filled")</f>
        <v>1.0</v>
      </c>
      <c r="I65" s="8">
        <f>COUNTIFS('raw data'!$N:$N,"Finance",'raw data'!$Q:$Q,"Leadership",'raw data'!$R:$R,"Vacant")</f>
        <v>0.0</v>
      </c>
      <c r="J65" s="8">
        <f>H65+I65</f>
        <v>1.0</v>
      </c>
      <c r="K65" s="8" t="n"/>
      <c r="L65" s="8" t="n"/>
    </row>
    <row r="66">
      <c r="B66" s="8" t="inlineStr">
        <is>
          <t>Infrastructure</t>
        </is>
      </c>
      <c r="C66" s="8" t="n"/>
      <c r="D66" s="8" t="n"/>
      <c r="E66" s="8" t="n"/>
      <c r="F66" s="8" t="n"/>
      <c r="G66" s="8" t="n"/>
      <c r="H66" s="8">
        <f>COUNTIFS('raw data'!$N:$N,"Infrastructure",'raw data'!$Q:$Q,"Leadership",'raw data'!$R:$R,"Filled")</f>
        <v>4.0</v>
      </c>
      <c r="I66" s="8">
        <f>COUNTIFS('raw data'!$N:$N,"Infrastructure",'raw data'!$Q:$Q,"Leadership",'raw data'!$R:$R,"Vacant")</f>
        <v>1.0</v>
      </c>
      <c r="J66" s="8">
        <f>H66+I66</f>
        <v>5.0</v>
      </c>
      <c r="K66" s="8" t="n"/>
      <c r="L66" s="8" t="n"/>
    </row>
    <row r="67">
      <c r="B67" s="8" t="inlineStr">
        <is>
          <t>Energy Solutions &amp; B2B</t>
        </is>
      </c>
      <c r="C67" s="8" t="n"/>
      <c r="D67" s="8" t="n"/>
      <c r="E67" s="8" t="n"/>
      <c r="F67" s="8" t="n"/>
      <c r="G67" s="8" t="n"/>
      <c r="H67" s="8">
        <f>COUNTIFS('raw data'!$N:$N,"Energy Solutions &amp; B2B",'raw data'!$Q:$Q,"Leadership",'raw data'!$R:$R,"Filled")</f>
        <v>2.0</v>
      </c>
      <c r="I67" s="8">
        <f>COUNTIFS('raw data'!$N:$N,"Energy Solutions &amp; B2B",'raw data'!$Q:$Q,"Leadership",'raw data'!$R:$R,"Vacant")</f>
        <v>2.0</v>
      </c>
      <c r="J67" s="8">
        <f>H67+I67</f>
        <v>4.0</v>
      </c>
      <c r="K67" s="8" t="n"/>
      <c r="L67" s="8" t="n"/>
    </row>
    <row r="68">
      <c r="B68" s="8" t="inlineStr">
        <is>
          <t>Commercial Fuels</t>
        </is>
      </c>
      <c r="C68" s="8" t="n"/>
      <c r="D68" s="8" t="n"/>
      <c r="E68" s="8" t="n"/>
      <c r="F68" s="8" t="n"/>
      <c r="G68" s="8" t="n"/>
      <c r="H68" s="8">
        <f>COUNTIFS('raw data'!$N:$N,"Commercial Fuels",'raw data'!$Q:$Q,"Leadership",'raw data'!$R:$R,"Filled")</f>
        <v>0.0</v>
      </c>
      <c r="I68" s="8">
        <f>COUNTIFS('raw data'!$N:$N,"Commercial Fuels",'raw data'!$Q:$Q,"Leadership",'raw data'!$R:$R,"Vacant")</f>
        <v>0.0</v>
      </c>
      <c r="J68" s="8">
        <f>H68+I68</f>
        <v>0.0</v>
      </c>
      <c r="K68" s="8" t="n"/>
      <c r="L68" s="8" t="n"/>
    </row>
    <row r="69">
      <c r="B69" s="8" t="inlineStr">
        <is>
          <t>Z Retail</t>
        </is>
      </c>
      <c r="C69" s="8" t="n"/>
      <c r="D69" s="8" t="n"/>
      <c r="E69" s="8" t="n"/>
      <c r="F69" s="8" t="n"/>
      <c r="G69" s="8" t="n"/>
      <c r="H69" s="8">
        <f>COUNTIFS('raw data'!$N:$N,"Z Retail",'raw data'!$Q:$Q,"Leadership",'raw data'!$R:$R,"Filled")</f>
        <v>2.0</v>
      </c>
      <c r="I69" s="8">
        <f>COUNTIFS('raw data'!$N:$N,"Z Retail",'raw data'!$Q:$Q,"Leadership",'raw data'!$R:$R,"Vacant")</f>
        <v>2.0</v>
      </c>
      <c r="J69" s="8">
        <f>H69+I69</f>
        <v>4.0</v>
      </c>
      <c r="K69" s="8" t="n"/>
      <c r="L69" s="8" t="n"/>
    </row>
    <row r="70">
      <c r="B70" s="8" t="inlineStr">
        <is>
          <t>TDD Cyber</t>
        </is>
      </c>
      <c r="C70" s="8" t="n"/>
      <c r="D70" s="8" t="n"/>
      <c r="E70" s="8" t="n"/>
      <c r="F70" s="8" t="n"/>
      <c r="G70" s="8" t="n"/>
      <c r="H70" s="8">
        <f>COUNTIFS('raw data'!$N:$N,"TDD Cyber",'raw data'!$Q:$Q,"Leadership",'raw data'!$R:$R,"Filled")</f>
        <v>0.0</v>
      </c>
      <c r="I70" s="8">
        <f>COUNTIFS('raw data'!$N:$N,"TDD Cyber",'raw data'!$Q:$Q,"Leadership",'raw data'!$R:$R,"Vacant")</f>
        <v>0.0</v>
      </c>
      <c r="J70" s="8">
        <f>H70+I70</f>
        <v>0.0</v>
      </c>
      <c r="K70" s="8" t="n"/>
      <c r="L70" s="8" t="n"/>
    </row>
    <row r="71">
      <c r="B71" s="8" t="inlineStr">
        <is>
          <t>COE</t>
        </is>
      </c>
      <c r="C71" s="8" t="n"/>
      <c r="D71" s="8" t="n"/>
      <c r="E71" s="8" t="n"/>
      <c r="F71" s="8" t="n"/>
      <c r="G71" s="8" t="n"/>
      <c r="H71" s="8">
        <f>COUNTIFS('raw data'!$N:$N,"COE",'raw data'!$Q:$Q,"Leadership",'raw data'!$R:$R,"Filled")</f>
        <v>2.0</v>
      </c>
      <c r="I71" s="8">
        <f>COUNTIFS('raw data'!$N:$N,"COE",'raw data'!$Q:$Q,"Leadership",'raw data'!$R:$R,"Vacant")</f>
        <v>1.0</v>
      </c>
      <c r="J71" s="8">
        <f>H71+I71</f>
        <v>3.0</v>
      </c>
      <c r="K71" s="8" t="n"/>
      <c r="L71" s="8" t="n"/>
    </row>
    <row r="72">
      <c r="B72" s="8" t="inlineStr">
        <is>
          <t>Unmapped</t>
        </is>
      </c>
      <c r="C72" s="8" t="n"/>
      <c r="D72" s="8" t="n"/>
      <c r="E72" s="8" t="n"/>
      <c r="F72" s="8" t="n"/>
      <c r="G72" s="8" t="n"/>
      <c r="H72" s="8">
        <f>COUNTIFS('raw data'!$N:$N,"Unmapped",'raw data'!$Q:$Q,"Leadership",'raw data'!$R:$R,"Filled")</f>
        <v>4.0</v>
      </c>
      <c r="I72" s="8">
        <f>COUNTIFS('raw data'!$N:$N,"Unmapped",'raw data'!$Q:$Q,"Leadership",'raw data'!$R:$R,"Vacant")</f>
        <v>2.0</v>
      </c>
      <c r="J72" s="8">
        <f>H72+I72</f>
        <v>6.0</v>
      </c>
      <c r="K72" s="8" t="n"/>
      <c r="L72" s="8" t="n"/>
    </row>
    <row r="73">
      <c r="B73" s="216" t="inlineStr">
        <is>
          <t>Total leadership</t>
        </is>
      </c>
      <c r="C73" s="216" t="n"/>
      <c r="D73" s="216" t="n"/>
      <c r="E73" s="216" t="n"/>
      <c r="F73" s="216" t="n"/>
      <c r="G73" s="216" t="n"/>
      <c r="H73" s="216">
        <f>SUM(H60:H72)</f>
        <v>35.0</v>
      </c>
      <c r="I73" s="216">
        <f>SUM(I60:I72)</f>
        <v>18.0</v>
      </c>
      <c r="J73" s="216">
        <f>SUM(J60:J72)</f>
        <v>53.0</v>
      </c>
      <c r="K73" s="216" t="n"/>
      <c r="L73" s="216" t="n"/>
    </row>
    <row r="75">
      <c r="B75" s="259" t="inlineStr">
        <is>
          <t>Centres of Excellence - planned FTE (hard-code) vs org data</t>
        </is>
      </c>
      <c r="C75" s="251" t="n"/>
      <c r="D75" s="251" t="n"/>
      <c r="E75" s="251" t="n"/>
      <c r="F75" s="251" t="n"/>
      <c r="G75" s="251" t="n"/>
      <c r="H75" s="251" t="n"/>
      <c r="I75" s="251" t="n"/>
      <c r="J75" s="251" t="n"/>
      <c r="K75" s="251" t="n"/>
      <c r="L75" s="252" t="n"/>
    </row>
    <row r="76">
      <c r="B76" s="5" t="inlineStr">
        <is>
          <t>COE</t>
        </is>
      </c>
      <c r="C76" s="5" t="inlineStr"/>
      <c r="D76" s="5" t="inlineStr"/>
      <c r="E76" s="5" t="inlineStr"/>
      <c r="F76" s="5" t="inlineStr"/>
      <c r="G76" s="5" t="inlineStr">
        <is>
          <t>Planned FTE</t>
        </is>
      </c>
      <c r="H76" s="5" t="inlineStr">
        <is>
          <t>Filled</t>
        </is>
      </c>
      <c r="I76" s="5" t="inlineStr">
        <is>
          <t>Vacant</t>
        </is>
      </c>
      <c r="J76" s="5" t="inlineStr">
        <is>
          <t>Total seats</t>
        </is>
      </c>
      <c r="K76" s="5" t="inlineStr">
        <is>
          <t>Seats vs planned</t>
        </is>
      </c>
    </row>
    <row r="77">
      <c r="B77" s="8" t="inlineStr">
        <is>
          <t>COE - Strategy Architecture</t>
        </is>
      </c>
      <c r="C77" s="8" t="n"/>
      <c r="D77" s="8" t="n"/>
      <c r="E77" s="8" t="n"/>
      <c r="F77" s="8" t="n"/>
      <c r="G77" s="392" t="n">
        <v>0</v>
      </c>
      <c r="H77" s="8">
        <f>COUNTIFS('raw data'!$P:$P,"COE - Strategy Architecture",'raw data'!$R:$R,"Filled")</f>
        <v>7.0</v>
      </c>
      <c r="I77" s="8">
        <f>COUNTIFS('raw data'!$P:$P,"COE - Strategy Architecture",'raw data'!$R:$R,"Vacant")</f>
        <v>0.0</v>
      </c>
      <c r="J77" s="8">
        <f>H77+I77</f>
        <v>7.0</v>
      </c>
      <c r="K77" s="8">
        <f>J77-G77</f>
        <v>7.0</v>
      </c>
      <c r="L77" s="8" t="n"/>
    </row>
    <row r="78">
      <c r="B78" s="8" t="inlineStr">
        <is>
          <t>COE - Transformation</t>
        </is>
      </c>
      <c r="C78" s="8" t="n"/>
      <c r="D78" s="8" t="n"/>
      <c r="E78" s="8" t="n"/>
      <c r="F78" s="8" t="n"/>
      <c r="G78" s="392" t="n">
        <v>0</v>
      </c>
      <c r="H78" s="8">
        <f>COUNTIFS('raw data'!$P:$P,"COE - Transformation",'raw data'!$R:$R,"Filled")</f>
        <v>5.0</v>
      </c>
      <c r="I78" s="8">
        <f>COUNTIFS('raw data'!$P:$P,"COE - Transformation",'raw data'!$R:$R,"Vacant")</f>
        <v>8.0</v>
      </c>
      <c r="J78" s="8">
        <f>H78+I78</f>
        <v>13.0</v>
      </c>
      <c r="K78" s="8">
        <f>J78-G78</f>
        <v>13.0</v>
      </c>
      <c r="L78" s="8" t="n"/>
    </row>
    <row r="79">
      <c r="B79" s="8" t="inlineStr">
        <is>
          <t>COE - Business Partnering</t>
        </is>
      </c>
      <c r="C79" s="8" t="n"/>
      <c r="D79" s="8" t="n"/>
      <c r="E79" s="8" t="n"/>
      <c r="F79" s="8" t="n"/>
      <c r="G79" s="392" t="n">
        <v>0</v>
      </c>
      <c r="H79" s="8">
        <f>COUNTIFS('raw data'!$P:$P,"COE - Business Partnering",'raw data'!$R:$R,"Filled")</f>
        <v>5.0</v>
      </c>
      <c r="I79" s="8">
        <f>COUNTIFS('raw data'!$P:$P,"COE - Business Partnering",'raw data'!$R:$R,"Vacant")</f>
        <v>1.0</v>
      </c>
      <c r="J79" s="8">
        <f>H79+I79</f>
        <v>6.0</v>
      </c>
      <c r="K79" s="8">
        <f>J79-G79</f>
        <v>6.0</v>
      </c>
      <c r="L79" s="8" t="n"/>
    </row>
    <row r="80">
      <c r="B80" s="8" t="inlineStr">
        <is>
          <t>COE - Data</t>
        </is>
      </c>
      <c r="C80" s="8" t="n"/>
      <c r="D80" s="8" t="n"/>
      <c r="E80" s="8" t="n"/>
      <c r="F80" s="8" t="n"/>
      <c r="G80" s="392" t="n">
        <v>0</v>
      </c>
      <c r="H80" s="8">
        <f>COUNTIFS('raw data'!$P:$P,"COE - Data",'raw data'!$R:$R,"Filled")</f>
        <v>3.0</v>
      </c>
      <c r="I80" s="8">
        <f>COUNTIFS('raw data'!$P:$P,"COE - Data",'raw data'!$R:$R,"Vacant")</f>
        <v>1.0</v>
      </c>
      <c r="J80" s="8">
        <f>H80+I80</f>
        <v>4.0</v>
      </c>
      <c r="K80" s="8">
        <f>J80-G80</f>
        <v>4.0</v>
      </c>
      <c r="L80" s="8" t="n"/>
    </row>
    <row r="81">
      <c r="B81" s="8" t="inlineStr">
        <is>
          <t>COE (unspecified)</t>
        </is>
      </c>
      <c r="C81" s="8" t="n"/>
      <c r="D81" s="8" t="n"/>
      <c r="E81" s="8" t="n"/>
      <c r="F81" s="8" t="n"/>
      <c r="G81" s="392" t="n">
        <v>0</v>
      </c>
      <c r="H81" s="8">
        <f>COUNTIFS('raw data'!$P:$P,"COE (unspecified)",'raw data'!$R:$R,"Filled")</f>
        <v>2.0</v>
      </c>
      <c r="I81" s="8">
        <f>COUNTIFS('raw data'!$P:$P,"COE (unspecified)",'raw data'!$R:$R,"Vacant")</f>
        <v>5.0</v>
      </c>
      <c r="J81" s="8">
        <f>H81+I81</f>
        <v>7.0</v>
      </c>
      <c r="K81" s="8">
        <f>J81-G81</f>
        <v>7.0</v>
      </c>
      <c r="L81" s="8" t="n"/>
    </row>
    <row r="82">
      <c r="B82" s="216" t="inlineStr">
        <is>
          <t>Total COE</t>
        </is>
      </c>
      <c r="C82" s="216" t="n"/>
      <c r="D82" s="216" t="n"/>
      <c r="E82" s="216" t="n"/>
      <c r="F82" s="216" t="n"/>
      <c r="G82" s="216">
        <f>SUM(G77:G81)</f>
        <v>0.0</v>
      </c>
      <c r="H82" s="216">
        <f>SUM(H77:H81)</f>
        <v>22.0</v>
      </c>
      <c r="I82" s="216">
        <f>SUM(I77:I81)</f>
        <v>15.0</v>
      </c>
      <c r="J82" s="216">
        <f>SUM(J77:J81)</f>
        <v>37.0</v>
      </c>
      <c r="K82" s="216" t="n"/>
      <c r="L82" s="216" t="n"/>
    </row>
    <row r="84">
      <c r="B84" s="259" t="inlineStr">
        <is>
          <t>Squads / groups NOT in the archetype model (in op model or org data) - decide: map, archetype, or retire</t>
        </is>
      </c>
      <c r="C84" s="251" t="n"/>
      <c r="D84" s="251" t="n"/>
      <c r="E84" s="251" t="n"/>
      <c r="F84" s="251" t="n"/>
      <c r="G84" s="251" t="n"/>
      <c r="H84" s="251" t="n"/>
      <c r="I84" s="251" t="n"/>
      <c r="J84" s="251" t="n"/>
      <c r="K84" s="251" t="n"/>
      <c r="L84" s="252" t="n"/>
    </row>
    <row r="85">
      <c r="B85" s="5" t="inlineStr">
        <is>
          <t>Portfolio</t>
        </is>
      </c>
      <c r="C85" s="5" t="inlineStr"/>
      <c r="D85" s="5" t="inlineStr">
        <is>
          <t>Squad (org data)</t>
        </is>
      </c>
      <c r="E85" s="5" t="inlineStr"/>
      <c r="F85" s="5" t="inlineStr"/>
      <c r="G85" s="5" t="inlineStr"/>
      <c r="H85" s="5" t="inlineStr">
        <is>
          <t>Filled</t>
        </is>
      </c>
      <c r="I85" s="5" t="inlineStr">
        <is>
          <t>Vacant</t>
        </is>
      </c>
      <c r="J85" s="5" t="inlineStr">
        <is>
          <t>Total</t>
        </is>
      </c>
    </row>
    <row r="86">
      <c r="B86" s="393" t="inlineStr">
        <is>
          <t>Customer</t>
        </is>
      </c>
      <c r="C86" s="393" t="n"/>
      <c r="D86" s="393" t="inlineStr">
        <is>
          <t>Customer AI</t>
        </is>
      </c>
      <c r="E86" s="393" t="n"/>
      <c r="F86" s="393" t="n"/>
      <c r="G86" s="393" t="n"/>
      <c r="H86" s="393">
        <f>COUNTIFS('raw data'!$N:$N,"Customer",'raw data'!$P:$P,"Customer AI",'raw data'!$R:$R,"Filled")</f>
        <v>0.0</v>
      </c>
      <c r="I86" s="393">
        <f>COUNTIFS('raw data'!$N:$N,"Customer",'raw data'!$P:$P,"Customer AI",'raw data'!$R:$R,"Vacant")</f>
        <v>2.0</v>
      </c>
      <c r="J86" s="393">
        <f>H86+I86</f>
        <v>2.0</v>
      </c>
      <c r="K86" s="393" t="n"/>
      <c r="L86" s="393" t="n"/>
    </row>
    <row r="87">
      <c r="B87" s="393" t="inlineStr">
        <is>
          <t>Z Retail</t>
        </is>
      </c>
      <c r="C87" s="393" t="n"/>
      <c r="D87" s="393" t="inlineStr">
        <is>
          <t>Data NZ</t>
        </is>
      </c>
      <c r="E87" s="393" t="n"/>
      <c r="F87" s="393" t="n"/>
      <c r="G87" s="393" t="n"/>
      <c r="H87" s="393">
        <f>COUNTIFS('raw data'!$N:$N,"Z Retail",'raw data'!$P:$P,"Data NZ",'raw data'!$R:$R,"Filled")</f>
        <v>5.0</v>
      </c>
      <c r="I87" s="393">
        <f>COUNTIFS('raw data'!$N:$N,"Z Retail",'raw data'!$P:$P,"Data NZ",'raw data'!$R:$R,"Vacant")</f>
        <v>1.0</v>
      </c>
      <c r="J87" s="393">
        <f>H87+I87</f>
        <v>6.0</v>
      </c>
      <c r="K87" s="393" t="n"/>
      <c r="L87" s="393" t="n"/>
    </row>
    <row r="88">
      <c r="B88" s="393" t="inlineStr">
        <is>
          <t>EGI</t>
        </is>
      </c>
      <c r="C88" s="393" t="n"/>
      <c r="D88" s="393" t="inlineStr">
        <is>
          <t>EGI (unassigned)</t>
        </is>
      </c>
      <c r="E88" s="393" t="n"/>
      <c r="F88" s="393" t="n"/>
      <c r="G88" s="393" t="n"/>
      <c r="H88" s="393">
        <f>COUNTIFS('raw data'!$N:$N,"EGI",'raw data'!$P:$P,"EGI (unassigned)",'raw data'!$R:$R,"Filled")</f>
        <v>5.0</v>
      </c>
      <c r="I88" s="393">
        <f>COUNTIFS('raw data'!$N:$N,"EGI",'raw data'!$P:$P,"EGI (unassigned)",'raw data'!$R:$R,"Vacant")</f>
        <v>0.0</v>
      </c>
      <c r="J88" s="393">
        <f>H88+I88</f>
        <v>5.0</v>
      </c>
      <c r="K88" s="393" t="n"/>
      <c r="L88" s="393" t="n"/>
    </row>
    <row r="89">
      <c r="B89" s="393" t="inlineStr">
        <is>
          <t>Other unmapped (Class = Unmapped)</t>
        </is>
      </c>
      <c r="C89" s="393" t="n"/>
      <c r="D89" s="393" t="n"/>
      <c r="E89" s="393" t="n"/>
      <c r="F89" s="393" t="n"/>
      <c r="G89" s="393" t="n"/>
      <c r="H89" s="393">
        <f>COUNTIFS('raw data'!$Q:$Q,"Unmapped",'raw data'!$R:$R,"Filled")-SUM(H86:H88)</f>
        <v>3.0</v>
      </c>
      <c r="I89" s="393">
        <f>COUNTIFS('raw data'!$Q:$Q,"Unmapped",'raw data'!$R:$R,"Vacant")-SUM(I86:I88)</f>
        <v>5.0</v>
      </c>
      <c r="J89" s="393">
        <f>H89+I89</f>
        <v>8.0</v>
      </c>
      <c r="K89" s="393" t="n"/>
      <c r="L89" s="393" t="n"/>
    </row>
    <row r="91">
      <c r="B91" s="259" t="inlineStr">
        <is>
          <t>Cross-check to raw data</t>
        </is>
      </c>
      <c r="C91" s="251" t="n"/>
      <c r="D91" s="251" t="n"/>
      <c r="E91" s="251" t="n"/>
      <c r="F91" s="251" t="n"/>
      <c r="G91" s="251" t="n"/>
      <c r="H91" s="251" t="n"/>
      <c r="I91" s="251" t="n"/>
      <c r="J91" s="251" t="n"/>
      <c r="K91" s="251" t="n"/>
      <c r="L91" s="252" t="n"/>
    </row>
    <row r="92">
      <c r="B92" s="8" t="inlineStr">
        <is>
          <t>Org records mapped (raw data)</t>
        </is>
      </c>
      <c r="G92" s="9">
        <f>COUNTA('raw data'!$R$2:$R$10000)</f>
        <v>536.0</v>
      </c>
    </row>
    <row r="93">
      <c r="B93" s="8" t="inlineStr">
        <is>
          <t>Accounted for above (squads + leadership + COE + unmapped)</t>
        </is>
      </c>
      <c r="G93" s="9">
        <f>J56+J73+J82+SUM(J86:J89)</f>
        <v>536.0</v>
      </c>
    </row>
    <row r="94">
      <c r="B94" s="8" t="inlineStr">
        <is>
          <t>Difference (should be 0)</t>
        </is>
      </c>
      <c r="G94" s="9">
        <f>G92-G93</f>
        <v>0.0</v>
      </c>
    </row>
  </sheetData>
  <mergeCells count="5">
    <mergeCell ref="B4:L4"/>
    <mergeCell ref="B75:L75"/>
    <mergeCell ref="B58:L58"/>
    <mergeCell ref="B91:L91"/>
    <mergeCell ref="B84:L84"/>
  </mergeCells>
  <pageMargins left="0.75" right="0.75" top="1" bottom="1" header="0.5" footer="0.5"/>
  <legacyDrawing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C7:I54"/>
  <sheetViews>
    <sheetView topLeftCell="A4" zoomScale="70" zoomScaleNormal="70" workbookViewId="0">
      <selection activeCell="H31" sqref="H31"/>
    </sheetView>
  </sheetViews>
  <sheetFormatPr baseColWidth="8" defaultColWidth="8.54296875" defaultRowHeight="14.5"/>
  <cols>
    <col width="37" customWidth="1" style="302" min="4" max="4"/>
    <col width="23.453125" customWidth="1" style="302" min="5" max="5"/>
    <col width="28" customWidth="1" style="302" min="6" max="6"/>
    <col width="10.54296875" customWidth="1" style="302" min="7" max="7"/>
    <col width="12.81640625" customWidth="1" style="302" min="8" max="8"/>
  </cols>
  <sheetData>
    <row r="7">
      <c r="D7" t="inlineStr">
        <is>
          <t>Portfolio</t>
        </is>
      </c>
      <c r="E7" t="inlineStr">
        <is>
          <t>Platform</t>
        </is>
      </c>
      <c r="F7" t="inlineStr">
        <is>
          <t>Squad</t>
        </is>
      </c>
      <c r="G7" t="inlineStr">
        <is>
          <t>Type</t>
        </is>
      </c>
      <c r="H7" t="inlineStr">
        <is>
          <t>Size</t>
        </is>
      </c>
      <c r="I7" t="inlineStr">
        <is>
          <t>On/Off</t>
        </is>
      </c>
    </row>
    <row r="8">
      <c r="D8" t="inlineStr">
        <is>
          <t>Customer</t>
        </is>
      </c>
      <c r="E8" t="inlineStr">
        <is>
          <t>Ampol Digital</t>
        </is>
      </c>
      <c r="F8" t="inlineStr">
        <is>
          <t>Ampol App</t>
        </is>
      </c>
      <c r="G8" t="inlineStr">
        <is>
          <t>Engineering</t>
        </is>
      </c>
      <c r="H8" t="inlineStr">
        <is>
          <t>L</t>
        </is>
      </c>
      <c r="I8" s="257" t="inlineStr">
        <is>
          <t>Onshore</t>
        </is>
      </c>
    </row>
    <row r="9">
      <c r="F9" t="inlineStr">
        <is>
          <t>Ampol Web</t>
        </is>
      </c>
      <c r="G9" t="inlineStr">
        <is>
          <t>Engineering</t>
        </is>
      </c>
      <c r="H9" t="inlineStr">
        <is>
          <t>L</t>
        </is>
      </c>
      <c r="I9" s="257" t="inlineStr">
        <is>
          <t>Onshore</t>
        </is>
      </c>
    </row>
    <row r="10">
      <c r="F10" t="inlineStr">
        <is>
          <t>Digital Operations</t>
        </is>
      </c>
      <c r="G10" t="inlineStr">
        <is>
          <t>Operations</t>
        </is>
      </c>
      <c r="H10" t="inlineStr">
        <is>
          <t>M</t>
        </is>
      </c>
      <c r="I10" s="257" t="inlineStr">
        <is>
          <t>Onshore</t>
        </is>
      </c>
    </row>
    <row r="11">
      <c r="E11" t="inlineStr">
        <is>
          <t>Customer Z</t>
        </is>
      </c>
      <c r="F11" t="inlineStr">
        <is>
          <t>Z Energy Apps</t>
        </is>
      </c>
      <c r="G11" t="inlineStr">
        <is>
          <t>Product</t>
        </is>
      </c>
      <c r="H11" t="inlineStr">
        <is>
          <t>M</t>
        </is>
      </c>
      <c r="I11" s="257" t="inlineStr">
        <is>
          <t>Onshore</t>
        </is>
      </c>
    </row>
    <row r="12">
      <c r="F12" t="inlineStr">
        <is>
          <t>Z Energy Martech</t>
        </is>
      </c>
      <c r="G12" t="inlineStr">
        <is>
          <t>Product</t>
        </is>
      </c>
      <c r="H12" t="inlineStr">
        <is>
          <t>L</t>
        </is>
      </c>
      <c r="I12" s="257" t="inlineStr">
        <is>
          <t>Onshore</t>
        </is>
      </c>
    </row>
    <row r="13">
      <c r="E13" t="inlineStr">
        <is>
          <t>Group Customer Platforms</t>
        </is>
      </c>
      <c r="F13" t="inlineStr">
        <is>
          <t>Loyalty &amp; Martech</t>
        </is>
      </c>
      <c r="G13" t="inlineStr">
        <is>
          <t>Product</t>
        </is>
      </c>
      <c r="H13" t="inlineStr">
        <is>
          <t>L</t>
        </is>
      </c>
      <c r="I13" s="257" t="inlineStr">
        <is>
          <t>Onshore</t>
        </is>
      </c>
    </row>
    <row r="15">
      <c r="D15" t="inlineStr">
        <is>
          <t>Enterprise Data</t>
        </is>
      </c>
      <c r="E15" t="inlineStr">
        <is>
          <t>Group Data</t>
        </is>
      </c>
      <c r="F15" t="inlineStr">
        <is>
          <t>Data Science</t>
        </is>
      </c>
      <c r="G15" s="257" t="inlineStr">
        <is>
          <t>Enterprise Data and Insights</t>
        </is>
      </c>
      <c r="H15" t="inlineStr">
        <is>
          <t>M</t>
        </is>
      </c>
      <c r="I15" s="257" t="inlineStr">
        <is>
          <t>Onshore</t>
        </is>
      </c>
    </row>
    <row r="16">
      <c r="F16" t="inlineStr">
        <is>
          <t>Reporting &amp; Analytics</t>
        </is>
      </c>
      <c r="G16" s="257" t="inlineStr">
        <is>
          <t>Build and Run</t>
        </is>
      </c>
      <c r="H16" t="inlineStr">
        <is>
          <t>L</t>
        </is>
      </c>
      <c r="I16" s="257" t="inlineStr">
        <is>
          <t>Onshore</t>
        </is>
      </c>
    </row>
    <row r="17">
      <c r="F17" t="inlineStr">
        <is>
          <t>Data Platforms</t>
        </is>
      </c>
      <c r="G17" s="257" t="inlineStr">
        <is>
          <t>Build and Run</t>
        </is>
      </c>
      <c r="H17" t="inlineStr">
        <is>
          <t>L</t>
        </is>
      </c>
      <c r="I17" s="257" t="inlineStr">
        <is>
          <t>Onshore</t>
        </is>
      </c>
    </row>
    <row r="18">
      <c r="F18" t="inlineStr">
        <is>
          <t>Enterprise Data Delivery</t>
        </is>
      </c>
      <c r="G18" s="257" t="inlineStr">
        <is>
          <t>Enterprise Data and Insights</t>
        </is>
      </c>
      <c r="H18" s="257" t="inlineStr">
        <is>
          <t>M</t>
        </is>
      </c>
      <c r="I18" t="inlineStr">
        <is>
          <t>Offshore</t>
        </is>
      </c>
    </row>
    <row r="21">
      <c r="D21" t="inlineStr">
        <is>
          <t>TDD Group Functions</t>
        </is>
      </c>
      <c r="E21" t="inlineStr">
        <is>
          <t>TDD Group Functions</t>
        </is>
      </c>
      <c r="F21" t="inlineStr">
        <is>
          <t>Workplace &amp; Enterprise Tooling</t>
        </is>
      </c>
      <c r="G21" s="257" t="inlineStr">
        <is>
          <t>Configuration / Integration</t>
        </is>
      </c>
      <c r="H21" t="inlineStr">
        <is>
          <t>S</t>
        </is>
      </c>
      <c r="I21" s="257" t="inlineStr">
        <is>
          <t>Onshore</t>
        </is>
      </c>
    </row>
    <row r="22">
      <c r="F22" t="inlineStr">
        <is>
          <t>Network &amp; Infrastructure</t>
        </is>
      </c>
      <c r="G22" s="257" t="inlineStr">
        <is>
          <t>Operations</t>
        </is>
      </c>
      <c r="H22" s="257" t="inlineStr">
        <is>
          <t>M</t>
        </is>
      </c>
      <c r="I22" s="257" t="inlineStr">
        <is>
          <t>Onshore</t>
        </is>
      </c>
    </row>
    <row r="23">
      <c r="F23" t="inlineStr">
        <is>
          <t>DevOps &amp; Engineering</t>
        </is>
      </c>
      <c r="G23" t="inlineStr">
        <is>
          <t>Engineering</t>
        </is>
      </c>
      <c r="H23" t="inlineStr">
        <is>
          <t>S</t>
        </is>
      </c>
      <c r="I23" s="257" t="inlineStr">
        <is>
          <t>Onshore</t>
        </is>
      </c>
    </row>
    <row r="24">
      <c r="F24" t="inlineStr">
        <is>
          <t>Integration</t>
        </is>
      </c>
      <c r="G24" s="257" t="inlineStr">
        <is>
          <t>Configuration / Integration</t>
        </is>
      </c>
      <c r="H24" s="257" t="inlineStr">
        <is>
          <t>M</t>
        </is>
      </c>
      <c r="I24" s="257" t="inlineStr">
        <is>
          <t>Onshore</t>
        </is>
      </c>
    </row>
    <row r="26">
      <c r="D26" t="inlineStr">
        <is>
          <t>P&amp;C</t>
        </is>
      </c>
      <c r="E26" t="inlineStr">
        <is>
          <t>P&amp;C</t>
        </is>
      </c>
      <c r="F26" t="inlineStr">
        <is>
          <t>P&amp;C</t>
        </is>
      </c>
      <c r="G26" s="257" t="inlineStr">
        <is>
          <t>Configuration / Integration</t>
        </is>
      </c>
      <c r="H26" t="inlineStr">
        <is>
          <t>M</t>
        </is>
      </c>
      <c r="I26" s="257" t="inlineStr">
        <is>
          <t>Onshore</t>
        </is>
      </c>
    </row>
    <row r="27">
      <c r="F27" t="inlineStr">
        <is>
          <t>P&amp;C - RTA</t>
        </is>
      </c>
      <c r="G27" s="257" t="inlineStr">
        <is>
          <t>Configuration / Integration</t>
        </is>
      </c>
      <c r="H27" t="inlineStr">
        <is>
          <t>S</t>
        </is>
      </c>
      <c r="I27" s="257" t="inlineStr">
        <is>
          <t>Onshore</t>
        </is>
      </c>
    </row>
    <row r="29">
      <c r="D29" t="inlineStr">
        <is>
          <t>Finance</t>
        </is>
      </c>
      <c r="E29" t="inlineStr">
        <is>
          <t>Finance</t>
        </is>
      </c>
      <c r="F29" t="inlineStr">
        <is>
          <t xml:space="preserve">AU Finance </t>
        </is>
      </c>
      <c r="G29" s="257" t="inlineStr">
        <is>
          <t>Configuration / Integration</t>
        </is>
      </c>
      <c r="H29" t="inlineStr">
        <is>
          <t>L</t>
        </is>
      </c>
      <c r="I29" s="257" t="inlineStr">
        <is>
          <t>Onshore</t>
        </is>
      </c>
    </row>
    <row r="30">
      <c r="F30" t="inlineStr">
        <is>
          <t xml:space="preserve">NZ Finance </t>
        </is>
      </c>
      <c r="G30" s="257" t="inlineStr">
        <is>
          <t>Configuration / Integration</t>
        </is>
      </c>
      <c r="H30" t="inlineStr">
        <is>
          <t>L</t>
        </is>
      </c>
      <c r="I30" s="257" t="inlineStr">
        <is>
          <t>Onshore</t>
        </is>
      </c>
    </row>
    <row r="32">
      <c r="D32" t="inlineStr">
        <is>
          <t>Infrastructure</t>
        </is>
      </c>
      <c r="E32" t="inlineStr">
        <is>
          <t>Distribution</t>
        </is>
      </c>
      <c r="F32" t="inlineStr">
        <is>
          <t>Distribution, Sales &amp; Services</t>
        </is>
      </c>
      <c r="G32" s="257" t="inlineStr">
        <is>
          <t>Configuration / Integration</t>
        </is>
      </c>
      <c r="H32" t="inlineStr">
        <is>
          <t>M</t>
        </is>
      </c>
      <c r="I32" s="257" t="inlineStr">
        <is>
          <t>Onshore</t>
        </is>
      </c>
    </row>
    <row r="33">
      <c r="E33" t="inlineStr">
        <is>
          <t>Manufacturing</t>
        </is>
      </c>
      <c r="F33" t="inlineStr">
        <is>
          <t>Manufacturing &amp; Group Projects</t>
        </is>
      </c>
      <c r="G33" s="257" t="inlineStr">
        <is>
          <t>Configuration / Integration</t>
        </is>
      </c>
      <c r="H33" t="inlineStr">
        <is>
          <t>M</t>
        </is>
      </c>
      <c r="I33" s="257" t="inlineStr">
        <is>
          <t>Onshore</t>
        </is>
      </c>
    </row>
    <row r="34">
      <c r="F34" t="inlineStr">
        <is>
          <t>Technology Support</t>
        </is>
      </c>
      <c r="G34" s="257" t="inlineStr">
        <is>
          <t>Operations</t>
        </is>
      </c>
      <c r="H34" t="inlineStr">
        <is>
          <t>S</t>
        </is>
      </c>
      <c r="I34" s="257" t="inlineStr">
        <is>
          <t>Onshore</t>
        </is>
      </c>
    </row>
    <row r="35">
      <c r="E35" t="inlineStr">
        <is>
          <t>Data &amp; Insights</t>
        </is>
      </c>
      <c r="F35" t="inlineStr">
        <is>
          <t>Data &amp; Insights</t>
        </is>
      </c>
      <c r="G35" s="257" t="inlineStr">
        <is>
          <t>Configuration / Integration</t>
        </is>
      </c>
      <c r="H35" t="inlineStr">
        <is>
          <t>S</t>
        </is>
      </c>
      <c r="I35" s="257" t="inlineStr">
        <is>
          <t>Onshore</t>
        </is>
      </c>
    </row>
    <row r="37">
      <c r="D37" t="inlineStr">
        <is>
          <t>Energy Solutions &amp; B2B</t>
        </is>
      </c>
      <c r="E37" t="inlineStr">
        <is>
          <t>Energy Solutions</t>
        </is>
      </c>
      <c r="F37" t="inlineStr">
        <is>
          <t>Energy</t>
        </is>
      </c>
      <c r="G37" t="inlineStr">
        <is>
          <t>Engineering</t>
        </is>
      </c>
      <c r="H37" t="inlineStr">
        <is>
          <t>L</t>
        </is>
      </c>
      <c r="I37" s="257" t="inlineStr">
        <is>
          <t>Onshore</t>
        </is>
      </c>
    </row>
    <row r="38">
      <c r="F38" t="inlineStr">
        <is>
          <t>EVCI</t>
        </is>
      </c>
      <c r="G38" t="inlineStr">
        <is>
          <t>Engineering</t>
        </is>
      </c>
      <c r="H38" t="inlineStr">
        <is>
          <t>M</t>
        </is>
      </c>
      <c r="I38" s="257" t="inlineStr">
        <is>
          <t>Onshore</t>
        </is>
      </c>
    </row>
    <row r="39">
      <c r="E39" t="inlineStr">
        <is>
          <t>B2B</t>
        </is>
      </c>
      <c r="F39" t="inlineStr">
        <is>
          <t>B2B</t>
        </is>
      </c>
      <c r="G39" t="inlineStr">
        <is>
          <t>Engineering</t>
        </is>
      </c>
      <c r="H39" t="inlineStr">
        <is>
          <t>L</t>
        </is>
      </c>
      <c r="I39" s="257" t="inlineStr">
        <is>
          <t>Onshore</t>
        </is>
      </c>
    </row>
    <row r="41">
      <c r="D41" t="inlineStr">
        <is>
          <t>Commercial Fuels</t>
        </is>
      </c>
      <c r="E41" t="inlineStr">
        <is>
          <t xml:space="preserve">Trading &amp; Shipping </t>
        </is>
      </c>
      <c r="F41" t="inlineStr">
        <is>
          <t>Trading &amp; Shipping</t>
        </is>
      </c>
      <c r="G41" s="257" t="inlineStr">
        <is>
          <t>Configuration / Integration</t>
        </is>
      </c>
      <c r="H41" t="inlineStr">
        <is>
          <t>M</t>
        </is>
      </c>
      <c r="I41" s="257" t="inlineStr">
        <is>
          <t>Onshore</t>
        </is>
      </c>
    </row>
    <row r="42">
      <c r="F42" t="inlineStr">
        <is>
          <t>Trading &amp; Shipping Data</t>
        </is>
      </c>
      <c r="G42" s="257" t="inlineStr">
        <is>
          <t>Enterprise Data and Insights</t>
        </is>
      </c>
      <c r="H42" t="inlineStr">
        <is>
          <t>M</t>
        </is>
      </c>
      <c r="I42" s="257" t="inlineStr">
        <is>
          <t>Onshore</t>
        </is>
      </c>
    </row>
    <row r="43">
      <c r="E43" t="inlineStr">
        <is>
          <t>Supply</t>
        </is>
      </c>
      <c r="F43" t="inlineStr">
        <is>
          <t>Supply</t>
        </is>
      </c>
      <c r="G43" s="257" t="inlineStr">
        <is>
          <t>Configuration / Integration</t>
        </is>
      </c>
      <c r="H43" t="inlineStr">
        <is>
          <t>M</t>
        </is>
      </c>
      <c r="I43" s="257" t="inlineStr">
        <is>
          <t>Onshore</t>
        </is>
      </c>
    </row>
    <row r="44">
      <c r="E44" t="inlineStr">
        <is>
          <t>CTRM</t>
        </is>
      </c>
      <c r="F44" t="inlineStr">
        <is>
          <t>CTRM</t>
        </is>
      </c>
      <c r="G44" s="257" t="inlineStr">
        <is>
          <t>Configuration / Integration</t>
        </is>
      </c>
      <c r="H44" t="inlineStr">
        <is>
          <t>M</t>
        </is>
      </c>
      <c r="I44" s="257" t="inlineStr">
        <is>
          <t>Onshore</t>
        </is>
      </c>
    </row>
    <row r="46">
      <c r="D46" t="inlineStr">
        <is>
          <t>Z Retail</t>
        </is>
      </c>
      <c r="E46" t="inlineStr">
        <is>
          <t>Z Supply</t>
        </is>
      </c>
      <c r="F46" t="inlineStr">
        <is>
          <t>Z Supply</t>
        </is>
      </c>
      <c r="G46" s="257" t="inlineStr">
        <is>
          <t>Configuration / Integration</t>
        </is>
      </c>
      <c r="H46" s="257" t="inlineStr">
        <is>
          <t>M</t>
        </is>
      </c>
      <c r="I46" s="257" t="inlineStr">
        <is>
          <t>Onshore</t>
        </is>
      </c>
    </row>
    <row r="47">
      <c r="E47" t="inlineStr">
        <is>
          <t>Z Customer</t>
        </is>
      </c>
      <c r="F47" t="inlineStr">
        <is>
          <t>Site Systems</t>
        </is>
      </c>
      <c r="G47" s="257" t="inlineStr">
        <is>
          <t>Configuration / Integration</t>
        </is>
      </c>
      <c r="H47" s="257" t="inlineStr">
        <is>
          <t>M</t>
        </is>
      </c>
      <c r="I47" s="257" t="inlineStr">
        <is>
          <t>Onshore</t>
        </is>
      </c>
    </row>
    <row r="48">
      <c r="F48" t="inlineStr">
        <is>
          <t>Z Retail Backend</t>
        </is>
      </c>
      <c r="G48" s="257" t="inlineStr">
        <is>
          <t>Engineering</t>
        </is>
      </c>
      <c r="H48" s="257" t="inlineStr">
        <is>
          <t>M</t>
        </is>
      </c>
      <c r="I48" s="257" t="inlineStr">
        <is>
          <t>Onshore</t>
        </is>
      </c>
    </row>
    <row r="50">
      <c r="D50" t="inlineStr">
        <is>
          <t>TDD Cyber</t>
        </is>
      </c>
      <c r="E50" t="inlineStr">
        <is>
          <t>TDD Cyber</t>
        </is>
      </c>
      <c r="F50" t="inlineStr">
        <is>
          <t>TDD Cyber</t>
        </is>
      </c>
      <c r="G50" s="257" t="inlineStr">
        <is>
          <t>Operations</t>
        </is>
      </c>
      <c r="H50" s="257" t="inlineStr">
        <is>
          <t>M</t>
        </is>
      </c>
      <c r="I50" s="257" t="inlineStr">
        <is>
          <t>Onshore</t>
        </is>
      </c>
    </row>
    <row r="52">
      <c r="C52" t="inlineStr">
        <is>
          <t>COE</t>
        </is>
      </c>
      <c r="D52" t="inlineStr">
        <is>
          <t>Business Partnering</t>
        </is>
      </c>
    </row>
    <row r="53">
      <c r="D53" t="inlineStr">
        <is>
          <t>Strategy, Architecture, Enterprise Data &amp; AI</t>
        </is>
      </c>
    </row>
    <row r="54">
      <c r="D54" t="inlineStr">
        <is>
          <t>Cyber, Risk &amp; Service Operations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0B050"/>
    <outlinePr summaryBelow="1" summaryRight="1"/>
    <pageSetUpPr/>
  </sheetPr>
  <dimension ref="A1:BX538"/>
  <sheetViews>
    <sheetView showGridLines="0" zoomScale="93" zoomScaleNormal="93" workbookViewId="0">
      <pane xSplit="2" ySplit="1" topLeftCell="E101" activePane="bottomRight" state="frozen"/>
      <selection pane="topRight" activeCell="D1" sqref="D1"/>
      <selection pane="bottomLeft" activeCell="A2" sqref="A2"/>
      <selection pane="bottomRight" activeCell="A17" sqref="A17"/>
    </sheetView>
  </sheetViews>
  <sheetFormatPr baseColWidth="8" defaultColWidth="8.7265625" defaultRowHeight="18" customHeight="1"/>
  <cols>
    <col width="15.1796875" bestFit="1" customWidth="1" style="361" min="1" max="1"/>
    <col width="26.08984375" bestFit="1" customWidth="1" style="317" min="2" max="2"/>
    <col width="35.6328125" customWidth="1" style="317" min="3" max="3"/>
    <col width="33.36328125" bestFit="1" customWidth="1" style="317" min="4" max="4"/>
    <col width="59.54296875" bestFit="1" customWidth="1" style="317" min="5" max="5"/>
    <col width="26.08984375" bestFit="1" customWidth="1" style="317" min="6" max="6"/>
    <col width="31.6328125" bestFit="1" customWidth="1" style="317" min="7" max="8"/>
    <col width="21" bestFit="1" customWidth="1" style="317" min="9" max="9"/>
    <col width="41.54296875" bestFit="1" customWidth="1" style="317" min="10" max="10"/>
    <col width="30.08984375" bestFit="1" customWidth="1" style="317" min="11" max="11"/>
    <col width="5.453125" bestFit="1" customWidth="1" style="317" min="12" max="12"/>
    <col width="11.1796875" bestFit="1" customWidth="1" style="317" min="13" max="13"/>
    <col width="20.81640625" customWidth="1" style="317" min="14" max="14"/>
    <col width="8.81640625" bestFit="1" customWidth="1" style="317" min="15" max="16375"/>
    <col width="8.81640625" customWidth="1" style="317" min="16376" max="16376"/>
    <col width="8.81640625" bestFit="1" customWidth="1" style="317" min="16377" max="16384"/>
  </cols>
  <sheetData>
    <row r="1" ht="41.5" customFormat="1" customHeight="1" s="313">
      <c r="A1" s="306" t="inlineStr">
        <is>
          <t>EE Number</t>
        </is>
      </c>
      <c r="B1" s="307" t="inlineStr">
        <is>
          <t>Name</t>
        </is>
      </c>
      <c r="C1" s="307" t="inlineStr">
        <is>
          <t>Position Title</t>
        </is>
      </c>
      <c r="D1" s="307" t="inlineStr">
        <is>
          <t>Reports to name</t>
        </is>
      </c>
      <c r="E1" s="307" t="inlineStr">
        <is>
          <t>Reports to Position</t>
        </is>
      </c>
      <c r="F1" s="308" t="inlineStr">
        <is>
          <t>Division (GM)</t>
        </is>
      </c>
      <c r="G1" s="309" t="inlineStr">
        <is>
          <t>Department (GM-1)</t>
        </is>
      </c>
      <c r="H1" s="309" t="inlineStr">
        <is>
          <t>Team (GM-2)</t>
        </is>
      </c>
      <c r="I1" s="310" t="inlineStr">
        <is>
          <t>Portfolio</t>
        </is>
      </c>
      <c r="J1" s="311" t="inlineStr">
        <is>
          <t>Platform</t>
        </is>
      </c>
      <c r="K1" s="310" t="inlineStr">
        <is>
          <t>Squad</t>
        </is>
      </c>
      <c r="L1" s="310" t="inlineStr">
        <is>
          <t>CC</t>
        </is>
      </c>
      <c r="M1" s="312" t="inlineStr">
        <is>
          <t>Country</t>
        </is>
      </c>
      <c r="N1" s="307" t="inlineStr">
        <is>
          <t>Model Portfolio</t>
        </is>
      </c>
      <c r="O1" s="307" t="inlineStr">
        <is>
          <t>Model Platform</t>
        </is>
      </c>
      <c r="P1" s="307" t="inlineStr">
        <is>
          <t>Model Squad</t>
        </is>
      </c>
      <c r="Q1" s="307" t="inlineStr">
        <is>
          <t>Class</t>
        </is>
      </c>
      <c r="R1" s="307" t="inlineStr">
        <is>
          <t>Status</t>
        </is>
      </c>
    </row>
    <row r="2" ht="18" customHeight="1" s="302">
      <c r="A2" s="314" t="n">
        <v>99999100977</v>
      </c>
      <c r="B2" s="239" t="inlineStr">
        <is>
          <t>Warren Grieve</t>
        </is>
      </c>
      <c r="C2" s="239" t="inlineStr">
        <is>
          <t>Senior Site Systems Analyst</t>
        </is>
      </c>
      <c r="D2" s="239" t="inlineStr">
        <is>
          <t>Callan McLaughlin</t>
        </is>
      </c>
      <c r="E2" s="239" t="inlineStr">
        <is>
          <t>Technology Manager,  Site Systems</t>
        </is>
      </c>
      <c r="F2" s="239" t="inlineStr">
        <is>
          <t>Ampol Retail &amp; Z</t>
        </is>
      </c>
      <c r="G2" s="315" t="inlineStr">
        <is>
          <t>Z &amp; Group Retail</t>
        </is>
      </c>
      <c r="H2" s="239" t="inlineStr">
        <is>
          <t>Z &amp; Group Retail, Site Systems</t>
        </is>
      </c>
      <c r="I2" s="239" t="inlineStr">
        <is>
          <t>Z</t>
        </is>
      </c>
      <c r="J2" s="315" t="inlineStr">
        <is>
          <t>Z Customer</t>
        </is>
      </c>
      <c r="K2" s="239" t="inlineStr">
        <is>
          <t>Site Systems</t>
        </is>
      </c>
      <c r="L2" s="315" t="n"/>
      <c r="M2" s="316" t="inlineStr">
        <is>
          <t>NZ</t>
        </is>
      </c>
      <c r="N2" t="inlineStr">
        <is>
          <t>Z Retail</t>
        </is>
      </c>
      <c r="O2" s="318" t="inlineStr">
        <is>
          <t>Z Customer</t>
        </is>
      </c>
      <c r="P2" s="319" t="inlineStr">
        <is>
          <t>Site Systems</t>
        </is>
      </c>
      <c r="Q2" s="320" t="inlineStr">
        <is>
          <t>Squad</t>
        </is>
      </c>
      <c r="R2" t="inlineStr">
        <is>
          <t>Filled</t>
        </is>
      </c>
    </row>
    <row r="3" ht="18" customHeight="1" s="302">
      <c r="A3" s="314" t="n">
        <v>99999100975</v>
      </c>
      <c r="B3" s="239" t="inlineStr">
        <is>
          <t>Chris Mitchell</t>
        </is>
      </c>
      <c r="C3" s="239" t="inlineStr">
        <is>
          <t>Deployment Lead</t>
        </is>
      </c>
      <c r="D3" s="239" t="inlineStr">
        <is>
          <t>Callan McLaughlin</t>
        </is>
      </c>
      <c r="E3" s="239" t="inlineStr">
        <is>
          <t>Technology Manager,  Site Systems</t>
        </is>
      </c>
      <c r="F3" s="239" t="inlineStr">
        <is>
          <t>Ampol Retail &amp; Z</t>
        </is>
      </c>
      <c r="G3" s="315" t="inlineStr">
        <is>
          <t>Z &amp; Group Retail</t>
        </is>
      </c>
      <c r="H3" s="239" t="inlineStr">
        <is>
          <t>Z &amp; Group Retail, Site Systems</t>
        </is>
      </c>
      <c r="I3" s="239" t="inlineStr">
        <is>
          <t>Z</t>
        </is>
      </c>
      <c r="J3" s="315" t="inlineStr">
        <is>
          <t>Z Customer</t>
        </is>
      </c>
      <c r="K3" s="239" t="inlineStr">
        <is>
          <t>Site Systems</t>
        </is>
      </c>
      <c r="L3" s="315" t="n"/>
      <c r="M3" s="316" t="inlineStr">
        <is>
          <t>NZ</t>
        </is>
      </c>
      <c r="N3" t="inlineStr">
        <is>
          <t>Z Retail</t>
        </is>
      </c>
      <c r="O3" s="321" t="inlineStr">
        <is>
          <t>Z Customer</t>
        </is>
      </c>
      <c r="P3" s="322" t="inlineStr">
        <is>
          <t>Site Systems</t>
        </is>
      </c>
      <c r="Q3" s="323" t="inlineStr">
        <is>
          <t>Squad</t>
        </is>
      </c>
      <c r="R3" t="inlineStr">
        <is>
          <t>Filled</t>
        </is>
      </c>
    </row>
    <row r="4" ht="18" customHeight="1" s="302">
      <c r="A4" s="314" t="n">
        <v>99999102141</v>
      </c>
      <c r="B4" s="239" t="inlineStr">
        <is>
          <t>Christian Guo</t>
        </is>
      </c>
      <c r="C4" s="239" t="inlineStr">
        <is>
          <t>Solution Architect</t>
        </is>
      </c>
      <c r="D4" s="239" t="inlineStr">
        <is>
          <t>Callan McLaughlin</t>
        </is>
      </c>
      <c r="E4" s="239" t="inlineStr">
        <is>
          <t>Technology Manager,  Site Systems</t>
        </is>
      </c>
      <c r="F4" s="239" t="inlineStr">
        <is>
          <t>Ampol Retail &amp; Z</t>
        </is>
      </c>
      <c r="G4" s="315" t="inlineStr">
        <is>
          <t>Z &amp; Group Retail</t>
        </is>
      </c>
      <c r="H4" s="239" t="inlineStr">
        <is>
          <t>Z &amp; Group Retail, Site Systems</t>
        </is>
      </c>
      <c r="I4" s="239" t="inlineStr">
        <is>
          <t>Z</t>
        </is>
      </c>
      <c r="J4" s="239" t="inlineStr">
        <is>
          <t>Z Customer</t>
        </is>
      </c>
      <c r="K4" s="239" t="inlineStr">
        <is>
          <t>Z Retail Backend &amp; Supply</t>
        </is>
      </c>
      <c r="L4" s="315" t="n"/>
      <c r="M4" s="316" t="inlineStr">
        <is>
          <t>NZ</t>
        </is>
      </c>
      <c r="N4" t="inlineStr">
        <is>
          <t>Z Retail</t>
        </is>
      </c>
      <c r="O4" s="321" t="inlineStr">
        <is>
          <t>Z Customer</t>
        </is>
      </c>
      <c r="P4" s="322" t="inlineStr">
        <is>
          <t>Z Retail Backend</t>
        </is>
      </c>
      <c r="Q4" s="323" t="inlineStr">
        <is>
          <t>Squad</t>
        </is>
      </c>
      <c r="R4" t="inlineStr">
        <is>
          <t>Filled</t>
        </is>
      </c>
    </row>
    <row r="5" ht="18" customHeight="1" s="302">
      <c r="A5" s="314" t="n">
        <v>99999100432</v>
      </c>
      <c r="B5" s="239" t="inlineStr">
        <is>
          <t>Vanessa King</t>
        </is>
      </c>
      <c r="C5" s="239" t="inlineStr">
        <is>
          <t>Lead Quality Assurance</t>
        </is>
      </c>
      <c r="D5" s="239" t="inlineStr">
        <is>
          <t>Callan McLaughlin</t>
        </is>
      </c>
      <c r="E5" s="239" t="inlineStr">
        <is>
          <t>Technology Manager,  Site Systems</t>
        </is>
      </c>
      <c r="F5" s="239" t="inlineStr">
        <is>
          <t>Ampol Retail &amp; Z</t>
        </is>
      </c>
      <c r="G5" s="324" t="inlineStr">
        <is>
          <t>Z &amp; Group Retail</t>
        </is>
      </c>
      <c r="H5" s="239" t="inlineStr">
        <is>
          <t>Z &amp; Group Retail, Site Systems</t>
        </is>
      </c>
      <c r="I5" s="239" t="inlineStr">
        <is>
          <t>Z</t>
        </is>
      </c>
      <c r="J5" s="315" t="inlineStr">
        <is>
          <t>Z Customer</t>
        </is>
      </c>
      <c r="K5" s="239" t="inlineStr">
        <is>
          <t>Site Systems</t>
        </is>
      </c>
      <c r="L5" s="315" t="n"/>
      <c r="M5" s="316" t="inlineStr">
        <is>
          <t>NZ</t>
        </is>
      </c>
      <c r="N5" t="inlineStr">
        <is>
          <t>Z Retail</t>
        </is>
      </c>
      <c r="O5" s="321" t="inlineStr">
        <is>
          <t>Z Customer</t>
        </is>
      </c>
      <c r="P5" s="322" t="inlineStr">
        <is>
          <t>Site Systems</t>
        </is>
      </c>
      <c r="Q5" s="323" t="inlineStr">
        <is>
          <t>Squad</t>
        </is>
      </c>
      <c r="R5" t="inlineStr">
        <is>
          <t>Filled</t>
        </is>
      </c>
    </row>
    <row r="6" ht="18" customHeight="1" s="302">
      <c r="A6" s="314" t="n">
        <v>99999101553</v>
      </c>
      <c r="B6" s="239" t="inlineStr">
        <is>
          <t>Bradley Cunningham</t>
        </is>
      </c>
      <c r="C6" s="239" t="inlineStr">
        <is>
          <t>Site Systems Analyst</t>
        </is>
      </c>
      <c r="D6" s="239" t="inlineStr">
        <is>
          <t>Callan McLaughlin</t>
        </is>
      </c>
      <c r="E6" s="239" t="inlineStr">
        <is>
          <t>Technology Manager,  Site Systems</t>
        </is>
      </c>
      <c r="F6" s="239" t="inlineStr">
        <is>
          <t>Ampol Retail &amp; Z</t>
        </is>
      </c>
      <c r="G6" s="315" t="inlineStr">
        <is>
          <t>Z &amp; Group Retail</t>
        </is>
      </c>
      <c r="H6" s="239" t="inlineStr">
        <is>
          <t>Z &amp; Group Retail, Site Systems</t>
        </is>
      </c>
      <c r="I6" s="239" t="inlineStr">
        <is>
          <t>Z</t>
        </is>
      </c>
      <c r="J6" s="315" t="inlineStr">
        <is>
          <t>Z Customer</t>
        </is>
      </c>
      <c r="K6" s="239" t="inlineStr">
        <is>
          <t>Site Systems</t>
        </is>
      </c>
      <c r="L6" s="315" t="n"/>
      <c r="M6" s="316" t="inlineStr">
        <is>
          <t>NZ</t>
        </is>
      </c>
      <c r="N6" t="inlineStr">
        <is>
          <t>Z Retail</t>
        </is>
      </c>
      <c r="O6" s="321" t="inlineStr">
        <is>
          <t>Z Customer</t>
        </is>
      </c>
      <c r="P6" s="322" t="inlineStr">
        <is>
          <t>Site Systems</t>
        </is>
      </c>
      <c r="Q6" s="323" t="inlineStr">
        <is>
          <t>Squad</t>
        </is>
      </c>
      <c r="R6" t="inlineStr">
        <is>
          <t>Filled</t>
        </is>
      </c>
    </row>
    <row r="7" ht="18" customHeight="1" s="302">
      <c r="A7" s="314" t="n">
        <v>99999101650</v>
      </c>
      <c r="B7" s="239" t="inlineStr">
        <is>
          <t>Sakshi Sachdeva</t>
        </is>
      </c>
      <c r="C7" s="239" t="inlineStr">
        <is>
          <t xml:space="preserve">Senior Quality Assurance </t>
        </is>
      </c>
      <c r="D7" s="239" t="inlineStr">
        <is>
          <t>Callan McLaughlin</t>
        </is>
      </c>
      <c r="E7" s="239" t="inlineStr">
        <is>
          <t>Technology Manager,  Site Systems</t>
        </is>
      </c>
      <c r="F7" s="239" t="inlineStr">
        <is>
          <t>Ampol Retail &amp; Z</t>
        </is>
      </c>
      <c r="G7" s="315" t="inlineStr">
        <is>
          <t>Z &amp; Group Retail</t>
        </is>
      </c>
      <c r="H7" s="239" t="inlineStr">
        <is>
          <t>Z &amp; Group Retail, Site Systems</t>
        </is>
      </c>
      <c r="I7" s="239" t="inlineStr">
        <is>
          <t>Z</t>
        </is>
      </c>
      <c r="J7" s="315" t="inlineStr">
        <is>
          <t>Z Customer</t>
        </is>
      </c>
      <c r="K7" s="239" t="inlineStr">
        <is>
          <t>Site Systems</t>
        </is>
      </c>
      <c r="L7" s="315" t="n"/>
      <c r="M7" s="316" t="inlineStr">
        <is>
          <t>NZ</t>
        </is>
      </c>
      <c r="N7" t="inlineStr">
        <is>
          <t>Z Retail</t>
        </is>
      </c>
      <c r="O7" s="321" t="inlineStr">
        <is>
          <t>Z Customer</t>
        </is>
      </c>
      <c r="P7" s="322" t="inlineStr">
        <is>
          <t>Site Systems</t>
        </is>
      </c>
      <c r="Q7" s="323" t="inlineStr">
        <is>
          <t>Squad</t>
        </is>
      </c>
      <c r="R7" t="inlineStr">
        <is>
          <t>Filled</t>
        </is>
      </c>
    </row>
    <row r="8" ht="18" customHeight="1" s="302">
      <c r="A8" s="314" t="n">
        <v>99999101643</v>
      </c>
      <c r="B8" s="325" t="inlineStr">
        <is>
          <t>Alex Sutherland</t>
        </is>
      </c>
      <c r="C8" s="239" t="inlineStr">
        <is>
          <t>Site Systems Analyst</t>
        </is>
      </c>
      <c r="D8" s="239" t="inlineStr">
        <is>
          <t>Callan McLaughlin</t>
        </is>
      </c>
      <c r="E8" s="239" t="inlineStr">
        <is>
          <t>Technology Manager,  Site Systems</t>
        </is>
      </c>
      <c r="F8" s="239" t="inlineStr">
        <is>
          <t>Ampol Retail &amp; Z</t>
        </is>
      </c>
      <c r="G8" s="315" t="inlineStr">
        <is>
          <t>Z &amp; Group Retail</t>
        </is>
      </c>
      <c r="H8" s="239" t="inlineStr">
        <is>
          <t>Z &amp; Group Retail, Site Systems</t>
        </is>
      </c>
      <c r="I8" s="239" t="inlineStr">
        <is>
          <t>Z</t>
        </is>
      </c>
      <c r="J8" s="315" t="inlineStr">
        <is>
          <t>Z Customer</t>
        </is>
      </c>
      <c r="K8" s="239" t="inlineStr">
        <is>
          <t>Site Systems</t>
        </is>
      </c>
      <c r="L8" s="315" t="n"/>
      <c r="M8" s="316" t="inlineStr">
        <is>
          <t>NZ</t>
        </is>
      </c>
      <c r="N8" t="inlineStr">
        <is>
          <t>Z Retail</t>
        </is>
      </c>
      <c r="O8" s="321" t="inlineStr">
        <is>
          <t>Z Customer</t>
        </is>
      </c>
      <c r="P8" s="322" t="inlineStr">
        <is>
          <t>Site Systems</t>
        </is>
      </c>
      <c r="Q8" s="323" t="inlineStr">
        <is>
          <t>Squad</t>
        </is>
      </c>
      <c r="R8" t="inlineStr">
        <is>
          <t>Filled</t>
        </is>
      </c>
    </row>
    <row r="9" ht="18" customHeight="1" s="302">
      <c r="A9" s="314" t="n">
        <v>109974</v>
      </c>
      <c r="B9" s="239" t="inlineStr">
        <is>
          <t>Gerald Aguas</t>
        </is>
      </c>
      <c r="C9" s="239" t="inlineStr">
        <is>
          <t>Field Systems Operations Lead - NSW</t>
        </is>
      </c>
      <c r="D9" s="239" t="inlineStr">
        <is>
          <t>Ephraim Adan</t>
        </is>
      </c>
      <c r="E9" s="239" t="inlineStr">
        <is>
          <t>Manager, AU Retail Operations</t>
        </is>
      </c>
      <c r="F9" s="239" t="inlineStr">
        <is>
          <t>Ampol Retail &amp; Z</t>
        </is>
      </c>
      <c r="G9" s="315" t="inlineStr">
        <is>
          <t>Ampol Retail</t>
        </is>
      </c>
      <c r="H9" s="239" t="inlineStr">
        <is>
          <t>Ampol Retail, Technology</t>
        </is>
      </c>
      <c r="I9" s="239" t="inlineStr">
        <is>
          <t>Retail</t>
        </is>
      </c>
      <c r="J9" s="315" t="inlineStr">
        <is>
          <t>Store Operations</t>
        </is>
      </c>
      <c r="K9" s="239" t="inlineStr">
        <is>
          <t>Store Operations</t>
        </is>
      </c>
      <c r="L9" s="315" t="n"/>
      <c r="M9" s="316" t="inlineStr">
        <is>
          <t>Australia</t>
        </is>
      </c>
      <c r="N9" t="inlineStr">
        <is>
          <t>Ampol Retail</t>
        </is>
      </c>
      <c r="O9" s="321" t="inlineStr">
        <is>
          <t>Store Operations</t>
        </is>
      </c>
      <c r="P9" s="322" t="inlineStr">
        <is>
          <t>Store Operations</t>
        </is>
      </c>
      <c r="Q9" s="323" t="inlineStr">
        <is>
          <t>Squad</t>
        </is>
      </c>
      <c r="R9" t="inlineStr">
        <is>
          <t>Filled</t>
        </is>
      </c>
    </row>
    <row r="10" ht="18" customHeight="1" s="302">
      <c r="A10" s="314" t="n">
        <v>85136</v>
      </c>
      <c r="B10" s="239" t="inlineStr">
        <is>
          <t>Tuan Edwards</t>
        </is>
      </c>
      <c r="C10" s="239" t="inlineStr">
        <is>
          <t>Field Systems Operations Lead - QLD</t>
        </is>
      </c>
      <c r="D10" s="239" t="inlineStr">
        <is>
          <t>Ephraim Adan</t>
        </is>
      </c>
      <c r="E10" s="239" t="inlineStr">
        <is>
          <t>Manager, AU Retail Operations</t>
        </is>
      </c>
      <c r="F10" s="239" t="inlineStr">
        <is>
          <t>Ampol Retail &amp; Z</t>
        </is>
      </c>
      <c r="G10" s="315" t="inlineStr">
        <is>
          <t>Ampol Retail</t>
        </is>
      </c>
      <c r="H10" s="239" t="inlineStr">
        <is>
          <t>Ampol Retail, Technology</t>
        </is>
      </c>
      <c r="I10" s="239" t="inlineStr">
        <is>
          <t>Retail</t>
        </is>
      </c>
      <c r="J10" s="315" t="inlineStr">
        <is>
          <t>Store Operations</t>
        </is>
      </c>
      <c r="K10" s="239" t="inlineStr">
        <is>
          <t>Store Operations</t>
        </is>
      </c>
      <c r="L10" s="315" t="n"/>
      <c r="M10" s="316" t="inlineStr">
        <is>
          <t>Australia</t>
        </is>
      </c>
      <c r="N10" t="inlineStr">
        <is>
          <t>Ampol Retail</t>
        </is>
      </c>
      <c r="O10" s="321" t="inlineStr">
        <is>
          <t>Store Operations</t>
        </is>
      </c>
      <c r="P10" s="322" t="inlineStr">
        <is>
          <t>Store Operations</t>
        </is>
      </c>
      <c r="Q10" s="323" t="inlineStr">
        <is>
          <t>Squad</t>
        </is>
      </c>
      <c r="R10" t="inlineStr">
        <is>
          <t>Filled</t>
        </is>
      </c>
    </row>
    <row r="11" ht="18" customHeight="1" s="302">
      <c r="A11" s="314" t="n">
        <v>8445</v>
      </c>
      <c r="B11" s="239" t="inlineStr">
        <is>
          <t>Geoff Goddard</t>
        </is>
      </c>
      <c r="C11" s="239" t="inlineStr">
        <is>
          <t>Field Systems Operations Lead - VIC</t>
        </is>
      </c>
      <c r="D11" s="239" t="inlineStr">
        <is>
          <t>Ephraim Adan</t>
        </is>
      </c>
      <c r="E11" s="239" t="inlineStr">
        <is>
          <t>Manager, AU Retail Operations</t>
        </is>
      </c>
      <c r="F11" s="239" t="inlineStr">
        <is>
          <t>Ampol Retail &amp; Z</t>
        </is>
      </c>
      <c r="G11" s="315" t="inlineStr">
        <is>
          <t>Ampol Retail</t>
        </is>
      </c>
      <c r="H11" s="239" t="inlineStr">
        <is>
          <t>Ampol Retail, Technology</t>
        </is>
      </c>
      <c r="I11" s="239" t="inlineStr">
        <is>
          <t>Retail</t>
        </is>
      </c>
      <c r="J11" s="315" t="inlineStr">
        <is>
          <t>Store Operations</t>
        </is>
      </c>
      <c r="K11" s="239" t="inlineStr">
        <is>
          <t>Store Operations</t>
        </is>
      </c>
      <c r="L11" s="315" t="n"/>
      <c r="M11" s="316" t="inlineStr">
        <is>
          <t>Australia</t>
        </is>
      </c>
      <c r="N11" t="inlineStr">
        <is>
          <t>Ampol Retail</t>
        </is>
      </c>
      <c r="O11" s="321" t="inlineStr">
        <is>
          <t>Store Operations</t>
        </is>
      </c>
      <c r="P11" s="322" t="inlineStr">
        <is>
          <t>Store Operations</t>
        </is>
      </c>
      <c r="Q11" s="323" t="inlineStr">
        <is>
          <t>Squad</t>
        </is>
      </c>
      <c r="R11" t="inlineStr">
        <is>
          <t>Filled</t>
        </is>
      </c>
    </row>
    <row r="12" ht="18" customHeight="1" s="302">
      <c r="A12" s="314" t="n">
        <v>90097</v>
      </c>
      <c r="B12" s="239" t="inlineStr">
        <is>
          <t>Patrick Ericson Nario</t>
        </is>
      </c>
      <c r="C12" s="239" t="inlineStr">
        <is>
          <t>Support Analyst - Field Operations</t>
        </is>
      </c>
      <c r="D12" s="239" t="inlineStr">
        <is>
          <t>Ephriam Adan</t>
        </is>
      </c>
      <c r="E12" s="239" t="inlineStr">
        <is>
          <t>Manager, AU Retail Operations</t>
        </is>
      </c>
      <c r="F12" s="239" t="inlineStr">
        <is>
          <t>Ampol Retail &amp; Z</t>
        </is>
      </c>
      <c r="G12" s="315" t="inlineStr">
        <is>
          <t>Ampol Retail</t>
        </is>
      </c>
      <c r="H12" s="239" t="inlineStr">
        <is>
          <t>Ampol Retail, Technology</t>
        </is>
      </c>
      <c r="I12" s="239" t="inlineStr">
        <is>
          <t>Retail</t>
        </is>
      </c>
      <c r="J12" s="315" t="inlineStr">
        <is>
          <t>Store Operations</t>
        </is>
      </c>
      <c r="K12" s="239" t="inlineStr">
        <is>
          <t>Store Operations</t>
        </is>
      </c>
      <c r="L12" s="315" t="n"/>
      <c r="M12" s="316" t="inlineStr">
        <is>
          <t>Australia</t>
        </is>
      </c>
      <c r="N12" t="inlineStr">
        <is>
          <t>Ampol Retail</t>
        </is>
      </c>
      <c r="O12" s="321" t="inlineStr">
        <is>
          <t>Store Operations</t>
        </is>
      </c>
      <c r="P12" s="322" t="inlineStr">
        <is>
          <t>Store Operations</t>
        </is>
      </c>
      <c r="Q12" s="323" t="inlineStr">
        <is>
          <t>Squad</t>
        </is>
      </c>
      <c r="R12" t="inlineStr">
        <is>
          <t>Filled</t>
        </is>
      </c>
    </row>
    <row r="13" ht="18" customHeight="1" s="302">
      <c r="A13" s="314" t="n">
        <v>4534</v>
      </c>
      <c r="B13" s="239" t="inlineStr">
        <is>
          <t>Andrew Whitford</t>
        </is>
      </c>
      <c r="C13" s="239" t="inlineStr">
        <is>
          <t>Field Systems Operations Lead - WA</t>
        </is>
      </c>
      <c r="D13" s="239" t="inlineStr">
        <is>
          <t>Ephriam Adan</t>
        </is>
      </c>
      <c r="E13" s="239" t="inlineStr">
        <is>
          <t>Manager, AU Retail Operations</t>
        </is>
      </c>
      <c r="F13" s="239" t="inlineStr">
        <is>
          <t>Ampol Retail &amp; Z</t>
        </is>
      </c>
      <c r="G13" s="315" t="inlineStr">
        <is>
          <t>Ampol Retail</t>
        </is>
      </c>
      <c r="H13" s="239" t="inlineStr">
        <is>
          <t>Ampol Retail, Technology</t>
        </is>
      </c>
      <c r="I13" s="239" t="inlineStr">
        <is>
          <t>Retail</t>
        </is>
      </c>
      <c r="J13" s="315" t="inlineStr">
        <is>
          <t>Store Operations</t>
        </is>
      </c>
      <c r="K13" s="239" t="inlineStr">
        <is>
          <t>Store Operations</t>
        </is>
      </c>
      <c r="L13" s="315" t="n"/>
      <c r="M13" s="316" t="inlineStr">
        <is>
          <t>Australia</t>
        </is>
      </c>
      <c r="N13" t="inlineStr">
        <is>
          <t>Ampol Retail</t>
        </is>
      </c>
      <c r="O13" s="321" t="inlineStr">
        <is>
          <t>Store Operations</t>
        </is>
      </c>
      <c r="P13" s="322" t="inlineStr">
        <is>
          <t>Store Operations</t>
        </is>
      </c>
      <c r="Q13" s="323" t="inlineStr">
        <is>
          <t>Squad</t>
        </is>
      </c>
      <c r="R13" t="inlineStr">
        <is>
          <t>Filled</t>
        </is>
      </c>
    </row>
    <row r="14" ht="18" customHeight="1" s="302">
      <c r="A14" s="314" t="n">
        <v>95017</v>
      </c>
      <c r="B14" s="326" t="inlineStr">
        <is>
          <t>Sjoerd Van Sluijs</t>
        </is>
      </c>
      <c r="C14" s="239" t="inlineStr">
        <is>
          <t>Senior PM PEP1, PEP18</t>
        </is>
      </c>
      <c r="D14" s="315" t="inlineStr">
        <is>
          <t>Greg Cassis</t>
        </is>
      </c>
      <c r="E14" s="315" t="inlineStr">
        <is>
          <t>GM TDD, EGI</t>
        </is>
      </c>
      <c r="F14" s="239" t="inlineStr">
        <is>
          <t>Ampol Retail &amp; Z</t>
        </is>
      </c>
      <c r="G14" s="315" t="inlineStr">
        <is>
          <t>EGI</t>
        </is>
      </c>
      <c r="H14" s="239" t="n"/>
      <c r="I14" s="239" t="inlineStr">
        <is>
          <t>EGI Integration</t>
        </is>
      </c>
      <c r="J14" s="315" t="inlineStr">
        <is>
          <t>EGI</t>
        </is>
      </c>
      <c r="K14" s="315" t="inlineStr">
        <is>
          <t>EGI Retail</t>
        </is>
      </c>
      <c r="L14" s="315" t="n"/>
      <c r="M14" s="316" t="inlineStr">
        <is>
          <t>Australia</t>
        </is>
      </c>
      <c r="N14" t="inlineStr">
        <is>
          <t>Ampol Retail</t>
        </is>
      </c>
      <c r="O14" s="321" t="inlineStr">
        <is>
          <t>EGI Retail</t>
        </is>
      </c>
      <c r="P14" s="322" t="inlineStr">
        <is>
          <t>EGI Retail</t>
        </is>
      </c>
      <c r="Q14" s="323" t="inlineStr">
        <is>
          <t>Strategic Program</t>
        </is>
      </c>
      <c r="R14" t="inlineStr">
        <is>
          <t>Filled</t>
        </is>
      </c>
    </row>
    <row r="15" ht="18" customHeight="1" s="302">
      <c r="A15" s="314" t="n">
        <v>86604</v>
      </c>
      <c r="B15" s="239" t="inlineStr">
        <is>
          <t>Vanessa Allen</t>
        </is>
      </c>
      <c r="C15" s="239" t="inlineStr">
        <is>
          <t>Delivery Manager</t>
        </is>
      </c>
      <c r="D15" s="315" t="inlineStr">
        <is>
          <t>Madan Murthy</t>
        </is>
      </c>
      <c r="E15" s="239" t="inlineStr">
        <is>
          <t>Head of Technology,  Ampol Retail</t>
        </is>
      </c>
      <c r="F15" s="239" t="inlineStr">
        <is>
          <t>Ampol Retail &amp; Z</t>
        </is>
      </c>
      <c r="G15" s="315" t="inlineStr">
        <is>
          <t>Ampol Retail</t>
        </is>
      </c>
      <c r="H15" s="239" t="inlineStr">
        <is>
          <t>Ampol Retail, Delivery</t>
        </is>
      </c>
      <c r="I15" s="239" t="inlineStr">
        <is>
          <t>Retail</t>
        </is>
      </c>
      <c r="J15" s="239" t="inlineStr">
        <is>
          <t>(All Retail)</t>
        </is>
      </c>
      <c r="K15" s="315" t="inlineStr">
        <is>
          <t>Leadership</t>
        </is>
      </c>
      <c r="L15" s="315" t="n"/>
      <c r="M15" s="316" t="inlineStr">
        <is>
          <t>Australia</t>
        </is>
      </c>
      <c r="N15" t="inlineStr">
        <is>
          <t>Ampol Retail</t>
        </is>
      </c>
      <c r="O15" s="321" t="inlineStr">
        <is>
          <t>Leadership</t>
        </is>
      </c>
      <c r="P15" s="322" t="inlineStr">
        <is>
          <t>Leadership</t>
        </is>
      </c>
      <c r="Q15" s="323" t="inlineStr">
        <is>
          <t>Leadership</t>
        </is>
      </c>
      <c r="R15" t="inlineStr">
        <is>
          <t>Filled</t>
        </is>
      </c>
    </row>
    <row r="16" ht="18" customHeight="1" s="302">
      <c r="A16" s="314" t="n">
        <v>98379</v>
      </c>
      <c r="B16" s="239" t="inlineStr">
        <is>
          <t>Vaishnavi Viswanathan</t>
        </is>
      </c>
      <c r="C16" s="239" t="inlineStr">
        <is>
          <t>Technology Manager, Store Platform</t>
        </is>
      </c>
      <c r="D16" s="315" t="inlineStr">
        <is>
          <t>Madan Murthy</t>
        </is>
      </c>
      <c r="E16" s="239" t="inlineStr">
        <is>
          <t>Head of Technology,  Ampol Retail</t>
        </is>
      </c>
      <c r="F16" s="239" t="inlineStr">
        <is>
          <t>Ampol Retail &amp; Z</t>
        </is>
      </c>
      <c r="G16" s="315" t="inlineStr">
        <is>
          <t>Ampol Retail</t>
        </is>
      </c>
      <c r="H16" s="239" t="inlineStr">
        <is>
          <t>Ampol Retail, Store Platforms</t>
        </is>
      </c>
      <c r="I16" s="239" t="inlineStr">
        <is>
          <t>Retail</t>
        </is>
      </c>
      <c r="J16" s="239" t="inlineStr">
        <is>
          <t>Store Operations, Payments, POS</t>
        </is>
      </c>
      <c r="K16" s="315" t="inlineStr">
        <is>
          <t>Leadership</t>
        </is>
      </c>
      <c r="L16" s="315" t="n"/>
      <c r="M16" s="316" t="inlineStr">
        <is>
          <t>Australia</t>
        </is>
      </c>
      <c r="N16" t="inlineStr">
        <is>
          <t>Ampol Retail</t>
        </is>
      </c>
      <c r="O16" s="321" t="inlineStr">
        <is>
          <t>Leadership</t>
        </is>
      </c>
      <c r="P16" s="322" t="inlineStr">
        <is>
          <t>Leadership</t>
        </is>
      </c>
      <c r="Q16" s="323" t="inlineStr">
        <is>
          <t>Leadership</t>
        </is>
      </c>
      <c r="R16" t="inlineStr">
        <is>
          <t>Filled</t>
        </is>
      </c>
    </row>
    <row r="17" ht="18" customHeight="1" s="302">
      <c r="A17" s="314" t="n">
        <v>95285</v>
      </c>
      <c r="B17" s="239" t="inlineStr">
        <is>
          <t>Tracy Lee Reaper</t>
        </is>
      </c>
      <c r="C17" s="239" t="inlineStr">
        <is>
          <t>Technology Manager, Merchandising &amp; WFM</t>
        </is>
      </c>
      <c r="D17" s="315" t="inlineStr">
        <is>
          <t>Madan Murthy</t>
        </is>
      </c>
      <c r="E17" s="239" t="inlineStr">
        <is>
          <t>Head of Technology,  Ampol Retail</t>
        </is>
      </c>
      <c r="F17" s="239" t="inlineStr">
        <is>
          <t>Ampol Retail &amp; Z</t>
        </is>
      </c>
      <c r="G17" s="315" t="inlineStr">
        <is>
          <t>Ampol Retail</t>
        </is>
      </c>
      <c r="H17" s="239" t="inlineStr">
        <is>
          <t>Ampol Retail, Merch &amp; RTA</t>
        </is>
      </c>
      <c r="I17" s="239" t="inlineStr">
        <is>
          <t>Retail</t>
        </is>
      </c>
      <c r="J17" s="239" t="inlineStr">
        <is>
          <t>Merch / Supply Chain</t>
        </is>
      </c>
      <c r="K17" s="315" t="inlineStr">
        <is>
          <t>Leadership</t>
        </is>
      </c>
      <c r="L17" s="315" t="n"/>
      <c r="M17" s="316" t="inlineStr">
        <is>
          <t>Australia</t>
        </is>
      </c>
      <c r="N17" t="inlineStr">
        <is>
          <t>Ampol Retail</t>
        </is>
      </c>
      <c r="O17" s="321" t="inlineStr">
        <is>
          <t>Leadership</t>
        </is>
      </c>
      <c r="P17" s="322" t="inlineStr">
        <is>
          <t>Leadership</t>
        </is>
      </c>
      <c r="Q17" s="323" t="inlineStr">
        <is>
          <t>Leadership</t>
        </is>
      </c>
      <c r="R17" t="inlineStr">
        <is>
          <t>Filled</t>
        </is>
      </c>
    </row>
    <row r="18" ht="18" customHeight="1" s="302">
      <c r="A18" s="314" t="n">
        <v>111451</v>
      </c>
      <c r="B18" s="239" t="inlineStr">
        <is>
          <t>Aniket Banerji</t>
        </is>
      </c>
      <c r="C18" s="239" t="inlineStr">
        <is>
          <t>Deployment Lead</t>
        </is>
      </c>
      <c r="D18" s="239" t="inlineStr">
        <is>
          <t>Matthew Patane</t>
        </is>
      </c>
      <c r="E18" s="239" t="inlineStr">
        <is>
          <t>Release &amp; Deployment Manager</t>
        </is>
      </c>
      <c r="F18" s="239" t="inlineStr">
        <is>
          <t>Ampol Retail &amp; Z</t>
        </is>
      </c>
      <c r="G18" s="315" t="inlineStr">
        <is>
          <t>Ampol Retail</t>
        </is>
      </c>
      <c r="H18" s="239" t="inlineStr">
        <is>
          <t>Ampol Retail, Technology</t>
        </is>
      </c>
      <c r="I18" s="239" t="inlineStr">
        <is>
          <t>Retail</t>
        </is>
      </c>
      <c r="J18" s="315" t="inlineStr">
        <is>
          <t>Store Operations</t>
        </is>
      </c>
      <c r="K18" s="327" t="inlineStr">
        <is>
          <t>Deployment</t>
        </is>
      </c>
      <c r="L18" s="315" t="n"/>
      <c r="M18" s="316" t="inlineStr">
        <is>
          <t>Australia</t>
        </is>
      </c>
      <c r="N18" t="inlineStr">
        <is>
          <t>Ampol Retail</t>
        </is>
      </c>
      <c r="O18" s="321" t="inlineStr">
        <is>
          <t>Store Operations</t>
        </is>
      </c>
      <c r="P18" s="322" t="inlineStr">
        <is>
          <t>Deployment</t>
        </is>
      </c>
      <c r="Q18" s="323" t="inlineStr">
        <is>
          <t>Squad</t>
        </is>
      </c>
      <c r="R18" t="inlineStr">
        <is>
          <t>Filled</t>
        </is>
      </c>
    </row>
    <row r="19" ht="18" customHeight="1" s="302">
      <c r="A19" s="314" t="n">
        <v>95128</v>
      </c>
      <c r="B19" s="239" t="inlineStr">
        <is>
          <t>Deepak Kubendran</t>
        </is>
      </c>
      <c r="C19" s="239" t="inlineStr">
        <is>
          <t>Project Manager – Deployments</t>
        </is>
      </c>
      <c r="D19" s="239" t="inlineStr">
        <is>
          <t>Matthew Patane</t>
        </is>
      </c>
      <c r="E19" s="239" t="inlineStr">
        <is>
          <t>Release &amp; Deployment Manager</t>
        </is>
      </c>
      <c r="F19" s="239" t="inlineStr">
        <is>
          <t>Ampol Retail &amp; Z</t>
        </is>
      </c>
      <c r="G19" s="315" t="inlineStr">
        <is>
          <t>Ampol Retail</t>
        </is>
      </c>
      <c r="H19" s="239" t="inlineStr">
        <is>
          <t>Ampol Retail, Technology</t>
        </is>
      </c>
      <c r="I19" s="239" t="inlineStr">
        <is>
          <t>Retail</t>
        </is>
      </c>
      <c r="J19" s="315" t="inlineStr">
        <is>
          <t>Store Operations</t>
        </is>
      </c>
      <c r="K19" s="327" t="inlineStr">
        <is>
          <t>Deployment</t>
        </is>
      </c>
      <c r="L19" s="315" t="n"/>
      <c r="M19" s="316" t="inlineStr">
        <is>
          <t>Australia</t>
        </is>
      </c>
      <c r="N19" t="inlineStr">
        <is>
          <t>Ampol Retail</t>
        </is>
      </c>
      <c r="O19" s="328" t="inlineStr">
        <is>
          <t>Store Operations</t>
        </is>
      </c>
      <c r="P19" s="329" t="inlineStr">
        <is>
          <t>Deployment</t>
        </is>
      </c>
      <c r="Q19" s="330" t="inlineStr">
        <is>
          <t>Squad</t>
        </is>
      </c>
      <c r="R19" t="inlineStr">
        <is>
          <t>Filled</t>
        </is>
      </c>
    </row>
    <row r="20" ht="18" customHeight="1" s="302">
      <c r="A20" s="314" t="n">
        <v>11424</v>
      </c>
      <c r="B20" s="239" t="inlineStr">
        <is>
          <t>Sao Keawprasit</t>
        </is>
      </c>
      <c r="C20" s="239" t="inlineStr">
        <is>
          <t>Systems Analyst</t>
        </is>
      </c>
      <c r="D20" s="239" t="inlineStr">
        <is>
          <t>Tracy Lee Reaper</t>
        </is>
      </c>
      <c r="E20" s="239" t="inlineStr">
        <is>
          <t>Tech Manager, Merchandising &amp; WFM</t>
        </is>
      </c>
      <c r="F20" s="239" t="inlineStr">
        <is>
          <t>Ampol Retail &amp; Z</t>
        </is>
      </c>
      <c r="G20" s="315" t="inlineStr">
        <is>
          <t>Ampol Retail</t>
        </is>
      </c>
      <c r="H20" s="239" t="inlineStr">
        <is>
          <t>Ampol Retail, Merch &amp; RTA</t>
        </is>
      </c>
      <c r="I20" s="239" t="inlineStr">
        <is>
          <t>Retail</t>
        </is>
      </c>
      <c r="J20" s="331" t="inlineStr">
        <is>
          <t>Above Store</t>
        </is>
      </c>
      <c r="K20" s="331" t="inlineStr">
        <is>
          <t>Above Store</t>
        </is>
      </c>
      <c r="L20" s="315" t="n"/>
      <c r="M20" s="316" t="inlineStr">
        <is>
          <t>Australia</t>
        </is>
      </c>
      <c r="N20" t="inlineStr">
        <is>
          <t>Ampol Retail</t>
        </is>
      </c>
      <c r="O20" t="inlineStr">
        <is>
          <t>Above Store</t>
        </is>
      </c>
      <c r="P20" t="inlineStr">
        <is>
          <t>Above Store</t>
        </is>
      </c>
      <c r="Q20" t="inlineStr">
        <is>
          <t>Squad</t>
        </is>
      </c>
      <c r="R20" t="inlineStr">
        <is>
          <t>Filled</t>
        </is>
      </c>
    </row>
    <row r="21" ht="18" customHeight="1" s="302">
      <c r="A21" s="314" t="n">
        <v>114829</v>
      </c>
      <c r="B21" s="239" t="inlineStr">
        <is>
          <t>Zuan Zheng</t>
        </is>
      </c>
      <c r="C21" s="239" t="inlineStr">
        <is>
          <t>Systems Analyst</t>
        </is>
      </c>
      <c r="D21" s="239" t="inlineStr">
        <is>
          <t>Tracy Lee Reaper</t>
        </is>
      </c>
      <c r="E21" s="239" t="inlineStr">
        <is>
          <t>Tech Manager, Merchandising &amp; WFM</t>
        </is>
      </c>
      <c r="F21" s="239" t="inlineStr">
        <is>
          <t>Ampol Retail &amp; Z</t>
        </is>
      </c>
      <c r="G21" s="315" t="inlineStr">
        <is>
          <t>Ampol Retail</t>
        </is>
      </c>
      <c r="H21" s="239" t="inlineStr">
        <is>
          <t>Ampol Retail, Merch &amp; RTA</t>
        </is>
      </c>
      <c r="I21" s="239" t="inlineStr">
        <is>
          <t>Retail</t>
        </is>
      </c>
      <c r="J21" s="331" t="inlineStr">
        <is>
          <t>Above Store</t>
        </is>
      </c>
      <c r="K21" s="331" t="inlineStr">
        <is>
          <t>Above Store</t>
        </is>
      </c>
      <c r="L21" s="315" t="n"/>
      <c r="M21" s="316" t="inlineStr">
        <is>
          <t>Singapore</t>
        </is>
      </c>
      <c r="N21" t="inlineStr">
        <is>
          <t>Ampol Retail</t>
        </is>
      </c>
      <c r="O21" t="inlineStr">
        <is>
          <t>Above Store</t>
        </is>
      </c>
      <c r="P21" t="inlineStr">
        <is>
          <t>Above Store</t>
        </is>
      </c>
      <c r="Q21" t="inlineStr">
        <is>
          <t>Squad</t>
        </is>
      </c>
      <c r="R21" t="inlineStr">
        <is>
          <t>Filled</t>
        </is>
      </c>
    </row>
    <row r="22" ht="18" customHeight="1" s="302">
      <c r="A22" s="314" t="n"/>
      <c r="B22" s="239" t="inlineStr">
        <is>
          <t>Vacant</t>
        </is>
      </c>
      <c r="C22" s="239" t="inlineStr">
        <is>
          <t>Systems Analyst</t>
        </is>
      </c>
      <c r="D22" s="239" t="inlineStr">
        <is>
          <t>Tracy Lee Reaper</t>
        </is>
      </c>
      <c r="E22" s="239" t="inlineStr">
        <is>
          <t>Tech Manager, Merchandising &amp; WFM</t>
        </is>
      </c>
      <c r="F22" s="239" t="inlineStr">
        <is>
          <t>Ampol Retail &amp; Z</t>
        </is>
      </c>
      <c r="G22" s="315" t="inlineStr">
        <is>
          <t>Ampol Retail</t>
        </is>
      </c>
      <c r="H22" s="239" t="inlineStr">
        <is>
          <t>Ampol Retail, Merch &amp; RTA</t>
        </is>
      </c>
      <c r="I22" s="239" t="inlineStr">
        <is>
          <t>Retail</t>
        </is>
      </c>
      <c r="J22" s="331" t="inlineStr">
        <is>
          <t>Above Store</t>
        </is>
      </c>
      <c r="K22" s="331" t="inlineStr">
        <is>
          <t>Above Store</t>
        </is>
      </c>
      <c r="L22" s="315" t="n"/>
      <c r="M22" s="316" t="n"/>
      <c r="N22" t="inlineStr">
        <is>
          <t>Ampol Retail</t>
        </is>
      </c>
      <c r="O22" t="inlineStr">
        <is>
          <t>Above Store</t>
        </is>
      </c>
      <c r="P22" t="inlineStr">
        <is>
          <t>Above Store</t>
        </is>
      </c>
      <c r="Q22" t="inlineStr">
        <is>
          <t>Squad</t>
        </is>
      </c>
      <c r="R22" t="inlineStr">
        <is>
          <t>Vacant</t>
        </is>
      </c>
    </row>
    <row r="23" ht="18" customHeight="1" s="302">
      <c r="A23" s="314" t="n">
        <v>108357</v>
      </c>
      <c r="B23" s="239" t="inlineStr">
        <is>
          <t>Pahul Oberoi</t>
        </is>
      </c>
      <c r="C23" s="239" t="inlineStr">
        <is>
          <t>Systems Analyst</t>
        </is>
      </c>
      <c r="D23" s="239" t="inlineStr">
        <is>
          <t>Tracy Lee Reaper</t>
        </is>
      </c>
      <c r="E23" s="239" t="inlineStr">
        <is>
          <t>Tech Manager, Merchandising &amp; WFM</t>
        </is>
      </c>
      <c r="F23" s="239" t="inlineStr">
        <is>
          <t>Ampol Retail &amp; Z</t>
        </is>
      </c>
      <c r="G23" s="315" t="inlineStr">
        <is>
          <t>Ampol Retail</t>
        </is>
      </c>
      <c r="H23" s="239" t="inlineStr">
        <is>
          <t>Ampol Retail, Merch &amp; RTA</t>
        </is>
      </c>
      <c r="I23" s="239" t="inlineStr">
        <is>
          <t>Retail</t>
        </is>
      </c>
      <c r="J23" s="331" t="inlineStr">
        <is>
          <t>Above Store</t>
        </is>
      </c>
      <c r="K23" s="331" t="inlineStr">
        <is>
          <t>Above Store</t>
        </is>
      </c>
      <c r="L23" s="315" t="n"/>
      <c r="M23" s="316" t="inlineStr">
        <is>
          <t>Australia</t>
        </is>
      </c>
      <c r="N23" t="inlineStr">
        <is>
          <t>Ampol Retail</t>
        </is>
      </c>
      <c r="O23" t="inlineStr">
        <is>
          <t>Above Store</t>
        </is>
      </c>
      <c r="P23" t="inlineStr">
        <is>
          <t>Above Store</t>
        </is>
      </c>
      <c r="Q23" t="inlineStr">
        <is>
          <t>Squad</t>
        </is>
      </c>
      <c r="R23" t="inlineStr">
        <is>
          <t>Filled</t>
        </is>
      </c>
    </row>
    <row r="24" ht="18" customHeight="1" s="302">
      <c r="A24" s="314" t="n"/>
      <c r="B24" s="239" t="inlineStr">
        <is>
          <t>vacant</t>
        </is>
      </c>
      <c r="C24" s="239" t="inlineStr">
        <is>
          <t>Quality Assurance</t>
        </is>
      </c>
      <c r="D24" s="239" t="inlineStr">
        <is>
          <t>Tracy Lee Reaper</t>
        </is>
      </c>
      <c r="E24" s="239" t="inlineStr">
        <is>
          <t>Tech Manager, Merchandising &amp; WFM</t>
        </is>
      </c>
      <c r="F24" s="239" t="inlineStr">
        <is>
          <t>Ampol Retail &amp; Z</t>
        </is>
      </c>
      <c r="G24" s="315" t="inlineStr">
        <is>
          <t>Ampol Retail</t>
        </is>
      </c>
      <c r="H24" s="239" t="inlineStr">
        <is>
          <t>Ampol Retail, Merch &amp; RTA</t>
        </is>
      </c>
      <c r="I24" s="239" t="inlineStr">
        <is>
          <t>Retail</t>
        </is>
      </c>
      <c r="J24" s="331" t="inlineStr">
        <is>
          <t>Above Store</t>
        </is>
      </c>
      <c r="K24" s="331" t="inlineStr">
        <is>
          <t>Above Store</t>
        </is>
      </c>
      <c r="L24" s="315" t="n"/>
      <c r="M24" s="316" t="n"/>
      <c r="N24" t="inlineStr">
        <is>
          <t>Ampol Retail</t>
        </is>
      </c>
      <c r="O24" t="inlineStr">
        <is>
          <t>Above Store</t>
        </is>
      </c>
      <c r="P24" t="inlineStr">
        <is>
          <t>Above Store</t>
        </is>
      </c>
      <c r="Q24" t="inlineStr">
        <is>
          <t>Squad</t>
        </is>
      </c>
      <c r="R24" t="inlineStr">
        <is>
          <t>Vacant</t>
        </is>
      </c>
    </row>
    <row r="25" ht="18" customHeight="1" s="302">
      <c r="A25" s="314" t="n"/>
      <c r="B25" s="239" t="inlineStr">
        <is>
          <t>Vacant</t>
        </is>
      </c>
      <c r="C25" s="239" t="inlineStr">
        <is>
          <t>Engineer - Integration</t>
        </is>
      </c>
      <c r="D25" s="239" t="inlineStr">
        <is>
          <t>Tracy Lee Reaper</t>
        </is>
      </c>
      <c r="E25" s="239" t="inlineStr">
        <is>
          <t>Tech Manager, Merchandising &amp; WFM</t>
        </is>
      </c>
      <c r="F25" s="239" t="inlineStr">
        <is>
          <t>Ampol Retail &amp; Z</t>
        </is>
      </c>
      <c r="G25" s="315" t="inlineStr">
        <is>
          <t>Ampol Retail</t>
        </is>
      </c>
      <c r="H25" s="239" t="inlineStr">
        <is>
          <t>Ampol Retail, Merch &amp; RTA</t>
        </is>
      </c>
      <c r="I25" s="239" t="inlineStr">
        <is>
          <t>Retail</t>
        </is>
      </c>
      <c r="J25" s="331" t="inlineStr">
        <is>
          <t>Above Store</t>
        </is>
      </c>
      <c r="K25" s="331" t="inlineStr">
        <is>
          <t>Above Store</t>
        </is>
      </c>
      <c r="L25" s="315" t="n"/>
      <c r="M25" s="316" t="n"/>
      <c r="N25" t="inlineStr">
        <is>
          <t>Ampol Retail</t>
        </is>
      </c>
      <c r="O25" t="inlineStr">
        <is>
          <t>Above Store</t>
        </is>
      </c>
      <c r="P25" t="inlineStr">
        <is>
          <t>Above Store</t>
        </is>
      </c>
      <c r="Q25" t="inlineStr">
        <is>
          <t>Squad</t>
        </is>
      </c>
      <c r="R25" t="inlineStr">
        <is>
          <t>Vacant</t>
        </is>
      </c>
    </row>
    <row r="26" ht="18" customHeight="1" s="302">
      <c r="A26" s="314" t="n">
        <v>7001</v>
      </c>
      <c r="B26" s="239" t="inlineStr">
        <is>
          <t>Joseph Maroun</t>
        </is>
      </c>
      <c r="C26" s="332" t="inlineStr">
        <is>
          <t>Systems Analyst</t>
        </is>
      </c>
      <c r="D26" s="239" t="inlineStr">
        <is>
          <t>Tracy Lee Reaper</t>
        </is>
      </c>
      <c r="E26" s="239" t="inlineStr">
        <is>
          <t>Tech Manager, Merchandising &amp; WFM</t>
        </is>
      </c>
      <c r="F26" s="239" t="inlineStr">
        <is>
          <t>Ampol Retail &amp; Z</t>
        </is>
      </c>
      <c r="G26" s="315" t="inlineStr">
        <is>
          <t>Ampol Retail</t>
        </is>
      </c>
      <c r="H26" s="239" t="inlineStr">
        <is>
          <t>Ampol Retail, Merch &amp; RTA</t>
        </is>
      </c>
      <c r="I26" s="239" t="inlineStr">
        <is>
          <t>Retail</t>
        </is>
      </c>
      <c r="J26" s="331" t="inlineStr">
        <is>
          <t>Above Store</t>
        </is>
      </c>
      <c r="K26" s="331" t="inlineStr">
        <is>
          <t>Above Store</t>
        </is>
      </c>
      <c r="L26" s="315" t="n"/>
      <c r="M26" s="316" t="inlineStr">
        <is>
          <t>Australia</t>
        </is>
      </c>
      <c r="N26" t="inlineStr">
        <is>
          <t>Ampol Retail</t>
        </is>
      </c>
      <c r="O26" t="inlineStr">
        <is>
          <t>Above Store</t>
        </is>
      </c>
      <c r="P26" t="inlineStr">
        <is>
          <t>Above Store</t>
        </is>
      </c>
      <c r="Q26" t="inlineStr">
        <is>
          <t>Squad</t>
        </is>
      </c>
      <c r="R26" t="inlineStr">
        <is>
          <t>Filled</t>
        </is>
      </c>
    </row>
    <row r="27" ht="18" customHeight="1" s="302">
      <c r="A27" s="314" t="n">
        <v>117167</v>
      </c>
      <c r="B27" s="239" t="inlineStr">
        <is>
          <t>Vijay Patel</t>
        </is>
      </c>
      <c r="C27" s="239" t="inlineStr">
        <is>
          <t>Systems Analyst</t>
        </is>
      </c>
      <c r="D27" s="239" t="inlineStr">
        <is>
          <t>Tracy Lee Reaper</t>
        </is>
      </c>
      <c r="E27" s="239" t="inlineStr">
        <is>
          <t>Tech Manager, Merchandising &amp; WFM</t>
        </is>
      </c>
      <c r="F27" s="239" t="inlineStr">
        <is>
          <t>Ampol Retail &amp; Z</t>
        </is>
      </c>
      <c r="G27" s="315" t="inlineStr">
        <is>
          <t>Ampol Retail</t>
        </is>
      </c>
      <c r="H27" s="239" t="inlineStr">
        <is>
          <t>Ampol Retail, Store Platforms</t>
        </is>
      </c>
      <c r="I27" s="239" t="inlineStr">
        <is>
          <t>Retail</t>
        </is>
      </c>
      <c r="J27" s="331" t="inlineStr">
        <is>
          <t>Above Store</t>
        </is>
      </c>
      <c r="K27" s="331" t="inlineStr">
        <is>
          <t>Above Store</t>
        </is>
      </c>
      <c r="L27" s="315" t="n"/>
      <c r="M27" s="316" t="inlineStr">
        <is>
          <t>Australia</t>
        </is>
      </c>
      <c r="N27" t="inlineStr">
        <is>
          <t>Ampol Retail</t>
        </is>
      </c>
      <c r="O27" t="inlineStr">
        <is>
          <t>Above Store</t>
        </is>
      </c>
      <c r="P27" t="inlineStr">
        <is>
          <t>Above Store</t>
        </is>
      </c>
      <c r="Q27" t="inlineStr">
        <is>
          <t>Squad</t>
        </is>
      </c>
      <c r="R27" t="inlineStr">
        <is>
          <t>Filled</t>
        </is>
      </c>
    </row>
    <row r="28" ht="18" customHeight="1" s="302">
      <c r="A28" s="314" t="n"/>
      <c r="B28" s="239" t="inlineStr">
        <is>
          <t>vacant</t>
        </is>
      </c>
      <c r="C28" s="239" t="inlineStr">
        <is>
          <t>Quality Assurance</t>
        </is>
      </c>
      <c r="D28" s="239" t="inlineStr">
        <is>
          <t>Tracy Lee Reaper</t>
        </is>
      </c>
      <c r="E28" s="239" t="inlineStr">
        <is>
          <t>Tech Manager, Merchandising &amp; WFM</t>
        </is>
      </c>
      <c r="F28" s="239" t="inlineStr">
        <is>
          <t>Ampol Retail &amp; Z</t>
        </is>
      </c>
      <c r="G28" s="315" t="inlineStr">
        <is>
          <t>Ampol Retail</t>
        </is>
      </c>
      <c r="H28" s="239" t="inlineStr">
        <is>
          <t>Ampol Retail, Merch &amp; RTA</t>
        </is>
      </c>
      <c r="I28" s="239" t="inlineStr">
        <is>
          <t>Retail</t>
        </is>
      </c>
      <c r="J28" s="331" t="inlineStr">
        <is>
          <t>Above Store</t>
        </is>
      </c>
      <c r="K28" s="331" t="inlineStr">
        <is>
          <t>Above Store</t>
        </is>
      </c>
      <c r="L28" s="315" t="n"/>
      <c r="M28" s="316" t="n"/>
      <c r="N28" t="inlineStr">
        <is>
          <t>Ampol Retail</t>
        </is>
      </c>
      <c r="O28" t="inlineStr">
        <is>
          <t>Above Store</t>
        </is>
      </c>
      <c r="P28" t="inlineStr">
        <is>
          <t>Above Store</t>
        </is>
      </c>
      <c r="Q28" t="inlineStr">
        <is>
          <t>Squad</t>
        </is>
      </c>
      <c r="R28" t="inlineStr">
        <is>
          <t>Vacant</t>
        </is>
      </c>
    </row>
    <row r="29" ht="18" customHeight="1" s="302">
      <c r="A29" s="314" t="n">
        <v>84413</v>
      </c>
      <c r="B29" s="239" t="inlineStr">
        <is>
          <t>Karthick Sathiyamoorthy</t>
        </is>
      </c>
      <c r="C29" s="239" t="inlineStr">
        <is>
          <t>Quality Assurance</t>
        </is>
      </c>
      <c r="D29" s="315" t="inlineStr">
        <is>
          <t>Vacant</t>
        </is>
      </c>
      <c r="E29" s="239" t="inlineStr">
        <is>
          <t>Lead Quality Assurance</t>
        </is>
      </c>
      <c r="F29" s="239" t="inlineStr">
        <is>
          <t>Ampol Retail &amp; Z</t>
        </is>
      </c>
      <c r="G29" s="315" t="inlineStr">
        <is>
          <t>Ampol Retail</t>
        </is>
      </c>
      <c r="H29" s="239" t="inlineStr">
        <is>
          <t>Ampol Retail, Store Platforms</t>
        </is>
      </c>
      <c r="I29" s="239" t="inlineStr">
        <is>
          <t>Retail</t>
        </is>
      </c>
      <c r="J29" s="315" t="inlineStr">
        <is>
          <t>AMPOS</t>
        </is>
      </c>
      <c r="K29" s="239" t="inlineStr">
        <is>
          <t>AmPos</t>
        </is>
      </c>
      <c r="L29" s="315" t="n"/>
      <c r="M29" s="316" t="inlineStr">
        <is>
          <t>Australia</t>
        </is>
      </c>
      <c r="N29" t="inlineStr">
        <is>
          <t>Ampol Retail</t>
        </is>
      </c>
      <c r="O29" t="inlineStr">
        <is>
          <t>AmPOS</t>
        </is>
      </c>
      <c r="P29" t="inlineStr">
        <is>
          <t>AmPOS</t>
        </is>
      </c>
      <c r="Q29" t="inlineStr">
        <is>
          <t>Strategic Program</t>
        </is>
      </c>
      <c r="R29" t="inlineStr">
        <is>
          <t>Filled</t>
        </is>
      </c>
    </row>
    <row r="30" ht="18" customHeight="1" s="302">
      <c r="A30" s="314" t="n">
        <v>99999102104</v>
      </c>
      <c r="B30" s="239" t="inlineStr">
        <is>
          <t>Isuru Herath</t>
        </is>
      </c>
      <c r="C30" s="239" t="inlineStr">
        <is>
          <t>Senior Engineer - Software</t>
        </is>
      </c>
      <c r="D30" s="239" t="inlineStr">
        <is>
          <t>Vacant</t>
        </is>
      </c>
      <c r="E30" s="239" t="inlineStr">
        <is>
          <t>Technology Manager, Engineering</t>
        </is>
      </c>
      <c r="F30" s="239" t="inlineStr">
        <is>
          <t>Ampol Retail &amp; Z</t>
        </is>
      </c>
      <c r="G30" s="315" t="inlineStr">
        <is>
          <t>Z &amp; Group Retail</t>
        </is>
      </c>
      <c r="H30" s="239" t="inlineStr">
        <is>
          <t>Z &amp; Group Retail, Engineering</t>
        </is>
      </c>
      <c r="I30" s="239" t="inlineStr">
        <is>
          <t>Z</t>
        </is>
      </c>
      <c r="J30" s="315" t="inlineStr">
        <is>
          <t>Z Supply</t>
        </is>
      </c>
      <c r="K30" s="239" t="inlineStr">
        <is>
          <t>Z Supply</t>
        </is>
      </c>
      <c r="L30" s="315" t="n"/>
      <c r="M30" s="316" t="inlineStr">
        <is>
          <t>NZ</t>
        </is>
      </c>
      <c r="N30" t="inlineStr">
        <is>
          <t>Z Retail</t>
        </is>
      </c>
      <c r="O30" t="inlineStr">
        <is>
          <t>Z Supply</t>
        </is>
      </c>
      <c r="P30" t="inlineStr">
        <is>
          <t>Z Supply</t>
        </is>
      </c>
      <c r="Q30" t="inlineStr">
        <is>
          <t>Squad</t>
        </is>
      </c>
      <c r="R30" t="inlineStr">
        <is>
          <t>Filled</t>
        </is>
      </c>
    </row>
    <row r="31" ht="18" customHeight="1" s="302">
      <c r="A31" s="314" t="n">
        <v>99999101222</v>
      </c>
      <c r="B31" s="239" t="inlineStr">
        <is>
          <t>Malachi Ah Hoi</t>
        </is>
      </c>
      <c r="C31" s="239" t="inlineStr">
        <is>
          <t>Senior Quality Assurance</t>
        </is>
      </c>
      <c r="D31" s="239" t="inlineStr">
        <is>
          <t>Vacant</t>
        </is>
      </c>
      <c r="E31" s="239" t="inlineStr">
        <is>
          <t>Technology Manager, Engineering</t>
        </is>
      </c>
      <c r="F31" s="239" t="inlineStr">
        <is>
          <t>Ampol Retail &amp; Z</t>
        </is>
      </c>
      <c r="G31" s="239" t="inlineStr">
        <is>
          <t>Z &amp; Group Retail</t>
        </is>
      </c>
      <c r="H31" s="239" t="inlineStr">
        <is>
          <t>Z &amp; Group Retail, Engineering</t>
        </is>
      </c>
      <c r="I31" s="239" t="inlineStr">
        <is>
          <t>Z</t>
        </is>
      </c>
      <c r="J31" s="239" t="inlineStr">
        <is>
          <t>Z Customer</t>
        </is>
      </c>
      <c r="K31" s="239" t="inlineStr">
        <is>
          <t xml:space="preserve">Z Retail Backend </t>
        </is>
      </c>
      <c r="L31" s="315" t="n"/>
      <c r="M31" s="316" t="inlineStr">
        <is>
          <t>NZ</t>
        </is>
      </c>
      <c r="N31" t="inlineStr">
        <is>
          <t>Z Retail</t>
        </is>
      </c>
      <c r="O31" t="inlineStr">
        <is>
          <t>Z Customer</t>
        </is>
      </c>
      <c r="P31" t="inlineStr">
        <is>
          <t>Z Retail Backend</t>
        </is>
      </c>
      <c r="Q31" t="inlineStr">
        <is>
          <t>Squad</t>
        </is>
      </c>
      <c r="R31" t="inlineStr">
        <is>
          <t>Filled</t>
        </is>
      </c>
    </row>
    <row r="32" ht="18" customHeight="1" s="302">
      <c r="A32" s="314" t="n"/>
      <c r="B32" s="239" t="inlineStr">
        <is>
          <t>Vacant</t>
        </is>
      </c>
      <c r="C32" s="239" t="inlineStr">
        <is>
          <t>Delivery Manager</t>
        </is>
      </c>
      <c r="D32" s="315" t="inlineStr">
        <is>
          <t>Vacant</t>
        </is>
      </c>
      <c r="E32" s="239" t="inlineStr">
        <is>
          <t>Head of Technology, Z and Group Retail Platforms</t>
        </is>
      </c>
      <c r="F32" s="239" t="inlineStr">
        <is>
          <t>Ampol Retail &amp; Z</t>
        </is>
      </c>
      <c r="G32" s="315" t="inlineStr">
        <is>
          <t>Z &amp; Group Retail</t>
        </is>
      </c>
      <c r="H32" s="315" t="inlineStr">
        <is>
          <t>Z &amp; Group Retail, Delivery</t>
        </is>
      </c>
      <c r="I32" s="315" t="inlineStr">
        <is>
          <t>Z</t>
        </is>
      </c>
      <c r="J32" s="239" t="inlineStr">
        <is>
          <t>Z Customer &amp; Z Supply</t>
        </is>
      </c>
      <c r="K32" s="315" t="inlineStr">
        <is>
          <t>Leadership</t>
        </is>
      </c>
      <c r="L32" s="315" t="n"/>
      <c r="M32" s="316" t="n"/>
      <c r="N32" t="inlineStr">
        <is>
          <t>Z Retail</t>
        </is>
      </c>
      <c r="O32" t="inlineStr">
        <is>
          <t>Leadership</t>
        </is>
      </c>
      <c r="P32" t="inlineStr">
        <is>
          <t>Leadership</t>
        </is>
      </c>
      <c r="Q32" t="inlineStr">
        <is>
          <t>Leadership</t>
        </is>
      </c>
      <c r="R32" t="inlineStr">
        <is>
          <t>Vacant</t>
        </is>
      </c>
    </row>
    <row r="33" ht="18" customHeight="1" s="302">
      <c r="A33" s="314" t="n"/>
      <c r="B33" s="239" t="inlineStr">
        <is>
          <t>Vacant</t>
        </is>
      </c>
      <c r="C33" s="239" t="inlineStr">
        <is>
          <t>Quality Assurance</t>
        </is>
      </c>
      <c r="D33" s="239" t="inlineStr">
        <is>
          <t>Vacant</t>
        </is>
      </c>
      <c r="E33" s="239" t="inlineStr">
        <is>
          <t>Technology Manager, Engineering</t>
        </is>
      </c>
      <c r="F33" s="239" t="inlineStr">
        <is>
          <t>Ampol Retail &amp; Z</t>
        </is>
      </c>
      <c r="G33" s="324" t="inlineStr">
        <is>
          <t>Z &amp; Group Retail</t>
        </is>
      </c>
      <c r="H33" s="239" t="inlineStr">
        <is>
          <t>Z &amp; Group Retail, Engineering</t>
        </is>
      </c>
      <c r="I33" s="239" t="inlineStr">
        <is>
          <t>Z</t>
        </is>
      </c>
      <c r="J33" s="315" t="inlineStr">
        <is>
          <t>Z Supply</t>
        </is>
      </c>
      <c r="K33" s="239" t="inlineStr">
        <is>
          <t>Z Supply</t>
        </is>
      </c>
      <c r="L33" s="315" t="n"/>
      <c r="M33" s="316" t="n"/>
      <c r="N33" t="inlineStr">
        <is>
          <t>Z Retail</t>
        </is>
      </c>
      <c r="O33" t="inlineStr">
        <is>
          <t>Z Supply</t>
        </is>
      </c>
      <c r="P33" t="inlineStr">
        <is>
          <t>Z Supply</t>
        </is>
      </c>
      <c r="Q33" t="inlineStr">
        <is>
          <t>Squad</t>
        </is>
      </c>
      <c r="R33" t="inlineStr">
        <is>
          <t>Vacant</t>
        </is>
      </c>
    </row>
    <row r="34" ht="18" customHeight="1" s="302">
      <c r="A34" s="314" t="n"/>
      <c r="B34" s="239" t="inlineStr">
        <is>
          <t>Vacant</t>
        </is>
      </c>
      <c r="C34" s="239" t="inlineStr">
        <is>
          <t>Systems Analyst</t>
        </is>
      </c>
      <c r="D34" s="239" t="inlineStr">
        <is>
          <t>Vacant</t>
        </is>
      </c>
      <c r="E34" s="239" t="inlineStr">
        <is>
          <t>Technology Manager, Retail</t>
        </is>
      </c>
      <c r="F34" s="239" t="inlineStr">
        <is>
          <t>Ampol Retail &amp; Z</t>
        </is>
      </c>
      <c r="G34" s="315" t="inlineStr">
        <is>
          <t>Ampol Retail</t>
        </is>
      </c>
      <c r="H34" s="239" t="inlineStr">
        <is>
          <t>Ampol Retail, Technology</t>
        </is>
      </c>
      <c r="I34" s="239" t="inlineStr">
        <is>
          <t>Retail</t>
        </is>
      </c>
      <c r="J34" s="315" t="inlineStr">
        <is>
          <t>Network/QSR</t>
        </is>
      </c>
      <c r="K34" s="239" t="inlineStr">
        <is>
          <t>Network &amp; QSR</t>
        </is>
      </c>
      <c r="L34" s="315" t="n"/>
      <c r="M34" s="316" t="n"/>
      <c r="N34" t="inlineStr">
        <is>
          <t>Ampol Retail</t>
        </is>
      </c>
      <c r="O34" t="inlineStr">
        <is>
          <t>Network / QSR</t>
        </is>
      </c>
      <c r="P34" t="inlineStr">
        <is>
          <t>Network / QSR</t>
        </is>
      </c>
      <c r="Q34" t="inlineStr">
        <is>
          <t>Squad</t>
        </is>
      </c>
      <c r="R34" t="inlineStr">
        <is>
          <t>Vacant</t>
        </is>
      </c>
    </row>
    <row r="35" ht="18" customHeight="1" s="302">
      <c r="A35" s="314" t="n">
        <v>115515</v>
      </c>
      <c r="B35" s="325" t="inlineStr">
        <is>
          <t>Emma Natoli</t>
        </is>
      </c>
      <c r="C35" s="239" t="inlineStr">
        <is>
          <t>Technology Manager, Engineering</t>
        </is>
      </c>
      <c r="D35" s="315" t="inlineStr">
        <is>
          <t>Vacant</t>
        </is>
      </c>
      <c r="E35" s="239" t="inlineStr">
        <is>
          <t>Head of Technology, Z and Group Retail Platforms</t>
        </is>
      </c>
      <c r="F35" s="239" t="inlineStr">
        <is>
          <t>Ampol Retail &amp; Z</t>
        </is>
      </c>
      <c r="G35" s="324" t="inlineStr">
        <is>
          <t>Z &amp; Group Retail</t>
        </is>
      </c>
      <c r="H35" s="239" t="inlineStr">
        <is>
          <t>Z &amp; Group Retail, Engineering</t>
        </is>
      </c>
      <c r="I35" s="239" t="inlineStr">
        <is>
          <t>Z</t>
        </is>
      </c>
      <c r="J35" s="239" t="inlineStr">
        <is>
          <t>Z Customer &amp; Z Supply</t>
        </is>
      </c>
      <c r="K35" s="315" t="inlineStr">
        <is>
          <t>Leadership</t>
        </is>
      </c>
      <c r="L35" s="315" t="n"/>
      <c r="M35" s="333" t="inlineStr">
        <is>
          <t>NZ</t>
        </is>
      </c>
      <c r="N35" t="inlineStr">
        <is>
          <t>Z Retail</t>
        </is>
      </c>
      <c r="O35" t="inlineStr">
        <is>
          <t>Leadership</t>
        </is>
      </c>
      <c r="P35" t="inlineStr">
        <is>
          <t>Leadership</t>
        </is>
      </c>
      <c r="Q35" t="inlineStr">
        <is>
          <t>Leadership</t>
        </is>
      </c>
      <c r="R35" t="inlineStr">
        <is>
          <t>Filled</t>
        </is>
      </c>
    </row>
    <row r="36" ht="18" customHeight="1" s="302">
      <c r="A36" s="314" t="n">
        <v>98007</v>
      </c>
      <c r="B36" s="239" t="inlineStr">
        <is>
          <t>Sendhil Vinayagam (75% EGI)</t>
        </is>
      </c>
      <c r="C36" s="239" t="inlineStr">
        <is>
          <t>Solution Architect</t>
        </is>
      </c>
      <c r="D36" s="239" t="inlineStr">
        <is>
          <t>Vacant</t>
        </is>
      </c>
      <c r="E36" s="239" t="inlineStr">
        <is>
          <t>Technology Manager, Retail</t>
        </is>
      </c>
      <c r="F36" s="239" t="inlineStr">
        <is>
          <t>Ampol Retail &amp; Z</t>
        </is>
      </c>
      <c r="G36" s="315" t="inlineStr">
        <is>
          <t>Ampol Retail</t>
        </is>
      </c>
      <c r="H36" s="239" t="inlineStr">
        <is>
          <t>Ampol Retail, Technology</t>
        </is>
      </c>
      <c r="I36" s="239" t="inlineStr">
        <is>
          <t>EGI Integration</t>
        </is>
      </c>
      <c r="J36" s="315" t="inlineStr">
        <is>
          <t>EGI</t>
        </is>
      </c>
      <c r="K36" s="239" t="inlineStr">
        <is>
          <t>EGI Retail</t>
        </is>
      </c>
      <c r="L36" s="315" t="n"/>
      <c r="M36" s="316" t="inlineStr">
        <is>
          <t>Australia</t>
        </is>
      </c>
      <c r="N36" t="inlineStr">
        <is>
          <t>Ampol Retail</t>
        </is>
      </c>
      <c r="O36" t="inlineStr">
        <is>
          <t>EGI Retail</t>
        </is>
      </c>
      <c r="P36" t="inlineStr">
        <is>
          <t>EGI Retail</t>
        </is>
      </c>
      <c r="Q36" t="inlineStr">
        <is>
          <t>Strategic Program</t>
        </is>
      </c>
      <c r="R36" t="inlineStr">
        <is>
          <t>Filled</t>
        </is>
      </c>
    </row>
    <row r="37" ht="18" customHeight="1" s="302">
      <c r="A37" s="314" t="n"/>
      <c r="B37" s="239" t="inlineStr">
        <is>
          <t>Vacant</t>
        </is>
      </c>
      <c r="C37" s="239" t="inlineStr">
        <is>
          <t>Delivery Lead</t>
        </is>
      </c>
      <c r="D37" s="315" t="inlineStr">
        <is>
          <t>Vacant</t>
        </is>
      </c>
      <c r="E37" s="327" t="inlineStr">
        <is>
          <t>Delivery Manager, Z and Retail Data</t>
        </is>
      </c>
      <c r="F37" s="239" t="inlineStr">
        <is>
          <t>Ampol Retail &amp; Z</t>
        </is>
      </c>
      <c r="G37" s="315" t="inlineStr">
        <is>
          <t>Z &amp; Group Retail</t>
        </is>
      </c>
      <c r="H37" s="239" t="inlineStr">
        <is>
          <t>Z &amp; Group Retail, Delivery</t>
        </is>
      </c>
      <c r="I37" s="239" t="inlineStr">
        <is>
          <t>Z</t>
        </is>
      </c>
      <c r="J37" s="315" t="inlineStr">
        <is>
          <t>Z Customer &amp; Z Supply</t>
        </is>
      </c>
      <c r="K37" s="239" t="inlineStr">
        <is>
          <t>Data - NZ</t>
        </is>
      </c>
      <c r="L37" s="315" t="n"/>
      <c r="M37" s="316" t="n"/>
      <c r="N37" t="inlineStr">
        <is>
          <t>Z Retail</t>
        </is>
      </c>
      <c r="O37" t="inlineStr">
        <is>
          <t>-</t>
        </is>
      </c>
      <c r="P37" t="inlineStr">
        <is>
          <t>Data NZ</t>
        </is>
      </c>
      <c r="Q37" t="inlineStr">
        <is>
          <t>Unmapped</t>
        </is>
      </c>
      <c r="R37" t="inlineStr">
        <is>
          <t>Vacant</t>
        </is>
      </c>
    </row>
    <row r="38" ht="18" customHeight="1" s="302">
      <c r="A38" s="314" t="n">
        <v>99999101426</v>
      </c>
      <c r="B38" s="239" t="inlineStr">
        <is>
          <t>Trevor Weaver</t>
        </is>
      </c>
      <c r="C38" s="239" t="inlineStr">
        <is>
          <t>Lead  Engineer - Software</t>
        </is>
      </c>
      <c r="D38" s="239" t="inlineStr">
        <is>
          <t>Vacant</t>
        </is>
      </c>
      <c r="E38" s="239" t="inlineStr">
        <is>
          <t>Technology Manager, Engineering</t>
        </is>
      </c>
      <c r="F38" s="239" t="inlineStr">
        <is>
          <t>Ampol Retail &amp; Z</t>
        </is>
      </c>
      <c r="G38" s="239" t="inlineStr">
        <is>
          <t>Z &amp; Group Retail</t>
        </is>
      </c>
      <c r="H38" s="239" t="inlineStr">
        <is>
          <t>Z &amp; Group Retail, Engineering</t>
        </is>
      </c>
      <c r="I38" s="239" t="inlineStr">
        <is>
          <t>Z</t>
        </is>
      </c>
      <c r="J38" s="239" t="inlineStr">
        <is>
          <t>Z Customer</t>
        </is>
      </c>
      <c r="K38" s="239" t="inlineStr">
        <is>
          <t>Z Retail Backend</t>
        </is>
      </c>
      <c r="L38" s="315" t="n"/>
      <c r="M38" s="316" t="inlineStr">
        <is>
          <t>NZ</t>
        </is>
      </c>
      <c r="N38" t="inlineStr">
        <is>
          <t>Z Retail</t>
        </is>
      </c>
      <c r="O38" t="inlineStr">
        <is>
          <t>Z Customer</t>
        </is>
      </c>
      <c r="P38" t="inlineStr">
        <is>
          <t>Z Retail Backend</t>
        </is>
      </c>
      <c r="Q38" t="inlineStr">
        <is>
          <t>Squad</t>
        </is>
      </c>
      <c r="R38" t="inlineStr">
        <is>
          <t>Filled</t>
        </is>
      </c>
    </row>
    <row r="39" ht="18" customHeight="1" s="302">
      <c r="A39" s="314" t="n">
        <v>9999970029518</v>
      </c>
      <c r="B39" s="239" t="inlineStr">
        <is>
          <t>Anne Pretorius</t>
        </is>
      </c>
      <c r="C39" s="239" t="inlineStr">
        <is>
          <t>Lead Business Analyst</t>
        </is>
      </c>
      <c r="D39" s="315" t="inlineStr">
        <is>
          <t>Vacant</t>
        </is>
      </c>
      <c r="E39" s="239" t="inlineStr">
        <is>
          <t>Delivery Manager, Z and Retail Data</t>
        </is>
      </c>
      <c r="F39" s="239" t="inlineStr">
        <is>
          <t>Ampol Retail &amp; Z</t>
        </is>
      </c>
      <c r="G39" s="315" t="inlineStr">
        <is>
          <t>Z &amp; Group Retail</t>
        </is>
      </c>
      <c r="H39" s="239" t="inlineStr">
        <is>
          <t>Z &amp; Group Retail, Delivery</t>
        </is>
      </c>
      <c r="I39" s="239" t="inlineStr">
        <is>
          <t>EGI Integration</t>
        </is>
      </c>
      <c r="J39" s="315" t="inlineStr">
        <is>
          <t>EGI</t>
        </is>
      </c>
      <c r="K39" s="239" t="inlineStr">
        <is>
          <t>EGI</t>
        </is>
      </c>
      <c r="L39" s="315" t="n"/>
      <c r="M39" s="316" t="inlineStr">
        <is>
          <t>NZ</t>
        </is>
      </c>
      <c r="N39" t="inlineStr">
        <is>
          <t>EGI</t>
        </is>
      </c>
      <c r="O39" t="inlineStr">
        <is>
          <t>EGI</t>
        </is>
      </c>
      <c r="P39" t="inlineStr">
        <is>
          <t>EGI (unassigned)</t>
        </is>
      </c>
      <c r="Q39" t="inlineStr">
        <is>
          <t>Unmapped</t>
        </is>
      </c>
      <c r="R39" t="inlineStr">
        <is>
          <t>Filled</t>
        </is>
      </c>
    </row>
    <row r="40" ht="18" customHeight="1" s="302">
      <c r="A40" s="314" t="n">
        <v>4259</v>
      </c>
      <c r="B40" s="239" t="inlineStr">
        <is>
          <t>Ephraim Adan</t>
        </is>
      </c>
      <c r="C40" s="239" t="inlineStr">
        <is>
          <t>Manager - AU Retail Operations</t>
        </is>
      </c>
      <c r="D40" s="239" t="inlineStr">
        <is>
          <t>Vacant</t>
        </is>
      </c>
      <c r="E40" s="239" t="inlineStr">
        <is>
          <t>Technology Manager, Retail</t>
        </is>
      </c>
      <c r="F40" s="239" t="inlineStr">
        <is>
          <t>Ampol Retail &amp; Z</t>
        </is>
      </c>
      <c r="G40" s="324" t="inlineStr">
        <is>
          <t>Ampol Retail</t>
        </is>
      </c>
      <c r="H40" s="239" t="inlineStr">
        <is>
          <t>Ampol Retail, Technology</t>
        </is>
      </c>
      <c r="I40" s="239" t="inlineStr">
        <is>
          <t>Retail</t>
        </is>
      </c>
      <c r="J40" s="315" t="inlineStr">
        <is>
          <t>Store Operations</t>
        </is>
      </c>
      <c r="K40" s="239" t="inlineStr">
        <is>
          <t>Store Operations</t>
        </is>
      </c>
      <c r="L40" s="315" t="n"/>
      <c r="M40" s="316" t="inlineStr">
        <is>
          <t>Australia</t>
        </is>
      </c>
      <c r="N40" t="inlineStr">
        <is>
          <t>Ampol Retail</t>
        </is>
      </c>
      <c r="O40" t="inlineStr">
        <is>
          <t>Store Operations</t>
        </is>
      </c>
      <c r="P40" t="inlineStr">
        <is>
          <t>Store Operations</t>
        </is>
      </c>
      <c r="Q40" t="inlineStr">
        <is>
          <t>Squad</t>
        </is>
      </c>
      <c r="R40" t="inlineStr">
        <is>
          <t>Filled</t>
        </is>
      </c>
    </row>
    <row r="41" ht="18" customHeight="1" s="302">
      <c r="A41" s="314" t="n">
        <v>111835</v>
      </c>
      <c r="B41" s="239" t="inlineStr">
        <is>
          <t>Matthew Patane</t>
        </is>
      </c>
      <c r="C41" s="239" t="inlineStr">
        <is>
          <t>Release &amp; Deployment Manager</t>
        </is>
      </c>
      <c r="D41" s="239" t="inlineStr">
        <is>
          <t>Vacant</t>
        </is>
      </c>
      <c r="E41" s="239" t="inlineStr">
        <is>
          <t>Technology Manager, Retail</t>
        </is>
      </c>
      <c r="F41" s="239" t="inlineStr">
        <is>
          <t>Ampol Retail &amp; Z</t>
        </is>
      </c>
      <c r="G41" s="315" t="inlineStr">
        <is>
          <t>Ampol Retail</t>
        </is>
      </c>
      <c r="H41" s="239" t="inlineStr">
        <is>
          <t>Ampol Retail, Technology</t>
        </is>
      </c>
      <c r="I41" s="239" t="inlineStr">
        <is>
          <t>Retail</t>
        </is>
      </c>
      <c r="J41" s="315" t="inlineStr">
        <is>
          <t>Store Operations</t>
        </is>
      </c>
      <c r="K41" s="239" t="inlineStr">
        <is>
          <t xml:space="preserve">Deployment </t>
        </is>
      </c>
      <c r="L41" s="315" t="n"/>
      <c r="M41" s="316" t="inlineStr">
        <is>
          <t>Australia</t>
        </is>
      </c>
      <c r="N41" t="inlineStr">
        <is>
          <t>Ampol Retail</t>
        </is>
      </c>
      <c r="O41" t="inlineStr">
        <is>
          <t>Store Operations</t>
        </is>
      </c>
      <c r="P41" t="inlineStr">
        <is>
          <t>Deployment</t>
        </is>
      </c>
      <c r="Q41" t="inlineStr">
        <is>
          <t>Squad</t>
        </is>
      </c>
      <c r="R41" t="inlineStr">
        <is>
          <t>Filled</t>
        </is>
      </c>
    </row>
    <row r="42" ht="18" customHeight="1" s="302">
      <c r="A42" s="314" t="n">
        <v>99999101647</v>
      </c>
      <c r="B42" s="239" t="inlineStr">
        <is>
          <t>Ash Muthumala</t>
        </is>
      </c>
      <c r="C42" s="239" t="inlineStr">
        <is>
          <t>Senior QA Analyst</t>
        </is>
      </c>
      <c r="D42" s="315" t="inlineStr">
        <is>
          <t>Vacant</t>
        </is>
      </c>
      <c r="E42" s="239" t="inlineStr">
        <is>
          <t>Technology Manager, Data</t>
        </is>
      </c>
      <c r="F42" s="239" t="inlineStr">
        <is>
          <t>Ampol Retail &amp; Z</t>
        </is>
      </c>
      <c r="G42" s="315" t="inlineStr">
        <is>
          <t>Z &amp; Group Retail</t>
        </is>
      </c>
      <c r="H42" s="239" t="inlineStr">
        <is>
          <t>Delivery, Commercial Fuels</t>
        </is>
      </c>
      <c r="I42" s="239" t="inlineStr">
        <is>
          <t>Z</t>
        </is>
      </c>
      <c r="J42" s="315" t="inlineStr">
        <is>
          <t>Z Customer &amp; Z Supply</t>
        </is>
      </c>
      <c r="K42" s="239" t="inlineStr">
        <is>
          <t>Data - NZ</t>
        </is>
      </c>
      <c r="L42" s="315" t="n"/>
      <c r="M42" s="316" t="inlineStr">
        <is>
          <t>NZ</t>
        </is>
      </c>
      <c r="N42" t="inlineStr">
        <is>
          <t>Z Retail</t>
        </is>
      </c>
      <c r="O42" t="inlineStr">
        <is>
          <t>-</t>
        </is>
      </c>
      <c r="P42" t="inlineStr">
        <is>
          <t>Data NZ</t>
        </is>
      </c>
      <c r="Q42" t="inlineStr">
        <is>
          <t>Unmapped</t>
        </is>
      </c>
      <c r="R42" t="inlineStr">
        <is>
          <t>Filled</t>
        </is>
      </c>
    </row>
    <row r="43" ht="18" customHeight="1" s="302">
      <c r="A43" s="314" t="n">
        <v>91356</v>
      </c>
      <c r="B43" s="239" t="inlineStr">
        <is>
          <t>Javier Aguirre Castellanos</t>
        </is>
      </c>
      <c r="C43" s="239" t="inlineStr">
        <is>
          <t>Solution Architect</t>
        </is>
      </c>
      <c r="D43" s="239" t="inlineStr">
        <is>
          <t>Vacant</t>
        </is>
      </c>
      <c r="E43" s="239" t="inlineStr">
        <is>
          <t>Technology Manager, Retail</t>
        </is>
      </c>
      <c r="F43" s="239" t="inlineStr">
        <is>
          <t>Ampol Retail &amp; Z</t>
        </is>
      </c>
      <c r="G43" s="315" t="inlineStr">
        <is>
          <t>Ampol Retail</t>
        </is>
      </c>
      <c r="H43" s="239" t="inlineStr">
        <is>
          <t>Ampol Retail, Technology</t>
        </is>
      </c>
      <c r="I43" s="239" t="inlineStr">
        <is>
          <t>Retail</t>
        </is>
      </c>
      <c r="J43" s="315" t="inlineStr">
        <is>
          <t>Network/QSR</t>
        </is>
      </c>
      <c r="K43" s="239" t="inlineStr">
        <is>
          <t>Network &amp; QSR</t>
        </is>
      </c>
      <c r="L43" s="315" t="n"/>
      <c r="M43" s="316" t="inlineStr">
        <is>
          <t>Australia</t>
        </is>
      </c>
      <c r="N43" t="inlineStr">
        <is>
          <t>Ampol Retail</t>
        </is>
      </c>
      <c r="O43" t="inlineStr">
        <is>
          <t>Network / QSR</t>
        </is>
      </c>
      <c r="P43" t="inlineStr">
        <is>
          <t>Network / QSR</t>
        </is>
      </c>
      <c r="Q43" t="inlineStr">
        <is>
          <t>Squad</t>
        </is>
      </c>
      <c r="R43" t="inlineStr">
        <is>
          <t>Filled</t>
        </is>
      </c>
    </row>
    <row r="44" ht="18" customHeight="1" s="302">
      <c r="A44" s="314" t="n"/>
      <c r="B44" s="239" t="inlineStr">
        <is>
          <t>Vacant</t>
        </is>
      </c>
      <c r="C44" s="239" t="inlineStr">
        <is>
          <t>Data Analyst</t>
        </is>
      </c>
      <c r="D44" s="315" t="inlineStr">
        <is>
          <t>Vacant</t>
        </is>
      </c>
      <c r="E44" s="239" t="inlineStr">
        <is>
          <t>Technology Manager, Data</t>
        </is>
      </c>
      <c r="F44" s="239" t="inlineStr">
        <is>
          <t>Ampol Retail &amp; Z</t>
        </is>
      </c>
      <c r="G44" s="315" t="inlineStr">
        <is>
          <t>Z &amp; Group Retail</t>
        </is>
      </c>
      <c r="H44" s="239" t="inlineStr">
        <is>
          <t>Z &amp; Group Retail, Data</t>
        </is>
      </c>
      <c r="I44" s="239" t="inlineStr">
        <is>
          <t>Retail</t>
        </is>
      </c>
      <c r="J44" s="315" t="inlineStr">
        <is>
          <t>(All Retail)</t>
        </is>
      </c>
      <c r="K44" s="239" t="inlineStr">
        <is>
          <t>Data - AU</t>
        </is>
      </c>
      <c r="L44" s="315" t="n"/>
      <c r="M44" s="316" t="n"/>
      <c r="N44" t="inlineStr">
        <is>
          <t>Ampol Retail</t>
        </is>
      </c>
      <c r="O44" t="inlineStr">
        <is>
          <t>Data AU</t>
        </is>
      </c>
      <c r="P44" t="inlineStr">
        <is>
          <t>Data AU</t>
        </is>
      </c>
      <c r="Q44" t="inlineStr">
        <is>
          <t>Squad</t>
        </is>
      </c>
      <c r="R44" t="inlineStr">
        <is>
          <t>Vacant</t>
        </is>
      </c>
    </row>
    <row r="45" ht="18" customHeight="1" s="302">
      <c r="A45" s="314" t="n">
        <v>99999101214</v>
      </c>
      <c r="B45" s="239" t="inlineStr">
        <is>
          <t>Anna Koot</t>
        </is>
      </c>
      <c r="C45" s="239" t="inlineStr">
        <is>
          <t>Senior Business Analyst</t>
        </is>
      </c>
      <c r="D45" s="315" t="inlineStr">
        <is>
          <t>Vacant</t>
        </is>
      </c>
      <c r="E45" s="239" t="inlineStr">
        <is>
          <t>Delivery Manager, Z and Retail Data</t>
        </is>
      </c>
      <c r="F45" s="239" t="inlineStr">
        <is>
          <t>Ampol Retail &amp; Z</t>
        </is>
      </c>
      <c r="G45" s="315" t="inlineStr">
        <is>
          <t>Z &amp; Group Retail</t>
        </is>
      </c>
      <c r="H45" s="239" t="inlineStr">
        <is>
          <t>Z &amp; Group Retail, Delivery</t>
        </is>
      </c>
      <c r="I45" s="239" t="inlineStr">
        <is>
          <t>Z</t>
        </is>
      </c>
      <c r="J45" s="315" t="inlineStr">
        <is>
          <t>Z Supply</t>
        </is>
      </c>
      <c r="K45" s="239" t="inlineStr">
        <is>
          <t>Z Supply</t>
        </is>
      </c>
      <c r="L45" s="315" t="n"/>
      <c r="M45" s="316" t="inlineStr">
        <is>
          <t>NZ</t>
        </is>
      </c>
      <c r="N45" t="inlineStr">
        <is>
          <t>Z Retail</t>
        </is>
      </c>
      <c r="O45" t="inlineStr">
        <is>
          <t>Z Supply</t>
        </is>
      </c>
      <c r="P45" t="inlineStr">
        <is>
          <t>Z Supply</t>
        </is>
      </c>
      <c r="Q45" t="inlineStr">
        <is>
          <t>Squad</t>
        </is>
      </c>
      <c r="R45" t="inlineStr">
        <is>
          <t>Filled</t>
        </is>
      </c>
    </row>
    <row r="46" ht="18" customHeight="1" s="302">
      <c r="A46" s="314" t="n">
        <v>113442</v>
      </c>
      <c r="B46" s="334" t="inlineStr">
        <is>
          <t xml:space="preserve">Manjot Kaur Malli </t>
        </is>
      </c>
      <c r="C46" s="239" t="inlineStr">
        <is>
          <t>Technology Manager, Data</t>
        </is>
      </c>
      <c r="D46" s="315" t="inlineStr">
        <is>
          <t>Vacant</t>
        </is>
      </c>
      <c r="E46" s="239" t="inlineStr">
        <is>
          <t>Head of Technology, Z and Group Retail Platforms</t>
        </is>
      </c>
      <c r="F46" s="239" t="inlineStr">
        <is>
          <t>Ampol Retail &amp; Z</t>
        </is>
      </c>
      <c r="G46" s="315" t="inlineStr">
        <is>
          <t>Z &amp; Group Retail</t>
        </is>
      </c>
      <c r="H46" s="239" t="inlineStr">
        <is>
          <t>Z &amp; Group Retail, Data</t>
        </is>
      </c>
      <c r="I46" s="239" t="inlineStr">
        <is>
          <t>Z</t>
        </is>
      </c>
      <c r="J46" s="239" t="inlineStr">
        <is>
          <t>Z Customer &amp; Z Supply</t>
        </is>
      </c>
      <c r="K46" s="239" t="inlineStr">
        <is>
          <t>Merchandising &amp; Supply Chain</t>
        </is>
      </c>
      <c r="L46" s="315" t="n"/>
      <c r="M46" s="333" t="inlineStr">
        <is>
          <t>Australia</t>
        </is>
      </c>
      <c r="N46" t="inlineStr">
        <is>
          <t>Ampol Retail</t>
        </is>
      </c>
      <c r="O46" t="inlineStr">
        <is>
          <t>Above Store</t>
        </is>
      </c>
      <c r="P46" t="inlineStr">
        <is>
          <t>Above Store</t>
        </is>
      </c>
      <c r="Q46" t="inlineStr">
        <is>
          <t>Squad</t>
        </is>
      </c>
      <c r="R46" t="inlineStr">
        <is>
          <t>Filled</t>
        </is>
      </c>
    </row>
    <row r="47" ht="18" customHeight="1" s="302">
      <c r="A47" s="314" t="n">
        <v>114990</v>
      </c>
      <c r="B47" s="239" t="inlineStr">
        <is>
          <t>Zhan Zhang</t>
        </is>
      </c>
      <c r="C47" s="239" t="inlineStr">
        <is>
          <t>Solution Architect</t>
        </is>
      </c>
      <c r="D47" s="239" t="inlineStr">
        <is>
          <t>Vacant</t>
        </is>
      </c>
      <c r="E47" s="239" t="inlineStr">
        <is>
          <t>Technology Manager, Retail</t>
        </is>
      </c>
      <c r="F47" s="239" t="inlineStr">
        <is>
          <t>Ampol Retail &amp; Z</t>
        </is>
      </c>
      <c r="G47" s="315" t="inlineStr">
        <is>
          <t>Ampol Retail</t>
        </is>
      </c>
      <c r="H47" s="239" t="inlineStr">
        <is>
          <t>Ampol Retail, Technology</t>
        </is>
      </c>
      <c r="I47" s="239" t="inlineStr">
        <is>
          <t>Retail</t>
        </is>
      </c>
      <c r="J47" s="331" t="inlineStr">
        <is>
          <t>Above Store</t>
        </is>
      </c>
      <c r="K47" s="331" t="inlineStr">
        <is>
          <t>Above Store</t>
        </is>
      </c>
      <c r="L47" s="315" t="n"/>
      <c r="M47" s="316" t="inlineStr">
        <is>
          <t>Australia</t>
        </is>
      </c>
      <c r="N47" t="inlineStr">
        <is>
          <t>Ampol Retail</t>
        </is>
      </c>
      <c r="O47" t="inlineStr">
        <is>
          <t>Above Store</t>
        </is>
      </c>
      <c r="P47" t="inlineStr">
        <is>
          <t>Above Store</t>
        </is>
      </c>
      <c r="Q47" t="inlineStr">
        <is>
          <t>Squad</t>
        </is>
      </c>
      <c r="R47" t="inlineStr">
        <is>
          <t>Filled</t>
        </is>
      </c>
    </row>
    <row r="48" ht="18" customHeight="1" s="302">
      <c r="A48" s="314" t="n">
        <v>99999101233</v>
      </c>
      <c r="B48" s="239" t="inlineStr">
        <is>
          <t>Chris Wilson</t>
        </is>
      </c>
      <c r="C48" s="239" t="inlineStr">
        <is>
          <t>Solution Architect</t>
        </is>
      </c>
      <c r="D48" s="239" t="inlineStr">
        <is>
          <t>Vacant</t>
        </is>
      </c>
      <c r="E48" s="239" t="inlineStr">
        <is>
          <t>Technology Manager,  Site Systems</t>
        </is>
      </c>
      <c r="F48" s="239" t="inlineStr">
        <is>
          <t>Ampol Retail &amp; Z</t>
        </is>
      </c>
      <c r="G48" s="315" t="inlineStr">
        <is>
          <t>Z &amp; Group Retail</t>
        </is>
      </c>
      <c r="H48" s="239" t="inlineStr">
        <is>
          <t>Z &amp; Group Retail, Site Systems</t>
        </is>
      </c>
      <c r="I48" s="239" t="inlineStr">
        <is>
          <t>Z</t>
        </is>
      </c>
      <c r="J48" s="315" t="inlineStr">
        <is>
          <t>Z Customer</t>
        </is>
      </c>
      <c r="K48" s="239" t="inlineStr">
        <is>
          <t>Merchandising &amp; Supply Chain</t>
        </is>
      </c>
      <c r="L48" s="315" t="n"/>
      <c r="M48" s="316" t="inlineStr">
        <is>
          <t>NZ</t>
        </is>
      </c>
      <c r="N48" t="inlineStr">
        <is>
          <t>Ampol Retail</t>
        </is>
      </c>
      <c r="O48" t="inlineStr">
        <is>
          <t>Above Store</t>
        </is>
      </c>
      <c r="P48" t="inlineStr">
        <is>
          <t>Above Store</t>
        </is>
      </c>
      <c r="Q48" t="inlineStr">
        <is>
          <t>Squad</t>
        </is>
      </c>
      <c r="R48" t="inlineStr">
        <is>
          <t>Filled</t>
        </is>
      </c>
    </row>
    <row r="49" ht="18" customHeight="1" s="302">
      <c r="A49" s="314" t="n">
        <v>99999102028</v>
      </c>
      <c r="B49" s="239" t="inlineStr">
        <is>
          <t>Lauren Lancaster</t>
        </is>
      </c>
      <c r="C49" s="239" t="inlineStr">
        <is>
          <t>Associate Engineer - Software</t>
        </is>
      </c>
      <c r="D49" s="239" t="inlineStr">
        <is>
          <t>Vacant</t>
        </is>
      </c>
      <c r="E49" s="239" t="inlineStr">
        <is>
          <t>Technology Manager, Engineering</t>
        </is>
      </c>
      <c r="F49" s="239" t="inlineStr">
        <is>
          <t>Ampol Retail &amp; Z</t>
        </is>
      </c>
      <c r="G49" s="239" t="inlineStr">
        <is>
          <t>Z &amp; Group Retail</t>
        </is>
      </c>
      <c r="H49" s="239" t="inlineStr">
        <is>
          <t>Z &amp; Group Retail, Engineering</t>
        </is>
      </c>
      <c r="I49" s="239" t="inlineStr">
        <is>
          <t>Z</t>
        </is>
      </c>
      <c r="J49" s="239" t="inlineStr">
        <is>
          <t>Z Customer</t>
        </is>
      </c>
      <c r="K49" s="239" t="inlineStr">
        <is>
          <t>Merchandising &amp; Supply Chain</t>
        </is>
      </c>
      <c r="L49" s="315" t="n"/>
      <c r="M49" s="316" t="inlineStr">
        <is>
          <t>NZ</t>
        </is>
      </c>
      <c r="N49" t="inlineStr">
        <is>
          <t>Ampol Retail</t>
        </is>
      </c>
      <c r="O49" t="inlineStr">
        <is>
          <t>Above Store</t>
        </is>
      </c>
      <c r="P49" t="inlineStr">
        <is>
          <t>Above Store</t>
        </is>
      </c>
      <c r="Q49" t="inlineStr">
        <is>
          <t>Squad</t>
        </is>
      </c>
      <c r="R49" t="inlineStr">
        <is>
          <t>Filled</t>
        </is>
      </c>
    </row>
    <row r="50" ht="18" customHeight="1" s="302">
      <c r="A50" s="314" t="n">
        <v>110388</v>
      </c>
      <c r="B50" s="239" t="inlineStr">
        <is>
          <t>Adrian Lueng</t>
        </is>
      </c>
      <c r="C50" s="239" t="inlineStr">
        <is>
          <t>Quality Assurance</t>
        </is>
      </c>
      <c r="D50" s="239" t="inlineStr">
        <is>
          <t>Vacant</t>
        </is>
      </c>
      <c r="E50" s="239" t="inlineStr">
        <is>
          <t>Technology Manager, Retail</t>
        </is>
      </c>
      <c r="F50" s="239" t="inlineStr">
        <is>
          <t>Ampol Retail &amp; Z</t>
        </is>
      </c>
      <c r="G50" s="315" t="inlineStr">
        <is>
          <t>Ampol Retail</t>
        </is>
      </c>
      <c r="H50" s="239" t="inlineStr">
        <is>
          <t>Ampol Retail, Technology</t>
        </is>
      </c>
      <c r="I50" s="239" t="inlineStr">
        <is>
          <t>Retail</t>
        </is>
      </c>
      <c r="J50" s="331" t="inlineStr">
        <is>
          <t>Network/QSR</t>
        </is>
      </c>
      <c r="K50" s="331" t="inlineStr">
        <is>
          <t>Network &amp; QSR</t>
        </is>
      </c>
      <c r="L50" s="315" t="n"/>
      <c r="M50" s="316" t="inlineStr">
        <is>
          <t>Australia</t>
        </is>
      </c>
      <c r="N50" t="inlineStr">
        <is>
          <t>Ampol Retail</t>
        </is>
      </c>
      <c r="O50" t="inlineStr">
        <is>
          <t>Network / QSR</t>
        </is>
      </c>
      <c r="P50" t="inlineStr">
        <is>
          <t>Network / QSR</t>
        </is>
      </c>
      <c r="Q50" t="inlineStr">
        <is>
          <t>Squad</t>
        </is>
      </c>
      <c r="R50" t="inlineStr">
        <is>
          <t>Filled</t>
        </is>
      </c>
    </row>
    <row r="51" ht="18" customHeight="1" s="302">
      <c r="A51" s="314" t="n">
        <v>86743</v>
      </c>
      <c r="B51" s="239" t="inlineStr">
        <is>
          <t>Majdi Abedi</t>
        </is>
      </c>
      <c r="C51" s="239" t="inlineStr">
        <is>
          <t>Systems Analyst</t>
        </is>
      </c>
      <c r="D51" s="239" t="inlineStr">
        <is>
          <t>Vacant</t>
        </is>
      </c>
      <c r="E51" s="239" t="inlineStr">
        <is>
          <t>Tech Manager, Merchandising &amp; WFM</t>
        </is>
      </c>
      <c r="F51" s="239" t="inlineStr">
        <is>
          <t>Ampol Retail &amp; Z</t>
        </is>
      </c>
      <c r="G51" s="315" t="inlineStr">
        <is>
          <t>Ampol Retail</t>
        </is>
      </c>
      <c r="H51" s="239" t="inlineStr">
        <is>
          <t>Ampol Retail, Merch &amp; RTA</t>
        </is>
      </c>
      <c r="I51" s="239" t="inlineStr">
        <is>
          <t>Retail</t>
        </is>
      </c>
      <c r="J51" s="331" t="inlineStr">
        <is>
          <t>Above Store</t>
        </is>
      </c>
      <c r="K51" s="331" t="inlineStr">
        <is>
          <t>Above Store</t>
        </is>
      </c>
      <c r="L51" s="315" t="n"/>
      <c r="M51" s="316" t="inlineStr">
        <is>
          <t>Australia</t>
        </is>
      </c>
      <c r="N51" t="inlineStr">
        <is>
          <t>Ampol Retail</t>
        </is>
      </c>
      <c r="O51" t="inlineStr">
        <is>
          <t>Above Store</t>
        </is>
      </c>
      <c r="P51" t="inlineStr">
        <is>
          <t>Above Store</t>
        </is>
      </c>
      <c r="Q51" t="inlineStr">
        <is>
          <t>Squad</t>
        </is>
      </c>
      <c r="R51" t="inlineStr">
        <is>
          <t>Filled</t>
        </is>
      </c>
    </row>
    <row r="52" ht="18" customHeight="1" s="302">
      <c r="A52" s="314" t="n">
        <v>94420</v>
      </c>
      <c r="B52" s="239" t="inlineStr">
        <is>
          <t>Peter Nicolopoulos</t>
        </is>
      </c>
      <c r="C52" s="239" t="inlineStr">
        <is>
          <t>Systems Analyst</t>
        </is>
      </c>
      <c r="D52" s="239" t="inlineStr">
        <is>
          <t>Vacant</t>
        </is>
      </c>
      <c r="E52" s="239" t="inlineStr">
        <is>
          <t>Technology Manager, Store Platform</t>
        </is>
      </c>
      <c r="F52" s="239" t="inlineStr">
        <is>
          <t>Ampol Retail &amp; Z</t>
        </is>
      </c>
      <c r="G52" s="315" t="inlineStr">
        <is>
          <t>Ampol Retail</t>
        </is>
      </c>
      <c r="H52" s="239" t="inlineStr">
        <is>
          <t>Ampol  Retail, Store Platforms</t>
        </is>
      </c>
      <c r="I52" s="239" t="inlineStr">
        <is>
          <t>Retail</t>
        </is>
      </c>
      <c r="J52" s="331" t="inlineStr">
        <is>
          <t>AMPOS</t>
        </is>
      </c>
      <c r="K52" s="331" t="inlineStr">
        <is>
          <t>AmPos</t>
        </is>
      </c>
      <c r="L52" s="315" t="n"/>
      <c r="M52" s="316" t="inlineStr">
        <is>
          <t>Australia</t>
        </is>
      </c>
      <c r="N52" t="inlineStr">
        <is>
          <t>Ampol Retail</t>
        </is>
      </c>
      <c r="O52" t="inlineStr">
        <is>
          <t>AmPOS</t>
        </is>
      </c>
      <c r="P52" t="inlineStr">
        <is>
          <t>AmPOS</t>
        </is>
      </c>
      <c r="Q52" t="inlineStr">
        <is>
          <t>Strategic Program</t>
        </is>
      </c>
      <c r="R52" t="inlineStr">
        <is>
          <t>Filled</t>
        </is>
      </c>
    </row>
    <row r="53" ht="18" customHeight="1" s="302">
      <c r="A53" s="314" t="n"/>
      <c r="B53" s="239" t="inlineStr">
        <is>
          <t>Vacant</t>
        </is>
      </c>
      <c r="C53" s="239" t="inlineStr">
        <is>
          <t>Data Analyst</t>
        </is>
      </c>
      <c r="D53" s="315" t="inlineStr">
        <is>
          <t>Vacant</t>
        </is>
      </c>
      <c r="E53" s="239" t="inlineStr">
        <is>
          <t>Technology Manager, Data</t>
        </is>
      </c>
      <c r="F53" s="239" t="inlineStr">
        <is>
          <t>Ampol Retail &amp; Z</t>
        </is>
      </c>
      <c r="G53" s="315" t="inlineStr">
        <is>
          <t>Z &amp; Group Retail</t>
        </is>
      </c>
      <c r="H53" s="239" t="inlineStr">
        <is>
          <t>Z &amp; Group Retail, Data</t>
        </is>
      </c>
      <c r="I53" s="239" t="inlineStr">
        <is>
          <t>Retail</t>
        </is>
      </c>
      <c r="J53" s="315" t="inlineStr">
        <is>
          <t>(All Retail)</t>
        </is>
      </c>
      <c r="K53" s="239" t="inlineStr">
        <is>
          <t>Merchandising &amp; Supply Chain</t>
        </is>
      </c>
      <c r="L53" s="315" t="n"/>
      <c r="M53" s="316" t="n"/>
      <c r="N53" t="inlineStr">
        <is>
          <t>Ampol Retail</t>
        </is>
      </c>
      <c r="O53" t="inlineStr">
        <is>
          <t>Above Store</t>
        </is>
      </c>
      <c r="P53" t="inlineStr">
        <is>
          <t>Above Store</t>
        </is>
      </c>
      <c r="Q53" t="inlineStr">
        <is>
          <t>Squad</t>
        </is>
      </c>
      <c r="R53" t="inlineStr">
        <is>
          <t>Vacant</t>
        </is>
      </c>
    </row>
    <row r="54" ht="18" customHeight="1" s="302">
      <c r="A54" s="314" t="n">
        <v>99999101542</v>
      </c>
      <c r="B54" s="239" t="inlineStr">
        <is>
          <t>Joe Kuttikkatt</t>
        </is>
      </c>
      <c r="C54" s="239" t="inlineStr">
        <is>
          <t>Senior Quality Assurance</t>
        </is>
      </c>
      <c r="D54" s="239" t="inlineStr">
        <is>
          <t>Vacant</t>
        </is>
      </c>
      <c r="E54" s="239" t="inlineStr">
        <is>
          <t>Technology Manager, Engineering</t>
        </is>
      </c>
      <c r="F54" s="239" t="inlineStr">
        <is>
          <t>Ampol Retail &amp; Z</t>
        </is>
      </c>
      <c r="G54" s="315" t="inlineStr">
        <is>
          <t>Z &amp; Group Retail</t>
        </is>
      </c>
      <c r="H54" s="239" t="inlineStr">
        <is>
          <t>Z &amp; Group Retail, Engineering</t>
        </is>
      </c>
      <c r="I54" s="239" t="inlineStr">
        <is>
          <t>Z</t>
        </is>
      </c>
      <c r="J54" s="315" t="inlineStr">
        <is>
          <t>Energy Solutions</t>
        </is>
      </c>
      <c r="K54" s="239" t="inlineStr">
        <is>
          <t>Merchandising &amp; Supply Chain</t>
        </is>
      </c>
      <c r="L54" s="315" t="n"/>
      <c r="M54" s="316" t="inlineStr">
        <is>
          <t>NZ</t>
        </is>
      </c>
      <c r="N54" t="inlineStr">
        <is>
          <t>Ampol Retail</t>
        </is>
      </c>
      <c r="O54" t="inlineStr">
        <is>
          <t>Above Store</t>
        </is>
      </c>
      <c r="P54" t="inlineStr">
        <is>
          <t>Above Store</t>
        </is>
      </c>
      <c r="Q54" t="inlineStr">
        <is>
          <t>Squad</t>
        </is>
      </c>
      <c r="R54" t="inlineStr">
        <is>
          <t>Filled</t>
        </is>
      </c>
    </row>
    <row r="55" ht="18" customHeight="1" s="302">
      <c r="A55" s="314" t="n"/>
      <c r="B55" s="239" t="inlineStr">
        <is>
          <t>Vacant</t>
        </is>
      </c>
      <c r="C55" s="239" t="inlineStr">
        <is>
          <t>Engineer - Data</t>
        </is>
      </c>
      <c r="D55" s="315" t="inlineStr">
        <is>
          <t>Vacant</t>
        </is>
      </c>
      <c r="E55" s="239" t="inlineStr">
        <is>
          <t>Technology Manager, Data</t>
        </is>
      </c>
      <c r="F55" s="239" t="inlineStr">
        <is>
          <t>Ampol Retail &amp; Z</t>
        </is>
      </c>
      <c r="G55" s="315" t="inlineStr">
        <is>
          <t>Z &amp; Group Retail</t>
        </is>
      </c>
      <c r="H55" s="239" t="inlineStr">
        <is>
          <t>Z &amp; Group Retail, Data</t>
        </is>
      </c>
      <c r="I55" s="239" t="inlineStr">
        <is>
          <t>Z</t>
        </is>
      </c>
      <c r="J55" s="315" t="inlineStr">
        <is>
          <t>Z Customer &amp; Z Supply</t>
        </is>
      </c>
      <c r="K55" s="239" t="inlineStr">
        <is>
          <t>Merchandising &amp; Supply Chain</t>
        </is>
      </c>
      <c r="L55" s="315" t="n"/>
      <c r="M55" s="316" t="n"/>
      <c r="N55" t="inlineStr">
        <is>
          <t>Ampol Retail</t>
        </is>
      </c>
      <c r="O55" t="inlineStr">
        <is>
          <t>Above Store</t>
        </is>
      </c>
      <c r="P55" t="inlineStr">
        <is>
          <t>Above Store</t>
        </is>
      </c>
      <c r="Q55" t="inlineStr">
        <is>
          <t>Squad</t>
        </is>
      </c>
      <c r="R55" t="inlineStr">
        <is>
          <t>Vacant</t>
        </is>
      </c>
    </row>
    <row r="56" ht="18" customHeight="1" s="302">
      <c r="A56" s="314" t="n">
        <v>113783</v>
      </c>
      <c r="B56" s="239" t="inlineStr">
        <is>
          <t>Tabitha Raharadjo</t>
        </is>
      </c>
      <c r="C56" s="239" t="inlineStr">
        <is>
          <t>Project Coordinator</t>
        </is>
      </c>
      <c r="D56" s="239" t="inlineStr">
        <is>
          <t>Vacant</t>
        </is>
      </c>
      <c r="E56" s="239" t="inlineStr">
        <is>
          <t>Delivery Manager, Ampol Retail</t>
        </is>
      </c>
      <c r="F56" s="239" t="inlineStr">
        <is>
          <t>Ampol Retail &amp; Z</t>
        </is>
      </c>
      <c r="G56" s="324" t="inlineStr">
        <is>
          <t>Z &amp; Group Retail</t>
        </is>
      </c>
      <c r="H56" s="239" t="inlineStr">
        <is>
          <t>Ampol Retail, Delivery</t>
        </is>
      </c>
      <c r="I56" s="239" t="inlineStr">
        <is>
          <t>Retail</t>
        </is>
      </c>
      <c r="J56" s="315" t="inlineStr">
        <is>
          <t>AMPOS</t>
        </is>
      </c>
      <c r="K56" s="239" t="inlineStr">
        <is>
          <t>Ampos</t>
        </is>
      </c>
      <c r="L56" s="315" t="n"/>
      <c r="M56" s="316" t="inlineStr">
        <is>
          <t>Australia</t>
        </is>
      </c>
      <c r="N56" t="inlineStr">
        <is>
          <t>Ampol Retail</t>
        </is>
      </c>
      <c r="O56" t="inlineStr">
        <is>
          <t>AmPOS</t>
        </is>
      </c>
      <c r="P56" t="inlineStr">
        <is>
          <t>AmPOS</t>
        </is>
      </c>
      <c r="Q56" t="inlineStr">
        <is>
          <t>Strategic Program</t>
        </is>
      </c>
      <c r="R56" t="inlineStr">
        <is>
          <t>Filled</t>
        </is>
      </c>
    </row>
    <row r="57" ht="18" customHeight="1" s="302">
      <c r="A57" s="314" t="n">
        <v>99999100418</v>
      </c>
      <c r="B57" s="326" t="inlineStr">
        <is>
          <t>Callan McLaughlin</t>
        </is>
      </c>
      <c r="C57" s="315" t="inlineStr">
        <is>
          <t>Technology Manager, Site Systems</t>
        </is>
      </c>
      <c r="D57" s="315" t="inlineStr">
        <is>
          <t>Vacant</t>
        </is>
      </c>
      <c r="E57" s="315" t="inlineStr">
        <is>
          <t>Head of Technology, Z and Group Retail Platforms</t>
        </is>
      </c>
      <c r="F57" s="239" t="inlineStr">
        <is>
          <t>Ampol Retail &amp; Z</t>
        </is>
      </c>
      <c r="G57" s="315" t="inlineStr">
        <is>
          <t>Z &amp; Group Retail</t>
        </is>
      </c>
      <c r="H57" s="239" t="inlineStr">
        <is>
          <t>Z &amp; Group Retail, Site Systems</t>
        </is>
      </c>
      <c r="I57" s="239" t="inlineStr">
        <is>
          <t>Z</t>
        </is>
      </c>
      <c r="J57" s="315" t="inlineStr">
        <is>
          <t>Z Customer &amp; Z Supply</t>
        </is>
      </c>
      <c r="K57" s="315" t="inlineStr">
        <is>
          <t>Leadership</t>
        </is>
      </c>
      <c r="L57" s="315" t="n"/>
      <c r="M57" s="316" t="inlineStr">
        <is>
          <t>NZ</t>
        </is>
      </c>
      <c r="N57" t="inlineStr">
        <is>
          <t>Z Retail</t>
        </is>
      </c>
      <c r="O57" t="inlineStr">
        <is>
          <t>Leadership</t>
        </is>
      </c>
      <c r="P57" t="inlineStr">
        <is>
          <t>Leadership</t>
        </is>
      </c>
      <c r="Q57" t="inlineStr">
        <is>
          <t>Leadership</t>
        </is>
      </c>
      <c r="R57" t="inlineStr">
        <is>
          <t>Filled</t>
        </is>
      </c>
    </row>
    <row r="58" ht="18" customHeight="1" s="302">
      <c r="A58" s="314" t="n"/>
      <c r="B58" s="239" t="inlineStr">
        <is>
          <t>Vacant</t>
        </is>
      </c>
      <c r="C58" s="239" t="inlineStr">
        <is>
          <t>Systems Analyst</t>
        </is>
      </c>
      <c r="D58" s="239" t="inlineStr">
        <is>
          <t>Vacant</t>
        </is>
      </c>
      <c r="E58" s="239" t="inlineStr">
        <is>
          <t>Technology Manager, Store Platform</t>
        </is>
      </c>
      <c r="F58" s="239" t="inlineStr">
        <is>
          <t>Ampol Retail &amp; Z</t>
        </is>
      </c>
      <c r="G58" s="315" t="inlineStr">
        <is>
          <t>Ampol Retail</t>
        </is>
      </c>
      <c r="H58" s="239" t="inlineStr">
        <is>
          <t>Ampol  Retail, Store Platforms</t>
        </is>
      </c>
      <c r="I58" s="239" t="inlineStr">
        <is>
          <t>Retail</t>
        </is>
      </c>
      <c r="J58" s="315" t="inlineStr">
        <is>
          <t>Store Operations</t>
        </is>
      </c>
      <c r="K58" s="239" t="inlineStr">
        <is>
          <t>Payments</t>
        </is>
      </c>
      <c r="L58" s="315" t="n"/>
      <c r="M58" s="316" t="n"/>
      <c r="N58" t="inlineStr">
        <is>
          <t>Ampol Retail</t>
        </is>
      </c>
      <c r="O58" t="inlineStr">
        <is>
          <t>Store Operations</t>
        </is>
      </c>
      <c r="P58" t="inlineStr">
        <is>
          <t>Payments</t>
        </is>
      </c>
      <c r="Q58" t="inlineStr">
        <is>
          <t>Squad</t>
        </is>
      </c>
      <c r="R58" t="inlineStr">
        <is>
          <t>Vacant</t>
        </is>
      </c>
    </row>
    <row r="59" ht="18" customHeight="1" s="302">
      <c r="A59" s="314" t="n">
        <v>99999101620</v>
      </c>
      <c r="B59" s="239" t="inlineStr">
        <is>
          <t>Johanah Gloria</t>
        </is>
      </c>
      <c r="C59" s="239" t="inlineStr">
        <is>
          <t>Engineer - Software</t>
        </is>
      </c>
      <c r="D59" s="239" t="inlineStr">
        <is>
          <t>Vacant</t>
        </is>
      </c>
      <c r="E59" s="239" t="inlineStr">
        <is>
          <t>Technology Manager, Engineering</t>
        </is>
      </c>
      <c r="F59" s="239" t="inlineStr">
        <is>
          <t>Ampol Retail &amp; Z</t>
        </is>
      </c>
      <c r="G59" s="315" t="inlineStr">
        <is>
          <t>Z &amp; Group Retail</t>
        </is>
      </c>
      <c r="H59" s="239" t="inlineStr">
        <is>
          <t>Z &amp; Group Retail, Engineering</t>
        </is>
      </c>
      <c r="I59" s="239" t="inlineStr">
        <is>
          <t>Z</t>
        </is>
      </c>
      <c r="J59" s="315" t="inlineStr">
        <is>
          <t>Z Supply</t>
        </is>
      </c>
      <c r="K59" s="239" t="inlineStr">
        <is>
          <t>Z Supply</t>
        </is>
      </c>
      <c r="L59" s="315" t="n"/>
      <c r="M59" s="316" t="inlineStr">
        <is>
          <t>NZ</t>
        </is>
      </c>
      <c r="N59" t="inlineStr">
        <is>
          <t>Z Retail</t>
        </is>
      </c>
      <c r="O59" t="inlineStr">
        <is>
          <t>Z Supply</t>
        </is>
      </c>
      <c r="P59" t="inlineStr">
        <is>
          <t>Z Supply</t>
        </is>
      </c>
      <c r="Q59" t="inlineStr">
        <is>
          <t>Squad</t>
        </is>
      </c>
      <c r="R59" t="inlineStr">
        <is>
          <t>Filled</t>
        </is>
      </c>
    </row>
    <row r="60" ht="18" customHeight="1" s="302">
      <c r="A60" s="314" t="n"/>
      <c r="B60" s="239" t="inlineStr">
        <is>
          <t>Vacant</t>
        </is>
      </c>
      <c r="C60" s="239" t="inlineStr">
        <is>
          <t>Release &amp; Environments Manager</t>
        </is>
      </c>
      <c r="D60" s="315" t="inlineStr">
        <is>
          <t>Vacant</t>
        </is>
      </c>
      <c r="E60" s="239" t="inlineStr">
        <is>
          <t>Lead Quality Assurance</t>
        </is>
      </c>
      <c r="F60" s="239" t="inlineStr">
        <is>
          <t>Ampol Retail &amp; Z</t>
        </is>
      </c>
      <c r="G60" s="315" t="inlineStr">
        <is>
          <t>Ampol Retail</t>
        </is>
      </c>
      <c r="H60" s="239" t="inlineStr">
        <is>
          <t>Ampol Retail, Store Platforms</t>
        </is>
      </c>
      <c r="I60" s="239" t="inlineStr">
        <is>
          <t>Retail</t>
        </is>
      </c>
      <c r="J60" s="335" t="inlineStr">
        <is>
          <t>Store Operations</t>
        </is>
      </c>
      <c r="K60" s="331" t="inlineStr">
        <is>
          <t>POS</t>
        </is>
      </c>
      <c r="L60" s="315" t="n"/>
      <c r="M60" s="316" t="n"/>
      <c r="N60" t="inlineStr">
        <is>
          <t>Ampol Retail</t>
        </is>
      </c>
      <c r="O60" t="inlineStr">
        <is>
          <t>Store Operations</t>
        </is>
      </c>
      <c r="P60" t="inlineStr">
        <is>
          <t>POS</t>
        </is>
      </c>
      <c r="Q60" t="inlineStr">
        <is>
          <t>Squad</t>
        </is>
      </c>
      <c r="R60" t="inlineStr">
        <is>
          <t>Vacant</t>
        </is>
      </c>
    </row>
    <row r="61" ht="18" customHeight="1" s="302">
      <c r="A61" s="314" t="n"/>
      <c r="B61" s="239" t="inlineStr">
        <is>
          <t>Vacant</t>
        </is>
      </c>
      <c r="C61" s="239" t="inlineStr">
        <is>
          <t>Lead Quality Assurance</t>
        </is>
      </c>
      <c r="D61" s="239" t="inlineStr">
        <is>
          <t>Vacant</t>
        </is>
      </c>
      <c r="E61" s="239" t="inlineStr">
        <is>
          <t>Technology Manager, Store Platform</t>
        </is>
      </c>
      <c r="F61" s="239" t="inlineStr">
        <is>
          <t>Ampol Retail &amp; Z</t>
        </is>
      </c>
      <c r="G61" s="315" t="inlineStr">
        <is>
          <t>Ampol Retail</t>
        </is>
      </c>
      <c r="H61" s="239" t="inlineStr">
        <is>
          <t>Ampol  Retail, Store Platforms</t>
        </is>
      </c>
      <c r="I61" s="239" t="inlineStr">
        <is>
          <t>Retail</t>
        </is>
      </c>
      <c r="J61" s="315" t="inlineStr">
        <is>
          <t>Store Operations</t>
        </is>
      </c>
      <c r="K61" s="239" t="inlineStr">
        <is>
          <t>POS</t>
        </is>
      </c>
      <c r="L61" s="315" t="n"/>
      <c r="M61" s="316" t="n"/>
      <c r="N61" t="inlineStr">
        <is>
          <t>Ampol Retail</t>
        </is>
      </c>
      <c r="O61" t="inlineStr">
        <is>
          <t>Store Operations</t>
        </is>
      </c>
      <c r="P61" t="inlineStr">
        <is>
          <t>POS</t>
        </is>
      </c>
      <c r="Q61" t="inlineStr">
        <is>
          <t>Squad</t>
        </is>
      </c>
      <c r="R61" t="inlineStr">
        <is>
          <t>Vacant</t>
        </is>
      </c>
    </row>
    <row r="62" ht="18" customHeight="1" s="302">
      <c r="A62" s="314" t="n"/>
      <c r="B62" s="239" t="inlineStr">
        <is>
          <t>vacant</t>
        </is>
      </c>
      <c r="C62" s="239" t="inlineStr">
        <is>
          <t>Systems Analyst</t>
        </is>
      </c>
      <c r="D62" s="239" t="inlineStr">
        <is>
          <t>Vacant</t>
        </is>
      </c>
      <c r="E62" s="239" t="inlineStr">
        <is>
          <t>Tech Manager, Merchandising &amp; WFM</t>
        </is>
      </c>
      <c r="F62" s="239" t="inlineStr">
        <is>
          <t>Ampol Retail &amp; Z</t>
        </is>
      </c>
      <c r="G62" s="315" t="inlineStr">
        <is>
          <t>Ampol Retail</t>
        </is>
      </c>
      <c r="H62" s="239" t="inlineStr">
        <is>
          <t>Ampol Retail, Merch &amp; RTA</t>
        </is>
      </c>
      <c r="I62" s="239" t="inlineStr">
        <is>
          <t>Retail</t>
        </is>
      </c>
      <c r="J62" s="331" t="inlineStr">
        <is>
          <t>Above Store</t>
        </is>
      </c>
      <c r="K62" s="331" t="inlineStr">
        <is>
          <t>Above Store</t>
        </is>
      </c>
      <c r="L62" s="315" t="n"/>
      <c r="M62" s="316" t="n"/>
      <c r="N62" s="317" t="inlineStr">
        <is>
          <t>Ampol Retail</t>
        </is>
      </c>
      <c r="O62" t="inlineStr">
        <is>
          <t>Above Store</t>
        </is>
      </c>
      <c r="P62" t="inlineStr">
        <is>
          <t>Above Store</t>
        </is>
      </c>
      <c r="Q62" t="inlineStr">
        <is>
          <t>Squad</t>
        </is>
      </c>
      <c r="R62" t="inlineStr">
        <is>
          <t>Vacant</t>
        </is>
      </c>
    </row>
    <row r="63" ht="18" customFormat="1" customHeight="1" s="336">
      <c r="A63" s="314" t="n"/>
      <c r="B63" s="239" t="inlineStr">
        <is>
          <t>Vacant</t>
        </is>
      </c>
      <c r="C63" s="239" t="inlineStr">
        <is>
          <t>Systems Analyst</t>
        </is>
      </c>
      <c r="D63" s="239" t="inlineStr">
        <is>
          <t>Vacant</t>
        </is>
      </c>
      <c r="E63" s="239" t="inlineStr">
        <is>
          <t>Technology Manager, Store Platform</t>
        </is>
      </c>
      <c r="F63" s="239" t="inlineStr">
        <is>
          <t>Ampol Retail &amp; Z</t>
        </is>
      </c>
      <c r="G63" s="315" t="inlineStr">
        <is>
          <t>Ampol Retail</t>
        </is>
      </c>
      <c r="H63" s="239" t="inlineStr">
        <is>
          <t>Ampol  Retail, Store Platforms</t>
        </is>
      </c>
      <c r="I63" s="239" t="inlineStr">
        <is>
          <t>Retail</t>
        </is>
      </c>
      <c r="J63" s="315" t="inlineStr">
        <is>
          <t>Store Operations</t>
        </is>
      </c>
      <c r="K63" s="239" t="inlineStr">
        <is>
          <t xml:space="preserve">POS   </t>
        </is>
      </c>
      <c r="L63" s="315" t="n"/>
      <c r="M63" s="316" t="n"/>
      <c r="N63" s="317" t="inlineStr">
        <is>
          <t>Ampol Retail</t>
        </is>
      </c>
      <c r="O63" s="317" t="inlineStr">
        <is>
          <t>Store Operations</t>
        </is>
      </c>
      <c r="P63" t="inlineStr">
        <is>
          <t>POS</t>
        </is>
      </c>
      <c r="Q63" t="inlineStr">
        <is>
          <t>Squad</t>
        </is>
      </c>
      <c r="R63" t="inlineStr">
        <is>
          <t>Vacant</t>
        </is>
      </c>
    </row>
    <row r="64" ht="18" customHeight="1" s="302">
      <c r="A64" s="314" t="n"/>
      <c r="B64" s="239" t="inlineStr">
        <is>
          <t>Vacant</t>
        </is>
      </c>
      <c r="C64" s="239" t="inlineStr">
        <is>
          <t>Delivery Lead</t>
        </is>
      </c>
      <c r="D64" s="315" t="inlineStr">
        <is>
          <t>Vacant</t>
        </is>
      </c>
      <c r="E64" s="239" t="inlineStr">
        <is>
          <t>Delivery Manager, Z and Retail Data</t>
        </is>
      </c>
      <c r="F64" s="239" t="inlineStr">
        <is>
          <t>Ampol Retail &amp; Z</t>
        </is>
      </c>
      <c r="G64" s="315" t="inlineStr">
        <is>
          <t>Z &amp; Group Retail</t>
        </is>
      </c>
      <c r="H64" s="239" t="inlineStr">
        <is>
          <t>Z &amp; Group Retail, Delivery</t>
        </is>
      </c>
      <c r="I64" s="239" t="inlineStr">
        <is>
          <t>Retail</t>
        </is>
      </c>
      <c r="J64" s="315" t="inlineStr">
        <is>
          <t>(All Retail)</t>
        </is>
      </c>
      <c r="K64" s="239" t="inlineStr">
        <is>
          <t>Data - AU</t>
        </is>
      </c>
      <c r="L64" s="315" t="n"/>
      <c r="M64" s="316" t="n"/>
      <c r="N64" t="inlineStr">
        <is>
          <t>Ampol Retail</t>
        </is>
      </c>
      <c r="O64" t="inlineStr">
        <is>
          <t>Data AU</t>
        </is>
      </c>
      <c r="P64" t="inlineStr">
        <is>
          <t>Data AU</t>
        </is>
      </c>
      <c r="Q64" t="inlineStr">
        <is>
          <t>Squad</t>
        </is>
      </c>
      <c r="R64" t="inlineStr">
        <is>
          <t>Vacant</t>
        </is>
      </c>
    </row>
    <row r="65" ht="18" customHeight="1" s="302">
      <c r="A65" s="314" t="n">
        <v>99999101668</v>
      </c>
      <c r="B65" s="239" t="inlineStr">
        <is>
          <t>McKenzie Tournquist</t>
        </is>
      </c>
      <c r="C65" s="239" t="inlineStr">
        <is>
          <t>Data Analyst</t>
        </is>
      </c>
      <c r="D65" s="315" t="inlineStr">
        <is>
          <t>Vacant</t>
        </is>
      </c>
      <c r="E65" s="239" t="inlineStr">
        <is>
          <t>Technology Manager, Data</t>
        </is>
      </c>
      <c r="F65" s="239" t="inlineStr">
        <is>
          <t>Ampol Retail &amp; Z</t>
        </is>
      </c>
      <c r="G65" s="315" t="inlineStr">
        <is>
          <t>Z &amp; Group Retail</t>
        </is>
      </c>
      <c r="H65" s="239" t="inlineStr">
        <is>
          <t>Z &amp; Group Retail, Data</t>
        </is>
      </c>
      <c r="I65" s="239" t="inlineStr">
        <is>
          <t>Z</t>
        </is>
      </c>
      <c r="J65" s="315" t="inlineStr">
        <is>
          <t>Z Customer &amp; Z Supply</t>
        </is>
      </c>
      <c r="K65" s="239" t="inlineStr">
        <is>
          <t>Data - NZ</t>
        </is>
      </c>
      <c r="L65" s="315" t="n"/>
      <c r="M65" s="316" t="inlineStr">
        <is>
          <t>NZ</t>
        </is>
      </c>
      <c r="N65" t="inlineStr">
        <is>
          <t>Z Retail</t>
        </is>
      </c>
      <c r="O65" t="inlineStr">
        <is>
          <t>-</t>
        </is>
      </c>
      <c r="P65" t="inlineStr">
        <is>
          <t>Data NZ</t>
        </is>
      </c>
      <c r="Q65" t="inlineStr">
        <is>
          <t>Unmapped</t>
        </is>
      </c>
      <c r="R65" t="inlineStr">
        <is>
          <t>Filled</t>
        </is>
      </c>
    </row>
    <row r="66" ht="18" customHeight="1" s="302">
      <c r="A66" s="314" t="n"/>
      <c r="B66" s="239" t="inlineStr">
        <is>
          <t>Vacant</t>
        </is>
      </c>
      <c r="C66" s="239" t="inlineStr">
        <is>
          <t>Lead Quality Assurance</t>
        </is>
      </c>
      <c r="D66" s="239" t="inlineStr">
        <is>
          <t>Vacant</t>
        </is>
      </c>
      <c r="E66" s="239" t="inlineStr">
        <is>
          <t>Technology Manager, Engineering</t>
        </is>
      </c>
      <c r="F66" s="239" t="inlineStr">
        <is>
          <t>Ampol Retail &amp; Z</t>
        </is>
      </c>
      <c r="G66" s="324" t="inlineStr">
        <is>
          <t>Z &amp; Group Retail</t>
        </is>
      </c>
      <c r="H66" s="239" t="inlineStr">
        <is>
          <t>Z &amp; Group Retail, Engineering</t>
        </is>
      </c>
      <c r="I66" s="239" t="inlineStr">
        <is>
          <t>Z</t>
        </is>
      </c>
      <c r="J66" s="239" t="inlineStr">
        <is>
          <t>Z Customer</t>
        </is>
      </c>
      <c r="K66" s="239" t="inlineStr">
        <is>
          <t xml:space="preserve">Z Retail Backend </t>
        </is>
      </c>
      <c r="L66" s="315" t="n"/>
      <c r="M66" s="316" t="n"/>
      <c r="N66" t="inlineStr">
        <is>
          <t>Z Retail</t>
        </is>
      </c>
      <c r="O66" t="inlineStr">
        <is>
          <t>Z Customer</t>
        </is>
      </c>
      <c r="P66" t="inlineStr">
        <is>
          <t>Z Retail Backend</t>
        </is>
      </c>
      <c r="Q66" t="inlineStr">
        <is>
          <t>Squad</t>
        </is>
      </c>
      <c r="R66" t="inlineStr">
        <is>
          <t>Vacant</t>
        </is>
      </c>
    </row>
    <row r="67" ht="18" customHeight="1" s="302">
      <c r="A67" s="314" t="n">
        <v>99999102123</v>
      </c>
      <c r="B67" s="239" t="inlineStr">
        <is>
          <t>Jodie Marquez</t>
        </is>
      </c>
      <c r="C67" s="239" t="inlineStr">
        <is>
          <t>Data Analyst</t>
        </is>
      </c>
      <c r="D67" s="315" t="inlineStr">
        <is>
          <t>Vacant</t>
        </is>
      </c>
      <c r="E67" s="239" t="inlineStr">
        <is>
          <t>Technology Manager, Data</t>
        </is>
      </c>
      <c r="F67" s="239" t="inlineStr">
        <is>
          <t>Ampol Retail &amp; Z</t>
        </is>
      </c>
      <c r="G67" s="315" t="inlineStr">
        <is>
          <t>Z &amp; Group Retail</t>
        </is>
      </c>
      <c r="H67" s="239" t="inlineStr">
        <is>
          <t>Z &amp; Group Retail, Data</t>
        </is>
      </c>
      <c r="I67" s="239" t="inlineStr">
        <is>
          <t>Z</t>
        </is>
      </c>
      <c r="J67" s="315" t="inlineStr">
        <is>
          <t>Z Customer &amp; Z Supply</t>
        </is>
      </c>
      <c r="K67" s="239" t="inlineStr">
        <is>
          <t>Data - NZ</t>
        </is>
      </c>
      <c r="L67" s="315" t="n"/>
      <c r="M67" s="316" t="inlineStr">
        <is>
          <t>NZ</t>
        </is>
      </c>
      <c r="N67" t="inlineStr">
        <is>
          <t>Z Retail</t>
        </is>
      </c>
      <c r="O67" t="inlineStr">
        <is>
          <t>-</t>
        </is>
      </c>
      <c r="P67" t="inlineStr">
        <is>
          <t>Data NZ</t>
        </is>
      </c>
      <c r="Q67" t="inlineStr">
        <is>
          <t>Unmapped</t>
        </is>
      </c>
      <c r="R67" t="inlineStr">
        <is>
          <t>Filled</t>
        </is>
      </c>
    </row>
    <row r="68" ht="18" customHeight="1" s="302">
      <c r="A68" s="314" t="n">
        <v>9999922690</v>
      </c>
      <c r="B68" s="239" t="inlineStr">
        <is>
          <t>Tim Gurnsey</t>
        </is>
      </c>
      <c r="C68" s="239" t="inlineStr">
        <is>
          <t>Delivery Lead</t>
        </is>
      </c>
      <c r="D68" s="315" t="inlineStr">
        <is>
          <t>Vacant</t>
        </is>
      </c>
      <c r="E68" s="239" t="inlineStr">
        <is>
          <t>Delivery Manager, Z and Retail Data</t>
        </is>
      </c>
      <c r="F68" s="239" t="inlineStr">
        <is>
          <t>Ampol Retail &amp; Z</t>
        </is>
      </c>
      <c r="G68" s="315" t="inlineStr">
        <is>
          <t>Z &amp; Group Retail</t>
        </is>
      </c>
      <c r="H68" s="239" t="inlineStr">
        <is>
          <t>Z &amp; Group Retail, Delivery</t>
        </is>
      </c>
      <c r="I68" s="239" t="inlineStr">
        <is>
          <t>Z</t>
        </is>
      </c>
      <c r="J68" s="315" t="inlineStr">
        <is>
          <t>Z Customer</t>
        </is>
      </c>
      <c r="K68" s="239" t="inlineStr">
        <is>
          <t>Site Systems</t>
        </is>
      </c>
      <c r="L68" s="315" t="n"/>
      <c r="M68" s="316" t="inlineStr">
        <is>
          <t>NZ</t>
        </is>
      </c>
      <c r="N68" t="inlineStr">
        <is>
          <t>Z Retail</t>
        </is>
      </c>
      <c r="O68" t="inlineStr">
        <is>
          <t>Z Customer</t>
        </is>
      </c>
      <c r="P68" t="inlineStr">
        <is>
          <t>Site Systems</t>
        </is>
      </c>
      <c r="Q68" t="inlineStr">
        <is>
          <t>Squad</t>
        </is>
      </c>
      <c r="R68" t="inlineStr">
        <is>
          <t>Filled</t>
        </is>
      </c>
    </row>
    <row r="69" ht="18" customHeight="1" s="302">
      <c r="A69" s="314" t="n">
        <v>97847</v>
      </c>
      <c r="B69" s="239" t="inlineStr">
        <is>
          <t>Beenu Murali</t>
        </is>
      </c>
      <c r="C69" s="239" t="inlineStr">
        <is>
          <t>Quality Assurance</t>
        </is>
      </c>
      <c r="D69" s="315" t="inlineStr">
        <is>
          <t>Vacant</t>
        </is>
      </c>
      <c r="E69" s="239" t="inlineStr">
        <is>
          <t>Lead Quality Assurance</t>
        </is>
      </c>
      <c r="F69" s="239" t="inlineStr">
        <is>
          <t>Ampol Retail &amp; Z</t>
        </is>
      </c>
      <c r="G69" s="315" t="inlineStr">
        <is>
          <t>Ampol Retail</t>
        </is>
      </c>
      <c r="H69" s="239" t="inlineStr">
        <is>
          <t>Ampol Retail, Store Platforms</t>
        </is>
      </c>
      <c r="I69" s="239" t="inlineStr">
        <is>
          <t>Retail</t>
        </is>
      </c>
      <c r="J69" s="315" t="inlineStr">
        <is>
          <t>Store Operations</t>
        </is>
      </c>
      <c r="K69" s="239" t="inlineStr">
        <is>
          <t>Payments</t>
        </is>
      </c>
      <c r="L69" s="315" t="n"/>
      <c r="M69" s="316" t="inlineStr">
        <is>
          <t>Australia</t>
        </is>
      </c>
      <c r="N69" t="inlineStr">
        <is>
          <t>Ampol Retail</t>
        </is>
      </c>
      <c r="O69" t="inlineStr">
        <is>
          <t>Store Operations</t>
        </is>
      </c>
      <c r="P69" t="inlineStr">
        <is>
          <t>Payments</t>
        </is>
      </c>
      <c r="Q69" t="inlineStr">
        <is>
          <t>Squad</t>
        </is>
      </c>
      <c r="R69" t="inlineStr">
        <is>
          <t>Filled</t>
        </is>
      </c>
    </row>
    <row r="70" ht="18" customHeight="1" s="302">
      <c r="A70" s="314" t="n"/>
      <c r="B70" s="239" t="inlineStr">
        <is>
          <t>Vacant</t>
        </is>
      </c>
      <c r="C70" s="239" t="inlineStr">
        <is>
          <t>Support Analyst -Retail</t>
        </is>
      </c>
      <c r="D70" s="239" t="inlineStr">
        <is>
          <t>Vacant</t>
        </is>
      </c>
      <c r="E70" s="239" t="inlineStr">
        <is>
          <t>Technology Manager, Store Platform</t>
        </is>
      </c>
      <c r="F70" s="239" t="inlineStr">
        <is>
          <t>Ampol Retail &amp; Z</t>
        </is>
      </c>
      <c r="G70" s="315" t="inlineStr">
        <is>
          <t>Ampol Retail</t>
        </is>
      </c>
      <c r="H70" s="239" t="inlineStr">
        <is>
          <t>Ampol  Retail, Store Platforms</t>
        </is>
      </c>
      <c r="I70" s="239" t="inlineStr">
        <is>
          <t>Retail</t>
        </is>
      </c>
      <c r="J70" s="315" t="inlineStr">
        <is>
          <t>Store Operations</t>
        </is>
      </c>
      <c r="K70" s="239" t="inlineStr">
        <is>
          <t>Store Operations</t>
        </is>
      </c>
      <c r="L70" s="315" t="n"/>
      <c r="M70" s="316" t="n"/>
      <c r="N70" t="inlineStr">
        <is>
          <t>Ampol Retail</t>
        </is>
      </c>
      <c r="O70" t="inlineStr">
        <is>
          <t>Store Operations</t>
        </is>
      </c>
      <c r="P70" t="inlineStr">
        <is>
          <t>Store Operations</t>
        </is>
      </c>
      <c r="Q70" t="inlineStr">
        <is>
          <t>Squad</t>
        </is>
      </c>
      <c r="R70" t="inlineStr">
        <is>
          <t>Vacant</t>
        </is>
      </c>
    </row>
    <row r="71" ht="18" customHeight="1" s="302">
      <c r="A71" s="314" t="n">
        <v>8904</v>
      </c>
      <c r="B71" s="239" t="inlineStr">
        <is>
          <t>Vedran Jukic</t>
        </is>
      </c>
      <c r="C71" s="239" t="inlineStr">
        <is>
          <t>Technology Manager, Retail</t>
        </is>
      </c>
      <c r="D71" s="315" t="inlineStr">
        <is>
          <t>Vacant</t>
        </is>
      </c>
      <c r="E71" s="239" t="inlineStr">
        <is>
          <t>Head of Technology,  Ampol Retail</t>
        </is>
      </c>
      <c r="F71" s="239" t="inlineStr">
        <is>
          <t>Ampol Retail &amp; Z</t>
        </is>
      </c>
      <c r="G71" s="315" t="inlineStr">
        <is>
          <t>Ampol Retail</t>
        </is>
      </c>
      <c r="H71" s="239" t="inlineStr">
        <is>
          <t>Ampol Retail, Technology</t>
        </is>
      </c>
      <c r="I71" s="239" t="inlineStr">
        <is>
          <t>Retail</t>
        </is>
      </c>
      <c r="J71" s="239" t="inlineStr">
        <is>
          <t>Store Operations, Network &amp; QSR, Deployment</t>
        </is>
      </c>
      <c r="K71" s="315" t="inlineStr">
        <is>
          <t>Leadership</t>
        </is>
      </c>
      <c r="L71" s="315" t="n"/>
      <c r="M71" s="316" t="inlineStr">
        <is>
          <t>Australia</t>
        </is>
      </c>
      <c r="N71" t="inlineStr">
        <is>
          <t>Ampol Retail</t>
        </is>
      </c>
      <c r="O71" t="inlineStr">
        <is>
          <t>Leadership</t>
        </is>
      </c>
      <c r="P71" t="inlineStr">
        <is>
          <t>Leadership</t>
        </is>
      </c>
      <c r="Q71" t="inlineStr">
        <is>
          <t>Leadership</t>
        </is>
      </c>
      <c r="R71" t="inlineStr">
        <is>
          <t>Filled</t>
        </is>
      </c>
    </row>
    <row r="72" ht="18" customHeight="1" s="302">
      <c r="A72" s="314" t="n">
        <v>0</v>
      </c>
      <c r="B72" s="239" t="inlineStr">
        <is>
          <t>Kanti Hirani</t>
        </is>
      </c>
      <c r="C72" s="239" t="inlineStr">
        <is>
          <t>Business Analyst (PEP13 UK)</t>
        </is>
      </c>
      <c r="D72" s="239" t="inlineStr">
        <is>
          <t>Vacant</t>
        </is>
      </c>
      <c r="E72" s="239" t="inlineStr">
        <is>
          <t>Delivery Manager, Ampol Retail</t>
        </is>
      </c>
      <c r="F72" s="239" t="inlineStr">
        <is>
          <t>Ampol Retail &amp; Z</t>
        </is>
      </c>
      <c r="G72" s="315" t="inlineStr">
        <is>
          <t>Ampol Retail</t>
        </is>
      </c>
      <c r="H72" s="239" t="inlineStr">
        <is>
          <t>Delivery, Commercial Fuels</t>
        </is>
      </c>
      <c r="I72" s="239" t="inlineStr">
        <is>
          <t>EGI Integration</t>
        </is>
      </c>
      <c r="J72" s="315" t="inlineStr">
        <is>
          <t>EGI</t>
        </is>
      </c>
      <c r="K72" s="239" t="inlineStr">
        <is>
          <t>EGI</t>
        </is>
      </c>
      <c r="L72" s="315" t="n"/>
      <c r="M72" s="316" t="n">
        <v>0</v>
      </c>
      <c r="N72" t="inlineStr">
        <is>
          <t>EGI</t>
        </is>
      </c>
      <c r="O72" t="inlineStr">
        <is>
          <t>EGI</t>
        </is>
      </c>
      <c r="P72" t="inlineStr">
        <is>
          <t>EGI (unassigned)</t>
        </is>
      </c>
      <c r="Q72" t="inlineStr">
        <is>
          <t>Unmapped</t>
        </is>
      </c>
      <c r="R72" t="inlineStr">
        <is>
          <t>Filled</t>
        </is>
      </c>
    </row>
    <row r="73" ht="18" customHeight="1" s="302">
      <c r="A73" s="314" t="n">
        <v>99999102110</v>
      </c>
      <c r="B73" s="239" t="inlineStr">
        <is>
          <t>Eugene Yeo</t>
        </is>
      </c>
      <c r="C73" s="239" t="inlineStr">
        <is>
          <t>Engineer - DevOps</t>
        </is>
      </c>
      <c r="D73" s="239" t="inlineStr">
        <is>
          <t>Vacant</t>
        </is>
      </c>
      <c r="E73" s="239" t="inlineStr">
        <is>
          <t>Technology Manager, Engineering</t>
        </is>
      </c>
      <c r="F73" s="239" t="inlineStr">
        <is>
          <t>Ampol Retail &amp; Z</t>
        </is>
      </c>
      <c r="G73" s="315" t="inlineStr">
        <is>
          <t>Z &amp; Group Retail</t>
        </is>
      </c>
      <c r="H73" s="239" t="inlineStr">
        <is>
          <t>Delivery, Commercial Fuels</t>
        </is>
      </c>
      <c r="I73" s="239" t="inlineStr">
        <is>
          <t>Z</t>
        </is>
      </c>
      <c r="J73" s="315" t="inlineStr">
        <is>
          <t>Z Supply</t>
        </is>
      </c>
      <c r="K73" s="239" t="inlineStr">
        <is>
          <t>Z Supply</t>
        </is>
      </c>
      <c r="L73" s="315" t="n"/>
      <c r="M73" s="316" t="inlineStr">
        <is>
          <t>NZ</t>
        </is>
      </c>
      <c r="N73" t="inlineStr">
        <is>
          <t>Z Retail</t>
        </is>
      </c>
      <c r="O73" t="inlineStr">
        <is>
          <t>Z Supply</t>
        </is>
      </c>
      <c r="P73" t="inlineStr">
        <is>
          <t>Z Supply</t>
        </is>
      </c>
      <c r="Q73" t="inlineStr">
        <is>
          <t>Squad</t>
        </is>
      </c>
      <c r="R73" t="inlineStr">
        <is>
          <t>Filled</t>
        </is>
      </c>
    </row>
    <row r="74" ht="18" customHeight="1" s="302">
      <c r="A74" s="314" t="n">
        <v>99999101959</v>
      </c>
      <c r="B74" s="239" t="inlineStr">
        <is>
          <t>Brian Lai</t>
        </is>
      </c>
      <c r="C74" s="239" t="inlineStr">
        <is>
          <t>Engineer - Data</t>
        </is>
      </c>
      <c r="D74" s="315" t="inlineStr">
        <is>
          <t>Vacant</t>
        </is>
      </c>
      <c r="E74" s="239" t="inlineStr">
        <is>
          <t>Technology Manager, Data</t>
        </is>
      </c>
      <c r="F74" s="239" t="inlineStr">
        <is>
          <t>Ampol Retail &amp; Z</t>
        </is>
      </c>
      <c r="G74" s="315" t="inlineStr">
        <is>
          <t>Z &amp; Group Retail</t>
        </is>
      </c>
      <c r="H74" s="239" t="inlineStr">
        <is>
          <t>Technology, CF Engineering</t>
        </is>
      </c>
      <c r="I74" s="239" t="inlineStr">
        <is>
          <t>Z</t>
        </is>
      </c>
      <c r="J74" s="315" t="inlineStr">
        <is>
          <t>Z Customer &amp; Z Supply</t>
        </is>
      </c>
      <c r="K74" s="239" t="inlineStr">
        <is>
          <t>Data - NZ</t>
        </is>
      </c>
      <c r="L74" s="315" t="n"/>
      <c r="M74" s="316" t="inlineStr">
        <is>
          <t>NZ</t>
        </is>
      </c>
      <c r="N74" t="inlineStr">
        <is>
          <t>Z Retail</t>
        </is>
      </c>
      <c r="O74" t="inlineStr">
        <is>
          <t>-</t>
        </is>
      </c>
      <c r="P74" t="inlineStr">
        <is>
          <t>Data NZ</t>
        </is>
      </c>
      <c r="Q74" t="inlineStr">
        <is>
          <t>Unmapped</t>
        </is>
      </c>
      <c r="R74" t="inlineStr">
        <is>
          <t>Filled</t>
        </is>
      </c>
    </row>
    <row r="75" ht="18" customHeight="1" s="302">
      <c r="A75" s="314" t="n">
        <v>99999100476</v>
      </c>
      <c r="B75" s="239" t="inlineStr">
        <is>
          <t>Kelly Russell</t>
        </is>
      </c>
      <c r="C75" s="239" t="inlineStr">
        <is>
          <t>Lead Quality Assurance</t>
        </is>
      </c>
      <c r="D75" s="239" t="inlineStr">
        <is>
          <t>Vacant</t>
        </is>
      </c>
      <c r="E75" s="239" t="inlineStr">
        <is>
          <t>Technology Manager,  Site Systems</t>
        </is>
      </c>
      <c r="F75" s="239" t="inlineStr">
        <is>
          <t>Ampol Retail &amp; Z</t>
        </is>
      </c>
      <c r="G75" s="315" t="inlineStr">
        <is>
          <t>Z &amp; Group Retail</t>
        </is>
      </c>
      <c r="H75" s="239" t="inlineStr">
        <is>
          <t>Technology, CF Engineering</t>
        </is>
      </c>
      <c r="I75" s="239" t="inlineStr">
        <is>
          <t>Z</t>
        </is>
      </c>
      <c r="J75" s="315" t="inlineStr">
        <is>
          <t>Z Customer</t>
        </is>
      </c>
      <c r="K75" s="239" t="inlineStr">
        <is>
          <t>Site Systems</t>
        </is>
      </c>
      <c r="L75" s="315" t="n"/>
      <c r="M75" s="316" t="inlineStr">
        <is>
          <t>NZ</t>
        </is>
      </c>
      <c r="N75" t="inlineStr">
        <is>
          <t>Z Retail</t>
        </is>
      </c>
      <c r="O75" t="inlineStr">
        <is>
          <t>Z Customer</t>
        </is>
      </c>
      <c r="P75" t="inlineStr">
        <is>
          <t>Site Systems</t>
        </is>
      </c>
      <c r="Q75" t="inlineStr">
        <is>
          <t>Squad</t>
        </is>
      </c>
      <c r="R75" t="inlineStr">
        <is>
          <t>Filled</t>
        </is>
      </c>
    </row>
    <row r="76" ht="18" customHeight="1" s="302">
      <c r="A76" s="314" t="n"/>
      <c r="B76" s="239" t="inlineStr">
        <is>
          <t>Vacant</t>
        </is>
      </c>
      <c r="C76" s="239" t="inlineStr">
        <is>
          <t>Engineer - Data</t>
        </is>
      </c>
      <c r="D76" s="315" t="inlineStr">
        <is>
          <t>Vacant</t>
        </is>
      </c>
      <c r="E76" s="239" t="inlineStr">
        <is>
          <t>Technology Manager, Data</t>
        </is>
      </c>
      <c r="F76" s="239" t="inlineStr">
        <is>
          <t>Ampol Retail &amp; Z</t>
        </is>
      </c>
      <c r="G76" s="315" t="inlineStr">
        <is>
          <t>Z &amp; Group Retail</t>
        </is>
      </c>
      <c r="H76" s="239" t="inlineStr">
        <is>
          <t>Z &amp; Group Retail, Data</t>
        </is>
      </c>
      <c r="I76" s="239" t="inlineStr">
        <is>
          <t>Retail</t>
        </is>
      </c>
      <c r="J76" s="315" t="inlineStr">
        <is>
          <t>(All Retail)</t>
        </is>
      </c>
      <c r="K76" s="239" t="inlineStr">
        <is>
          <t>Data - AU</t>
        </is>
      </c>
      <c r="L76" s="315" t="n"/>
      <c r="M76" s="316" t="n"/>
      <c r="N76" t="inlineStr">
        <is>
          <t>Ampol Retail</t>
        </is>
      </c>
      <c r="O76" t="inlineStr">
        <is>
          <t>Data AU</t>
        </is>
      </c>
      <c r="P76" t="inlineStr">
        <is>
          <t>Data AU</t>
        </is>
      </c>
      <c r="Q76" t="inlineStr">
        <is>
          <t>Squad</t>
        </is>
      </c>
      <c r="R76" t="inlineStr">
        <is>
          <t>Vacant</t>
        </is>
      </c>
    </row>
    <row r="77" ht="18" customHeight="1" s="302">
      <c r="A77" s="314" t="n">
        <v>99999101333</v>
      </c>
      <c r="B77" s="239" t="inlineStr">
        <is>
          <t>Benjamin Sheffield</t>
        </is>
      </c>
      <c r="C77" s="239" t="inlineStr">
        <is>
          <t>Lead Engineer - Software</t>
        </is>
      </c>
      <c r="D77" s="239" t="inlineStr">
        <is>
          <t>Vacant</t>
        </is>
      </c>
      <c r="E77" s="239" t="inlineStr">
        <is>
          <t>Technology Manager, Engineering</t>
        </is>
      </c>
      <c r="F77" s="239" t="inlineStr">
        <is>
          <t>Ampol Retail &amp; Z</t>
        </is>
      </c>
      <c r="G77" s="315" t="inlineStr">
        <is>
          <t>Z &amp; Group Retail</t>
        </is>
      </c>
      <c r="H77" s="239" t="inlineStr">
        <is>
          <t>Z &amp; Group Retail, Engineering</t>
        </is>
      </c>
      <c r="I77" s="239" t="inlineStr">
        <is>
          <t>Z</t>
        </is>
      </c>
      <c r="J77" s="315" t="inlineStr">
        <is>
          <t>Z Supply</t>
        </is>
      </c>
      <c r="K77" s="239" t="inlineStr">
        <is>
          <t>Z Supply</t>
        </is>
      </c>
      <c r="L77" s="315" t="n"/>
      <c r="M77" s="316" t="inlineStr">
        <is>
          <t>NZ</t>
        </is>
      </c>
      <c r="N77" t="inlineStr">
        <is>
          <t>Z Retail</t>
        </is>
      </c>
      <c r="O77" t="inlineStr">
        <is>
          <t>Z Supply</t>
        </is>
      </c>
      <c r="P77" t="inlineStr">
        <is>
          <t>Z Supply</t>
        </is>
      </c>
      <c r="Q77" t="inlineStr">
        <is>
          <t>Squad</t>
        </is>
      </c>
      <c r="R77" t="inlineStr">
        <is>
          <t>Filled</t>
        </is>
      </c>
    </row>
    <row r="78" ht="18" customHeight="1" s="302">
      <c r="A78" s="314" t="n">
        <v>99999170431</v>
      </c>
      <c r="B78" s="239" t="inlineStr">
        <is>
          <t>Mark Dickson</t>
        </is>
      </c>
      <c r="C78" s="239" t="inlineStr">
        <is>
          <t>Delivery Lead</t>
        </is>
      </c>
      <c r="D78" s="315" t="inlineStr">
        <is>
          <t>Vacant</t>
        </is>
      </c>
      <c r="E78" s="239" t="inlineStr">
        <is>
          <t>Delivery Manager, Z and Retail Data</t>
        </is>
      </c>
      <c r="F78" s="239" t="inlineStr">
        <is>
          <t>Ampol Retail &amp; Z</t>
        </is>
      </c>
      <c r="G78" s="315" t="inlineStr">
        <is>
          <t>Z &amp; Group Retail</t>
        </is>
      </c>
      <c r="H78" s="239" t="inlineStr">
        <is>
          <t>Z &amp; Group Retail, Delivery</t>
        </is>
      </c>
      <c r="I78" s="239" t="inlineStr">
        <is>
          <t>Z</t>
        </is>
      </c>
      <c r="J78" s="239" t="inlineStr">
        <is>
          <t>Z Customer</t>
        </is>
      </c>
      <c r="K78" s="239" t="inlineStr">
        <is>
          <t>Z Retail Backend</t>
        </is>
      </c>
      <c r="L78" s="315" t="n"/>
      <c r="M78" s="316" t="inlineStr">
        <is>
          <t>NZ</t>
        </is>
      </c>
      <c r="N78" t="inlineStr">
        <is>
          <t>Z Retail</t>
        </is>
      </c>
      <c r="O78" t="inlineStr">
        <is>
          <t>Z Customer</t>
        </is>
      </c>
      <c r="P78" t="inlineStr">
        <is>
          <t>Z Retail Backend</t>
        </is>
      </c>
      <c r="Q78" t="inlineStr">
        <is>
          <t>Squad</t>
        </is>
      </c>
      <c r="R78" t="inlineStr">
        <is>
          <t>Filled</t>
        </is>
      </c>
    </row>
    <row r="79" ht="18" customHeight="1" s="302">
      <c r="A79" s="314" t="n">
        <v>99999101533</v>
      </c>
      <c r="B79" s="325" t="inlineStr">
        <is>
          <t>Adrian Alcance</t>
        </is>
      </c>
      <c r="C79" s="239" t="inlineStr">
        <is>
          <t>Senior Engineer - DevOps</t>
        </is>
      </c>
      <c r="D79" s="239" t="inlineStr">
        <is>
          <t>Vacant</t>
        </is>
      </c>
      <c r="E79" s="239" t="inlineStr">
        <is>
          <t>Technology Manager, Engineering</t>
        </is>
      </c>
      <c r="F79" s="239" t="inlineStr">
        <is>
          <t>Ampol Retail &amp; Z</t>
        </is>
      </c>
      <c r="G79" s="239" t="inlineStr">
        <is>
          <t>Z &amp; Group Retail</t>
        </is>
      </c>
      <c r="H79" s="239" t="inlineStr">
        <is>
          <t>Z &amp; Group Retail, Engineering</t>
        </is>
      </c>
      <c r="I79" s="239" t="inlineStr">
        <is>
          <t>Z</t>
        </is>
      </c>
      <c r="J79" s="239" t="inlineStr">
        <is>
          <t>Z Customer</t>
        </is>
      </c>
      <c r="K79" s="239" t="inlineStr">
        <is>
          <t xml:space="preserve">Z Retail Backend </t>
        </is>
      </c>
      <c r="L79" s="315" t="n"/>
      <c r="M79" s="316" t="inlineStr">
        <is>
          <t>NZ</t>
        </is>
      </c>
      <c r="N79" t="inlineStr">
        <is>
          <t>Z Retail</t>
        </is>
      </c>
      <c r="O79" t="inlineStr">
        <is>
          <t>Z Customer</t>
        </is>
      </c>
      <c r="P79" t="inlineStr">
        <is>
          <t>Z Retail Backend</t>
        </is>
      </c>
      <c r="Q79" t="inlineStr">
        <is>
          <t>Squad</t>
        </is>
      </c>
      <c r="R79" t="inlineStr">
        <is>
          <t>Filled</t>
        </is>
      </c>
    </row>
    <row r="80" ht="18" customHeight="1" s="302">
      <c r="A80" s="314" t="n">
        <v>99999101548</v>
      </c>
      <c r="B80" s="239" t="inlineStr">
        <is>
          <t>Allana Arbuckle</t>
        </is>
      </c>
      <c r="C80" s="239" t="inlineStr">
        <is>
          <t>Business Analyst</t>
        </is>
      </c>
      <c r="D80" s="315" t="inlineStr">
        <is>
          <t>Vacant</t>
        </is>
      </c>
      <c r="E80" s="239" t="inlineStr">
        <is>
          <t>Delivery Manager, Z and Retail Data</t>
        </is>
      </c>
      <c r="F80" s="239" t="inlineStr">
        <is>
          <t>Ampol Retail &amp; Z</t>
        </is>
      </c>
      <c r="G80" s="315" t="inlineStr">
        <is>
          <t>Z &amp; Group Retail</t>
        </is>
      </c>
      <c r="H80" s="239" t="inlineStr">
        <is>
          <t>Z &amp; Group Retail, Delivery</t>
        </is>
      </c>
      <c r="I80" s="239" t="inlineStr">
        <is>
          <t>Z</t>
        </is>
      </c>
      <c r="J80" s="239" t="inlineStr">
        <is>
          <t>Z Customer</t>
        </is>
      </c>
      <c r="K80" s="239" t="inlineStr">
        <is>
          <t xml:space="preserve">Z Retail Backend </t>
        </is>
      </c>
      <c r="L80" s="315" t="n"/>
      <c r="M80" s="316" t="inlineStr">
        <is>
          <t>NZ</t>
        </is>
      </c>
      <c r="N80" t="inlineStr">
        <is>
          <t>Z Retail</t>
        </is>
      </c>
      <c r="O80" t="inlineStr">
        <is>
          <t>Z Customer</t>
        </is>
      </c>
      <c r="P80" t="inlineStr">
        <is>
          <t>Z Retail Backend</t>
        </is>
      </c>
      <c r="Q80" t="inlineStr">
        <is>
          <t>Squad</t>
        </is>
      </c>
      <c r="R80" t="inlineStr">
        <is>
          <t>Filled</t>
        </is>
      </c>
    </row>
    <row r="81" ht="18" customHeight="1" s="302">
      <c r="A81" s="314" t="n"/>
      <c r="B81" s="239" t="inlineStr">
        <is>
          <t>Vacant</t>
        </is>
      </c>
      <c r="C81" s="239" t="inlineStr">
        <is>
          <t>Engineer - Data</t>
        </is>
      </c>
      <c r="D81" s="315" t="inlineStr">
        <is>
          <t>Vacant</t>
        </is>
      </c>
      <c r="E81" s="239" t="inlineStr">
        <is>
          <t>Technology Manager, Data</t>
        </is>
      </c>
      <c r="F81" s="239" t="inlineStr">
        <is>
          <t>Ampol Retail &amp; Z</t>
        </is>
      </c>
      <c r="G81" s="315" t="inlineStr">
        <is>
          <t>Z &amp; Group Retail</t>
        </is>
      </c>
      <c r="H81" s="239" t="inlineStr">
        <is>
          <t>Z &amp; Group Retail, Data</t>
        </is>
      </c>
      <c r="I81" s="239" t="inlineStr">
        <is>
          <t>Retail</t>
        </is>
      </c>
      <c r="J81" s="315" t="inlineStr">
        <is>
          <t>(All Retail)</t>
        </is>
      </c>
      <c r="K81" s="239" t="inlineStr">
        <is>
          <t>Data - AU</t>
        </is>
      </c>
      <c r="L81" s="315" t="n"/>
      <c r="M81" s="316" t="n"/>
      <c r="N81" t="inlineStr">
        <is>
          <t>Ampol Retail</t>
        </is>
      </c>
      <c r="O81" t="inlineStr">
        <is>
          <t>Data AU</t>
        </is>
      </c>
      <c r="P81" t="inlineStr">
        <is>
          <t>Data AU</t>
        </is>
      </c>
      <c r="Q81" t="inlineStr">
        <is>
          <t>Squad</t>
        </is>
      </c>
      <c r="R81" t="inlineStr">
        <is>
          <t>Vacant</t>
        </is>
      </c>
    </row>
    <row r="82" ht="18" customHeight="1" s="302">
      <c r="A82" s="314" t="n">
        <v>99999102111</v>
      </c>
      <c r="B82" s="239" t="inlineStr">
        <is>
          <t>Gayan Liyana Arachchige</t>
        </is>
      </c>
      <c r="C82" s="239" t="inlineStr">
        <is>
          <t>Engineer - DevOps</t>
        </is>
      </c>
      <c r="D82" s="239" t="inlineStr">
        <is>
          <t>Vacant</t>
        </is>
      </c>
      <c r="E82" s="239" t="inlineStr">
        <is>
          <t>Technology Manager, Engineering</t>
        </is>
      </c>
      <c r="F82" s="239" t="inlineStr">
        <is>
          <t>Ampol Retail &amp; Z</t>
        </is>
      </c>
      <c r="G82" s="315" t="inlineStr">
        <is>
          <t>Z &amp; Group Retail</t>
        </is>
      </c>
      <c r="H82" s="239" t="inlineStr">
        <is>
          <t>Z &amp; Group Retail, Engineering</t>
        </is>
      </c>
      <c r="I82" s="239" t="inlineStr">
        <is>
          <t>Z</t>
        </is>
      </c>
      <c r="J82" s="315" t="inlineStr">
        <is>
          <t>Z Supply</t>
        </is>
      </c>
      <c r="K82" s="239" t="inlineStr">
        <is>
          <t>Z Supply</t>
        </is>
      </c>
      <c r="L82" s="315" t="n"/>
      <c r="M82" s="316" t="inlineStr">
        <is>
          <t>NZ</t>
        </is>
      </c>
      <c r="N82" t="inlineStr">
        <is>
          <t>Z Retail</t>
        </is>
      </c>
      <c r="O82" t="inlineStr">
        <is>
          <t>Z Supply</t>
        </is>
      </c>
      <c r="P82" t="inlineStr">
        <is>
          <t>Z Supply</t>
        </is>
      </c>
      <c r="Q82" t="inlineStr">
        <is>
          <t>Squad</t>
        </is>
      </c>
      <c r="R82" t="inlineStr">
        <is>
          <t>Filled</t>
        </is>
      </c>
    </row>
    <row r="83" ht="18" customHeight="1" s="302">
      <c r="A83" s="314" t="n"/>
      <c r="B83" s="239" t="inlineStr">
        <is>
          <t>Vacant</t>
        </is>
      </c>
      <c r="C83" s="239" t="inlineStr">
        <is>
          <t>Quality Assurance</t>
        </is>
      </c>
      <c r="D83" s="315" t="inlineStr">
        <is>
          <t>Vacant</t>
        </is>
      </c>
      <c r="E83" s="239" t="inlineStr">
        <is>
          <t>Lead Quality Assurance</t>
        </is>
      </c>
      <c r="F83" s="239" t="inlineStr">
        <is>
          <t>Ampol Retail &amp; Z</t>
        </is>
      </c>
      <c r="G83" s="315" t="inlineStr">
        <is>
          <t>Ampol Retail</t>
        </is>
      </c>
      <c r="H83" s="239" t="inlineStr">
        <is>
          <t>Ampol Retail, Store Platforms</t>
        </is>
      </c>
      <c r="I83" s="239" t="inlineStr">
        <is>
          <t>Retail</t>
        </is>
      </c>
      <c r="J83" s="335" t="inlineStr">
        <is>
          <t>Store Operations</t>
        </is>
      </c>
      <c r="K83" s="331" t="inlineStr">
        <is>
          <t>POS</t>
        </is>
      </c>
      <c r="L83" s="315" t="n"/>
      <c r="M83" s="316" t="n"/>
      <c r="N83" t="inlineStr">
        <is>
          <t>Ampol Retail</t>
        </is>
      </c>
      <c r="O83" t="inlineStr">
        <is>
          <t>Store Operations</t>
        </is>
      </c>
      <c r="P83" t="inlineStr">
        <is>
          <t>POS</t>
        </is>
      </c>
      <c r="Q83" t="inlineStr">
        <is>
          <t>Squad</t>
        </is>
      </c>
      <c r="R83" t="inlineStr">
        <is>
          <t>Vacant</t>
        </is>
      </c>
    </row>
    <row r="84" ht="18" customHeight="1" s="302">
      <c r="A84" s="314" t="n"/>
      <c r="B84" s="239" t="inlineStr">
        <is>
          <t>Vacant</t>
        </is>
      </c>
      <c r="C84" s="239" t="inlineStr">
        <is>
          <t>Engineer - Software</t>
        </is>
      </c>
      <c r="D84" s="239" t="inlineStr">
        <is>
          <t>Vacant</t>
        </is>
      </c>
      <c r="E84" s="239" t="inlineStr">
        <is>
          <t>Technology Manager, Engineering</t>
        </is>
      </c>
      <c r="F84" s="239" t="inlineStr">
        <is>
          <t>Ampol Retail &amp; Z</t>
        </is>
      </c>
      <c r="G84" s="315" t="inlineStr">
        <is>
          <t>Z &amp; Group Retail</t>
        </is>
      </c>
      <c r="H84" s="239" t="inlineStr">
        <is>
          <t>Z &amp; Group Retail, Engineering</t>
        </is>
      </c>
      <c r="I84" s="239" t="inlineStr">
        <is>
          <t>Z</t>
        </is>
      </c>
      <c r="J84" s="239" t="inlineStr">
        <is>
          <t>Z Customer</t>
        </is>
      </c>
      <c r="K84" s="239" t="inlineStr">
        <is>
          <t xml:space="preserve">Z Retail Backend </t>
        </is>
      </c>
      <c r="L84" s="315" t="n"/>
      <c r="M84" s="316" t="n"/>
      <c r="N84" t="inlineStr">
        <is>
          <t>Z Retail</t>
        </is>
      </c>
      <c r="O84" t="inlineStr">
        <is>
          <t>Z Customer</t>
        </is>
      </c>
      <c r="P84" t="inlineStr">
        <is>
          <t>Z Retail Backend</t>
        </is>
      </c>
      <c r="Q84" t="inlineStr">
        <is>
          <t>Squad</t>
        </is>
      </c>
      <c r="R84" t="inlineStr">
        <is>
          <t>Vacant</t>
        </is>
      </c>
    </row>
    <row r="85" ht="18" customHeight="1" s="302">
      <c r="A85" s="314" t="n">
        <v>99999100699</v>
      </c>
      <c r="B85" s="239" t="inlineStr">
        <is>
          <t>Helen Jones</t>
        </is>
      </c>
      <c r="C85" s="239" t="inlineStr">
        <is>
          <t>Delivery Lead</t>
        </is>
      </c>
      <c r="D85" s="315" t="inlineStr">
        <is>
          <t>Vacant</t>
        </is>
      </c>
      <c r="E85" s="239" t="inlineStr">
        <is>
          <t>Delivery Manager, Z and Retail Data</t>
        </is>
      </c>
      <c r="F85" s="239" t="inlineStr">
        <is>
          <t>Ampol Retail &amp; Z</t>
        </is>
      </c>
      <c r="G85" s="315" t="inlineStr">
        <is>
          <t>Z &amp; Group Retail</t>
        </is>
      </c>
      <c r="H85" s="239" t="inlineStr">
        <is>
          <t>Z &amp; Group Retail, Delivery</t>
        </is>
      </c>
      <c r="I85" s="239" t="inlineStr">
        <is>
          <t>Z</t>
        </is>
      </c>
      <c r="J85" s="315" t="inlineStr">
        <is>
          <t>Z Supply</t>
        </is>
      </c>
      <c r="K85" s="239" t="inlineStr">
        <is>
          <t>Z Supply</t>
        </is>
      </c>
      <c r="L85" s="315" t="n"/>
      <c r="M85" s="316" t="inlineStr">
        <is>
          <t>NZ</t>
        </is>
      </c>
      <c r="N85" t="inlineStr">
        <is>
          <t>Z Retail</t>
        </is>
      </c>
      <c r="O85" t="inlineStr">
        <is>
          <t>Z Supply</t>
        </is>
      </c>
      <c r="P85" t="inlineStr">
        <is>
          <t>Z Supply</t>
        </is>
      </c>
      <c r="Q85" t="inlineStr">
        <is>
          <t>Squad</t>
        </is>
      </c>
      <c r="R85" t="inlineStr">
        <is>
          <t>Filled</t>
        </is>
      </c>
    </row>
    <row r="86" ht="18" customHeight="1" s="302">
      <c r="A86" s="314" t="n">
        <v>104050</v>
      </c>
      <c r="B86" s="239" t="inlineStr">
        <is>
          <t>Violeta Trajkovski</t>
        </is>
      </c>
      <c r="C86" s="239" t="inlineStr">
        <is>
          <t>Deployment Coordinator</t>
        </is>
      </c>
      <c r="D86" s="239" t="inlineStr">
        <is>
          <t>Vacant</t>
        </is>
      </c>
      <c r="E86" s="239" t="inlineStr">
        <is>
          <t>Release &amp; Deployment Manager</t>
        </is>
      </c>
      <c r="F86" s="239" t="inlineStr">
        <is>
          <t>Ampol Retail &amp; Z</t>
        </is>
      </c>
      <c r="G86" s="315" t="inlineStr">
        <is>
          <t>Ampol Retail</t>
        </is>
      </c>
      <c r="H86" s="239" t="inlineStr">
        <is>
          <t>Ampol Retail, Technology</t>
        </is>
      </c>
      <c r="I86" s="239" t="inlineStr">
        <is>
          <t>Retail</t>
        </is>
      </c>
      <c r="J86" s="315" t="inlineStr">
        <is>
          <t>Store Operations</t>
        </is>
      </c>
      <c r="K86" s="239" t="inlineStr">
        <is>
          <t>Deployment</t>
        </is>
      </c>
      <c r="L86" s="315" t="n"/>
      <c r="M86" s="316" t="inlineStr">
        <is>
          <t>Australia</t>
        </is>
      </c>
      <c r="N86" t="inlineStr">
        <is>
          <t>Ampol Retail</t>
        </is>
      </c>
      <c r="O86" t="inlineStr">
        <is>
          <t>Store Operations</t>
        </is>
      </c>
      <c r="P86" t="inlineStr">
        <is>
          <t>Deployment</t>
        </is>
      </c>
      <c r="Q86" t="inlineStr">
        <is>
          <t>Squad</t>
        </is>
      </c>
      <c r="R86" t="inlineStr">
        <is>
          <t>Filled</t>
        </is>
      </c>
    </row>
    <row r="87" ht="18" customHeight="1" s="302">
      <c r="A87" s="314" t="n">
        <v>99999101623</v>
      </c>
      <c r="B87" s="239" t="inlineStr">
        <is>
          <t>Michael Dasan</t>
        </is>
      </c>
      <c r="C87" s="239" t="inlineStr">
        <is>
          <t>Engineer - Data</t>
        </is>
      </c>
      <c r="D87" s="315" t="inlineStr">
        <is>
          <t>Vacant</t>
        </is>
      </c>
      <c r="E87" s="239" t="inlineStr">
        <is>
          <t>Technology Manager, Data</t>
        </is>
      </c>
      <c r="F87" s="239" t="inlineStr">
        <is>
          <t>Ampol Retail &amp; Z</t>
        </is>
      </c>
      <c r="G87" s="315" t="inlineStr">
        <is>
          <t>Z &amp; Group Retail</t>
        </is>
      </c>
      <c r="H87" s="239" t="inlineStr">
        <is>
          <t>Z &amp; Group Retail, Data</t>
        </is>
      </c>
      <c r="I87" s="239" t="inlineStr">
        <is>
          <t>Z</t>
        </is>
      </c>
      <c r="J87" s="315" t="inlineStr">
        <is>
          <t>Z Customer &amp; Z Supply</t>
        </is>
      </c>
      <c r="K87" s="239" t="inlineStr">
        <is>
          <t>Data - NZ</t>
        </is>
      </c>
      <c r="L87" s="315" t="n"/>
      <c r="M87" s="316" t="inlineStr">
        <is>
          <t>NZ</t>
        </is>
      </c>
      <c r="N87" t="inlineStr">
        <is>
          <t>Z Retail</t>
        </is>
      </c>
      <c r="O87" t="inlineStr">
        <is>
          <t>-</t>
        </is>
      </c>
      <c r="P87" t="inlineStr">
        <is>
          <t>Data NZ</t>
        </is>
      </c>
      <c r="Q87" t="inlineStr">
        <is>
          <t>Unmapped</t>
        </is>
      </c>
      <c r="R87" t="inlineStr">
        <is>
          <t>Filled</t>
        </is>
      </c>
    </row>
    <row r="88" ht="18" customHeight="1" s="302">
      <c r="A88" s="314" t="n"/>
      <c r="B88" s="239" t="inlineStr">
        <is>
          <t>Vacant</t>
        </is>
      </c>
      <c r="C88" s="239" t="inlineStr">
        <is>
          <t>Quality Assurance</t>
        </is>
      </c>
      <c r="D88" s="315" t="inlineStr">
        <is>
          <t>Vacant</t>
        </is>
      </c>
      <c r="E88" s="239" t="inlineStr">
        <is>
          <t>Lead Quality Assurance</t>
        </is>
      </c>
      <c r="F88" s="239" t="inlineStr">
        <is>
          <t>Ampol Retail &amp; Z</t>
        </is>
      </c>
      <c r="G88" s="315" t="inlineStr">
        <is>
          <t>Ampol Retail</t>
        </is>
      </c>
      <c r="H88" s="239" t="inlineStr">
        <is>
          <t>Ampol Retail, Store Platforms</t>
        </is>
      </c>
      <c r="I88" s="239" t="inlineStr">
        <is>
          <t>Retail</t>
        </is>
      </c>
      <c r="J88" s="335" t="inlineStr">
        <is>
          <t>Store Operations</t>
        </is>
      </c>
      <c r="K88" s="331" t="inlineStr">
        <is>
          <t>POS</t>
        </is>
      </c>
      <c r="L88" s="315" t="n"/>
      <c r="M88" s="316" t="n"/>
      <c r="N88" t="inlineStr">
        <is>
          <t>Ampol Retail</t>
        </is>
      </c>
      <c r="O88" t="inlineStr">
        <is>
          <t>Store Operations</t>
        </is>
      </c>
      <c r="P88" t="inlineStr">
        <is>
          <t>POS</t>
        </is>
      </c>
      <c r="Q88" t="inlineStr">
        <is>
          <t>Squad</t>
        </is>
      </c>
      <c r="R88" t="inlineStr">
        <is>
          <t>Vacant</t>
        </is>
      </c>
    </row>
    <row r="89" ht="18" customFormat="1" customHeight="1" s="336">
      <c r="A89" s="314" t="n"/>
      <c r="B89" s="239" t="inlineStr">
        <is>
          <t>Vacant</t>
        </is>
      </c>
      <c r="C89" s="239" t="inlineStr">
        <is>
          <t>Quality Assurance</t>
        </is>
      </c>
      <c r="D89" s="315" t="inlineStr">
        <is>
          <t>Vacant</t>
        </is>
      </c>
      <c r="E89" s="239" t="inlineStr">
        <is>
          <t>Lead Quality Assurance</t>
        </is>
      </c>
      <c r="F89" s="239" t="inlineStr">
        <is>
          <t>Ampol Retail &amp; Z</t>
        </is>
      </c>
      <c r="G89" s="315" t="inlineStr">
        <is>
          <t>Ampol Retail</t>
        </is>
      </c>
      <c r="H89" s="239" t="inlineStr">
        <is>
          <t>Ampol Retail, Store Platforms</t>
        </is>
      </c>
      <c r="I89" s="239" t="inlineStr">
        <is>
          <t>Retail</t>
        </is>
      </c>
      <c r="J89" s="335" t="inlineStr">
        <is>
          <t>Store Operations</t>
        </is>
      </c>
      <c r="K89" s="331" t="inlineStr">
        <is>
          <t>POS</t>
        </is>
      </c>
      <c r="L89" s="315" t="n"/>
      <c r="M89" s="316" t="n"/>
      <c r="N89" s="317" t="inlineStr">
        <is>
          <t>Ampol Retail</t>
        </is>
      </c>
      <c r="O89" s="317" t="inlineStr">
        <is>
          <t>Store Operations</t>
        </is>
      </c>
      <c r="P89" t="inlineStr">
        <is>
          <t>POS</t>
        </is>
      </c>
      <c r="Q89" t="inlineStr">
        <is>
          <t>Squad</t>
        </is>
      </c>
      <c r="R89" t="inlineStr">
        <is>
          <t>Vacant</t>
        </is>
      </c>
    </row>
    <row r="90" ht="18" customHeight="1" s="302">
      <c r="A90" s="314" t="n"/>
      <c r="B90" s="239" t="inlineStr">
        <is>
          <t>Vacant</t>
        </is>
      </c>
      <c r="C90" s="239" t="inlineStr">
        <is>
          <t>Engineer - Data</t>
        </is>
      </c>
      <c r="D90" s="315" t="inlineStr">
        <is>
          <t>Vacant</t>
        </is>
      </c>
      <c r="E90" s="239" t="inlineStr">
        <is>
          <t>Technology Manager, Data</t>
        </is>
      </c>
      <c r="F90" s="239" t="inlineStr">
        <is>
          <t>Ampol Retail &amp; Z</t>
        </is>
      </c>
      <c r="G90" s="315" t="inlineStr">
        <is>
          <t>Z &amp; Group Retail</t>
        </is>
      </c>
      <c r="H90" s="239" t="inlineStr">
        <is>
          <t>Z &amp; Group Retail, Data</t>
        </is>
      </c>
      <c r="I90" s="239" t="inlineStr">
        <is>
          <t>Retail</t>
        </is>
      </c>
      <c r="J90" s="315" t="inlineStr">
        <is>
          <t>(All Retail)</t>
        </is>
      </c>
      <c r="K90" s="239" t="inlineStr">
        <is>
          <t>Data - AU</t>
        </is>
      </c>
      <c r="L90" s="315" t="n"/>
      <c r="M90" s="316" t="n"/>
      <c r="N90" t="inlineStr">
        <is>
          <t>Ampol Retail</t>
        </is>
      </c>
      <c r="O90" t="inlineStr">
        <is>
          <t>Data AU</t>
        </is>
      </c>
      <c r="P90" t="inlineStr">
        <is>
          <t>Data AU</t>
        </is>
      </c>
      <c r="Q90" t="inlineStr">
        <is>
          <t>Squad</t>
        </is>
      </c>
      <c r="R90" t="inlineStr">
        <is>
          <t>Vacant</t>
        </is>
      </c>
    </row>
    <row r="91" ht="18" customFormat="1" customHeight="1" s="336">
      <c r="A91" s="314" t="n">
        <v>0</v>
      </c>
      <c r="B91" s="239" t="inlineStr">
        <is>
          <t>Viren Khatri</t>
        </is>
      </c>
      <c r="C91" s="239" t="inlineStr">
        <is>
          <t>Data Migration Lead</t>
        </is>
      </c>
      <c r="D91" s="315" t="inlineStr">
        <is>
          <t>Vacant</t>
        </is>
      </c>
      <c r="E91" s="239" t="inlineStr">
        <is>
          <t>Technology Manager, Data</t>
        </is>
      </c>
      <c r="F91" s="239" t="inlineStr">
        <is>
          <t>Ampol Retail &amp; Z</t>
        </is>
      </c>
      <c r="G91" s="315" t="inlineStr">
        <is>
          <t>Z &amp; Group Retail</t>
        </is>
      </c>
      <c r="H91" s="239" t="inlineStr">
        <is>
          <t>Z &amp; Group Retail, Data</t>
        </is>
      </c>
      <c r="I91" s="239" t="inlineStr">
        <is>
          <t>EGI Integration</t>
        </is>
      </c>
      <c r="J91" s="315" t="inlineStr">
        <is>
          <t>EGI</t>
        </is>
      </c>
      <c r="K91" s="239" t="inlineStr">
        <is>
          <t>EGI TDD</t>
        </is>
      </c>
      <c r="L91" s="315" t="n"/>
      <c r="M91" s="316" t="n">
        <v>0</v>
      </c>
      <c r="N91" t="inlineStr">
        <is>
          <t>TDD Group Functions</t>
        </is>
      </c>
      <c r="O91" t="inlineStr">
        <is>
          <t>EGI TDD</t>
        </is>
      </c>
      <c r="P91" t="inlineStr">
        <is>
          <t>EGI TDD</t>
        </is>
      </c>
      <c r="Q91" t="inlineStr">
        <is>
          <t>Strategic Program</t>
        </is>
      </c>
      <c r="R91" t="inlineStr">
        <is>
          <t>Filled</t>
        </is>
      </c>
    </row>
    <row r="92" ht="18" customHeight="1" s="302">
      <c r="A92" s="314" t="n">
        <v>85137</v>
      </c>
      <c r="B92" s="239" t="inlineStr">
        <is>
          <t>Mick Standen</t>
        </is>
      </c>
      <c r="C92" s="239" t="inlineStr">
        <is>
          <t>Systems Analyst</t>
        </is>
      </c>
      <c r="D92" s="239" t="inlineStr">
        <is>
          <t>Vaishnavi Viswanathan</t>
        </is>
      </c>
      <c r="E92" s="239" t="inlineStr">
        <is>
          <t>Technology Manager, Store Platform</t>
        </is>
      </c>
      <c r="F92" s="239" t="inlineStr">
        <is>
          <t>Ampol Retail &amp; Z</t>
        </is>
      </c>
      <c r="G92" s="315" t="inlineStr">
        <is>
          <t>Ampol Retail</t>
        </is>
      </c>
      <c r="H92" s="239" t="inlineStr">
        <is>
          <t>Ampol  Retail, Store Platforms</t>
        </is>
      </c>
      <c r="I92" s="239" t="inlineStr">
        <is>
          <t>Retail</t>
        </is>
      </c>
      <c r="J92" s="315" t="inlineStr">
        <is>
          <t>AMPOS</t>
        </is>
      </c>
      <c r="K92" s="239" t="inlineStr">
        <is>
          <t>AmPos</t>
        </is>
      </c>
      <c r="L92" s="315" t="n"/>
      <c r="M92" s="316" t="inlineStr">
        <is>
          <t>Australia</t>
        </is>
      </c>
      <c r="N92" t="inlineStr">
        <is>
          <t>Ampol Retail</t>
        </is>
      </c>
      <c r="O92" t="inlineStr">
        <is>
          <t>AmPOS</t>
        </is>
      </c>
      <c r="P92" t="inlineStr">
        <is>
          <t>AmPOS</t>
        </is>
      </c>
      <c r="Q92" t="inlineStr">
        <is>
          <t>Strategic Program</t>
        </is>
      </c>
      <c r="R92" t="inlineStr">
        <is>
          <t>Filled</t>
        </is>
      </c>
    </row>
    <row r="93" ht="18" customHeight="1" s="302">
      <c r="A93" s="314" t="n"/>
      <c r="B93" s="239" t="inlineStr">
        <is>
          <t>Vacant</t>
        </is>
      </c>
      <c r="C93" s="239" t="inlineStr">
        <is>
          <t>Engineer Integration</t>
        </is>
      </c>
      <c r="D93" s="239" t="inlineStr">
        <is>
          <t>Vaishnavi Viswanathan</t>
        </is>
      </c>
      <c r="E93" s="239" t="inlineStr">
        <is>
          <t>Technology Manager, Store Platform</t>
        </is>
      </c>
      <c r="F93" s="239" t="inlineStr">
        <is>
          <t>Ampol Retail &amp; Z</t>
        </is>
      </c>
      <c r="G93" s="315" t="inlineStr">
        <is>
          <t>Ampol Retail</t>
        </is>
      </c>
      <c r="H93" s="239" t="inlineStr">
        <is>
          <t>Ampol  Retail, Store Platforms</t>
        </is>
      </c>
      <c r="I93" s="239" t="inlineStr">
        <is>
          <t>Retail</t>
        </is>
      </c>
      <c r="J93" s="315" t="inlineStr">
        <is>
          <t>Store Operations</t>
        </is>
      </c>
      <c r="K93" s="331" t="inlineStr">
        <is>
          <t>POS</t>
        </is>
      </c>
      <c r="L93" s="315" t="n"/>
      <c r="M93" s="316" t="n"/>
      <c r="N93" t="inlineStr">
        <is>
          <t>Ampol Retail</t>
        </is>
      </c>
      <c r="O93" t="inlineStr">
        <is>
          <t>Store Operations</t>
        </is>
      </c>
      <c r="P93" t="inlineStr">
        <is>
          <t>POS</t>
        </is>
      </c>
      <c r="Q93" t="inlineStr">
        <is>
          <t>Squad</t>
        </is>
      </c>
      <c r="R93" t="inlineStr">
        <is>
          <t>Vacant</t>
        </is>
      </c>
    </row>
    <row r="94" ht="18" customHeight="1" s="302">
      <c r="A94" s="314" t="n">
        <v>85321</v>
      </c>
      <c r="B94" s="239" t="inlineStr">
        <is>
          <t>Karthikeyan Kuppan</t>
        </is>
      </c>
      <c r="C94" s="239" t="inlineStr">
        <is>
          <t>Lead - AU Retail Operations</t>
        </is>
      </c>
      <c r="D94" s="239" t="inlineStr">
        <is>
          <t>Vaishnavi Viswanathan</t>
        </is>
      </c>
      <c r="E94" s="239" t="inlineStr">
        <is>
          <t>Technology Manager, Store Platform</t>
        </is>
      </c>
      <c r="F94" s="239" t="inlineStr">
        <is>
          <t>Ampol Retail &amp; Z</t>
        </is>
      </c>
      <c r="G94" s="315" t="inlineStr">
        <is>
          <t>Ampol Retail</t>
        </is>
      </c>
      <c r="H94" s="239" t="inlineStr">
        <is>
          <t>Ampol  Retail, Store Platforms</t>
        </is>
      </c>
      <c r="I94" s="239" t="inlineStr">
        <is>
          <t>Retail</t>
        </is>
      </c>
      <c r="J94" s="315" t="inlineStr">
        <is>
          <t>Store Operations</t>
        </is>
      </c>
      <c r="K94" s="239" t="inlineStr">
        <is>
          <t>Store Operations</t>
        </is>
      </c>
      <c r="L94" s="315" t="n"/>
      <c r="M94" s="316" t="inlineStr">
        <is>
          <t>Australia</t>
        </is>
      </c>
      <c r="N94" t="inlineStr">
        <is>
          <t>Ampol Retail</t>
        </is>
      </c>
      <c r="O94" t="inlineStr">
        <is>
          <t>Store Operations</t>
        </is>
      </c>
      <c r="P94" t="inlineStr">
        <is>
          <t>Store Operations</t>
        </is>
      </c>
      <c r="Q94" t="inlineStr">
        <is>
          <t>Squad</t>
        </is>
      </c>
      <c r="R94" t="inlineStr">
        <is>
          <t>Filled</t>
        </is>
      </c>
    </row>
    <row r="95" ht="18" customHeight="1" s="302">
      <c r="A95" s="314" t="n">
        <v>114003</v>
      </c>
      <c r="B95" s="325" t="inlineStr">
        <is>
          <t>Sayan Kar</t>
        </is>
      </c>
      <c r="C95" s="239" t="inlineStr">
        <is>
          <t>Systems Analyst</t>
        </is>
      </c>
      <c r="D95" s="239" t="inlineStr">
        <is>
          <t>Vaishnavi Viswanathan</t>
        </is>
      </c>
      <c r="E95" s="239" t="inlineStr">
        <is>
          <t>Technology Manager, Store Platform</t>
        </is>
      </c>
      <c r="F95" s="239" t="inlineStr">
        <is>
          <t>Ampol Retail &amp; Z</t>
        </is>
      </c>
      <c r="G95" s="315" t="inlineStr">
        <is>
          <t>Ampol Retail</t>
        </is>
      </c>
      <c r="H95" s="239" t="inlineStr">
        <is>
          <t>Ampol  Retail, Store Platforms</t>
        </is>
      </c>
      <c r="I95" s="239" t="inlineStr">
        <is>
          <t>Retail</t>
        </is>
      </c>
      <c r="J95" s="315" t="inlineStr">
        <is>
          <t>Store Operations</t>
        </is>
      </c>
      <c r="K95" s="239" t="inlineStr">
        <is>
          <t>Payments</t>
        </is>
      </c>
      <c r="L95" s="315" t="n"/>
      <c r="M95" s="316" t="inlineStr">
        <is>
          <t>Australia</t>
        </is>
      </c>
      <c r="N95" t="inlineStr">
        <is>
          <t>Ampol Retail</t>
        </is>
      </c>
      <c r="O95" t="inlineStr">
        <is>
          <t>Store Operations</t>
        </is>
      </c>
      <c r="P95" t="inlineStr">
        <is>
          <t>Payments</t>
        </is>
      </c>
      <c r="Q95" t="inlineStr">
        <is>
          <t>Squad</t>
        </is>
      </c>
      <c r="R95" t="inlineStr">
        <is>
          <t>Filled</t>
        </is>
      </c>
    </row>
    <row r="96" ht="18" customHeight="1" s="302">
      <c r="A96" s="314" t="n">
        <v>99999101804</v>
      </c>
      <c r="B96" s="326" t="inlineStr">
        <is>
          <t>Kate Johnstone</t>
        </is>
      </c>
      <c r="C96" s="315" t="inlineStr">
        <is>
          <t>Program Manager POS</t>
        </is>
      </c>
      <c r="D96" s="239" t="inlineStr">
        <is>
          <t>Vance Anderson</t>
        </is>
      </c>
      <c r="E96" s="315" t="inlineStr">
        <is>
          <t>GM TDD, Ampol Retail &amp; Z</t>
        </is>
      </c>
      <c r="F96" s="239" t="inlineStr">
        <is>
          <t>Ampol Retail &amp; Z</t>
        </is>
      </c>
      <c r="G96" s="315" t="inlineStr">
        <is>
          <t>Program Management</t>
        </is>
      </c>
      <c r="H96" s="239" t="n"/>
      <c r="I96" s="239" t="inlineStr">
        <is>
          <t>Retail</t>
        </is>
      </c>
      <c r="J96" s="315" t="inlineStr">
        <is>
          <t>AMPOS</t>
        </is>
      </c>
      <c r="K96" s="324" t="inlineStr">
        <is>
          <t>AmPos</t>
        </is>
      </c>
      <c r="L96" s="315" t="n"/>
      <c r="M96" s="316" t="inlineStr">
        <is>
          <t>NZ</t>
        </is>
      </c>
      <c r="N96" t="inlineStr">
        <is>
          <t>Ampol Retail</t>
        </is>
      </c>
      <c r="O96" t="inlineStr">
        <is>
          <t>AmPOS</t>
        </is>
      </c>
      <c r="P96" t="inlineStr">
        <is>
          <t>AmPOS</t>
        </is>
      </c>
      <c r="Q96" t="inlineStr">
        <is>
          <t>Strategic Program</t>
        </is>
      </c>
      <c r="R96" t="inlineStr">
        <is>
          <t>Filled</t>
        </is>
      </c>
    </row>
    <row r="97" ht="18" customHeight="1" s="302">
      <c r="A97" s="314" t="n">
        <v>110852</v>
      </c>
      <c r="B97" s="239" t="inlineStr">
        <is>
          <t>Madan Murthy</t>
        </is>
      </c>
      <c r="C97" s="239" t="inlineStr">
        <is>
          <t>Head of Technology, AU Retail</t>
        </is>
      </c>
      <c r="D97" s="239" t="inlineStr">
        <is>
          <t>Vance Anderson</t>
        </is>
      </c>
      <c r="E97" s="315" t="inlineStr">
        <is>
          <t>GM TDD, Ampol Retail &amp; Z</t>
        </is>
      </c>
      <c r="F97" s="239" t="inlineStr">
        <is>
          <t>Ampol Retail &amp; Z</t>
        </is>
      </c>
      <c r="G97" s="315" t="inlineStr">
        <is>
          <t>Ampol Retail</t>
        </is>
      </c>
      <c r="H97" s="239" t="inlineStr">
        <is>
          <t>na</t>
        </is>
      </c>
      <c r="I97" s="239" t="inlineStr">
        <is>
          <t>Retail</t>
        </is>
      </c>
      <c r="J97" s="239" t="inlineStr">
        <is>
          <t>(All Retail)</t>
        </is>
      </c>
      <c r="K97" s="239" t="inlineStr">
        <is>
          <t>Leadership</t>
        </is>
      </c>
      <c r="L97" s="315" t="n"/>
      <c r="M97" s="316" t="inlineStr">
        <is>
          <t>Australia</t>
        </is>
      </c>
      <c r="N97" t="inlineStr">
        <is>
          <t>Ampol Retail</t>
        </is>
      </c>
      <c r="O97" t="inlineStr">
        <is>
          <t>Leadership</t>
        </is>
      </c>
      <c r="P97" t="inlineStr">
        <is>
          <t>Leadership</t>
        </is>
      </c>
      <c r="Q97" t="inlineStr">
        <is>
          <t>Leadership</t>
        </is>
      </c>
      <c r="R97" t="inlineStr">
        <is>
          <t>Filled</t>
        </is>
      </c>
    </row>
    <row r="98" ht="18" customHeight="1" s="302">
      <c r="A98" s="314" t="n"/>
      <c r="B98" s="239" t="inlineStr">
        <is>
          <t>Vacant</t>
        </is>
      </c>
      <c r="C98" s="239" t="inlineStr">
        <is>
          <t>Head of Technology, Z and Group Retail Platforms</t>
        </is>
      </c>
      <c r="D98" s="325" t="inlineStr">
        <is>
          <t>Vance Anderson</t>
        </is>
      </c>
      <c r="E98" s="315" t="inlineStr">
        <is>
          <t>GM TDD, Ampol Retail &amp; Z</t>
        </is>
      </c>
      <c r="F98" s="239" t="inlineStr">
        <is>
          <t>Ampol Retail &amp; Z</t>
        </is>
      </c>
      <c r="G98" s="315" t="inlineStr">
        <is>
          <t>Z &amp; Group Retail</t>
        </is>
      </c>
      <c r="H98" s="239" t="inlineStr">
        <is>
          <t>Delivery, Commercial Fuels</t>
        </is>
      </c>
      <c r="I98" s="239" t="inlineStr">
        <is>
          <t>Z</t>
        </is>
      </c>
      <c r="J98" s="239" t="inlineStr">
        <is>
          <t>Z Customer &amp; Z Supply</t>
        </is>
      </c>
      <c r="K98" s="315" t="inlineStr">
        <is>
          <t>Leadership</t>
        </is>
      </c>
      <c r="L98" s="315" t="n"/>
      <c r="M98" s="316" t="n"/>
      <c r="N98" t="inlineStr">
        <is>
          <t>Z Retail</t>
        </is>
      </c>
      <c r="O98" t="inlineStr">
        <is>
          <t>Leadership</t>
        </is>
      </c>
      <c r="P98" t="inlineStr">
        <is>
          <t>Leadership</t>
        </is>
      </c>
      <c r="Q98" t="inlineStr">
        <is>
          <t>Leadership</t>
        </is>
      </c>
      <c r="R98" t="inlineStr">
        <is>
          <t>Vacant</t>
        </is>
      </c>
    </row>
    <row r="99" ht="18" customHeight="1" s="302">
      <c r="A99" s="314" t="n">
        <v>0</v>
      </c>
      <c r="B99" s="239" t="inlineStr">
        <is>
          <t>Alex Prakhiy</t>
        </is>
      </c>
      <c r="C99" s="239" t="inlineStr">
        <is>
          <t>Business Analyst</t>
        </is>
      </c>
      <c r="D99" s="239" t="inlineStr">
        <is>
          <t>Vanessa Allen</t>
        </is>
      </c>
      <c r="E99" s="239" t="inlineStr">
        <is>
          <t>Delivery Manager, Ampol Retail</t>
        </is>
      </c>
      <c r="F99" s="239" t="inlineStr">
        <is>
          <t>Ampol Retail &amp; Z</t>
        </is>
      </c>
      <c r="G99" s="315" t="inlineStr">
        <is>
          <t>Ampol Retail</t>
        </is>
      </c>
      <c r="H99" s="239" t="inlineStr">
        <is>
          <t>Ampol Retail, Delivery</t>
        </is>
      </c>
      <c r="I99" s="239" t="inlineStr">
        <is>
          <t>EGI Integration</t>
        </is>
      </c>
      <c r="J99" s="315" t="inlineStr">
        <is>
          <t>EGI</t>
        </is>
      </c>
      <c r="K99" s="239" t="inlineStr">
        <is>
          <t>EGI Retail</t>
        </is>
      </c>
      <c r="L99" s="315" t="n"/>
      <c r="M99" s="316" t="n">
        <v>0</v>
      </c>
      <c r="N99" t="inlineStr">
        <is>
          <t>Ampol Retail</t>
        </is>
      </c>
      <c r="O99" t="inlineStr">
        <is>
          <t>EGI Retail</t>
        </is>
      </c>
      <c r="P99" t="inlineStr">
        <is>
          <t>EGI Retail</t>
        </is>
      </c>
      <c r="Q99" t="inlineStr">
        <is>
          <t>Strategic Program</t>
        </is>
      </c>
      <c r="R99" t="inlineStr">
        <is>
          <t>Filled</t>
        </is>
      </c>
    </row>
    <row r="100" ht="18" customHeight="1" s="302">
      <c r="A100" s="314" t="n">
        <v>0</v>
      </c>
      <c r="B100" s="239" t="inlineStr">
        <is>
          <t>Bhaskar Nandi</t>
        </is>
      </c>
      <c r="C100" s="239" t="inlineStr">
        <is>
          <t>Business Analyst</t>
        </is>
      </c>
      <c r="D100" s="239" t="inlineStr">
        <is>
          <t>Vanessa Allen</t>
        </is>
      </c>
      <c r="E100" s="239" t="inlineStr">
        <is>
          <t>Delivery Manager, Ampol Retail</t>
        </is>
      </c>
      <c r="F100" s="239" t="inlineStr">
        <is>
          <t>Ampol Retail &amp; Z</t>
        </is>
      </c>
      <c r="G100" s="315" t="inlineStr">
        <is>
          <t>Ampol Retail</t>
        </is>
      </c>
      <c r="H100" s="239" t="inlineStr">
        <is>
          <t>Ampol Retail, Delivery</t>
        </is>
      </c>
      <c r="I100" s="239" t="inlineStr">
        <is>
          <t>EGI Integration</t>
        </is>
      </c>
      <c r="J100" s="315" t="inlineStr">
        <is>
          <t>EGI</t>
        </is>
      </c>
      <c r="K100" s="239" t="inlineStr">
        <is>
          <t>EGI Retail</t>
        </is>
      </c>
      <c r="L100" s="315" t="n"/>
      <c r="M100" s="316" t="n">
        <v>0</v>
      </c>
      <c r="N100" t="inlineStr">
        <is>
          <t>Ampol Retail</t>
        </is>
      </c>
      <c r="O100" t="inlineStr">
        <is>
          <t>EGI Retail</t>
        </is>
      </c>
      <c r="P100" t="inlineStr">
        <is>
          <t>EGI Retail</t>
        </is>
      </c>
      <c r="Q100" t="inlineStr">
        <is>
          <t>Strategic Program</t>
        </is>
      </c>
      <c r="R100" t="inlineStr">
        <is>
          <t>Filled</t>
        </is>
      </c>
    </row>
    <row r="101" ht="18" customHeight="1" s="302">
      <c r="A101" s="314" t="n"/>
      <c r="B101" s="239" t="inlineStr">
        <is>
          <t>Vacant</t>
        </is>
      </c>
      <c r="C101" s="239" t="inlineStr">
        <is>
          <t>Delivery Lead</t>
        </is>
      </c>
      <c r="D101" s="239" t="inlineStr">
        <is>
          <t>Vanessa Allen</t>
        </is>
      </c>
      <c r="E101" s="239" t="inlineStr">
        <is>
          <t>Delivery Manager, Ampol Retail</t>
        </is>
      </c>
      <c r="F101" s="239" t="inlineStr">
        <is>
          <t>Ampol Retail &amp; Z</t>
        </is>
      </c>
      <c r="G101" s="315" t="inlineStr">
        <is>
          <t>Ampol Retail</t>
        </is>
      </c>
      <c r="H101" s="239" t="inlineStr">
        <is>
          <t>Ampol Retail, Delivery</t>
        </is>
      </c>
      <c r="I101" s="239" t="inlineStr">
        <is>
          <t>Retail</t>
        </is>
      </c>
      <c r="J101" s="331" t="inlineStr">
        <is>
          <t>Above Store</t>
        </is>
      </c>
      <c r="K101" s="331" t="inlineStr">
        <is>
          <t>Above Store</t>
        </is>
      </c>
      <c r="L101" s="315" t="n"/>
      <c r="M101" s="316" t="n"/>
      <c r="N101" s="317" t="inlineStr">
        <is>
          <t>Ampol Retail</t>
        </is>
      </c>
      <c r="O101" t="inlineStr">
        <is>
          <t>Above Store</t>
        </is>
      </c>
      <c r="P101" t="inlineStr">
        <is>
          <t>Above Store</t>
        </is>
      </c>
      <c r="Q101" t="inlineStr">
        <is>
          <t>Squad</t>
        </is>
      </c>
      <c r="R101" t="inlineStr">
        <is>
          <t>Vacant</t>
        </is>
      </c>
    </row>
    <row r="102" ht="18" customHeight="1" s="302">
      <c r="A102" s="314" t="n">
        <v>110704</v>
      </c>
      <c r="B102" s="239" t="inlineStr">
        <is>
          <t>Irfan Zavahir</t>
        </is>
      </c>
      <c r="C102" s="239" t="inlineStr">
        <is>
          <t>Delivery Lead</t>
        </is>
      </c>
      <c r="D102" s="239" t="inlineStr">
        <is>
          <t>Vanessa Allen</t>
        </is>
      </c>
      <c r="E102" s="239" t="inlineStr">
        <is>
          <t>Delivery Manager, Ampol Retail</t>
        </is>
      </c>
      <c r="F102" s="239" t="inlineStr">
        <is>
          <t>Ampol Retail &amp; Z</t>
        </is>
      </c>
      <c r="G102" s="315" t="inlineStr">
        <is>
          <t>Ampol Retail</t>
        </is>
      </c>
      <c r="H102" s="239" t="inlineStr">
        <is>
          <t>Ampol Retail, Delivery</t>
        </is>
      </c>
      <c r="I102" s="239" t="inlineStr">
        <is>
          <t>Retail</t>
        </is>
      </c>
      <c r="J102" s="315" t="inlineStr">
        <is>
          <t>AMPOS</t>
        </is>
      </c>
      <c r="K102" s="239" t="inlineStr">
        <is>
          <t>Ampos</t>
        </is>
      </c>
      <c r="L102" s="315" t="n"/>
      <c r="M102" s="316" t="inlineStr">
        <is>
          <t>Australia</t>
        </is>
      </c>
      <c r="N102" t="inlineStr">
        <is>
          <t>Ampol Retail</t>
        </is>
      </c>
      <c r="O102" t="inlineStr">
        <is>
          <t>AmPOS</t>
        </is>
      </c>
      <c r="P102" t="inlineStr">
        <is>
          <t>AmPOS</t>
        </is>
      </c>
      <c r="Q102" t="inlineStr">
        <is>
          <t>Strategic Program</t>
        </is>
      </c>
      <c r="R102" t="inlineStr">
        <is>
          <t>Filled</t>
        </is>
      </c>
    </row>
    <row r="103" ht="18" customFormat="1" customHeight="1" s="337">
      <c r="A103" s="314" t="n"/>
      <c r="B103" s="239" t="inlineStr">
        <is>
          <t>Vacant</t>
        </is>
      </c>
      <c r="C103" s="239" t="inlineStr">
        <is>
          <t>Business Analyst</t>
        </is>
      </c>
      <c r="D103" s="239" t="inlineStr">
        <is>
          <t>Vanessa Allen</t>
        </is>
      </c>
      <c r="E103" s="239" t="inlineStr">
        <is>
          <t>Delivery Manager, Ampol Retail</t>
        </is>
      </c>
      <c r="F103" s="239" t="inlineStr">
        <is>
          <t>Ampol Retail &amp; Z</t>
        </is>
      </c>
      <c r="G103" s="315" t="inlineStr">
        <is>
          <t>Ampol Retail</t>
        </is>
      </c>
      <c r="H103" s="239" t="inlineStr">
        <is>
          <t>Ampol Retail, Delivery</t>
        </is>
      </c>
      <c r="I103" s="239" t="inlineStr">
        <is>
          <t>Retail</t>
        </is>
      </c>
      <c r="J103" s="331" t="inlineStr">
        <is>
          <t>Above Store</t>
        </is>
      </c>
      <c r="K103" s="331" t="inlineStr">
        <is>
          <t>Above Store</t>
        </is>
      </c>
      <c r="L103" s="315" t="n"/>
      <c r="M103" s="316" t="n"/>
      <c r="N103" s="337" t="inlineStr">
        <is>
          <t>Ampol Retail</t>
        </is>
      </c>
      <c r="O103" t="inlineStr">
        <is>
          <t>Above Store</t>
        </is>
      </c>
      <c r="P103" t="inlineStr">
        <is>
          <t>Above Store</t>
        </is>
      </c>
      <c r="Q103" t="inlineStr">
        <is>
          <t>Squad</t>
        </is>
      </c>
      <c r="R103" t="inlineStr">
        <is>
          <t>Vacant</t>
        </is>
      </c>
    </row>
    <row r="104" ht="18" customFormat="1" customHeight="1" s="340">
      <c r="A104" s="338" t="n"/>
      <c r="B104" s="331" t="inlineStr">
        <is>
          <t>Vacant</t>
        </is>
      </c>
      <c r="C104" s="331" t="inlineStr">
        <is>
          <t>Business Analyst</t>
        </is>
      </c>
      <c r="D104" s="331" t="inlineStr">
        <is>
          <t>Vanessa Allen</t>
        </is>
      </c>
      <c r="E104" s="331" t="inlineStr">
        <is>
          <t>Delivery Manager, Ampol Retail</t>
        </is>
      </c>
      <c r="F104" s="331" t="inlineStr">
        <is>
          <t>Ampol Retail &amp; Z</t>
        </is>
      </c>
      <c r="G104" s="335" t="inlineStr">
        <is>
          <t>Ampol Retail</t>
        </is>
      </c>
      <c r="H104" s="331" t="inlineStr">
        <is>
          <t>Ampol Retail, Delivery</t>
        </is>
      </c>
      <c r="I104" s="331" t="inlineStr">
        <is>
          <t>Retail</t>
        </is>
      </c>
      <c r="J104" s="331" t="inlineStr">
        <is>
          <t>Above Store</t>
        </is>
      </c>
      <c r="K104" s="331" t="inlineStr">
        <is>
          <t>Above Store</t>
        </is>
      </c>
      <c r="L104" s="335" t="n"/>
      <c r="M104" s="339" t="n"/>
      <c r="N104" t="inlineStr">
        <is>
          <t>Ampol Retail</t>
        </is>
      </c>
      <c r="O104" t="inlineStr">
        <is>
          <t>Above Store</t>
        </is>
      </c>
      <c r="P104" t="inlineStr">
        <is>
          <t>Above Store</t>
        </is>
      </c>
      <c r="Q104" t="inlineStr">
        <is>
          <t>Squad</t>
        </is>
      </c>
      <c r="R104" t="inlineStr">
        <is>
          <t>Vacant</t>
        </is>
      </c>
    </row>
    <row r="105" ht="18" customHeight="1" s="302">
      <c r="A105" s="314" t="n">
        <v>97784</v>
      </c>
      <c r="B105" s="239" t="inlineStr">
        <is>
          <t>Balaji Murugan</t>
        </is>
      </c>
      <c r="C105" s="239" t="inlineStr">
        <is>
          <t>Delivery Lead</t>
        </is>
      </c>
      <c r="D105" s="239" t="inlineStr">
        <is>
          <t>Vanessa Allen</t>
        </is>
      </c>
      <c r="E105" s="239" t="inlineStr">
        <is>
          <t>Delivery Manager, Ampol Retail</t>
        </is>
      </c>
      <c r="F105" s="239" t="inlineStr">
        <is>
          <t>Ampol Retail &amp; Z</t>
        </is>
      </c>
      <c r="G105" s="315" t="inlineStr">
        <is>
          <t>Ampol Retail</t>
        </is>
      </c>
      <c r="H105" s="239" t="inlineStr">
        <is>
          <t>Ampol Retail, Delivery</t>
        </is>
      </c>
      <c r="I105" s="239" t="inlineStr">
        <is>
          <t>Retail</t>
        </is>
      </c>
      <c r="J105" s="315" t="inlineStr">
        <is>
          <t>AMPOS</t>
        </is>
      </c>
      <c r="K105" s="239" t="inlineStr">
        <is>
          <t>Ampos</t>
        </is>
      </c>
      <c r="L105" s="315" t="n"/>
      <c r="M105" s="316" t="inlineStr">
        <is>
          <t>Australia</t>
        </is>
      </c>
      <c r="N105" t="inlineStr">
        <is>
          <t>Ampol Retail</t>
        </is>
      </c>
      <c r="O105" t="inlineStr">
        <is>
          <t>AmPOS</t>
        </is>
      </c>
      <c r="P105" t="inlineStr">
        <is>
          <t>AmPOS</t>
        </is>
      </c>
      <c r="Q105" t="inlineStr">
        <is>
          <t>Strategic Program</t>
        </is>
      </c>
      <c r="R105" t="inlineStr">
        <is>
          <t>Filled</t>
        </is>
      </c>
    </row>
    <row r="106" ht="18" customHeight="1" s="302">
      <c r="A106" s="314" t="n"/>
      <c r="B106" s="239" t="inlineStr">
        <is>
          <t>Vacant</t>
        </is>
      </c>
      <c r="C106" s="239" t="inlineStr">
        <is>
          <t>Business Analyst</t>
        </is>
      </c>
      <c r="D106" s="239" t="inlineStr">
        <is>
          <t>Vanessa Allen</t>
        </is>
      </c>
      <c r="E106" s="239" t="inlineStr">
        <is>
          <t>Delivery Manager, Ampol Retail</t>
        </is>
      </c>
      <c r="F106" s="239" t="inlineStr">
        <is>
          <t>Ampol Retail &amp; Z</t>
        </is>
      </c>
      <c r="G106" s="315" t="inlineStr">
        <is>
          <t>Ampol Retail</t>
        </is>
      </c>
      <c r="H106" s="239" t="inlineStr">
        <is>
          <t>Ampol Retail, Delivery</t>
        </is>
      </c>
      <c r="I106" s="239" t="inlineStr">
        <is>
          <t>Retail</t>
        </is>
      </c>
      <c r="J106" s="315" t="inlineStr">
        <is>
          <t>Network/QSR</t>
        </is>
      </c>
      <c r="K106" s="239" t="inlineStr">
        <is>
          <t>Network &amp; QSR</t>
        </is>
      </c>
      <c r="L106" s="315" t="n"/>
      <c r="M106" s="316" t="n"/>
      <c r="N106" t="inlineStr">
        <is>
          <t>Ampol Retail</t>
        </is>
      </c>
      <c r="O106" t="inlineStr">
        <is>
          <t>Network / QSR</t>
        </is>
      </c>
      <c r="P106" t="inlineStr">
        <is>
          <t>Network / QSR</t>
        </is>
      </c>
      <c r="Q106" t="inlineStr">
        <is>
          <t>Squad</t>
        </is>
      </c>
      <c r="R106" t="inlineStr">
        <is>
          <t>Vacant</t>
        </is>
      </c>
    </row>
    <row r="107" ht="18" customHeight="1" s="302">
      <c r="A107" s="314" t="n"/>
      <c r="B107" s="239" t="inlineStr">
        <is>
          <t>Vacant</t>
        </is>
      </c>
      <c r="C107" s="239" t="inlineStr">
        <is>
          <t>Business Analyst</t>
        </is>
      </c>
      <c r="D107" s="239" t="inlineStr">
        <is>
          <t>Vanessa Allen</t>
        </is>
      </c>
      <c r="E107" s="239" t="inlineStr">
        <is>
          <t>Delivery Manager, Ampol Retail</t>
        </is>
      </c>
      <c r="F107" s="239" t="inlineStr">
        <is>
          <t>Ampol Retail &amp; Z</t>
        </is>
      </c>
      <c r="G107" s="315" t="inlineStr">
        <is>
          <t>Ampol Retail</t>
        </is>
      </c>
      <c r="H107" s="239" t="inlineStr">
        <is>
          <t>Ampol Retail, Delivery</t>
        </is>
      </c>
      <c r="I107" s="239" t="inlineStr">
        <is>
          <t>Retail</t>
        </is>
      </c>
      <c r="J107" s="331" t="inlineStr">
        <is>
          <t>Above Store</t>
        </is>
      </c>
      <c r="K107" s="331" t="inlineStr">
        <is>
          <t>Above Store</t>
        </is>
      </c>
      <c r="L107" s="315" t="n"/>
      <c r="M107" s="316" t="n"/>
      <c r="N107" t="inlineStr">
        <is>
          <t>Ampol Retail</t>
        </is>
      </c>
      <c r="O107" t="inlineStr">
        <is>
          <t>Above Store</t>
        </is>
      </c>
      <c r="P107" t="inlineStr">
        <is>
          <t>Above Store</t>
        </is>
      </c>
      <c r="Q107" t="inlineStr">
        <is>
          <t>Squad</t>
        </is>
      </c>
      <c r="R107" t="inlineStr">
        <is>
          <t>Vacant</t>
        </is>
      </c>
    </row>
    <row r="108" ht="18" customHeight="1" s="302">
      <c r="A108" s="314" t="n">
        <v>115831</v>
      </c>
      <c r="B108" s="325" t="inlineStr">
        <is>
          <t>Venkat Kedharanathan</t>
        </is>
      </c>
      <c r="C108" s="239" t="inlineStr">
        <is>
          <t>Senior Business Analyst</t>
        </is>
      </c>
      <c r="D108" s="239" t="inlineStr">
        <is>
          <t>Vanessa Allen</t>
        </is>
      </c>
      <c r="E108" s="239" t="inlineStr">
        <is>
          <t>Delivery Manager, Ampol Retail</t>
        </is>
      </c>
      <c r="F108" s="239" t="inlineStr">
        <is>
          <t>Ampol Retail &amp; Z</t>
        </is>
      </c>
      <c r="G108" s="315" t="inlineStr">
        <is>
          <t>Ampol Retail</t>
        </is>
      </c>
      <c r="H108" s="239" t="inlineStr">
        <is>
          <t>Ampol Retail, Delivery</t>
        </is>
      </c>
      <c r="I108" s="239" t="inlineStr">
        <is>
          <t>Retail</t>
        </is>
      </c>
      <c r="J108" s="315" t="inlineStr">
        <is>
          <t>Store Operations</t>
        </is>
      </c>
      <c r="K108" s="239" t="inlineStr">
        <is>
          <t>Payments</t>
        </is>
      </c>
      <c r="L108" s="315" t="n"/>
      <c r="M108" s="316" t="inlineStr">
        <is>
          <t>Australia</t>
        </is>
      </c>
      <c r="N108" t="inlineStr">
        <is>
          <t>Ampol Retail</t>
        </is>
      </c>
      <c r="O108" t="inlineStr">
        <is>
          <t>Store Operations</t>
        </is>
      </c>
      <c r="P108" t="inlineStr">
        <is>
          <t>Payments</t>
        </is>
      </c>
      <c r="Q108" t="inlineStr">
        <is>
          <t>Squad</t>
        </is>
      </c>
      <c r="R108" t="inlineStr">
        <is>
          <t>Filled</t>
        </is>
      </c>
    </row>
    <row r="109" ht="18" customHeight="1" s="302">
      <c r="A109" s="314" t="n">
        <v>98158</v>
      </c>
      <c r="B109" s="239" t="inlineStr">
        <is>
          <t>Vanessa Trujillo Munoz</t>
        </is>
      </c>
      <c r="C109" s="239" t="inlineStr">
        <is>
          <t>Delivery Lead</t>
        </is>
      </c>
      <c r="D109" s="239" t="inlineStr">
        <is>
          <t>Vanessa Allen</t>
        </is>
      </c>
      <c r="E109" s="239" t="inlineStr">
        <is>
          <t>Delivery Manager, Ampol Retail</t>
        </is>
      </c>
      <c r="F109" s="239" t="inlineStr">
        <is>
          <t>Ampol Retail &amp; Z</t>
        </is>
      </c>
      <c r="G109" s="315" t="inlineStr">
        <is>
          <t>Ampol Retail</t>
        </is>
      </c>
      <c r="H109" s="239" t="inlineStr">
        <is>
          <t>Ampol Retail, Delivery</t>
        </is>
      </c>
      <c r="I109" s="239" t="inlineStr">
        <is>
          <t>Retail</t>
        </is>
      </c>
      <c r="J109" s="315" t="inlineStr">
        <is>
          <t>Network/QSR</t>
        </is>
      </c>
      <c r="K109" s="239" t="inlineStr">
        <is>
          <t>Network &amp; QSR</t>
        </is>
      </c>
      <c r="L109" s="315" t="n"/>
      <c r="M109" s="316" t="inlineStr">
        <is>
          <t>Australia</t>
        </is>
      </c>
      <c r="N109" t="inlineStr">
        <is>
          <t>Ampol Retail</t>
        </is>
      </c>
      <c r="O109" t="inlineStr">
        <is>
          <t>Network / QSR</t>
        </is>
      </c>
      <c r="P109" t="inlineStr">
        <is>
          <t>Network / QSR</t>
        </is>
      </c>
      <c r="Q109" t="inlineStr">
        <is>
          <t>Squad</t>
        </is>
      </c>
      <c r="R109" t="inlineStr">
        <is>
          <t>Filled</t>
        </is>
      </c>
    </row>
    <row r="110" ht="18" customHeight="1" s="302">
      <c r="A110" s="314" t="n">
        <v>114616</v>
      </c>
      <c r="B110" s="239" t="inlineStr">
        <is>
          <t>Marty O'Shea</t>
        </is>
      </c>
      <c r="C110" s="239" t="inlineStr">
        <is>
          <t>Systems Analyst</t>
        </is>
      </c>
      <c r="D110" s="239" t="inlineStr">
        <is>
          <t>Vedran Jukic</t>
        </is>
      </c>
      <c r="E110" s="239" t="inlineStr">
        <is>
          <t>Technology Manager, Retail</t>
        </is>
      </c>
      <c r="F110" s="239" t="inlineStr">
        <is>
          <t>Ampol Retail &amp; Z</t>
        </is>
      </c>
      <c r="G110" s="315" t="inlineStr">
        <is>
          <t>Ampol Retail</t>
        </is>
      </c>
      <c r="H110" s="239" t="inlineStr">
        <is>
          <t>Ampol Retail, Technology</t>
        </is>
      </c>
      <c r="I110" s="239" t="inlineStr">
        <is>
          <t>Retail</t>
        </is>
      </c>
      <c r="J110" s="315" t="inlineStr">
        <is>
          <t>Network/QSR</t>
        </is>
      </c>
      <c r="K110" s="239" t="inlineStr">
        <is>
          <t>Network &amp; QSR</t>
        </is>
      </c>
      <c r="L110" s="315" t="n"/>
      <c r="M110" s="316" t="inlineStr">
        <is>
          <t>Australia</t>
        </is>
      </c>
      <c r="N110" t="inlineStr">
        <is>
          <t>Ampol Retail</t>
        </is>
      </c>
      <c r="O110" t="inlineStr">
        <is>
          <t>Network / QSR</t>
        </is>
      </c>
      <c r="P110" t="inlineStr">
        <is>
          <t>Network / QSR</t>
        </is>
      </c>
      <c r="Q110" t="inlineStr">
        <is>
          <t>Squad</t>
        </is>
      </c>
      <c r="R110" t="inlineStr">
        <is>
          <t>Filled</t>
        </is>
      </c>
    </row>
    <row r="111" ht="18" customHeight="1" s="302">
      <c r="A111" s="314" t="n">
        <v>110197</v>
      </c>
      <c r="B111" s="239" t="inlineStr">
        <is>
          <t>Anthony Dumbrell</t>
        </is>
      </c>
      <c r="C111" s="239" t="inlineStr">
        <is>
          <t>Technology &amp; Lab Specialist Stores</t>
        </is>
      </c>
      <c r="D111" s="239" t="inlineStr">
        <is>
          <t>Vedran Jukic</t>
        </is>
      </c>
      <c r="E111" s="239" t="inlineStr">
        <is>
          <t>Technology Manager, Retail</t>
        </is>
      </c>
      <c r="F111" s="239" t="inlineStr">
        <is>
          <t>Ampol Retail &amp; Z</t>
        </is>
      </c>
      <c r="G111" s="315" t="inlineStr">
        <is>
          <t>Ampol Retail</t>
        </is>
      </c>
      <c r="H111" s="239" t="inlineStr">
        <is>
          <t>Ampol Retail, Technology</t>
        </is>
      </c>
      <c r="I111" s="239" t="inlineStr">
        <is>
          <t>Retail</t>
        </is>
      </c>
      <c r="J111" s="315" t="inlineStr">
        <is>
          <t>Store Operations</t>
        </is>
      </c>
      <c r="K111" s="239" t="inlineStr">
        <is>
          <t xml:space="preserve">Deployment </t>
        </is>
      </c>
      <c r="L111" s="315" t="n"/>
      <c r="M111" s="316" t="inlineStr">
        <is>
          <t>Australia</t>
        </is>
      </c>
      <c r="N111" t="inlineStr">
        <is>
          <t>Ampol Retail</t>
        </is>
      </c>
      <c r="O111" t="inlineStr">
        <is>
          <t>Store Operations</t>
        </is>
      </c>
      <c r="P111" t="inlineStr">
        <is>
          <t>Deployment</t>
        </is>
      </c>
      <c r="Q111" t="inlineStr">
        <is>
          <t>Squad</t>
        </is>
      </c>
      <c r="R111" t="inlineStr">
        <is>
          <t>Filled</t>
        </is>
      </c>
    </row>
    <row r="112" ht="18" customHeight="1" s="302">
      <c r="A112" s="314" t="n">
        <v>107164</v>
      </c>
      <c r="B112" s="239" t="inlineStr">
        <is>
          <t>Santiago Hernandez Arevalo</t>
        </is>
      </c>
      <c r="C112" s="239" t="inlineStr">
        <is>
          <t>Systems Analyst</t>
        </is>
      </c>
      <c r="D112" s="239" t="inlineStr">
        <is>
          <t>Vedran Jukic</t>
        </is>
      </c>
      <c r="E112" s="239" t="inlineStr">
        <is>
          <t>Technology Manager, Retail</t>
        </is>
      </c>
      <c r="F112" s="239" t="inlineStr">
        <is>
          <t>Ampol Retail &amp; Z</t>
        </is>
      </c>
      <c r="G112" s="315" t="inlineStr">
        <is>
          <t>Ampol Retail</t>
        </is>
      </c>
      <c r="H112" s="239" t="inlineStr">
        <is>
          <t>Ampol Retail, Store Platforms</t>
        </is>
      </c>
      <c r="I112" s="239" t="inlineStr">
        <is>
          <t>Retail</t>
        </is>
      </c>
      <c r="J112" s="315" t="inlineStr">
        <is>
          <t>Network/QSR</t>
        </is>
      </c>
      <c r="K112" s="239" t="inlineStr">
        <is>
          <t>Network &amp; QSR</t>
        </is>
      </c>
      <c r="L112" s="315" t="n"/>
      <c r="M112" s="316" t="inlineStr">
        <is>
          <t>Australia</t>
        </is>
      </c>
      <c r="N112" t="inlineStr">
        <is>
          <t>Ampol Retail</t>
        </is>
      </c>
      <c r="O112" t="inlineStr">
        <is>
          <t>Network / QSR</t>
        </is>
      </c>
      <c r="P112" t="inlineStr">
        <is>
          <t>Network / QSR</t>
        </is>
      </c>
      <c r="Q112" t="inlineStr">
        <is>
          <t>Squad</t>
        </is>
      </c>
      <c r="R112" t="inlineStr">
        <is>
          <t>Filled</t>
        </is>
      </c>
    </row>
    <row r="113" ht="18" customHeight="1" s="302">
      <c r="A113" s="314" t="n">
        <v>95286</v>
      </c>
      <c r="B113" s="239" t="inlineStr">
        <is>
          <t>Navneet Singh</t>
        </is>
      </c>
      <c r="C113" s="239" t="inlineStr">
        <is>
          <t>Solution Architect</t>
        </is>
      </c>
      <c r="D113" s="239" t="inlineStr">
        <is>
          <t>Vedran Jukic</t>
        </is>
      </c>
      <c r="E113" s="239" t="inlineStr">
        <is>
          <t>Technology Manager, Retail</t>
        </is>
      </c>
      <c r="F113" s="239" t="inlineStr">
        <is>
          <t>Ampol Retail &amp; Z</t>
        </is>
      </c>
      <c r="G113" s="315" t="inlineStr">
        <is>
          <t>Ampol Retail</t>
        </is>
      </c>
      <c r="H113" s="239" t="inlineStr">
        <is>
          <t>Ampol Retail, Technology</t>
        </is>
      </c>
      <c r="I113" s="239" t="inlineStr">
        <is>
          <t>EGI Integration</t>
        </is>
      </c>
      <c r="J113" s="315" t="inlineStr">
        <is>
          <t>EGI</t>
        </is>
      </c>
      <c r="K113" s="239" t="inlineStr">
        <is>
          <t>EGI Retail</t>
        </is>
      </c>
      <c r="L113" s="315" t="n"/>
      <c r="M113" s="316" t="inlineStr">
        <is>
          <t>Australia</t>
        </is>
      </c>
      <c r="N113" t="inlineStr">
        <is>
          <t>Ampol Retail</t>
        </is>
      </c>
      <c r="O113" t="inlineStr">
        <is>
          <t>EGI Retail</t>
        </is>
      </c>
      <c r="P113" t="inlineStr">
        <is>
          <t>EGI Retail</t>
        </is>
      </c>
      <c r="Q113" t="inlineStr">
        <is>
          <t>Strategic Program</t>
        </is>
      </c>
      <c r="R113" t="inlineStr">
        <is>
          <t>Filled</t>
        </is>
      </c>
    </row>
    <row r="114" ht="18" customHeight="1" s="302">
      <c r="A114" s="314" t="n"/>
      <c r="B114" s="239" t="inlineStr">
        <is>
          <t>Vacant</t>
        </is>
      </c>
      <c r="C114" s="239" t="inlineStr">
        <is>
          <t>Engineer - Integration</t>
        </is>
      </c>
      <c r="D114" s="239" t="inlineStr">
        <is>
          <t>Vedran Jukic</t>
        </is>
      </c>
      <c r="E114" s="239" t="inlineStr">
        <is>
          <t>Technology Manager, Retail</t>
        </is>
      </c>
      <c r="F114" s="239" t="inlineStr">
        <is>
          <t>Ampol Retail &amp; Z</t>
        </is>
      </c>
      <c r="G114" s="315" t="inlineStr">
        <is>
          <t>Ampol Retail</t>
        </is>
      </c>
      <c r="H114" s="239" t="inlineStr">
        <is>
          <t>Ampol Retail, Technology</t>
        </is>
      </c>
      <c r="I114" s="239" t="inlineStr">
        <is>
          <t>Retail</t>
        </is>
      </c>
      <c r="J114" s="315" t="inlineStr">
        <is>
          <t>Network/QSR</t>
        </is>
      </c>
      <c r="K114" s="239" t="inlineStr">
        <is>
          <t>Network &amp; QSR</t>
        </is>
      </c>
      <c r="L114" s="315" t="n"/>
      <c r="M114" s="316" t="n"/>
      <c r="N114" t="inlineStr">
        <is>
          <t>Ampol Retail</t>
        </is>
      </c>
      <c r="O114" t="inlineStr">
        <is>
          <t>Network / QSR</t>
        </is>
      </c>
      <c r="P114" t="inlineStr">
        <is>
          <t>Network / QSR</t>
        </is>
      </c>
      <c r="Q114" t="inlineStr">
        <is>
          <t>Squad</t>
        </is>
      </c>
      <c r="R114" t="inlineStr">
        <is>
          <t>Vacant</t>
        </is>
      </c>
    </row>
    <row r="115" ht="18" customHeight="1" s="302">
      <c r="A115" s="314" t="n">
        <v>113555</v>
      </c>
      <c r="B115" s="239" t="inlineStr">
        <is>
          <t>Jill Martin</t>
        </is>
      </c>
      <c r="C115" s="239" t="inlineStr">
        <is>
          <t>Delivery Manager</t>
        </is>
      </c>
      <c r="D115" s="239" t="inlineStr">
        <is>
          <t>Andy Stewart</t>
        </is>
      </c>
      <c r="E115" s="239" t="inlineStr">
        <is>
          <t>Head of Technology, Loyalty &amp; Martech</t>
        </is>
      </c>
      <c r="F115" s="239" t="inlineStr">
        <is>
          <t>Customer</t>
        </is>
      </c>
      <c r="G115" s="315" t="inlineStr">
        <is>
          <t>Loyalty &amp; Martech</t>
        </is>
      </c>
      <c r="H115" s="239" t="inlineStr">
        <is>
          <t xml:space="preserve">Loyalty, Delivery </t>
        </is>
      </c>
      <c r="I115" s="239" t="inlineStr">
        <is>
          <t>Customer</t>
        </is>
      </c>
      <c r="J115" s="239" t="inlineStr">
        <is>
          <t>Customer Z, Group Customer Platforms</t>
        </is>
      </c>
      <c r="K115" s="239" t="inlineStr">
        <is>
          <t>Leadership</t>
        </is>
      </c>
      <c r="L115" s="315" t="n"/>
      <c r="M115" s="316" t="n"/>
      <c r="N115" t="inlineStr">
        <is>
          <t>Customer</t>
        </is>
      </c>
      <c r="O115" t="inlineStr">
        <is>
          <t>Leadership</t>
        </is>
      </c>
      <c r="P115" t="inlineStr">
        <is>
          <t>Leadership</t>
        </is>
      </c>
      <c r="Q115" t="inlineStr">
        <is>
          <t>Leadership</t>
        </is>
      </c>
      <c r="R115" t="inlineStr">
        <is>
          <t>Filled</t>
        </is>
      </c>
    </row>
    <row r="116" ht="18" customHeight="1" s="302">
      <c r="A116" s="314" t="n">
        <v>99999102079</v>
      </c>
      <c r="B116" s="239" t="inlineStr">
        <is>
          <t>Sam Turnball</t>
        </is>
      </c>
      <c r="C116" s="239" t="inlineStr">
        <is>
          <t>Associate Experience Designer</t>
        </is>
      </c>
      <c r="D116" s="239" t="inlineStr">
        <is>
          <t>Byron Thornhill</t>
        </is>
      </c>
      <c r="E116" s="239" t="inlineStr">
        <is>
          <t>Design Manager</t>
        </is>
      </c>
      <c r="F116" s="239" t="inlineStr">
        <is>
          <t>Customer</t>
        </is>
      </c>
      <c r="G116" s="315" t="inlineStr">
        <is>
          <t>Digital</t>
        </is>
      </c>
      <c r="H116" s="315" t="inlineStr">
        <is>
          <t>Digital, Design</t>
        </is>
      </c>
      <c r="I116" s="239" t="inlineStr">
        <is>
          <t>Customer</t>
        </is>
      </c>
      <c r="J116" s="239" t="inlineStr">
        <is>
          <t>Customer Z</t>
        </is>
      </c>
      <c r="K116" s="239" t="inlineStr">
        <is>
          <t>Z Energy Apps</t>
        </is>
      </c>
      <c r="L116" s="315" t="n"/>
      <c r="M116" s="316" t="inlineStr">
        <is>
          <t>NZ</t>
        </is>
      </c>
      <c r="N116" t="inlineStr">
        <is>
          <t>Customer</t>
        </is>
      </c>
      <c r="O116" t="inlineStr">
        <is>
          <t>Customer Z</t>
        </is>
      </c>
      <c r="P116" t="inlineStr">
        <is>
          <t>Z Energy Apps</t>
        </is>
      </c>
      <c r="Q116" t="inlineStr">
        <is>
          <t>Squad</t>
        </is>
      </c>
      <c r="R116" t="inlineStr">
        <is>
          <t>Filled</t>
        </is>
      </c>
    </row>
    <row r="117" ht="18" customHeight="1" s="302">
      <c r="A117" s="314" t="n">
        <v>99999101676</v>
      </c>
      <c r="B117" s="239" t="inlineStr">
        <is>
          <t>Ants Jackson</t>
        </is>
      </c>
      <c r="C117" s="239" t="inlineStr">
        <is>
          <t>Experience Designer</t>
        </is>
      </c>
      <c r="D117" s="239" t="inlineStr">
        <is>
          <t>Byron Thornhill</t>
        </is>
      </c>
      <c r="E117" s="239" t="inlineStr">
        <is>
          <t>Design Manager</t>
        </is>
      </c>
      <c r="F117" s="239" t="inlineStr">
        <is>
          <t>Customer</t>
        </is>
      </c>
      <c r="G117" s="315" t="inlineStr">
        <is>
          <t>Digital</t>
        </is>
      </c>
      <c r="H117" s="315" t="inlineStr">
        <is>
          <t>Digital, Design</t>
        </is>
      </c>
      <c r="I117" s="239" t="inlineStr">
        <is>
          <t>Customer</t>
        </is>
      </c>
      <c r="J117" s="239" t="inlineStr">
        <is>
          <t>Customer Z</t>
        </is>
      </c>
      <c r="K117" s="239" t="inlineStr">
        <is>
          <t>Z Energy Apps</t>
        </is>
      </c>
      <c r="L117" s="315" t="n"/>
      <c r="M117" s="316" t="inlineStr">
        <is>
          <t>NZ</t>
        </is>
      </c>
      <c r="N117" t="inlineStr">
        <is>
          <t>Customer</t>
        </is>
      </c>
      <c r="O117" t="inlineStr">
        <is>
          <t>Customer Z</t>
        </is>
      </c>
      <c r="P117" t="inlineStr">
        <is>
          <t>Z Energy Apps</t>
        </is>
      </c>
      <c r="Q117" t="inlineStr">
        <is>
          <t>Squad</t>
        </is>
      </c>
      <c r="R117" t="inlineStr">
        <is>
          <t>Filled</t>
        </is>
      </c>
    </row>
    <row r="118" ht="18" customHeight="1" s="302">
      <c r="A118" s="314" t="n">
        <v>98015</v>
      </c>
      <c r="B118" s="239" t="inlineStr">
        <is>
          <t>Ethan Laffan</t>
        </is>
      </c>
      <c r="C118" s="239" t="inlineStr">
        <is>
          <t>Associate Experience Designer</t>
        </is>
      </c>
      <c r="D118" s="239" t="inlineStr">
        <is>
          <t>Byron Thornhill</t>
        </is>
      </c>
      <c r="E118" s="239" t="inlineStr">
        <is>
          <t>Design Manager</t>
        </is>
      </c>
      <c r="F118" s="239" t="inlineStr">
        <is>
          <t>Customer</t>
        </is>
      </c>
      <c r="G118" s="315" t="inlineStr">
        <is>
          <t>Digital</t>
        </is>
      </c>
      <c r="H118" s="315" t="inlineStr">
        <is>
          <t>Digital, Design</t>
        </is>
      </c>
      <c r="I118" s="239" t="inlineStr">
        <is>
          <t>Customer</t>
        </is>
      </c>
      <c r="J118" s="239" t="inlineStr">
        <is>
          <t>Ampol Digital</t>
        </is>
      </c>
      <c r="K118" s="239" t="inlineStr">
        <is>
          <t>Ampol App</t>
        </is>
      </c>
      <c r="L118" s="315" t="n"/>
      <c r="M118" s="316" t="inlineStr">
        <is>
          <t>Australia</t>
        </is>
      </c>
      <c r="N118" t="inlineStr">
        <is>
          <t>Customer</t>
        </is>
      </c>
      <c r="O118" t="inlineStr">
        <is>
          <t>Ampol Digital</t>
        </is>
      </c>
      <c r="P118" t="inlineStr">
        <is>
          <t>Ampol App</t>
        </is>
      </c>
      <c r="Q118" t="inlineStr">
        <is>
          <t>Squad</t>
        </is>
      </c>
      <c r="R118" t="inlineStr">
        <is>
          <t>Filled</t>
        </is>
      </c>
    </row>
    <row r="119" ht="18" customHeight="1" s="302">
      <c r="A119" s="314" t="n">
        <v>113463</v>
      </c>
      <c r="B119" s="239" t="inlineStr">
        <is>
          <t>Alisha Allport</t>
        </is>
      </c>
      <c r="C119" s="239" t="inlineStr">
        <is>
          <t>Principal Experience Designer</t>
        </is>
      </c>
      <c r="D119" s="239" t="inlineStr">
        <is>
          <t>Byron Thornhill</t>
        </is>
      </c>
      <c r="E119" s="239" t="inlineStr">
        <is>
          <t>Design Manager</t>
        </is>
      </c>
      <c r="F119" s="239" t="inlineStr">
        <is>
          <t>Customer</t>
        </is>
      </c>
      <c r="G119" s="315" t="inlineStr">
        <is>
          <t>Loyalty &amp; Martech</t>
        </is>
      </c>
      <c r="H119" s="315" t="inlineStr">
        <is>
          <t>Digital, Design</t>
        </is>
      </c>
      <c r="I119" s="315" t="inlineStr">
        <is>
          <t>Customer</t>
        </is>
      </c>
      <c r="J119" s="239" t="inlineStr">
        <is>
          <t>Ampol Digital</t>
        </is>
      </c>
      <c r="K119" s="239" t="inlineStr">
        <is>
          <t>Ampol App</t>
        </is>
      </c>
      <c r="L119" s="315" t="n"/>
      <c r="M119" s="316" t="inlineStr">
        <is>
          <t>Australia</t>
        </is>
      </c>
      <c r="N119" t="inlineStr">
        <is>
          <t>Customer</t>
        </is>
      </c>
      <c r="O119" t="inlineStr">
        <is>
          <t>Ampol Digital</t>
        </is>
      </c>
      <c r="P119" t="inlineStr">
        <is>
          <t>Ampol App</t>
        </is>
      </c>
      <c r="Q119" t="inlineStr">
        <is>
          <t>Squad</t>
        </is>
      </c>
      <c r="R119" t="inlineStr">
        <is>
          <t>Filled</t>
        </is>
      </c>
    </row>
    <row r="120" ht="18" customHeight="1" s="302">
      <c r="A120" s="314" t="n">
        <v>99999101757</v>
      </c>
      <c r="B120" s="239" t="inlineStr">
        <is>
          <t>Tim Corin</t>
        </is>
      </c>
      <c r="C120" s="239" t="inlineStr">
        <is>
          <t>Experience Designer</t>
        </is>
      </c>
      <c r="D120" s="239" t="inlineStr">
        <is>
          <t>Byron Thornhill</t>
        </is>
      </c>
      <c r="E120" s="239" t="inlineStr">
        <is>
          <t>Design Manager</t>
        </is>
      </c>
      <c r="F120" s="239" t="inlineStr">
        <is>
          <t>Customer</t>
        </is>
      </c>
      <c r="G120" s="315" t="inlineStr">
        <is>
          <t>Digital</t>
        </is>
      </c>
      <c r="H120" s="315" t="inlineStr">
        <is>
          <t>Ampol Retail, Store Platforms</t>
        </is>
      </c>
      <c r="I120" s="239" t="inlineStr">
        <is>
          <t>Customer</t>
        </is>
      </c>
      <c r="J120" s="239" t="inlineStr">
        <is>
          <t>Customer Z</t>
        </is>
      </c>
      <c r="K120" s="239" t="inlineStr">
        <is>
          <t>Z Energy Apps</t>
        </is>
      </c>
      <c r="L120" s="315" t="n"/>
      <c r="M120" s="316" t="inlineStr">
        <is>
          <t>NZ</t>
        </is>
      </c>
      <c r="N120" t="inlineStr">
        <is>
          <t>Customer</t>
        </is>
      </c>
      <c r="O120" t="inlineStr">
        <is>
          <t>Customer Z</t>
        </is>
      </c>
      <c r="P120" t="inlineStr">
        <is>
          <t>Z Energy Apps</t>
        </is>
      </c>
      <c r="Q120" t="inlineStr">
        <is>
          <t>Squad</t>
        </is>
      </c>
      <c r="R120" t="inlineStr">
        <is>
          <t>Filled</t>
        </is>
      </c>
    </row>
    <row r="121" ht="18" customHeight="1" s="302">
      <c r="A121" s="314" t="n">
        <v>116714</v>
      </c>
      <c r="B121" s="239" t="inlineStr">
        <is>
          <t>Maria Salman</t>
        </is>
      </c>
      <c r="C121" s="239" t="inlineStr">
        <is>
          <t>Experience Designer</t>
        </is>
      </c>
      <c r="D121" s="239" t="inlineStr">
        <is>
          <t>Byron Thornhill</t>
        </is>
      </c>
      <c r="E121" s="239" t="inlineStr">
        <is>
          <t>Design Manager</t>
        </is>
      </c>
      <c r="F121" s="239" t="inlineStr">
        <is>
          <t>Customer</t>
        </is>
      </c>
      <c r="G121" s="315" t="inlineStr">
        <is>
          <t>Digital</t>
        </is>
      </c>
      <c r="H121" s="315" t="inlineStr">
        <is>
          <t>Digital, Design</t>
        </is>
      </c>
      <c r="I121" s="315" t="inlineStr">
        <is>
          <t>Customer</t>
        </is>
      </c>
      <c r="J121" s="239" t="inlineStr">
        <is>
          <t>Ampol Digital</t>
        </is>
      </c>
      <c r="K121" s="239" t="inlineStr">
        <is>
          <t>Ampol App</t>
        </is>
      </c>
      <c r="L121" s="315" t="n"/>
      <c r="M121" s="316" t="inlineStr">
        <is>
          <t>Australia</t>
        </is>
      </c>
      <c r="N121" t="inlineStr">
        <is>
          <t>Customer</t>
        </is>
      </c>
      <c r="O121" t="inlineStr">
        <is>
          <t>Ampol Digital</t>
        </is>
      </c>
      <c r="P121" t="inlineStr">
        <is>
          <t>Ampol App</t>
        </is>
      </c>
      <c r="Q121" t="inlineStr">
        <is>
          <t>Squad</t>
        </is>
      </c>
      <c r="R121" t="inlineStr">
        <is>
          <t>Filled</t>
        </is>
      </c>
    </row>
    <row r="122" ht="18" customHeight="1" s="302">
      <c r="A122" s="314" t="n">
        <v>0</v>
      </c>
      <c r="B122" s="239" t="inlineStr">
        <is>
          <t>Adam Anticaglia</t>
        </is>
      </c>
      <c r="C122" s="239" t="inlineStr">
        <is>
          <t>Experience Designer (CMS)</t>
        </is>
      </c>
      <c r="D122" s="239" t="inlineStr">
        <is>
          <t>Byron Thornhill</t>
        </is>
      </c>
      <c r="E122" s="239" t="inlineStr">
        <is>
          <t>Design Manager</t>
        </is>
      </c>
      <c r="F122" s="239" t="inlineStr">
        <is>
          <t>Customer</t>
        </is>
      </c>
      <c r="G122" s="315" t="inlineStr">
        <is>
          <t>Digital</t>
        </is>
      </c>
      <c r="H122" s="315" t="inlineStr">
        <is>
          <t>Digital, Design</t>
        </is>
      </c>
      <c r="I122" s="239" t="inlineStr">
        <is>
          <t>Customer</t>
        </is>
      </c>
      <c r="J122" s="239" t="inlineStr">
        <is>
          <t>Ampol Digital</t>
        </is>
      </c>
      <c r="K122" s="239" t="inlineStr">
        <is>
          <t>Ampol Web</t>
        </is>
      </c>
      <c r="L122" s="315" t="n"/>
      <c r="M122" s="316" t="inlineStr">
        <is>
          <t>Australia</t>
        </is>
      </c>
      <c r="N122" t="inlineStr">
        <is>
          <t>Customer</t>
        </is>
      </c>
      <c r="O122" t="inlineStr">
        <is>
          <t>Ampol Digital</t>
        </is>
      </c>
      <c r="P122" t="inlineStr">
        <is>
          <t>Ampol Web</t>
        </is>
      </c>
      <c r="Q122" t="inlineStr">
        <is>
          <t>Squad</t>
        </is>
      </c>
      <c r="R122" t="inlineStr">
        <is>
          <t>Filled</t>
        </is>
      </c>
    </row>
    <row r="123" ht="18" customHeight="1" s="302">
      <c r="A123" s="314" t="n"/>
      <c r="B123" s="239" t="inlineStr">
        <is>
          <t>Vacant</t>
        </is>
      </c>
      <c r="C123" s="239" t="inlineStr">
        <is>
          <t>Program Manager</t>
        </is>
      </c>
      <c r="D123" s="239" t="inlineStr">
        <is>
          <t>Harley Giles</t>
        </is>
      </c>
      <c r="E123" s="239" t="inlineStr">
        <is>
          <t>GM TDD, Customer</t>
        </is>
      </c>
      <c r="F123" s="239" t="inlineStr">
        <is>
          <t>Customer</t>
        </is>
      </c>
      <c r="G123" s="315" t="inlineStr">
        <is>
          <t>Customer, PMO</t>
        </is>
      </c>
      <c r="H123" s="239" t="n"/>
      <c r="I123" s="239" t="inlineStr">
        <is>
          <t>Customer</t>
        </is>
      </c>
      <c r="J123" s="239" t="inlineStr">
        <is>
          <t>Ampol Digital, Group Customer Platforms</t>
        </is>
      </c>
      <c r="K123" s="239" t="inlineStr">
        <is>
          <t>Leadership</t>
        </is>
      </c>
      <c r="L123" s="315" t="n"/>
      <c r="M123" s="316" t="n"/>
      <c r="N123" t="inlineStr">
        <is>
          <t>Customer</t>
        </is>
      </c>
      <c r="O123" t="inlineStr">
        <is>
          <t>Leadership</t>
        </is>
      </c>
      <c r="P123" t="inlineStr">
        <is>
          <t>Leadership</t>
        </is>
      </c>
      <c r="Q123" t="inlineStr">
        <is>
          <t>Leadership</t>
        </is>
      </c>
      <c r="R123" t="inlineStr">
        <is>
          <t>Vacant</t>
        </is>
      </c>
    </row>
    <row r="124" ht="18" customHeight="1" s="302">
      <c r="A124" s="314" t="n">
        <v>99999101543</v>
      </c>
      <c r="B124" s="239" t="inlineStr">
        <is>
          <t>Shona Paul</t>
        </is>
      </c>
      <c r="C124" s="239" t="inlineStr">
        <is>
          <t>Head of Technology - Digital</t>
        </is>
      </c>
      <c r="D124" s="239" t="inlineStr">
        <is>
          <t>Harley Giles</t>
        </is>
      </c>
      <c r="E124" s="239" t="inlineStr">
        <is>
          <t>GM TDD, Customer</t>
        </is>
      </c>
      <c r="F124" s="239" t="inlineStr">
        <is>
          <t>Customer</t>
        </is>
      </c>
      <c r="G124" s="315" t="inlineStr">
        <is>
          <t>Digital</t>
        </is>
      </c>
      <c r="H124" s="239" t="n"/>
      <c r="I124" s="239" t="inlineStr">
        <is>
          <t>Customer</t>
        </is>
      </c>
      <c r="J124" s="239" t="inlineStr">
        <is>
          <t>(All Customer)</t>
        </is>
      </c>
      <c r="K124" s="239" t="inlineStr">
        <is>
          <t>Leadership</t>
        </is>
      </c>
      <c r="L124" s="315" t="n"/>
      <c r="M124" s="316" t="inlineStr">
        <is>
          <t>NZ</t>
        </is>
      </c>
      <c r="N124" t="inlineStr">
        <is>
          <t>Customer</t>
        </is>
      </c>
      <c r="O124" t="inlineStr">
        <is>
          <t>Leadership</t>
        </is>
      </c>
      <c r="P124" t="inlineStr">
        <is>
          <t>Leadership</t>
        </is>
      </c>
      <c r="Q124" t="inlineStr">
        <is>
          <t>Leadership</t>
        </is>
      </c>
      <c r="R124" t="inlineStr">
        <is>
          <t>Filled</t>
        </is>
      </c>
    </row>
    <row r="125" ht="18" customHeight="1" s="302">
      <c r="A125" s="314" t="n"/>
      <c r="B125" s="239" t="inlineStr">
        <is>
          <t>vacant</t>
        </is>
      </c>
      <c r="C125" s="239" t="inlineStr">
        <is>
          <t>engineer - BE</t>
        </is>
      </c>
      <c r="D125" s="239" t="inlineStr">
        <is>
          <t>Khalid Mahmud</t>
        </is>
      </c>
      <c r="E125" s="239" t="inlineStr">
        <is>
          <t>Lead Engineer - BE</t>
        </is>
      </c>
      <c r="F125" s="239" t="inlineStr">
        <is>
          <t>Customer</t>
        </is>
      </c>
      <c r="G125" s="315" t="inlineStr">
        <is>
          <t>Digital</t>
        </is>
      </c>
      <c r="H125" s="315" t="inlineStr">
        <is>
          <t>Tech, Digital Engineering</t>
        </is>
      </c>
      <c r="I125" s="315" t="inlineStr">
        <is>
          <t>Customer</t>
        </is>
      </c>
      <c r="J125" s="239" t="inlineStr">
        <is>
          <t>Ampol Digital</t>
        </is>
      </c>
      <c r="K125" s="239" t="inlineStr">
        <is>
          <t>Energy</t>
        </is>
      </c>
      <c r="L125" s="315" t="n"/>
      <c r="M125" s="316" t="inlineStr">
        <is>
          <t>Australia</t>
        </is>
      </c>
      <c r="N125" t="inlineStr">
        <is>
          <t>Energy Solutions &amp; B2B</t>
        </is>
      </c>
      <c r="O125" t="inlineStr">
        <is>
          <t>Energy Solutions</t>
        </is>
      </c>
      <c r="P125" t="inlineStr">
        <is>
          <t>Energy</t>
        </is>
      </c>
      <c r="Q125" t="inlineStr">
        <is>
          <t>Squad</t>
        </is>
      </c>
      <c r="R125" t="inlineStr">
        <is>
          <t>Vacant</t>
        </is>
      </c>
    </row>
    <row r="126" ht="18" customHeight="1" s="302">
      <c r="A126" s="314" t="n">
        <v>98144</v>
      </c>
      <c r="B126" s="239" t="inlineStr">
        <is>
          <t>Angie Ng</t>
        </is>
      </c>
      <c r="C126" s="239" t="inlineStr">
        <is>
          <t>Snr Engineer - BE</t>
        </is>
      </c>
      <c r="D126" s="239" t="inlineStr">
        <is>
          <t>Khalid Mahmud</t>
        </is>
      </c>
      <c r="E126" s="239" t="inlineStr">
        <is>
          <t>Lead Engineer - BE</t>
        </is>
      </c>
      <c r="F126" s="239" t="inlineStr">
        <is>
          <t>Customer</t>
        </is>
      </c>
      <c r="G126" s="315" t="inlineStr">
        <is>
          <t>Digital</t>
        </is>
      </c>
      <c r="H126" s="315" t="inlineStr">
        <is>
          <t>Technology, T&amp;S Data</t>
        </is>
      </c>
      <c r="I126" s="315" t="inlineStr">
        <is>
          <t>EGI Integration</t>
        </is>
      </c>
      <c r="J126" s="239" t="inlineStr">
        <is>
          <t>EGI</t>
        </is>
      </c>
      <c r="K126" s="239" t="inlineStr">
        <is>
          <t>EGI Customer</t>
        </is>
      </c>
      <c r="L126" s="315" t="n"/>
      <c r="M126" s="316" t="inlineStr">
        <is>
          <t>Australia</t>
        </is>
      </c>
      <c r="N126" t="inlineStr">
        <is>
          <t>Customer</t>
        </is>
      </c>
      <c r="O126" t="inlineStr">
        <is>
          <t>EGI Customer</t>
        </is>
      </c>
      <c r="P126" t="inlineStr">
        <is>
          <t>EGI Customer</t>
        </is>
      </c>
      <c r="Q126" t="inlineStr">
        <is>
          <t>Strategic Program</t>
        </is>
      </c>
      <c r="R126" t="inlineStr">
        <is>
          <t>Filled</t>
        </is>
      </c>
    </row>
    <row r="127" ht="18" customHeight="1" s="302">
      <c r="A127" s="314" t="n">
        <v>99999101672</v>
      </c>
      <c r="B127" s="326" t="inlineStr">
        <is>
          <t>Kaye Javier</t>
        </is>
      </c>
      <c r="C127" s="315" t="inlineStr">
        <is>
          <t>QA Analyst</t>
        </is>
      </c>
      <c r="D127" s="315" t="inlineStr">
        <is>
          <t>Kris Hamilton</t>
        </is>
      </c>
      <c r="E127" s="315" t="inlineStr">
        <is>
          <t>Technology Manager, Loyalty &amp; Martech</t>
        </is>
      </c>
      <c r="F127" s="239" t="inlineStr">
        <is>
          <t>Customer</t>
        </is>
      </c>
      <c r="G127" s="315" t="inlineStr">
        <is>
          <t>Loyatly &amp; Martec</t>
        </is>
      </c>
      <c r="H127" s="315" t="inlineStr">
        <is>
          <t>Loyalty, Tech</t>
        </is>
      </c>
      <c r="I127" s="239" t="inlineStr">
        <is>
          <t>Customer</t>
        </is>
      </c>
      <c r="J127" s="315" t="inlineStr">
        <is>
          <t>Customer Z</t>
        </is>
      </c>
      <c r="K127" s="315" t="inlineStr">
        <is>
          <t>Z Energy Martech</t>
        </is>
      </c>
      <c r="L127" s="315" t="n"/>
      <c r="M127" s="316" t="inlineStr">
        <is>
          <t>NZ</t>
        </is>
      </c>
      <c r="N127" t="inlineStr">
        <is>
          <t>Customer</t>
        </is>
      </c>
      <c r="O127" t="inlineStr">
        <is>
          <t>Customer Z</t>
        </is>
      </c>
      <c r="P127" t="inlineStr">
        <is>
          <t>Z Energy Martech</t>
        </is>
      </c>
      <c r="Q127" t="inlineStr">
        <is>
          <t>Squad</t>
        </is>
      </c>
      <c r="R127" t="inlineStr">
        <is>
          <t>Filled</t>
        </is>
      </c>
    </row>
    <row r="128" ht="18" customHeight="1" s="302">
      <c r="A128" s="314" t="n">
        <v>99999101500</v>
      </c>
      <c r="B128" s="326" t="inlineStr">
        <is>
          <t>Bharat Talreja</t>
        </is>
      </c>
      <c r="C128" s="315" t="inlineStr">
        <is>
          <t>Marketing Technology Lead</t>
        </is>
      </c>
      <c r="D128" s="315" t="inlineStr">
        <is>
          <t>Kris Hamilton</t>
        </is>
      </c>
      <c r="E128" s="315" t="inlineStr">
        <is>
          <t>Technology Manager, Loyalty &amp; Martech</t>
        </is>
      </c>
      <c r="F128" s="239" t="inlineStr">
        <is>
          <t>Customer</t>
        </is>
      </c>
      <c r="G128" s="315" t="inlineStr">
        <is>
          <t>Loyatly &amp; Martec</t>
        </is>
      </c>
      <c r="H128" s="315" t="inlineStr">
        <is>
          <t>Loyalty, Tech</t>
        </is>
      </c>
      <c r="I128" s="239" t="inlineStr">
        <is>
          <t>Customer</t>
        </is>
      </c>
      <c r="J128" s="315" t="inlineStr">
        <is>
          <t>Customer Z</t>
        </is>
      </c>
      <c r="K128" s="315" t="inlineStr">
        <is>
          <t>Z Energy Martech</t>
        </is>
      </c>
      <c r="L128" s="315" t="n"/>
      <c r="M128" s="316" t="inlineStr">
        <is>
          <t>NZ</t>
        </is>
      </c>
      <c r="N128" t="inlineStr">
        <is>
          <t>Customer</t>
        </is>
      </c>
      <c r="O128" t="inlineStr">
        <is>
          <t>Customer Z</t>
        </is>
      </c>
      <c r="P128" t="inlineStr">
        <is>
          <t>Z Energy Martech</t>
        </is>
      </c>
      <c r="Q128" t="inlineStr">
        <is>
          <t>Squad</t>
        </is>
      </c>
      <c r="R128" t="inlineStr">
        <is>
          <t>Filled</t>
        </is>
      </c>
    </row>
    <row r="129" ht="18" customHeight="1" s="302">
      <c r="A129" s="314" t="n"/>
      <c r="B129" s="341" t="inlineStr">
        <is>
          <t>Vacant</t>
        </is>
      </c>
      <c r="C129" s="315" t="inlineStr">
        <is>
          <t>Solution Architect</t>
        </is>
      </c>
      <c r="D129" s="315" t="inlineStr">
        <is>
          <t>Kris Hamilton</t>
        </is>
      </c>
      <c r="E129" s="315" t="inlineStr">
        <is>
          <t>Technology Manager, Loyalty &amp; Martech</t>
        </is>
      </c>
      <c r="F129" s="239" t="inlineStr">
        <is>
          <t>Customer</t>
        </is>
      </c>
      <c r="G129" s="315" t="inlineStr">
        <is>
          <t>Loyatly &amp; Martec</t>
        </is>
      </c>
      <c r="H129" s="315" t="inlineStr">
        <is>
          <t>Loyalty, Tech</t>
        </is>
      </c>
      <c r="I129" s="239" t="inlineStr">
        <is>
          <t>Customer</t>
        </is>
      </c>
      <c r="J129" s="315" t="inlineStr">
        <is>
          <t>Customer Z</t>
        </is>
      </c>
      <c r="K129" s="315" t="inlineStr">
        <is>
          <t>Z Energy Martech</t>
        </is>
      </c>
      <c r="L129" s="315" t="n"/>
      <c r="M129" s="316" t="n"/>
      <c r="N129" t="inlineStr">
        <is>
          <t>Customer</t>
        </is>
      </c>
      <c r="O129" t="inlineStr">
        <is>
          <t>Customer Z</t>
        </is>
      </c>
      <c r="P129" t="inlineStr">
        <is>
          <t>Z Energy Martech</t>
        </is>
      </c>
      <c r="Q129" t="inlineStr">
        <is>
          <t>Squad</t>
        </is>
      </c>
      <c r="R129" t="inlineStr">
        <is>
          <t>Vacant</t>
        </is>
      </c>
    </row>
    <row r="130" ht="18" customHeight="1" s="302">
      <c r="A130" s="314" t="n">
        <v>99999101633</v>
      </c>
      <c r="B130" s="326" t="inlineStr">
        <is>
          <t>Kishore Ganesan</t>
        </is>
      </c>
      <c r="C130" s="315" t="inlineStr">
        <is>
          <t>Intermediate Quality Assurance</t>
        </is>
      </c>
      <c r="D130" s="315" t="inlineStr">
        <is>
          <t>Kris Hamilton</t>
        </is>
      </c>
      <c r="E130" s="315" t="inlineStr">
        <is>
          <t>Technology Manager, Loyalty &amp; Martech</t>
        </is>
      </c>
      <c r="F130" s="239" t="inlineStr">
        <is>
          <t>Customer</t>
        </is>
      </c>
      <c r="G130" s="315" t="inlineStr">
        <is>
          <t>Loyatly &amp; Martec</t>
        </is>
      </c>
      <c r="H130" s="315" t="inlineStr">
        <is>
          <t>Loyalty, Tech</t>
        </is>
      </c>
      <c r="I130" s="239" t="inlineStr">
        <is>
          <t>Customer</t>
        </is>
      </c>
      <c r="J130" s="315" t="inlineStr">
        <is>
          <t>Customer Z</t>
        </is>
      </c>
      <c r="K130" s="315" t="inlineStr">
        <is>
          <t>Z Energy Martech</t>
        </is>
      </c>
      <c r="L130" s="315" t="n"/>
      <c r="M130" s="316" t="inlineStr">
        <is>
          <t>NZ</t>
        </is>
      </c>
      <c r="N130" t="inlineStr">
        <is>
          <t>Customer</t>
        </is>
      </c>
      <c r="O130" t="inlineStr">
        <is>
          <t>Customer Z</t>
        </is>
      </c>
      <c r="P130" t="inlineStr">
        <is>
          <t>Z Energy Martech</t>
        </is>
      </c>
      <c r="Q130" t="inlineStr">
        <is>
          <t>Squad</t>
        </is>
      </c>
      <c r="R130" t="inlineStr">
        <is>
          <t>Filled</t>
        </is>
      </c>
    </row>
    <row r="131" ht="18" customHeight="1" s="302">
      <c r="A131" s="314" t="n">
        <v>99999101656</v>
      </c>
      <c r="B131" s="326" t="inlineStr">
        <is>
          <t>Carianne Monast</t>
        </is>
      </c>
      <c r="C131" s="315" t="inlineStr">
        <is>
          <t>Martech Specialist</t>
        </is>
      </c>
      <c r="D131" s="315" t="inlineStr">
        <is>
          <t>Kris Hamilton</t>
        </is>
      </c>
      <c r="E131" s="315" t="inlineStr">
        <is>
          <t>Technology Manager, Loyalty &amp; Martech</t>
        </is>
      </c>
      <c r="F131" s="239" t="inlineStr">
        <is>
          <t>Customer</t>
        </is>
      </c>
      <c r="G131" s="315" t="inlineStr">
        <is>
          <t>Loyatly &amp; Martec</t>
        </is>
      </c>
      <c r="H131" s="315" t="inlineStr">
        <is>
          <t>Loyalty, Tech</t>
        </is>
      </c>
      <c r="I131" s="239" t="inlineStr">
        <is>
          <t>Customer</t>
        </is>
      </c>
      <c r="J131" s="315" t="inlineStr">
        <is>
          <t>Customer Z</t>
        </is>
      </c>
      <c r="K131" s="315" t="inlineStr">
        <is>
          <t>Z Energy Martech</t>
        </is>
      </c>
      <c r="L131" s="315" t="n"/>
      <c r="M131" s="316" t="inlineStr">
        <is>
          <t>NZ</t>
        </is>
      </c>
      <c r="N131" t="inlineStr">
        <is>
          <t>Customer</t>
        </is>
      </c>
      <c r="O131" t="inlineStr">
        <is>
          <t>Customer Z</t>
        </is>
      </c>
      <c r="P131" t="inlineStr">
        <is>
          <t>Z Energy Martech</t>
        </is>
      </c>
      <c r="Q131" t="inlineStr">
        <is>
          <t>Squad</t>
        </is>
      </c>
      <c r="R131" t="inlineStr">
        <is>
          <t>Filled</t>
        </is>
      </c>
    </row>
    <row r="132" ht="18" customHeight="1" s="302">
      <c r="A132" s="314" t="n">
        <v>97357</v>
      </c>
      <c r="B132" s="239" t="inlineStr">
        <is>
          <t>Daniel Arban</t>
        </is>
      </c>
      <c r="C132" s="239" t="inlineStr">
        <is>
          <t>Service Delivery Lead</t>
        </is>
      </c>
      <c r="D132" s="239" t="inlineStr">
        <is>
          <t>Mark Wilson</t>
        </is>
      </c>
      <c r="E132" s="239" t="inlineStr">
        <is>
          <t>Digital Support Manager(AU)</t>
        </is>
      </c>
      <c r="F132" s="239" t="inlineStr">
        <is>
          <t>Customer</t>
        </is>
      </c>
      <c r="G132" s="315" t="inlineStr">
        <is>
          <t>Digital</t>
        </is>
      </c>
      <c r="H132" s="239" t="inlineStr">
        <is>
          <t>Digital Support (AU)</t>
        </is>
      </c>
      <c r="I132" s="315" t="inlineStr">
        <is>
          <t>Customer</t>
        </is>
      </c>
      <c r="J132" s="239" t="inlineStr">
        <is>
          <t>Ampol Digital</t>
        </is>
      </c>
      <c r="K132" t="inlineStr">
        <is>
          <t>Digital Ops Support</t>
        </is>
      </c>
      <c r="L132" s="315" t="n"/>
      <c r="M132" s="316" t="inlineStr">
        <is>
          <t>Australia</t>
        </is>
      </c>
      <c r="N132" t="inlineStr">
        <is>
          <t>Customer</t>
        </is>
      </c>
      <c r="O132" t="inlineStr">
        <is>
          <t>Ampol Digital</t>
        </is>
      </c>
      <c r="P132" t="inlineStr">
        <is>
          <t>Digital Operations</t>
        </is>
      </c>
      <c r="Q132" t="inlineStr">
        <is>
          <t>Squad</t>
        </is>
      </c>
      <c r="R132" t="inlineStr">
        <is>
          <t>Filled</t>
        </is>
      </c>
    </row>
    <row r="133" ht="18" customHeight="1" s="302">
      <c r="A133" s="314" t="n">
        <v>106200</v>
      </c>
      <c r="B133" s="239" t="inlineStr">
        <is>
          <t>Emile Violi</t>
        </is>
      </c>
      <c r="C133" s="239" t="inlineStr">
        <is>
          <t>Engineer - BE</t>
        </is>
      </c>
      <c r="D133" s="239" t="inlineStr">
        <is>
          <t>Mark Wilson</t>
        </is>
      </c>
      <c r="E133" t="inlineStr">
        <is>
          <t>Digital Support Manager(AU)</t>
        </is>
      </c>
      <c r="F133" s="239" t="inlineStr">
        <is>
          <t>Customer</t>
        </is>
      </c>
      <c r="G133" s="315" t="inlineStr">
        <is>
          <t>Digital</t>
        </is>
      </c>
      <c r="H133" s="239" t="inlineStr">
        <is>
          <t>Digital Support (AU)</t>
        </is>
      </c>
      <c r="I133" s="315" t="inlineStr">
        <is>
          <t>Customer</t>
        </is>
      </c>
      <c r="J133" s="239" t="inlineStr">
        <is>
          <t>Ampol Digital</t>
        </is>
      </c>
      <c r="K133" s="239" t="inlineStr">
        <is>
          <t>Digital Ops Support</t>
        </is>
      </c>
      <c r="L133" s="315" t="n"/>
      <c r="M133" s="316" t="inlineStr">
        <is>
          <t>Australia</t>
        </is>
      </c>
      <c r="N133" t="inlineStr">
        <is>
          <t>Customer</t>
        </is>
      </c>
      <c r="O133" t="inlineStr">
        <is>
          <t>Ampol Digital</t>
        </is>
      </c>
      <c r="P133" t="inlineStr">
        <is>
          <t>Digital Operations</t>
        </is>
      </c>
      <c r="Q133" t="inlineStr">
        <is>
          <t>Squad</t>
        </is>
      </c>
      <c r="R133" t="inlineStr">
        <is>
          <t>Filled</t>
        </is>
      </c>
    </row>
    <row r="134" ht="18" customHeight="1" s="302">
      <c r="A134" s="314" t="n">
        <v>116957</v>
      </c>
      <c r="B134" s="326" t="inlineStr">
        <is>
          <t>Raj Ganesan</t>
        </is>
      </c>
      <c r="C134" s="315" t="inlineStr">
        <is>
          <t>Engineer - Mobile (ios)</t>
        </is>
      </c>
      <c r="D134" s="315" t="inlineStr">
        <is>
          <t>Mitesh Shah</t>
        </is>
      </c>
      <c r="E134" s="239" t="inlineStr">
        <is>
          <t>Technology Manager, Digitial</t>
        </is>
      </c>
      <c r="F134" s="239" t="inlineStr">
        <is>
          <t>Customer</t>
        </is>
      </c>
      <c r="G134" s="315" t="inlineStr">
        <is>
          <t>Digital</t>
        </is>
      </c>
      <c r="H134" s="315" t="inlineStr">
        <is>
          <t>Tech, Digital</t>
        </is>
      </c>
      <c r="I134" s="315" t="inlineStr">
        <is>
          <t>Customer</t>
        </is>
      </c>
      <c r="J134" s="239" t="inlineStr">
        <is>
          <t>Ampol Digital</t>
        </is>
      </c>
      <c r="K134" s="239" t="inlineStr">
        <is>
          <t>Ampol App</t>
        </is>
      </c>
      <c r="L134" s="315" t="n"/>
      <c r="M134" s="316" t="inlineStr">
        <is>
          <t>Australia</t>
        </is>
      </c>
      <c r="N134" t="inlineStr">
        <is>
          <t>Customer</t>
        </is>
      </c>
      <c r="O134" t="inlineStr">
        <is>
          <t>Ampol Digital</t>
        </is>
      </c>
      <c r="P134" t="inlineStr">
        <is>
          <t>Ampol App</t>
        </is>
      </c>
      <c r="Q134" t="inlineStr">
        <is>
          <t>Squad</t>
        </is>
      </c>
      <c r="R134" t="inlineStr">
        <is>
          <t>Filled</t>
        </is>
      </c>
    </row>
    <row r="135" ht="18" customHeight="1" s="302">
      <c r="A135" s="314" t="n"/>
      <c r="B135" t="inlineStr">
        <is>
          <t>Shreema Das</t>
        </is>
      </c>
      <c r="C135" s="239" t="inlineStr">
        <is>
          <t>Solution Architect</t>
        </is>
      </c>
      <c r="D135" s="239" t="inlineStr">
        <is>
          <t>Mitesh Shah</t>
        </is>
      </c>
      <c r="E135" s="239" t="inlineStr">
        <is>
          <t>Technology Manager, Digitial</t>
        </is>
      </c>
      <c r="F135" s="239" t="inlineStr">
        <is>
          <t>Customer</t>
        </is>
      </c>
      <c r="G135" s="315" t="inlineStr">
        <is>
          <t>Digital</t>
        </is>
      </c>
      <c r="H135" s="239" t="inlineStr">
        <is>
          <t>Digital, Tech</t>
        </is>
      </c>
      <c r="I135" s="315" t="inlineStr">
        <is>
          <t>Customer</t>
        </is>
      </c>
      <c r="J135" s="239" t="inlineStr">
        <is>
          <t>Ampol Digital</t>
        </is>
      </c>
      <c r="K135" s="239" t="inlineStr">
        <is>
          <t>Digital Ops Support</t>
        </is>
      </c>
      <c r="L135" s="315" t="n"/>
      <c r="M135" s="316" t="inlineStr">
        <is>
          <t>Australia</t>
        </is>
      </c>
      <c r="N135" t="inlineStr">
        <is>
          <t>Customer</t>
        </is>
      </c>
      <c r="O135" t="inlineStr">
        <is>
          <t>Ampol Digital</t>
        </is>
      </c>
      <c r="P135" t="inlineStr">
        <is>
          <t>Digital Operations</t>
        </is>
      </c>
      <c r="Q135" t="inlineStr">
        <is>
          <t>Squad</t>
        </is>
      </c>
      <c r="R135" t="inlineStr">
        <is>
          <t>Filled</t>
        </is>
      </c>
    </row>
    <row r="136" ht="18" customHeight="1" s="302">
      <c r="A136" s="314" t="n">
        <v>0</v>
      </c>
      <c r="B136" s="239" t="inlineStr">
        <is>
          <t>Jordan Askwith</t>
        </is>
      </c>
      <c r="C136" s="239" t="inlineStr">
        <is>
          <t>Solution Architect</t>
        </is>
      </c>
      <c r="D136" s="239" t="inlineStr">
        <is>
          <t>Mitesh Shah</t>
        </is>
      </c>
      <c r="E136" s="239" t="inlineStr">
        <is>
          <t>Technology Manager, Digitial</t>
        </is>
      </c>
      <c r="F136" s="239" t="inlineStr">
        <is>
          <t>Customer</t>
        </is>
      </c>
      <c r="G136" s="315" t="inlineStr">
        <is>
          <t>Digital</t>
        </is>
      </c>
      <c r="H136" s="239" t="inlineStr">
        <is>
          <t>Digital, Tech</t>
        </is>
      </c>
      <c r="I136" s="315" t="inlineStr">
        <is>
          <t>Customer</t>
        </is>
      </c>
      <c r="J136" s="239" t="inlineStr">
        <is>
          <t>Ampol Digital</t>
        </is>
      </c>
      <c r="K136" s="239" t="inlineStr">
        <is>
          <t>Ampol Web</t>
        </is>
      </c>
      <c r="L136" s="315" t="n"/>
      <c r="M136" s="316" t="inlineStr">
        <is>
          <t>Australia</t>
        </is>
      </c>
      <c r="N136" t="inlineStr">
        <is>
          <t>Customer</t>
        </is>
      </c>
      <c r="O136" t="inlineStr">
        <is>
          <t>Ampol Digital</t>
        </is>
      </c>
      <c r="P136" t="inlineStr">
        <is>
          <t>Ampol Web</t>
        </is>
      </c>
      <c r="Q136" t="inlineStr">
        <is>
          <t>Squad</t>
        </is>
      </c>
      <c r="R136" t="inlineStr">
        <is>
          <t>Filled</t>
        </is>
      </c>
    </row>
    <row r="137" ht="18" customHeight="1" s="302">
      <c r="A137" s="314" t="n">
        <v>107781</v>
      </c>
      <c r="B137" s="239" t="inlineStr">
        <is>
          <t>Ramez Haider</t>
        </is>
      </c>
      <c r="C137" s="239" t="inlineStr">
        <is>
          <t>Solution Architect</t>
        </is>
      </c>
      <c r="D137" s="239" t="inlineStr">
        <is>
          <t>Mitesh Shah</t>
        </is>
      </c>
      <c r="E137" s="239" t="inlineStr">
        <is>
          <t>Technology Manager, Digitial</t>
        </is>
      </c>
      <c r="F137" s="239" t="inlineStr">
        <is>
          <t>Customer</t>
        </is>
      </c>
      <c r="G137" s="315" t="inlineStr">
        <is>
          <t>Digital</t>
        </is>
      </c>
      <c r="H137" s="239" t="inlineStr">
        <is>
          <t>Digital, Tech</t>
        </is>
      </c>
      <c r="I137" s="315" t="inlineStr">
        <is>
          <t>EGI Integration</t>
        </is>
      </c>
      <c r="J137" s="239" t="inlineStr">
        <is>
          <t>EGI</t>
        </is>
      </c>
      <c r="K137" s="239" t="inlineStr">
        <is>
          <t>EGI Customer</t>
        </is>
      </c>
      <c r="L137" s="315" t="n"/>
      <c r="M137" s="316" t="inlineStr">
        <is>
          <t>Australia</t>
        </is>
      </c>
      <c r="N137" t="inlineStr">
        <is>
          <t>Customer</t>
        </is>
      </c>
      <c r="O137" t="inlineStr">
        <is>
          <t>EGI Customer</t>
        </is>
      </c>
      <c r="P137" t="inlineStr">
        <is>
          <t>EGI Customer</t>
        </is>
      </c>
      <c r="Q137" t="inlineStr">
        <is>
          <t>Strategic Program</t>
        </is>
      </c>
      <c r="R137" t="inlineStr">
        <is>
          <t>Filled</t>
        </is>
      </c>
    </row>
    <row r="138" ht="18" customHeight="1" s="302">
      <c r="A138" s="314" t="n">
        <v>0</v>
      </c>
      <c r="B138" s="239" t="inlineStr">
        <is>
          <t>Annabel Phu</t>
        </is>
      </c>
      <c r="C138" s="239" t="inlineStr">
        <is>
          <t>Engineer - Mobile</t>
        </is>
      </c>
      <c r="D138" s="239" t="inlineStr">
        <is>
          <t>Mitesh Shah</t>
        </is>
      </c>
      <c r="E138" s="239" t="inlineStr">
        <is>
          <t>Technology Manager, Digitial</t>
        </is>
      </c>
      <c r="F138" s="239" t="inlineStr">
        <is>
          <t>Customer</t>
        </is>
      </c>
      <c r="G138" s="315" t="inlineStr">
        <is>
          <t>Digital</t>
        </is>
      </c>
      <c r="H138" s="239" t="inlineStr">
        <is>
          <t>Digital, Tech</t>
        </is>
      </c>
      <c r="I138" s="315" t="inlineStr">
        <is>
          <t>Customer</t>
        </is>
      </c>
      <c r="J138" s="239" t="inlineStr">
        <is>
          <t>Ampol Digital</t>
        </is>
      </c>
      <c r="K138" s="239" t="inlineStr">
        <is>
          <t>Ampol App</t>
        </is>
      </c>
      <c r="L138" s="315" t="n"/>
      <c r="M138" s="316" t="inlineStr">
        <is>
          <t>Australia</t>
        </is>
      </c>
      <c r="N138" t="inlineStr">
        <is>
          <t>Customer</t>
        </is>
      </c>
      <c r="O138" t="inlineStr">
        <is>
          <t>Ampol Digital</t>
        </is>
      </c>
      <c r="P138" t="inlineStr">
        <is>
          <t>Ampol App</t>
        </is>
      </c>
      <c r="Q138" t="inlineStr">
        <is>
          <t>Squad</t>
        </is>
      </c>
      <c r="R138" t="inlineStr">
        <is>
          <t>Filled</t>
        </is>
      </c>
    </row>
    <row r="139" ht="18" customHeight="1" s="302">
      <c r="A139" s="314" t="n">
        <v>108287</v>
      </c>
      <c r="B139" s="239" t="inlineStr">
        <is>
          <t>Binumon Mathai</t>
        </is>
      </c>
      <c r="C139" s="239" t="inlineStr">
        <is>
          <t>Senior Quality Assurance</t>
        </is>
      </c>
      <c r="D139" s="239" t="inlineStr">
        <is>
          <t>Mitesh Shah</t>
        </is>
      </c>
      <c r="E139" s="239" t="inlineStr">
        <is>
          <t>Technology Manager, Digitial</t>
        </is>
      </c>
      <c r="F139" s="239" t="inlineStr">
        <is>
          <t>Customer</t>
        </is>
      </c>
      <c r="G139" s="315" t="inlineStr">
        <is>
          <t>Digital</t>
        </is>
      </c>
      <c r="H139" s="239" t="inlineStr">
        <is>
          <t>Digital, Tech</t>
        </is>
      </c>
      <c r="I139" s="315" t="inlineStr">
        <is>
          <t>Customer</t>
        </is>
      </c>
      <c r="J139" s="239" t="inlineStr">
        <is>
          <t>Ampol Digital</t>
        </is>
      </c>
      <c r="K139" s="239" t="inlineStr">
        <is>
          <t>Ampol App</t>
        </is>
      </c>
      <c r="L139" s="315" t="n"/>
      <c r="M139" s="316" t="inlineStr">
        <is>
          <t>Australia</t>
        </is>
      </c>
      <c r="N139" t="inlineStr">
        <is>
          <t>Customer</t>
        </is>
      </c>
      <c r="O139" t="inlineStr">
        <is>
          <t>Ampol Digital</t>
        </is>
      </c>
      <c r="P139" t="inlineStr">
        <is>
          <t>Ampol App</t>
        </is>
      </c>
      <c r="Q139" t="inlineStr">
        <is>
          <t>Squad</t>
        </is>
      </c>
      <c r="R139" t="inlineStr">
        <is>
          <t>Filled</t>
        </is>
      </c>
    </row>
    <row r="140" ht="18" customHeight="1" s="302">
      <c r="A140" s="314" t="n">
        <v>0</v>
      </c>
      <c r="B140" s="239" t="inlineStr">
        <is>
          <t>Sheetal Karkera</t>
        </is>
      </c>
      <c r="C140" s="239" t="inlineStr">
        <is>
          <t>Lead Engineer - Mobile</t>
        </is>
      </c>
      <c r="D140" s="239" t="inlineStr">
        <is>
          <t>Mitesh Shah</t>
        </is>
      </c>
      <c r="E140" s="239" t="inlineStr">
        <is>
          <t>Technology Manager, Digitial</t>
        </is>
      </c>
      <c r="F140" s="239" t="inlineStr">
        <is>
          <t>Customer</t>
        </is>
      </c>
      <c r="G140" s="315" t="inlineStr">
        <is>
          <t>Digital</t>
        </is>
      </c>
      <c r="H140" s="239" t="inlineStr">
        <is>
          <t>Digital, Tech</t>
        </is>
      </c>
      <c r="I140" s="315" t="inlineStr">
        <is>
          <t>Customer</t>
        </is>
      </c>
      <c r="J140" s="239" t="inlineStr">
        <is>
          <t>Ampol Digital</t>
        </is>
      </c>
      <c r="K140" s="239" t="inlineStr">
        <is>
          <t>Ampol App</t>
        </is>
      </c>
      <c r="L140" s="315" t="n"/>
      <c r="M140" s="316" t="inlineStr">
        <is>
          <t>Australia</t>
        </is>
      </c>
      <c r="N140" t="inlineStr">
        <is>
          <t>Customer</t>
        </is>
      </c>
      <c r="O140" t="inlineStr">
        <is>
          <t>Ampol Digital</t>
        </is>
      </c>
      <c r="P140" t="inlineStr">
        <is>
          <t>Ampol App</t>
        </is>
      </c>
      <c r="Q140" t="inlineStr">
        <is>
          <t>Squad</t>
        </is>
      </c>
      <c r="R140" t="inlineStr">
        <is>
          <t>Filled</t>
        </is>
      </c>
    </row>
    <row r="141" ht="18" customHeight="1" s="302">
      <c r="A141" s="314" t="n">
        <v>115964</v>
      </c>
      <c r="B141" s="239" t="inlineStr">
        <is>
          <t>Toby Clark</t>
        </is>
      </c>
      <c r="C141" s="239" t="inlineStr">
        <is>
          <t>Engineer - Mobile (iOS)</t>
        </is>
      </c>
      <c r="D141" s="239" t="inlineStr">
        <is>
          <t>Mitesh Shah</t>
        </is>
      </c>
      <c r="E141" s="239" t="inlineStr">
        <is>
          <t>Technology Manager, Digitial</t>
        </is>
      </c>
      <c r="F141" s="239" t="inlineStr">
        <is>
          <t>Customer</t>
        </is>
      </c>
      <c r="G141" s="315" t="inlineStr">
        <is>
          <t>Digital</t>
        </is>
      </c>
      <c r="H141" s="239" t="inlineStr">
        <is>
          <t>Digital, Tech</t>
        </is>
      </c>
      <c r="I141" s="315" t="inlineStr">
        <is>
          <t>Customer</t>
        </is>
      </c>
      <c r="J141" s="239" t="inlineStr">
        <is>
          <t>Ampol Digital</t>
        </is>
      </c>
      <c r="K141" s="239" t="inlineStr">
        <is>
          <t>Ampol App</t>
        </is>
      </c>
      <c r="L141" s="315" t="n"/>
      <c r="M141" s="316" t="inlineStr">
        <is>
          <t>Australia</t>
        </is>
      </c>
      <c r="N141" t="inlineStr">
        <is>
          <t>Customer</t>
        </is>
      </c>
      <c r="O141" t="inlineStr">
        <is>
          <t>Ampol Digital</t>
        </is>
      </c>
      <c r="P141" t="inlineStr">
        <is>
          <t>Ampol App</t>
        </is>
      </c>
      <c r="Q141" t="inlineStr">
        <is>
          <t>Squad</t>
        </is>
      </c>
      <c r="R141" t="inlineStr">
        <is>
          <t>Filled</t>
        </is>
      </c>
    </row>
    <row r="142" ht="18" customHeight="1" s="302">
      <c r="A142" s="314" t="n">
        <v>99999101220</v>
      </c>
      <c r="B142" s="239" t="inlineStr">
        <is>
          <t>Byron Thornhill</t>
        </is>
      </c>
      <c r="C142" s="239" t="inlineStr">
        <is>
          <t>Design Manager</t>
        </is>
      </c>
      <c r="D142" s="239" t="inlineStr">
        <is>
          <t>Shona Paul</t>
        </is>
      </c>
      <c r="E142" s="239" t="inlineStr">
        <is>
          <t>Head of Technology, Digital</t>
        </is>
      </c>
      <c r="F142" s="239" t="inlineStr">
        <is>
          <t>Customer</t>
        </is>
      </c>
      <c r="G142" s="315" t="inlineStr">
        <is>
          <t>Digital</t>
        </is>
      </c>
      <c r="H142" s="315" t="inlineStr">
        <is>
          <t>Digital, Design</t>
        </is>
      </c>
      <c r="I142" s="239" t="inlineStr">
        <is>
          <t>Customer</t>
        </is>
      </c>
      <c r="J142" s="239" t="inlineStr">
        <is>
          <t>Customer Z, Ampol Digital</t>
        </is>
      </c>
      <c r="K142" s="239" t="inlineStr">
        <is>
          <t>Leadership</t>
        </is>
      </c>
      <c r="L142" s="315" t="n"/>
      <c r="M142" s="316" t="inlineStr">
        <is>
          <t>NZ</t>
        </is>
      </c>
      <c r="N142" t="inlineStr">
        <is>
          <t>Customer</t>
        </is>
      </c>
      <c r="O142" t="inlineStr">
        <is>
          <t>Leadership</t>
        </is>
      </c>
      <c r="P142" t="inlineStr">
        <is>
          <t>Leadership</t>
        </is>
      </c>
      <c r="Q142" t="inlineStr">
        <is>
          <t>Leadership</t>
        </is>
      </c>
      <c r="R142" t="inlineStr">
        <is>
          <t>Filled</t>
        </is>
      </c>
    </row>
    <row r="143" ht="18" customHeight="1" s="302">
      <c r="A143" s="314" t="n">
        <v>114123</v>
      </c>
      <c r="B143" s="239" t="inlineStr">
        <is>
          <t>Adriel Jeyanandhan</t>
        </is>
      </c>
      <c r="C143" s="239" t="inlineStr">
        <is>
          <t>Delivery Manager</t>
        </is>
      </c>
      <c r="D143" s="239" t="inlineStr">
        <is>
          <t>Shona Paul</t>
        </is>
      </c>
      <c r="E143" s="239" t="inlineStr">
        <is>
          <t>Head of Technology, Digital</t>
        </is>
      </c>
      <c r="F143" s="239" t="inlineStr">
        <is>
          <t>Customer</t>
        </is>
      </c>
      <c r="G143" s="315" t="inlineStr">
        <is>
          <t>Digital</t>
        </is>
      </c>
      <c r="H143" s="239" t="inlineStr">
        <is>
          <t>Digital, Delivery</t>
        </is>
      </c>
      <c r="I143" s="239" t="inlineStr">
        <is>
          <t>Customer</t>
        </is>
      </c>
      <c r="J143" s="239" t="inlineStr">
        <is>
          <t>Ampol Digital</t>
        </is>
      </c>
      <c r="K143" s="239" t="inlineStr">
        <is>
          <t>Leadership</t>
        </is>
      </c>
      <c r="L143" s="315" t="n"/>
      <c r="M143" s="316" t="inlineStr">
        <is>
          <t>Australia</t>
        </is>
      </c>
      <c r="N143" t="inlineStr">
        <is>
          <t>Customer</t>
        </is>
      </c>
      <c r="O143" t="inlineStr">
        <is>
          <t>Leadership</t>
        </is>
      </c>
      <c r="P143" t="inlineStr">
        <is>
          <t>Leadership</t>
        </is>
      </c>
      <c r="Q143" t="inlineStr">
        <is>
          <t>Leadership</t>
        </is>
      </c>
      <c r="R143" t="inlineStr">
        <is>
          <t>Filled</t>
        </is>
      </c>
    </row>
    <row r="144" ht="18" customHeight="1" s="302">
      <c r="A144" s="314" t="n"/>
      <c r="B144" s="341" t="inlineStr">
        <is>
          <t>Vacant (B2B)</t>
        </is>
      </c>
      <c r="C144" s="239" t="inlineStr">
        <is>
          <t>Engineer - BE</t>
        </is>
      </c>
      <c r="D144" s="239" t="inlineStr">
        <is>
          <t>vacant</t>
        </is>
      </c>
      <c r="E144" s="239" t="inlineStr">
        <is>
          <t>Technology Manager, Digital Engineering</t>
        </is>
      </c>
      <c r="F144" s="239" t="inlineStr">
        <is>
          <t>Customer</t>
        </is>
      </c>
      <c r="G144" s="315" t="inlineStr">
        <is>
          <t>Digital</t>
        </is>
      </c>
      <c r="H144" s="315" t="inlineStr">
        <is>
          <t>Tech, Digital Engineering</t>
        </is>
      </c>
      <c r="I144" s="315" t="inlineStr">
        <is>
          <t>Customer</t>
        </is>
      </c>
      <c r="J144" s="239" t="inlineStr">
        <is>
          <t>Ampol Digital</t>
        </is>
      </c>
      <c r="K144" s="239" t="inlineStr">
        <is>
          <t>B2B</t>
        </is>
      </c>
      <c r="L144" s="315" t="n"/>
      <c r="M144" s="316" t="inlineStr">
        <is>
          <t>Australia</t>
        </is>
      </c>
      <c r="N144" t="inlineStr">
        <is>
          <t>Energy Solutions &amp; B2B</t>
        </is>
      </c>
      <c r="O144" t="inlineStr">
        <is>
          <t>B2B</t>
        </is>
      </c>
      <c r="P144" t="inlineStr">
        <is>
          <t>B2B</t>
        </is>
      </c>
      <c r="Q144" t="inlineStr">
        <is>
          <t>Squad</t>
        </is>
      </c>
      <c r="R144" t="inlineStr">
        <is>
          <t>Filled</t>
        </is>
      </c>
    </row>
    <row r="145" ht="18" customHeight="1" s="302">
      <c r="A145" s="314" t="n">
        <v>117173</v>
      </c>
      <c r="B145" s="239" t="inlineStr">
        <is>
          <t>Ashwini Gaikwad</t>
        </is>
      </c>
      <c r="C145" s="239" t="inlineStr">
        <is>
          <t>Quality Assurance</t>
        </is>
      </c>
      <c r="D145" s="239" t="inlineStr">
        <is>
          <t>Vacant</t>
        </is>
      </c>
      <c r="E145" s="239" t="inlineStr">
        <is>
          <t>Technology Manager, Digitial</t>
        </is>
      </c>
      <c r="F145" s="239" t="inlineStr">
        <is>
          <t>Customer</t>
        </is>
      </c>
      <c r="G145" s="315" t="inlineStr">
        <is>
          <t>Digital</t>
        </is>
      </c>
      <c r="H145" s="239" t="inlineStr">
        <is>
          <t>Digital, Tech</t>
        </is>
      </c>
      <c r="I145" s="315" t="inlineStr">
        <is>
          <t>Customer</t>
        </is>
      </c>
      <c r="J145" s="239" t="inlineStr">
        <is>
          <t>Ampol Digital</t>
        </is>
      </c>
      <c r="K145" s="239" t="inlineStr">
        <is>
          <t>Ampol Web</t>
        </is>
      </c>
      <c r="L145" s="315" t="n"/>
      <c r="M145" s="316" t="inlineStr">
        <is>
          <t>Australia</t>
        </is>
      </c>
      <c r="N145" t="inlineStr">
        <is>
          <t>Customer</t>
        </is>
      </c>
      <c r="O145" t="inlineStr">
        <is>
          <t>Ampol Digital</t>
        </is>
      </c>
      <c r="P145" t="inlineStr">
        <is>
          <t>Ampol Web</t>
        </is>
      </c>
      <c r="Q145" t="inlineStr">
        <is>
          <t>Squad</t>
        </is>
      </c>
      <c r="R145" t="inlineStr">
        <is>
          <t>Filled</t>
        </is>
      </c>
    </row>
    <row r="146" ht="18" customHeight="1" s="302">
      <c r="A146" s="314" t="n">
        <v>0</v>
      </c>
      <c r="B146" s="239" t="inlineStr">
        <is>
          <t>Phillip Kewley</t>
        </is>
      </c>
      <c r="C146" s="239" t="inlineStr">
        <is>
          <t>Quality Assurance</t>
        </is>
      </c>
      <c r="D146" s="239" t="inlineStr">
        <is>
          <t>Vacant</t>
        </is>
      </c>
      <c r="E146" s="239" t="inlineStr">
        <is>
          <t>Technology Manager, Digitial</t>
        </is>
      </c>
      <c r="F146" s="239" t="inlineStr">
        <is>
          <t>Customer</t>
        </is>
      </c>
      <c r="G146" s="315" t="inlineStr">
        <is>
          <t>Digital</t>
        </is>
      </c>
      <c r="H146" s="239" t="inlineStr">
        <is>
          <t>Digital, Tech</t>
        </is>
      </c>
      <c r="I146" s="315" t="inlineStr">
        <is>
          <t>Customer</t>
        </is>
      </c>
      <c r="J146" s="239" t="inlineStr">
        <is>
          <t>Ampol Digital</t>
        </is>
      </c>
      <c r="K146" s="239" t="inlineStr">
        <is>
          <t>Ampol App</t>
        </is>
      </c>
      <c r="L146" s="315" t="n"/>
      <c r="M146" s="316" t="inlineStr">
        <is>
          <t>Australia</t>
        </is>
      </c>
      <c r="N146" t="inlineStr">
        <is>
          <t>Customer</t>
        </is>
      </c>
      <c r="O146" t="inlineStr">
        <is>
          <t>Ampol Digital</t>
        </is>
      </c>
      <c r="P146" t="inlineStr">
        <is>
          <t>Ampol App</t>
        </is>
      </c>
      <c r="Q146" t="inlineStr">
        <is>
          <t>Squad</t>
        </is>
      </c>
      <c r="R146" t="inlineStr">
        <is>
          <t>Filled</t>
        </is>
      </c>
    </row>
    <row r="147" ht="18" customHeight="1" s="302">
      <c r="A147" s="314" t="n">
        <v>99999101454</v>
      </c>
      <c r="B147" s="326" t="inlineStr">
        <is>
          <t>Celia Voysey</t>
        </is>
      </c>
      <c r="C147" s="315" t="inlineStr">
        <is>
          <t>Delivery Lead</t>
        </is>
      </c>
      <c r="D147" s="315" t="inlineStr">
        <is>
          <t>Vacant</t>
        </is>
      </c>
      <c r="E147" s="315" t="inlineStr">
        <is>
          <t>Delivery Manager, Loyalty</t>
        </is>
      </c>
      <c r="F147" s="239" t="inlineStr">
        <is>
          <t>Customer</t>
        </is>
      </c>
      <c r="G147" s="315" t="inlineStr">
        <is>
          <t>Loyatly &amp; Martec</t>
        </is>
      </c>
      <c r="H147" s="239" t="inlineStr">
        <is>
          <t xml:space="preserve">Loyalty, Delivery </t>
        </is>
      </c>
      <c r="I147" s="239" t="inlineStr">
        <is>
          <t>Customer</t>
        </is>
      </c>
      <c r="J147" s="315" t="inlineStr">
        <is>
          <t>Customer Z</t>
        </is>
      </c>
      <c r="K147" s="315" t="inlineStr">
        <is>
          <t>Z Energy Martech</t>
        </is>
      </c>
      <c r="L147" s="315" t="n"/>
      <c r="M147" s="316" t="inlineStr">
        <is>
          <t>NZ</t>
        </is>
      </c>
      <c r="N147" t="inlineStr">
        <is>
          <t>Customer</t>
        </is>
      </c>
      <c r="O147" t="inlineStr">
        <is>
          <t>Customer Z</t>
        </is>
      </c>
      <c r="P147" t="inlineStr">
        <is>
          <t>Z Energy Martech</t>
        </is>
      </c>
      <c r="Q147" t="inlineStr">
        <is>
          <t>Squad</t>
        </is>
      </c>
      <c r="R147" t="inlineStr">
        <is>
          <t>Filled</t>
        </is>
      </c>
    </row>
    <row r="148" ht="18" customHeight="1" s="302">
      <c r="A148" s="314" t="n"/>
      <c r="B148" s="341" t="inlineStr">
        <is>
          <t>Vacant</t>
        </is>
      </c>
      <c r="C148" s="315" t="inlineStr">
        <is>
          <t>System Specialist</t>
        </is>
      </c>
      <c r="D148" s="315" t="inlineStr">
        <is>
          <t>Vacant</t>
        </is>
      </c>
      <c r="E148" s="315" t="inlineStr">
        <is>
          <t>Delivery Manager, Loyalty</t>
        </is>
      </c>
      <c r="F148" s="239" t="inlineStr">
        <is>
          <t>Customer</t>
        </is>
      </c>
      <c r="G148" s="315" t="inlineStr">
        <is>
          <t>Loyatly &amp; Martec</t>
        </is>
      </c>
      <c r="H148" s="239" t="inlineStr">
        <is>
          <t xml:space="preserve">Loyalty, Delivery </t>
        </is>
      </c>
      <c r="I148" s="239" t="inlineStr">
        <is>
          <t>Customer</t>
        </is>
      </c>
      <c r="J148" s="315" t="inlineStr">
        <is>
          <t>Group Customer</t>
        </is>
      </c>
      <c r="K148" s="315" t="inlineStr">
        <is>
          <t>AU CRM &amp; Martech</t>
        </is>
      </c>
      <c r="L148" s="315" t="n"/>
      <c r="M148" s="316" t="n"/>
      <c r="N148" t="inlineStr">
        <is>
          <t>Customer</t>
        </is>
      </c>
      <c r="O148" t="inlineStr">
        <is>
          <t>Group Customer Platforms</t>
        </is>
      </c>
      <c r="P148" t="inlineStr">
        <is>
          <t>AU CRM &amp; Martech</t>
        </is>
      </c>
      <c r="Q148" t="inlineStr">
        <is>
          <t>Squad</t>
        </is>
      </c>
      <c r="R148" t="inlineStr">
        <is>
          <t>Vacant</t>
        </is>
      </c>
    </row>
    <row r="149" ht="18" customHeight="1" s="302">
      <c r="A149" s="314" t="n">
        <v>99999101891</v>
      </c>
      <c r="B149" s="326" t="inlineStr">
        <is>
          <t>Shinal Chamberlain</t>
        </is>
      </c>
      <c r="C149" s="315" t="inlineStr">
        <is>
          <t>Business Analyst</t>
        </is>
      </c>
      <c r="D149" s="315" t="inlineStr">
        <is>
          <t>Vacant</t>
        </is>
      </c>
      <c r="E149" s="315" t="inlineStr">
        <is>
          <t>Delivery Manager, Loyalty</t>
        </is>
      </c>
      <c r="F149" s="239" t="inlineStr">
        <is>
          <t>Customer</t>
        </is>
      </c>
      <c r="G149" s="315" t="inlineStr">
        <is>
          <t>Loyatly &amp; Martec</t>
        </is>
      </c>
      <c r="H149" s="239" t="inlineStr">
        <is>
          <t xml:space="preserve">Loyalty, Delivery </t>
        </is>
      </c>
      <c r="I149" s="239" t="inlineStr">
        <is>
          <t>Customer</t>
        </is>
      </c>
      <c r="J149" s="315" t="inlineStr">
        <is>
          <t>Group Customer</t>
        </is>
      </c>
      <c r="K149" s="315" t="inlineStr">
        <is>
          <t>AU CRM &amp; Martech</t>
        </is>
      </c>
      <c r="L149" s="315" t="n"/>
      <c r="M149" s="316" t="inlineStr">
        <is>
          <t>NZ</t>
        </is>
      </c>
      <c r="N149" t="inlineStr">
        <is>
          <t>Customer</t>
        </is>
      </c>
      <c r="O149" t="inlineStr">
        <is>
          <t>Group Customer Platforms</t>
        </is>
      </c>
      <c r="P149" t="inlineStr">
        <is>
          <t>AU CRM &amp; Martech</t>
        </is>
      </c>
      <c r="Q149" t="inlineStr">
        <is>
          <t>Squad</t>
        </is>
      </c>
      <c r="R149" t="inlineStr">
        <is>
          <t>Filled</t>
        </is>
      </c>
    </row>
    <row r="150" ht="18" customHeight="1" s="302">
      <c r="A150" s="314" t="n">
        <v>99999101370</v>
      </c>
      <c r="B150" s="326" t="inlineStr">
        <is>
          <t>Denise Esguerra</t>
        </is>
      </c>
      <c r="C150" s="315" t="inlineStr">
        <is>
          <t>Martech Specialist</t>
        </is>
      </c>
      <c r="D150" s="315" t="inlineStr">
        <is>
          <t>Vacant</t>
        </is>
      </c>
      <c r="E150" s="315" t="inlineStr">
        <is>
          <t>Technology Manager, Loyalty &amp; Martech</t>
        </is>
      </c>
      <c r="F150" s="239" t="inlineStr">
        <is>
          <t>Customer</t>
        </is>
      </c>
      <c r="G150" s="315" t="inlineStr">
        <is>
          <t>Loyatly &amp; Martec</t>
        </is>
      </c>
      <c r="H150" s="315" t="inlineStr">
        <is>
          <t>Loyalty, Tech</t>
        </is>
      </c>
      <c r="I150" s="239" t="inlineStr">
        <is>
          <t>Customer</t>
        </is>
      </c>
      <c r="J150" s="315" t="inlineStr">
        <is>
          <t>(All Customer)</t>
        </is>
      </c>
      <c r="K150" s="315" t="inlineStr">
        <is>
          <t>Z Energy Martech</t>
        </is>
      </c>
      <c r="L150" s="315" t="n"/>
      <c r="M150" s="316" t="inlineStr">
        <is>
          <t>NZ</t>
        </is>
      </c>
      <c r="N150" t="inlineStr">
        <is>
          <t>Customer</t>
        </is>
      </c>
      <c r="O150" t="inlineStr">
        <is>
          <t>Customer Z</t>
        </is>
      </c>
      <c r="P150" t="inlineStr">
        <is>
          <t>Z Energy Martech</t>
        </is>
      </c>
      <c r="Q150" t="inlineStr">
        <is>
          <t>Squad</t>
        </is>
      </c>
      <c r="R150" t="inlineStr">
        <is>
          <t>Filled</t>
        </is>
      </c>
    </row>
    <row r="151" ht="18" customHeight="1" s="302">
      <c r="A151" s="314" t="n">
        <v>0</v>
      </c>
      <c r="B151" s="239" t="inlineStr">
        <is>
          <t>Waheed Malek</t>
        </is>
      </c>
      <c r="C151" s="239" t="inlineStr">
        <is>
          <t>Quality Assurance</t>
        </is>
      </c>
      <c r="D151" s="239" t="inlineStr">
        <is>
          <t>Vacant</t>
        </is>
      </c>
      <c r="E151" s="239" t="inlineStr">
        <is>
          <t>Technology Manager, Digitial</t>
        </is>
      </c>
      <c r="F151" s="239" t="inlineStr">
        <is>
          <t>Customer</t>
        </is>
      </c>
      <c r="G151" s="315" t="inlineStr">
        <is>
          <t>Loyalty &amp; Martech</t>
        </is>
      </c>
      <c r="H151" s="239" t="inlineStr">
        <is>
          <t>Digital, Tech</t>
        </is>
      </c>
      <c r="I151" s="315" t="inlineStr">
        <is>
          <t>EGI Integration</t>
        </is>
      </c>
      <c r="J151" s="239" t="inlineStr">
        <is>
          <t>EGI</t>
        </is>
      </c>
      <c r="K151" s="239" t="inlineStr">
        <is>
          <t>EGI Customer</t>
        </is>
      </c>
      <c r="L151" s="315" t="n"/>
      <c r="M151" s="316" t="inlineStr">
        <is>
          <t>Australia</t>
        </is>
      </c>
      <c r="N151" t="inlineStr">
        <is>
          <t>Customer</t>
        </is>
      </c>
      <c r="O151" t="inlineStr">
        <is>
          <t>EGI Customer</t>
        </is>
      </c>
      <c r="P151" t="inlineStr">
        <is>
          <t>EGI Customer</t>
        </is>
      </c>
      <c r="Q151" t="inlineStr">
        <is>
          <t>Strategic Program</t>
        </is>
      </c>
      <c r="R151" t="inlineStr">
        <is>
          <t>Filled</t>
        </is>
      </c>
    </row>
    <row r="152" ht="18" customHeight="1" s="302">
      <c r="A152" s="314" t="n">
        <v>114753</v>
      </c>
      <c r="B152" s="239" t="inlineStr">
        <is>
          <t>Zoe Udy</t>
        </is>
      </c>
      <c r="C152" s="239" t="inlineStr">
        <is>
          <t>Technology Manager – Data &amp; Engineering</t>
        </is>
      </c>
      <c r="D152" s="239" t="inlineStr">
        <is>
          <t>Vacant</t>
        </is>
      </c>
      <c r="E152" s="239" t="inlineStr">
        <is>
          <t>Head of Technology, Loyalty &amp; Martech</t>
        </is>
      </c>
      <c r="F152" s="239" t="inlineStr">
        <is>
          <t>Customer</t>
        </is>
      </c>
      <c r="G152" s="315" t="inlineStr">
        <is>
          <t>Loyalty &amp; Martech</t>
        </is>
      </c>
      <c r="H152" s="239" t="inlineStr">
        <is>
          <t>Loyalty, Data &amp; Engineering</t>
        </is>
      </c>
      <c r="I152" s="239" t="inlineStr">
        <is>
          <t>Customer</t>
        </is>
      </c>
      <c r="J152" s="239" t="inlineStr">
        <is>
          <t>Customer Z, Group Customer Platforms</t>
        </is>
      </c>
      <c r="K152" s="239" t="inlineStr">
        <is>
          <t>Leadership</t>
        </is>
      </c>
      <c r="L152" s="315" t="n"/>
      <c r="M152" s="316" t="n"/>
      <c r="N152" t="inlineStr">
        <is>
          <t>Customer</t>
        </is>
      </c>
      <c r="O152" t="inlineStr">
        <is>
          <t>Leadership</t>
        </is>
      </c>
      <c r="P152" t="inlineStr">
        <is>
          <t>Leadership</t>
        </is>
      </c>
      <c r="Q152" t="inlineStr">
        <is>
          <t>Leadership</t>
        </is>
      </c>
      <c r="R152" t="inlineStr">
        <is>
          <t>Filled</t>
        </is>
      </c>
    </row>
    <row r="153" ht="18" customHeight="1" s="302">
      <c r="A153" s="314" t="n"/>
      <c r="B153" s="341" t="inlineStr">
        <is>
          <t>Vacant</t>
        </is>
      </c>
      <c r="C153" s="315" t="inlineStr">
        <is>
          <t>Engineer Data (Snowflake)</t>
        </is>
      </c>
      <c r="D153" s="315" t="inlineStr">
        <is>
          <t>Vacant</t>
        </is>
      </c>
      <c r="E153" s="315" t="inlineStr">
        <is>
          <t>Technology Manager, Data &amp; Engineering</t>
        </is>
      </c>
      <c r="F153" s="239" t="inlineStr">
        <is>
          <t>Customer</t>
        </is>
      </c>
      <c r="G153" s="315" t="inlineStr">
        <is>
          <t>Loyatly &amp; Martec</t>
        </is>
      </c>
      <c r="H153" s="239" t="inlineStr">
        <is>
          <t>Loyalty, Data &amp; Engineering</t>
        </is>
      </c>
      <c r="I153" s="239" t="inlineStr">
        <is>
          <t>Customer</t>
        </is>
      </c>
      <c r="J153" s="315" t="inlineStr">
        <is>
          <t>Group Customer</t>
        </is>
      </c>
      <c r="K153" s="239" t="inlineStr">
        <is>
          <t>AU CRM &amp; Martech</t>
        </is>
      </c>
      <c r="L153" s="315" t="n"/>
      <c r="M153" s="316" t="n"/>
      <c r="N153" t="inlineStr">
        <is>
          <t>Customer</t>
        </is>
      </c>
      <c r="O153" t="inlineStr">
        <is>
          <t>Group Customer Platforms</t>
        </is>
      </c>
      <c r="P153" t="inlineStr">
        <is>
          <t>AU CRM &amp; Martech</t>
        </is>
      </c>
      <c r="Q153" t="inlineStr">
        <is>
          <t>Squad</t>
        </is>
      </c>
      <c r="R153" t="inlineStr">
        <is>
          <t>Vacant</t>
        </is>
      </c>
    </row>
    <row r="154" ht="18" customHeight="1" s="302">
      <c r="A154" s="314" t="n">
        <v>97200</v>
      </c>
      <c r="B154" s="239" t="inlineStr">
        <is>
          <t>Mitesh Shah</t>
        </is>
      </c>
      <c r="C154" s="239" t="inlineStr">
        <is>
          <t>Technology Manager - Digital</t>
        </is>
      </c>
      <c r="D154" s="239" t="inlineStr">
        <is>
          <t>Vacant</t>
        </is>
      </c>
      <c r="E154" s="239" t="inlineStr">
        <is>
          <t>Head of Technology, Digital</t>
        </is>
      </c>
      <c r="F154" s="239" t="inlineStr">
        <is>
          <t>Customer</t>
        </is>
      </c>
      <c r="G154" s="315" t="inlineStr">
        <is>
          <t>Digital</t>
        </is>
      </c>
      <c r="H154" s="315" t="inlineStr">
        <is>
          <t>Tech, Digital</t>
        </is>
      </c>
      <c r="I154" s="239" t="inlineStr">
        <is>
          <t>Customer</t>
        </is>
      </c>
      <c r="J154" s="239" t="inlineStr">
        <is>
          <t>Ampol Digital</t>
        </is>
      </c>
      <c r="K154" s="239" t="inlineStr">
        <is>
          <t>Leadership</t>
        </is>
      </c>
      <c r="L154" s="315" t="n"/>
      <c r="M154" s="316" t="inlineStr">
        <is>
          <t>Australia</t>
        </is>
      </c>
      <c r="N154" t="inlineStr">
        <is>
          <t>Customer</t>
        </is>
      </c>
      <c r="O154" t="inlineStr">
        <is>
          <t>Leadership</t>
        </is>
      </c>
      <c r="P154" t="inlineStr">
        <is>
          <t>Leadership</t>
        </is>
      </c>
      <c r="Q154" t="inlineStr">
        <is>
          <t>Leadership</t>
        </is>
      </c>
      <c r="R154" t="inlineStr">
        <is>
          <t>Filled</t>
        </is>
      </c>
    </row>
    <row r="155" ht="18" customHeight="1" s="302">
      <c r="A155" s="314" t="n">
        <v>99999100279</v>
      </c>
      <c r="B155" s="239" t="inlineStr">
        <is>
          <t>Kris Hamilton</t>
        </is>
      </c>
      <c r="C155" s="239" t="inlineStr">
        <is>
          <t>Technology Manager - Loyalty &amp; Martech</t>
        </is>
      </c>
      <c r="D155" s="239" t="inlineStr">
        <is>
          <t>Vacant</t>
        </is>
      </c>
      <c r="E155" s="239" t="inlineStr">
        <is>
          <t>Head of Technology, Loyalty &amp; Martech</t>
        </is>
      </c>
      <c r="F155" s="239" t="inlineStr">
        <is>
          <t>Customer</t>
        </is>
      </c>
      <c r="G155" s="315" t="inlineStr">
        <is>
          <t>Loyalty &amp; Martech</t>
        </is>
      </c>
      <c r="H155" s="239" t="inlineStr">
        <is>
          <t>Loyalty, Tech</t>
        </is>
      </c>
      <c r="I155" s="239" t="inlineStr">
        <is>
          <t>Customer</t>
        </is>
      </c>
      <c r="J155" s="239" t="inlineStr">
        <is>
          <t>Customer Z, Group Customer Platforms</t>
        </is>
      </c>
      <c r="K155" s="239" t="inlineStr">
        <is>
          <t>Leadership</t>
        </is>
      </c>
      <c r="L155" s="315" t="n"/>
      <c r="M155" s="316" t="inlineStr">
        <is>
          <t>NZ</t>
        </is>
      </c>
      <c r="N155" t="inlineStr">
        <is>
          <t>Customer</t>
        </is>
      </c>
      <c r="O155" t="inlineStr">
        <is>
          <t>Leadership</t>
        </is>
      </c>
      <c r="P155" t="inlineStr">
        <is>
          <t>Leadership</t>
        </is>
      </c>
      <c r="Q155" t="inlineStr">
        <is>
          <t>Leadership</t>
        </is>
      </c>
      <c r="R155" t="inlineStr">
        <is>
          <t>Filled</t>
        </is>
      </c>
    </row>
    <row r="156" ht="18" customHeight="1" s="302">
      <c r="A156" s="314" t="n">
        <v>0</v>
      </c>
      <c r="B156" s="239" t="inlineStr">
        <is>
          <t>Aaron Lu</t>
        </is>
      </c>
      <c r="C156" s="239" t="inlineStr">
        <is>
          <t>Engineer - BE</t>
        </is>
      </c>
      <c r="D156" s="239" t="inlineStr">
        <is>
          <t>vacant</t>
        </is>
      </c>
      <c r="E156" s="239" t="inlineStr">
        <is>
          <t>Technology Manager, Digital Engineering</t>
        </is>
      </c>
      <c r="F156" s="239" t="inlineStr">
        <is>
          <t>Customer</t>
        </is>
      </c>
      <c r="G156" s="315" t="inlineStr">
        <is>
          <t>Digital</t>
        </is>
      </c>
      <c r="H156" s="315" t="inlineStr">
        <is>
          <t>Tech, Digital Engineering</t>
        </is>
      </c>
      <c r="I156" s="315" t="inlineStr">
        <is>
          <t>Customer</t>
        </is>
      </c>
      <c r="J156" s="239" t="inlineStr">
        <is>
          <t>Ampol Digital</t>
        </is>
      </c>
      <c r="K156" s="239" t="inlineStr">
        <is>
          <t>Ampol Web</t>
        </is>
      </c>
      <c r="L156" s="315" t="n"/>
      <c r="M156" s="316" t="inlineStr">
        <is>
          <t>Australia</t>
        </is>
      </c>
      <c r="N156" t="inlineStr">
        <is>
          <t>Customer</t>
        </is>
      </c>
      <c r="O156" t="inlineStr">
        <is>
          <t>Ampol Digital</t>
        </is>
      </c>
      <c r="P156" t="inlineStr">
        <is>
          <t>Ampol Web</t>
        </is>
      </c>
      <c r="Q156" t="inlineStr">
        <is>
          <t>Squad</t>
        </is>
      </c>
      <c r="R156" t="inlineStr">
        <is>
          <t>Filled</t>
        </is>
      </c>
    </row>
    <row r="157" ht="18" customHeight="1" s="302">
      <c r="A157" s="314" t="n">
        <v>0</v>
      </c>
      <c r="B157" s="239" t="inlineStr">
        <is>
          <t>Safiq Iqbal</t>
        </is>
      </c>
      <c r="C157" s="239" t="inlineStr">
        <is>
          <t>Principal Engineer</t>
        </is>
      </c>
      <c r="D157" s="239" t="inlineStr">
        <is>
          <t>Vacant</t>
        </is>
      </c>
      <c r="E157" s="239" t="inlineStr">
        <is>
          <t>Head of Technology, Digital</t>
        </is>
      </c>
      <c r="F157" s="239" t="inlineStr">
        <is>
          <t>Customer</t>
        </is>
      </c>
      <c r="G157" s="315" t="inlineStr">
        <is>
          <t>Digital</t>
        </is>
      </c>
      <c r="H157" s="315" t="inlineStr">
        <is>
          <t>EGI</t>
        </is>
      </c>
      <c r="I157" s="315" t="inlineStr">
        <is>
          <t>EGI Integration</t>
        </is>
      </c>
      <c r="J157" s="239" t="inlineStr">
        <is>
          <t>EGI</t>
        </is>
      </c>
      <c r="K157" s="239" t="inlineStr">
        <is>
          <t>EGI Customer</t>
        </is>
      </c>
      <c r="L157" s="315" t="n"/>
      <c r="M157" s="316" t="inlineStr">
        <is>
          <t>Australia</t>
        </is>
      </c>
      <c r="N157" t="inlineStr">
        <is>
          <t>Customer</t>
        </is>
      </c>
      <c r="O157" t="inlineStr">
        <is>
          <t>EGI Customer</t>
        </is>
      </c>
      <c r="P157" t="inlineStr">
        <is>
          <t>EGI Customer</t>
        </is>
      </c>
      <c r="Q157" t="inlineStr">
        <is>
          <t>Strategic Program</t>
        </is>
      </c>
      <c r="R157" t="inlineStr">
        <is>
          <t>Filled</t>
        </is>
      </c>
    </row>
    <row r="158" ht="18" customHeight="1" s="302">
      <c r="A158" s="314" t="n"/>
      <c r="B158" s="239" t="inlineStr">
        <is>
          <t>Vacant</t>
        </is>
      </c>
      <c r="C158" s="315" t="inlineStr">
        <is>
          <t>Snr Engineer, (TBD</t>
        </is>
      </c>
      <c r="D158" s="315" t="inlineStr">
        <is>
          <t>vacant</t>
        </is>
      </c>
      <c r="E158" s="315" t="inlineStr">
        <is>
          <t>AI Enablement Lead</t>
        </is>
      </c>
      <c r="F158" s="239" t="inlineStr">
        <is>
          <t>Customer</t>
        </is>
      </c>
      <c r="G158" s="315" t="inlineStr">
        <is>
          <t>Customer, AI Enablement</t>
        </is>
      </c>
      <c r="H158" s="315" t="n"/>
      <c r="I158" s="315" t="inlineStr">
        <is>
          <t>Customer</t>
        </is>
      </c>
      <c r="J158" s="315" t="inlineStr">
        <is>
          <t>(All Customer)</t>
        </is>
      </c>
      <c r="K158" s="239" t="inlineStr">
        <is>
          <t>Customer, AI</t>
        </is>
      </c>
      <c r="L158" s="315" t="n"/>
      <c r="M158" s="316" t="n"/>
      <c r="N158" t="inlineStr">
        <is>
          <t>Customer</t>
        </is>
      </c>
      <c r="O158" t="inlineStr">
        <is>
          <t>-</t>
        </is>
      </c>
      <c r="P158" t="inlineStr">
        <is>
          <t>Customer AI</t>
        </is>
      </c>
      <c r="Q158" t="inlineStr">
        <is>
          <t>Unmapped</t>
        </is>
      </c>
      <c r="R158" t="inlineStr">
        <is>
          <t>Vacant</t>
        </is>
      </c>
    </row>
    <row r="159" ht="18" customHeight="1" s="302">
      <c r="A159" s="314" t="n"/>
      <c r="B159" s="239" t="inlineStr">
        <is>
          <t>Vacant (B2B)</t>
        </is>
      </c>
      <c r="C159" s="239" t="inlineStr">
        <is>
          <t>Engineer - BE</t>
        </is>
      </c>
      <c r="D159" s="239" t="inlineStr">
        <is>
          <t>vacant</t>
        </is>
      </c>
      <c r="E159" s="239" t="inlineStr">
        <is>
          <t>Technology Manager, Digital Engineering</t>
        </is>
      </c>
      <c r="F159" s="239" t="inlineStr">
        <is>
          <t>Customer</t>
        </is>
      </c>
      <c r="G159" s="315" t="inlineStr">
        <is>
          <t>Digital</t>
        </is>
      </c>
      <c r="H159" s="315" t="inlineStr">
        <is>
          <t>Tech, Digital Engineering</t>
        </is>
      </c>
      <c r="I159" s="315" t="inlineStr">
        <is>
          <t>Customer</t>
        </is>
      </c>
      <c r="J159" s="239" t="inlineStr">
        <is>
          <t>Ampol Digital</t>
        </is>
      </c>
      <c r="K159" s="239" t="inlineStr">
        <is>
          <t>B2B</t>
        </is>
      </c>
      <c r="L159" s="315" t="n"/>
      <c r="M159" s="316" t="inlineStr">
        <is>
          <t>Australia</t>
        </is>
      </c>
      <c r="N159" t="inlineStr">
        <is>
          <t>Energy Solutions &amp; B2B</t>
        </is>
      </c>
      <c r="O159" t="inlineStr">
        <is>
          <t>B2B</t>
        </is>
      </c>
      <c r="P159" t="inlineStr">
        <is>
          <t>B2B</t>
        </is>
      </c>
      <c r="Q159" t="inlineStr">
        <is>
          <t>Squad</t>
        </is>
      </c>
      <c r="R159" t="inlineStr">
        <is>
          <t>Filled</t>
        </is>
      </c>
    </row>
    <row r="160" ht="18" customHeight="1" s="302">
      <c r="A160" s="314" t="n"/>
      <c r="B160" s="239" t="inlineStr">
        <is>
          <t>Vacant</t>
        </is>
      </c>
      <c r="C160" s="239" t="inlineStr">
        <is>
          <t>AI Enablement Lead</t>
        </is>
      </c>
      <c r="D160" s="239" t="inlineStr">
        <is>
          <t>Vacant</t>
        </is>
      </c>
      <c r="E160" s="239" t="inlineStr">
        <is>
          <t>GM TDD, Customer</t>
        </is>
      </c>
      <c r="F160" s="239" t="inlineStr">
        <is>
          <t>Customer</t>
        </is>
      </c>
      <c r="G160" s="315" t="inlineStr">
        <is>
          <t>Customer, AI Enablement</t>
        </is>
      </c>
      <c r="H160" s="239" t="n"/>
      <c r="I160" s="239" t="inlineStr">
        <is>
          <t>Customer</t>
        </is>
      </c>
      <c r="J160" s="239" t="inlineStr">
        <is>
          <t>(All Customer)</t>
        </is>
      </c>
      <c r="K160" s="239" t="inlineStr">
        <is>
          <t>Leadership</t>
        </is>
      </c>
      <c r="L160" s="315" t="n"/>
      <c r="M160" s="316" t="n"/>
      <c r="N160" t="inlineStr">
        <is>
          <t>Customer</t>
        </is>
      </c>
      <c r="O160" t="inlineStr">
        <is>
          <t>Leadership</t>
        </is>
      </c>
      <c r="P160" t="inlineStr">
        <is>
          <t>Leadership</t>
        </is>
      </c>
      <c r="Q160" t="inlineStr">
        <is>
          <t>Leadership</t>
        </is>
      </c>
      <c r="R160" t="inlineStr">
        <is>
          <t>Vacant</t>
        </is>
      </c>
    </row>
    <row r="161" ht="18" customHeight="1" s="302">
      <c r="A161" s="314" t="n">
        <v>99999101612</v>
      </c>
      <c r="B161" s="239" t="inlineStr">
        <is>
          <t>Shane Abrahams</t>
        </is>
      </c>
      <c r="C161" s="239" t="inlineStr">
        <is>
          <t>Digital Support Manager - NZ</t>
        </is>
      </c>
      <c r="D161" s="239" t="inlineStr">
        <is>
          <t>Vacant</t>
        </is>
      </c>
      <c r="E161" s="239" t="inlineStr">
        <is>
          <t>Head of Technology, Digital</t>
        </is>
      </c>
      <c r="F161" s="239" t="inlineStr">
        <is>
          <t>Customer</t>
        </is>
      </c>
      <c r="G161" s="315" t="inlineStr">
        <is>
          <t>Digital</t>
        </is>
      </c>
      <c r="H161" s="315" t="inlineStr">
        <is>
          <t>Digital Support (NZ)</t>
        </is>
      </c>
      <c r="I161" s="239" t="inlineStr">
        <is>
          <t>Customer</t>
        </is>
      </c>
      <c r="J161" s="239" t="inlineStr">
        <is>
          <t>Customer Z</t>
        </is>
      </c>
      <c r="K161" s="239" t="inlineStr">
        <is>
          <t>Z Energy Apps</t>
        </is>
      </c>
      <c r="L161" s="315" t="n"/>
      <c r="M161" s="316" t="inlineStr">
        <is>
          <t>NZ</t>
        </is>
      </c>
      <c r="N161" t="inlineStr">
        <is>
          <t>Customer</t>
        </is>
      </c>
      <c r="O161" t="inlineStr">
        <is>
          <t>Customer Z</t>
        </is>
      </c>
      <c r="P161" t="inlineStr">
        <is>
          <t>Z Energy Apps</t>
        </is>
      </c>
      <c r="Q161" t="inlineStr">
        <is>
          <t>Squad</t>
        </is>
      </c>
      <c r="R161" t="inlineStr">
        <is>
          <t>Filled</t>
        </is>
      </c>
    </row>
    <row r="162" ht="18" customHeight="1" s="302">
      <c r="A162" s="314" t="n">
        <v>4781</v>
      </c>
      <c r="B162" s="239" t="inlineStr">
        <is>
          <t>Mark Wilson</t>
        </is>
      </c>
      <c r="C162" s="239" t="inlineStr">
        <is>
          <t>Digital Support Manager (AU)</t>
        </is>
      </c>
      <c r="D162" s="239" t="inlineStr">
        <is>
          <t>Vacant</t>
        </is>
      </c>
      <c r="E162" s="239" t="inlineStr">
        <is>
          <t>Head of Technology, Digital</t>
        </is>
      </c>
      <c r="F162" s="239" t="inlineStr">
        <is>
          <t>Customer</t>
        </is>
      </c>
      <c r="G162" s="315" t="inlineStr">
        <is>
          <t>Digital</t>
        </is>
      </c>
      <c r="H162" s="315" t="inlineStr">
        <is>
          <t>Digital Support (AU)</t>
        </is>
      </c>
      <c r="I162" s="315" t="inlineStr">
        <is>
          <t>Customer</t>
        </is>
      </c>
      <c r="J162" s="239" t="inlineStr">
        <is>
          <t>Ampol Digital</t>
        </is>
      </c>
      <c r="K162" s="239" t="inlineStr">
        <is>
          <t>Digital Ops Support</t>
        </is>
      </c>
      <c r="L162" s="315" t="n"/>
      <c r="M162" s="316" t="inlineStr">
        <is>
          <t>Australia</t>
        </is>
      </c>
      <c r="N162" t="inlineStr">
        <is>
          <t>Customer</t>
        </is>
      </c>
      <c r="O162" t="inlineStr">
        <is>
          <t>Ampol Digital</t>
        </is>
      </c>
      <c r="P162" t="inlineStr">
        <is>
          <t>Digital Operations</t>
        </is>
      </c>
      <c r="Q162" t="inlineStr">
        <is>
          <t>Squad</t>
        </is>
      </c>
      <c r="R162" t="inlineStr">
        <is>
          <t>Filled</t>
        </is>
      </c>
    </row>
    <row r="163" ht="18" customHeight="1" s="302">
      <c r="A163" s="314" t="n">
        <v>115607</v>
      </c>
      <c r="B163" s="239" t="inlineStr">
        <is>
          <t>Zohan Sim</t>
        </is>
      </c>
      <c r="C163" s="239" t="inlineStr">
        <is>
          <t>Engineer - BE</t>
        </is>
      </c>
      <c r="D163" s="239" t="inlineStr">
        <is>
          <t>Vacant</t>
        </is>
      </c>
      <c r="E163" s="239" t="inlineStr">
        <is>
          <t>Lead Engineer - BE</t>
        </is>
      </c>
      <c r="F163" s="239" t="inlineStr">
        <is>
          <t>Customer</t>
        </is>
      </c>
      <c r="G163" s="315" t="inlineStr">
        <is>
          <t>Digital</t>
        </is>
      </c>
      <c r="H163" s="315" t="inlineStr">
        <is>
          <t>Tech, Digital Engineering</t>
        </is>
      </c>
      <c r="I163" s="315" t="inlineStr">
        <is>
          <t>Customer</t>
        </is>
      </c>
      <c r="J163" s="239" t="inlineStr">
        <is>
          <t>Ampol Digital</t>
        </is>
      </c>
      <c r="K163" s="239" t="inlineStr">
        <is>
          <t>Ampol Web</t>
        </is>
      </c>
      <c r="L163" s="315" t="n"/>
      <c r="M163" s="316" t="inlineStr">
        <is>
          <t>Australia</t>
        </is>
      </c>
      <c r="N163" t="inlineStr">
        <is>
          <t>Customer</t>
        </is>
      </c>
      <c r="O163" t="inlineStr">
        <is>
          <t>Ampol Digital</t>
        </is>
      </c>
      <c r="P163" t="inlineStr">
        <is>
          <t>Ampol Web</t>
        </is>
      </c>
      <c r="Q163" t="inlineStr">
        <is>
          <t>Squad</t>
        </is>
      </c>
      <c r="R163" t="inlineStr">
        <is>
          <t>Filled</t>
        </is>
      </c>
    </row>
    <row r="164" ht="18" customHeight="1" s="302">
      <c r="A164" s="314" t="n"/>
      <c r="B164" s="239" t="inlineStr">
        <is>
          <t>Vacant</t>
        </is>
      </c>
      <c r="C164" s="239" t="inlineStr">
        <is>
          <t>Engineer - BE</t>
        </is>
      </c>
      <c r="D164" s="239" t="inlineStr">
        <is>
          <t>Vacant</t>
        </is>
      </c>
      <c r="E164" s="239" t="inlineStr">
        <is>
          <t>Digital Support Manager(AU)</t>
        </is>
      </c>
      <c r="F164" s="239" t="inlineStr">
        <is>
          <t>Customer</t>
        </is>
      </c>
      <c r="G164" s="315" t="inlineStr">
        <is>
          <t>Digital</t>
        </is>
      </c>
      <c r="H164" s="239" t="inlineStr">
        <is>
          <t>Delivery, Commercial Fuels</t>
        </is>
      </c>
      <c r="I164" s="315" t="inlineStr">
        <is>
          <t>Customer</t>
        </is>
      </c>
      <c r="J164" s="239" t="inlineStr">
        <is>
          <t>Ampol Digital</t>
        </is>
      </c>
      <c r="K164" s="239" t="inlineStr">
        <is>
          <t>Digital Ops Support</t>
        </is>
      </c>
      <c r="L164" s="315" t="n"/>
      <c r="M164" s="316" t="inlineStr">
        <is>
          <t>Australia</t>
        </is>
      </c>
      <c r="N164" t="inlineStr">
        <is>
          <t>Customer</t>
        </is>
      </c>
      <c r="O164" t="inlineStr">
        <is>
          <t>Ampol Digital</t>
        </is>
      </c>
      <c r="P164" t="inlineStr">
        <is>
          <t>Digital Operations</t>
        </is>
      </c>
      <c r="Q164" t="inlineStr">
        <is>
          <t>Squad</t>
        </is>
      </c>
      <c r="R164" t="inlineStr">
        <is>
          <t>Vacant</t>
        </is>
      </c>
    </row>
    <row r="165" ht="18" customHeight="1" s="302">
      <c r="A165" s="314" t="n"/>
      <c r="B165" s="239" t="inlineStr">
        <is>
          <t>Vacant</t>
        </is>
      </c>
      <c r="C165" s="315" t="inlineStr">
        <is>
          <t>Engineer, (TBD)</t>
        </is>
      </c>
      <c r="D165" s="315" t="inlineStr">
        <is>
          <t>Vacant</t>
        </is>
      </c>
      <c r="E165" s="315" t="inlineStr">
        <is>
          <t>AI Enablement Lead</t>
        </is>
      </c>
      <c r="F165" s="239" t="inlineStr">
        <is>
          <t>Customer</t>
        </is>
      </c>
      <c r="G165" s="315" t="inlineStr">
        <is>
          <t>Customer, AI Enablement</t>
        </is>
      </c>
      <c r="H165" s="315" t="n"/>
      <c r="I165" s="315" t="inlineStr">
        <is>
          <t>Customer</t>
        </is>
      </c>
      <c r="J165" s="315" t="inlineStr">
        <is>
          <t>(All Customer)</t>
        </is>
      </c>
      <c r="K165" s="239" t="inlineStr">
        <is>
          <t>Customer, AI</t>
        </is>
      </c>
      <c r="L165" s="315" t="n"/>
      <c r="M165" s="316" t="n"/>
      <c r="N165" t="inlineStr">
        <is>
          <t>Customer</t>
        </is>
      </c>
      <c r="O165" t="inlineStr">
        <is>
          <t>-</t>
        </is>
      </c>
      <c r="P165" t="inlineStr">
        <is>
          <t>Customer AI</t>
        </is>
      </c>
      <c r="Q165" t="inlineStr">
        <is>
          <t>Unmapped</t>
        </is>
      </c>
      <c r="R165" t="inlineStr">
        <is>
          <t>Vacant</t>
        </is>
      </c>
    </row>
    <row r="166" ht="18" customHeight="1" s="302">
      <c r="A166" s="314" t="n">
        <v>114395</v>
      </c>
      <c r="B166" s="239" t="inlineStr">
        <is>
          <t>Rishabh Bhatia</t>
        </is>
      </c>
      <c r="C166" s="239" t="inlineStr">
        <is>
          <t>Engineer - Mobile (Android)</t>
        </is>
      </c>
      <c r="D166" s="239" t="inlineStr">
        <is>
          <t>Vacant</t>
        </is>
      </c>
      <c r="E166" s="239" t="inlineStr">
        <is>
          <t>Technology Manager, Digitial</t>
        </is>
      </c>
      <c r="F166" s="239" t="inlineStr">
        <is>
          <t>Customer</t>
        </is>
      </c>
      <c r="G166" s="315" t="inlineStr">
        <is>
          <t>Digital</t>
        </is>
      </c>
      <c r="H166" s="239" t="inlineStr">
        <is>
          <t>Digital, Tech</t>
        </is>
      </c>
      <c r="I166" s="315" t="inlineStr">
        <is>
          <t>EGI Integration</t>
        </is>
      </c>
      <c r="J166" s="239" t="inlineStr">
        <is>
          <t>EGI</t>
        </is>
      </c>
      <c r="K166" s="239" t="inlineStr">
        <is>
          <t>EGI Customer</t>
        </is>
      </c>
      <c r="L166" s="315" t="n"/>
      <c r="M166" s="316" t="inlineStr">
        <is>
          <t>Australia</t>
        </is>
      </c>
      <c r="N166" t="inlineStr">
        <is>
          <t>Customer</t>
        </is>
      </c>
      <c r="O166" t="inlineStr">
        <is>
          <t>EGI Customer</t>
        </is>
      </c>
      <c r="P166" t="inlineStr">
        <is>
          <t>EGI Customer</t>
        </is>
      </c>
      <c r="Q166" t="inlineStr">
        <is>
          <t>Strategic Program</t>
        </is>
      </c>
      <c r="R166" t="inlineStr">
        <is>
          <t>Filled</t>
        </is>
      </c>
    </row>
    <row r="167" ht="18" customHeight="1" s="302">
      <c r="A167" s="314" t="n"/>
      <c r="B167" s="239" t="inlineStr">
        <is>
          <t>Vacant</t>
        </is>
      </c>
      <c r="C167" s="239" t="inlineStr">
        <is>
          <t>Engineer - BE</t>
        </is>
      </c>
      <c r="D167" s="239" t="inlineStr">
        <is>
          <t>Vacant</t>
        </is>
      </c>
      <c r="E167" s="239" t="inlineStr">
        <is>
          <t>Digital Support Manager(AU)</t>
        </is>
      </c>
      <c r="F167" s="239" t="inlineStr">
        <is>
          <t>Customer</t>
        </is>
      </c>
      <c r="G167" s="315" t="inlineStr">
        <is>
          <t>Digital</t>
        </is>
      </c>
      <c r="H167" s="239" t="inlineStr">
        <is>
          <t>Digital Support (AU)</t>
        </is>
      </c>
      <c r="I167" s="315" t="inlineStr">
        <is>
          <t>Customer</t>
        </is>
      </c>
      <c r="J167" s="239" t="inlineStr">
        <is>
          <t>Ampol Digital</t>
        </is>
      </c>
      <c r="K167" s="239" t="inlineStr">
        <is>
          <t>Digital Ops Support</t>
        </is>
      </c>
      <c r="L167" s="315" t="n"/>
      <c r="M167" s="316" t="inlineStr">
        <is>
          <t>Australia</t>
        </is>
      </c>
      <c r="N167" t="inlineStr">
        <is>
          <t>Customer</t>
        </is>
      </c>
      <c r="O167" t="inlineStr">
        <is>
          <t>Ampol Digital</t>
        </is>
      </c>
      <c r="P167" t="inlineStr">
        <is>
          <t>Digital Operations</t>
        </is>
      </c>
      <c r="Q167" t="inlineStr">
        <is>
          <t>Squad</t>
        </is>
      </c>
      <c r="R167" t="inlineStr">
        <is>
          <t>Vacant</t>
        </is>
      </c>
    </row>
    <row r="168" ht="18" customHeight="1" s="302">
      <c r="A168" s="314" t="n">
        <v>99999101730</v>
      </c>
      <c r="B168" s="326" t="inlineStr">
        <is>
          <t>Scott Cullen</t>
        </is>
      </c>
      <c r="C168" s="315" t="inlineStr">
        <is>
          <t>Engineer, Dev Ops</t>
        </is>
      </c>
      <c r="D168" s="315" t="inlineStr">
        <is>
          <t>Vacant</t>
        </is>
      </c>
      <c r="E168" s="315" t="inlineStr">
        <is>
          <t>Technology Manager, Data &amp; Engineering</t>
        </is>
      </c>
      <c r="F168" s="239" t="inlineStr">
        <is>
          <t>Customer</t>
        </is>
      </c>
      <c r="G168" s="315" t="inlineStr">
        <is>
          <t>Loyatly &amp; Martec</t>
        </is>
      </c>
      <c r="H168" s="239" t="inlineStr">
        <is>
          <t>Loyalty, Data &amp; Engineering</t>
        </is>
      </c>
      <c r="I168" s="239" t="inlineStr">
        <is>
          <t>Customer</t>
        </is>
      </c>
      <c r="J168" s="315" t="inlineStr">
        <is>
          <t>Customer Z</t>
        </is>
      </c>
      <c r="K168" s="315" t="inlineStr">
        <is>
          <t>Z Energy Martech</t>
        </is>
      </c>
      <c r="L168" s="315" t="n"/>
      <c r="M168" s="316" t="inlineStr">
        <is>
          <t>NZ</t>
        </is>
      </c>
      <c r="N168" t="inlineStr">
        <is>
          <t>Customer</t>
        </is>
      </c>
      <c r="O168" t="inlineStr">
        <is>
          <t>Customer Z</t>
        </is>
      </c>
      <c r="P168" t="inlineStr">
        <is>
          <t>Z Energy Martech</t>
        </is>
      </c>
      <c r="Q168" t="inlineStr">
        <is>
          <t>Squad</t>
        </is>
      </c>
      <c r="R168" t="inlineStr">
        <is>
          <t>Filled</t>
        </is>
      </c>
    </row>
    <row r="169" ht="18" customHeight="1" s="302">
      <c r="A169" s="314" t="n">
        <v>97634</v>
      </c>
      <c r="B169" s="239" t="inlineStr">
        <is>
          <t>Khalid Mahmud</t>
        </is>
      </c>
      <c r="C169" s="239" t="inlineStr">
        <is>
          <t>Lead Engineer - BE</t>
        </is>
      </c>
      <c r="D169" s="239" t="inlineStr">
        <is>
          <t>vacant</t>
        </is>
      </c>
      <c r="E169" s="239" t="inlineStr">
        <is>
          <t>Technology Manager, Digital Engineering</t>
        </is>
      </c>
      <c r="F169" s="239" t="inlineStr">
        <is>
          <t>Customer</t>
        </is>
      </c>
      <c r="G169" s="315" t="inlineStr">
        <is>
          <t>Digital</t>
        </is>
      </c>
      <c r="H169" s="315" t="inlineStr">
        <is>
          <t>Tech, Digital Engineering</t>
        </is>
      </c>
      <c r="I169" s="315" t="inlineStr">
        <is>
          <t>Customer</t>
        </is>
      </c>
      <c r="J169" s="239" t="inlineStr">
        <is>
          <t>Ampol Digital</t>
        </is>
      </c>
      <c r="K169" s="239" t="inlineStr">
        <is>
          <t>Ampol App</t>
        </is>
      </c>
      <c r="L169" s="315" t="n"/>
      <c r="M169" s="316" t="inlineStr">
        <is>
          <t>Australia</t>
        </is>
      </c>
      <c r="N169" t="inlineStr">
        <is>
          <t>Customer</t>
        </is>
      </c>
      <c r="O169" t="inlineStr">
        <is>
          <t>Ampol Digital</t>
        </is>
      </c>
      <c r="P169" t="inlineStr">
        <is>
          <t>Ampol App</t>
        </is>
      </c>
      <c r="Q169" t="inlineStr">
        <is>
          <t>Squad</t>
        </is>
      </c>
      <c r="R169" t="inlineStr">
        <is>
          <t>Filled</t>
        </is>
      </c>
    </row>
    <row r="170" ht="18" customHeight="1" s="302">
      <c r="A170" s="314" t="n">
        <v>107144</v>
      </c>
      <c r="B170" s="239" t="inlineStr">
        <is>
          <t>Jasper Na</t>
        </is>
      </c>
      <c r="C170" s="239" t="inlineStr">
        <is>
          <t>Associate Engineer - BE</t>
        </is>
      </c>
      <c r="D170" s="239" t="inlineStr">
        <is>
          <t>Vacant</t>
        </is>
      </c>
      <c r="E170" s="239" t="inlineStr">
        <is>
          <t>Lead Engineer - BE</t>
        </is>
      </c>
      <c r="F170" s="239" t="inlineStr">
        <is>
          <t>Customer</t>
        </is>
      </c>
      <c r="G170" s="315" t="inlineStr">
        <is>
          <t>Digital</t>
        </is>
      </c>
      <c r="H170" s="315" t="inlineStr">
        <is>
          <t>Tech, Digital Engineering</t>
        </is>
      </c>
      <c r="I170" s="315" t="inlineStr">
        <is>
          <t>Customer</t>
        </is>
      </c>
      <c r="J170" s="239" t="inlineStr">
        <is>
          <t>Ampol Digital</t>
        </is>
      </c>
      <c r="K170" s="239" t="inlineStr">
        <is>
          <t>Energy</t>
        </is>
      </c>
      <c r="L170" s="315" t="n"/>
      <c r="M170" s="316" t="inlineStr">
        <is>
          <t>Australia</t>
        </is>
      </c>
      <c r="N170" t="inlineStr">
        <is>
          <t>Energy Solutions &amp; B2B</t>
        </is>
      </c>
      <c r="O170" t="inlineStr">
        <is>
          <t>Energy Solutions</t>
        </is>
      </c>
      <c r="P170" t="inlineStr">
        <is>
          <t>Energy</t>
        </is>
      </c>
      <c r="Q170" t="inlineStr">
        <is>
          <t>Squad</t>
        </is>
      </c>
      <c r="R170" t="inlineStr">
        <is>
          <t>Filled</t>
        </is>
      </c>
    </row>
    <row r="171" ht="18" customHeight="1" s="302">
      <c r="A171" s="314" t="n"/>
      <c r="B171" s="239" t="inlineStr">
        <is>
          <t>Vacant</t>
        </is>
      </c>
      <c r="C171" s="239" t="inlineStr">
        <is>
          <t>Snr Engineer - BE</t>
        </is>
      </c>
      <c r="D171" s="239" t="inlineStr">
        <is>
          <t>Vacant</t>
        </is>
      </c>
      <c r="E171" s="239" t="inlineStr">
        <is>
          <t>Lead Engineer - BE</t>
        </is>
      </c>
      <c r="F171" s="239" t="inlineStr">
        <is>
          <t>Customer</t>
        </is>
      </c>
      <c r="G171" s="315" t="inlineStr">
        <is>
          <t>Digital</t>
        </is>
      </c>
      <c r="H171" s="315" t="inlineStr">
        <is>
          <t>Tech, Digital Engineering</t>
        </is>
      </c>
      <c r="I171" s="315" t="inlineStr">
        <is>
          <t>Customer</t>
        </is>
      </c>
      <c r="J171" s="239" t="inlineStr">
        <is>
          <t>Ampol Digital</t>
        </is>
      </c>
      <c r="K171" s="239" t="inlineStr">
        <is>
          <t>Ampol Web</t>
        </is>
      </c>
      <c r="L171" s="315" t="n"/>
      <c r="M171" s="316" t="inlineStr">
        <is>
          <t>Australia</t>
        </is>
      </c>
      <c r="N171" t="inlineStr">
        <is>
          <t>Customer</t>
        </is>
      </c>
      <c r="O171" t="inlineStr">
        <is>
          <t>Ampol Digital</t>
        </is>
      </c>
      <c r="P171" t="inlineStr">
        <is>
          <t>Ampol Web</t>
        </is>
      </c>
      <c r="Q171" t="inlineStr">
        <is>
          <t>Squad</t>
        </is>
      </c>
      <c r="R171" t="inlineStr">
        <is>
          <t>Vacant</t>
        </is>
      </c>
    </row>
    <row r="172" ht="18" customHeight="1" s="302">
      <c r="A172" s="314" t="n"/>
      <c r="B172" s="341" t="inlineStr">
        <is>
          <t>Vacant</t>
        </is>
      </c>
      <c r="C172" s="315" t="inlineStr">
        <is>
          <t>Data Analyst</t>
        </is>
      </c>
      <c r="D172" s="315" t="inlineStr">
        <is>
          <t>Vacant</t>
        </is>
      </c>
      <c r="E172" s="315" t="inlineStr">
        <is>
          <t>Technology Manager, Data &amp; Engineering</t>
        </is>
      </c>
      <c r="F172" s="239" t="inlineStr">
        <is>
          <t>Customer</t>
        </is>
      </c>
      <c r="G172" s="315" t="inlineStr">
        <is>
          <t>Loyatly &amp; Martec</t>
        </is>
      </c>
      <c r="H172" s="239" t="inlineStr">
        <is>
          <t>Loyalty, Data &amp; Engineering</t>
        </is>
      </c>
      <c r="I172" s="239" t="inlineStr">
        <is>
          <t>Customer</t>
        </is>
      </c>
      <c r="J172" s="315" t="inlineStr">
        <is>
          <t>Group Customer</t>
        </is>
      </c>
      <c r="K172" s="239" t="inlineStr">
        <is>
          <t>AU CRM &amp; Martech</t>
        </is>
      </c>
      <c r="L172" s="315" t="n"/>
      <c r="M172" s="316" t="n"/>
      <c r="N172" t="inlineStr">
        <is>
          <t>Customer</t>
        </is>
      </c>
      <c r="O172" t="inlineStr">
        <is>
          <t>Group Customer Platforms</t>
        </is>
      </c>
      <c r="P172" t="inlineStr">
        <is>
          <t>AU CRM &amp; Martech</t>
        </is>
      </c>
      <c r="Q172" t="inlineStr">
        <is>
          <t>Squad</t>
        </is>
      </c>
      <c r="R172" t="inlineStr">
        <is>
          <t>Vacant</t>
        </is>
      </c>
    </row>
    <row r="173" ht="18" customHeight="1" s="302">
      <c r="A173" s="314" t="n">
        <v>99999101324</v>
      </c>
      <c r="B173" s="326" t="inlineStr">
        <is>
          <t>Angela Gilbert</t>
        </is>
      </c>
      <c r="C173" s="315" t="inlineStr">
        <is>
          <t>Martech Lead - Dynamics</t>
        </is>
      </c>
      <c r="D173" s="315" t="inlineStr">
        <is>
          <t>Vacant</t>
        </is>
      </c>
      <c r="E173" s="315" t="inlineStr">
        <is>
          <t>Delivery Manager, Loyalty</t>
        </is>
      </c>
      <c r="F173" s="239" t="inlineStr">
        <is>
          <t>Customer</t>
        </is>
      </c>
      <c r="G173" s="315" t="inlineStr">
        <is>
          <t>Loyatly &amp; Martec</t>
        </is>
      </c>
      <c r="H173" s="239" t="inlineStr">
        <is>
          <t xml:space="preserve">Loyalty, Delivery </t>
        </is>
      </c>
      <c r="I173" s="239" t="inlineStr">
        <is>
          <t>Customer</t>
        </is>
      </c>
      <c r="J173" s="315" t="inlineStr">
        <is>
          <t>Group Customer</t>
        </is>
      </c>
      <c r="K173" s="315" t="inlineStr">
        <is>
          <t>AU CRM &amp; Martech</t>
        </is>
      </c>
      <c r="L173" s="315" t="n"/>
      <c r="M173" s="316" t="inlineStr">
        <is>
          <t>NZ</t>
        </is>
      </c>
      <c r="N173" t="inlineStr">
        <is>
          <t>Customer</t>
        </is>
      </c>
      <c r="O173" t="inlineStr">
        <is>
          <t>Group Customer Platforms</t>
        </is>
      </c>
      <c r="P173" t="inlineStr">
        <is>
          <t>AU CRM &amp; Martech</t>
        </is>
      </c>
      <c r="Q173" t="inlineStr">
        <is>
          <t>Squad</t>
        </is>
      </c>
      <c r="R173" t="inlineStr">
        <is>
          <t>Filled</t>
        </is>
      </c>
    </row>
    <row r="174" ht="18" customHeight="1" s="302">
      <c r="A174" s="314" t="n">
        <v>109041</v>
      </c>
      <c r="B174" s="239" t="inlineStr">
        <is>
          <t>Darwin Morales</t>
        </is>
      </c>
      <c r="C174" s="239" t="inlineStr">
        <is>
          <t>Snr Engineer - FE</t>
        </is>
      </c>
      <c r="D174" s="239" t="inlineStr">
        <is>
          <t>Vacant</t>
        </is>
      </c>
      <c r="E174" s="239" t="inlineStr">
        <is>
          <t>Technology Manager, Digitial</t>
        </is>
      </c>
      <c r="F174" s="239" t="inlineStr">
        <is>
          <t>Customer</t>
        </is>
      </c>
      <c r="G174" s="315" t="inlineStr">
        <is>
          <t>Digital</t>
        </is>
      </c>
      <c r="H174" s="239" t="inlineStr">
        <is>
          <t>Digital, Tech</t>
        </is>
      </c>
      <c r="I174" s="315" t="inlineStr">
        <is>
          <t>Customer</t>
        </is>
      </c>
      <c r="J174" s="239" t="inlineStr">
        <is>
          <t>Ampol Digital</t>
        </is>
      </c>
      <c r="K174" s="239" t="inlineStr">
        <is>
          <t>Ampol Web</t>
        </is>
      </c>
      <c r="L174" s="315" t="n"/>
      <c r="M174" s="316" t="inlineStr">
        <is>
          <t>Australia</t>
        </is>
      </c>
      <c r="N174" t="inlineStr">
        <is>
          <t>Customer</t>
        </is>
      </c>
      <c r="O174" t="inlineStr">
        <is>
          <t>Ampol Digital</t>
        </is>
      </c>
      <c r="P174" t="inlineStr">
        <is>
          <t>Ampol Web</t>
        </is>
      </c>
      <c r="Q174" t="inlineStr">
        <is>
          <t>Squad</t>
        </is>
      </c>
      <c r="R174" t="inlineStr">
        <is>
          <t>Filled</t>
        </is>
      </c>
    </row>
    <row r="175" ht="18" customHeight="1" s="302">
      <c r="A175" s="314" t="n">
        <v>116387</v>
      </c>
      <c r="B175" s="239" t="inlineStr">
        <is>
          <t>Christian Lazano</t>
        </is>
      </c>
      <c r="C175" s="239" t="inlineStr">
        <is>
          <t>Business Analyst</t>
        </is>
      </c>
      <c r="D175" s="239" t="inlineStr">
        <is>
          <t>Vacant</t>
        </is>
      </c>
      <c r="E175" s="239" t="inlineStr">
        <is>
          <t>customer, program manager</t>
        </is>
      </c>
      <c r="F175" s="239" t="inlineStr">
        <is>
          <t>Customer</t>
        </is>
      </c>
      <c r="G175" s="315" t="inlineStr">
        <is>
          <t>Customer, PMO</t>
        </is>
      </c>
      <c r="H175" s="239" t="n"/>
      <c r="I175" s="239" t="inlineStr">
        <is>
          <t>Customer</t>
        </is>
      </c>
      <c r="J175" s="315" t="inlineStr">
        <is>
          <t>(All Customer)</t>
        </is>
      </c>
      <c r="K175" s="239" t="inlineStr">
        <is>
          <t>Leadership</t>
        </is>
      </c>
      <c r="L175" s="315" t="n"/>
      <c r="M175" s="316" t="inlineStr">
        <is>
          <t>Australia</t>
        </is>
      </c>
      <c r="N175" t="inlineStr">
        <is>
          <t>Customer</t>
        </is>
      </c>
      <c r="O175" t="inlineStr">
        <is>
          <t>Leadership</t>
        </is>
      </c>
      <c r="P175" t="inlineStr">
        <is>
          <t>Leadership</t>
        </is>
      </c>
      <c r="Q175" t="inlineStr">
        <is>
          <t>Leadership</t>
        </is>
      </c>
      <c r="R175" t="inlineStr">
        <is>
          <t>Filled</t>
        </is>
      </c>
    </row>
    <row r="176" ht="18" customHeight="1" s="302">
      <c r="A176" s="314" t="n">
        <v>116408</v>
      </c>
      <c r="B176" s="239" t="inlineStr">
        <is>
          <t>Abhilash Reddy</t>
        </is>
      </c>
      <c r="C176" s="239" t="inlineStr">
        <is>
          <t>Project Manager</t>
        </is>
      </c>
      <c r="D176" s="239" t="inlineStr">
        <is>
          <t>Vacant</t>
        </is>
      </c>
      <c r="E176" s="239" t="inlineStr">
        <is>
          <t>Program Manager</t>
        </is>
      </c>
      <c r="F176" s="239" t="inlineStr">
        <is>
          <t>Customer</t>
        </is>
      </c>
      <c r="G176" s="315" t="inlineStr">
        <is>
          <t>Customer, PMO</t>
        </is>
      </c>
      <c r="H176" s="239" t="n"/>
      <c r="I176" s="239" t="inlineStr">
        <is>
          <t>Customer</t>
        </is>
      </c>
      <c r="J176" s="239" t="inlineStr">
        <is>
          <t>Ampol Digital</t>
        </is>
      </c>
      <c r="K176" s="239" t="inlineStr">
        <is>
          <t>Leadership</t>
        </is>
      </c>
      <c r="L176" s="315" t="n"/>
      <c r="M176" s="316" t="inlineStr">
        <is>
          <t>Australia</t>
        </is>
      </c>
      <c r="N176" t="inlineStr">
        <is>
          <t>Customer</t>
        </is>
      </c>
      <c r="O176" t="inlineStr">
        <is>
          <t>Leadership</t>
        </is>
      </c>
      <c r="P176" t="inlineStr">
        <is>
          <t>Leadership</t>
        </is>
      </c>
      <c r="Q176" t="inlineStr">
        <is>
          <t>Leadership</t>
        </is>
      </c>
      <c r="R176" t="inlineStr">
        <is>
          <t>Filled</t>
        </is>
      </c>
    </row>
    <row r="177" ht="18" customHeight="1" s="302">
      <c r="A177" s="314" t="n">
        <v>99999102164</v>
      </c>
      <c r="B177" s="341" t="inlineStr">
        <is>
          <t>anthonty gen</t>
        </is>
      </c>
      <c r="C177" s="315" t="inlineStr">
        <is>
          <t>Data Analyst</t>
        </is>
      </c>
      <c r="D177" s="315" t="inlineStr">
        <is>
          <t>Vacant</t>
        </is>
      </c>
      <c r="E177" s="315" t="inlineStr">
        <is>
          <t>Technology Manager, Data &amp; Engineering</t>
        </is>
      </c>
      <c r="F177" s="239" t="inlineStr">
        <is>
          <t>Customer</t>
        </is>
      </c>
      <c r="G177" s="315" t="inlineStr">
        <is>
          <t>Loyatly &amp; Martec</t>
        </is>
      </c>
      <c r="H177" s="239" t="inlineStr">
        <is>
          <t>Loyalty, Data &amp; Engineering</t>
        </is>
      </c>
      <c r="I177" s="239" t="inlineStr">
        <is>
          <t>Customer</t>
        </is>
      </c>
      <c r="J177" s="315" t="inlineStr">
        <is>
          <t>Group Customer</t>
        </is>
      </c>
      <c r="K177" s="239" t="inlineStr">
        <is>
          <t>Z Energy Martech</t>
        </is>
      </c>
      <c r="L177" s="315" t="n"/>
      <c r="M177" s="316" t="inlineStr">
        <is>
          <t>NZ</t>
        </is>
      </c>
      <c r="N177" t="inlineStr">
        <is>
          <t>Customer</t>
        </is>
      </c>
      <c r="O177" t="inlineStr">
        <is>
          <t>Customer Z</t>
        </is>
      </c>
      <c r="P177" t="inlineStr">
        <is>
          <t>Z Energy Martech</t>
        </is>
      </c>
      <c r="Q177" t="inlineStr">
        <is>
          <t>Squad</t>
        </is>
      </c>
      <c r="R177" t="inlineStr">
        <is>
          <t>Filled</t>
        </is>
      </c>
    </row>
    <row r="178" ht="18" customHeight="1" s="302">
      <c r="A178" s="314" t="n">
        <v>111777</v>
      </c>
      <c r="B178" s="326" t="inlineStr">
        <is>
          <t>Jeremy Xu</t>
        </is>
      </c>
      <c r="C178" s="315" t="inlineStr">
        <is>
          <t>Data Analyst</t>
        </is>
      </c>
      <c r="D178" s="315" t="inlineStr">
        <is>
          <t>Vacant</t>
        </is>
      </c>
      <c r="E178" s="315" t="inlineStr">
        <is>
          <t>Technology Manager, Data &amp; Engineering</t>
        </is>
      </c>
      <c r="F178" s="239" t="inlineStr">
        <is>
          <t>Customer</t>
        </is>
      </c>
      <c r="G178" s="315" t="inlineStr">
        <is>
          <t>Loyatly &amp; Martec</t>
        </is>
      </c>
      <c r="H178" s="239" t="inlineStr">
        <is>
          <t>Loyalty, Data &amp; Engineering</t>
        </is>
      </c>
      <c r="I178" s="239" t="inlineStr">
        <is>
          <t>Customer</t>
        </is>
      </c>
      <c r="J178" s="315" t="inlineStr">
        <is>
          <t>Group Customer</t>
        </is>
      </c>
      <c r="K178" s="239" t="inlineStr">
        <is>
          <t>AU CRM &amp; Martech</t>
        </is>
      </c>
      <c r="L178" s="315" t="n"/>
      <c r="M178" s="316" t="inlineStr">
        <is>
          <t>Australia</t>
        </is>
      </c>
      <c r="N178" t="inlineStr">
        <is>
          <t>Customer</t>
        </is>
      </c>
      <c r="O178" t="inlineStr">
        <is>
          <t>Group Customer Platforms</t>
        </is>
      </c>
      <c r="P178" t="inlineStr">
        <is>
          <t>AU CRM &amp; Martech</t>
        </is>
      </c>
      <c r="Q178" t="inlineStr">
        <is>
          <t>Squad</t>
        </is>
      </c>
      <c r="R178" t="inlineStr">
        <is>
          <t>Filled</t>
        </is>
      </c>
    </row>
    <row r="179" ht="18" customHeight="1" s="302">
      <c r="A179" s="314" t="n"/>
      <c r="B179" s="239" t="inlineStr">
        <is>
          <t>Sri Balan Raj</t>
        </is>
      </c>
      <c r="C179" s="239" t="inlineStr">
        <is>
          <t>Business Analyst</t>
        </is>
      </c>
      <c r="D179" s="315" t="inlineStr">
        <is>
          <t>vacant</t>
        </is>
      </c>
      <c r="E179" s="239" t="inlineStr">
        <is>
          <t>Delivery Manager, Digital</t>
        </is>
      </c>
      <c r="F179" s="239" t="inlineStr">
        <is>
          <t>Customer</t>
        </is>
      </c>
      <c r="G179" s="315" t="inlineStr">
        <is>
          <t>Digital</t>
        </is>
      </c>
      <c r="H179" s="315" t="inlineStr">
        <is>
          <t>Digital, Delivery</t>
        </is>
      </c>
      <c r="I179" s="315" t="inlineStr">
        <is>
          <t>EGI Integration</t>
        </is>
      </c>
      <c r="J179" s="239" t="inlineStr">
        <is>
          <t>EGI</t>
        </is>
      </c>
      <c r="K179" s="239" t="inlineStr">
        <is>
          <t>EGI Customer</t>
        </is>
      </c>
      <c r="L179" s="315" t="n"/>
      <c r="M179" s="316" t="inlineStr">
        <is>
          <t>Australia</t>
        </is>
      </c>
      <c r="N179" t="inlineStr">
        <is>
          <t>Customer</t>
        </is>
      </c>
      <c r="O179" t="inlineStr">
        <is>
          <t>EGI Customer</t>
        </is>
      </c>
      <c r="P179" t="inlineStr">
        <is>
          <t>EGI Customer</t>
        </is>
      </c>
      <c r="Q179" t="inlineStr">
        <is>
          <t>Strategic Program</t>
        </is>
      </c>
      <c r="R179" t="inlineStr">
        <is>
          <t>Filled</t>
        </is>
      </c>
    </row>
    <row r="180" ht="18" customHeight="1" s="302">
      <c r="A180" s="314" t="n"/>
      <c r="B180" s="341" t="inlineStr">
        <is>
          <t>Vacant</t>
        </is>
      </c>
      <c r="C180" s="315" t="inlineStr">
        <is>
          <t>Snr Engineer, Data</t>
        </is>
      </c>
      <c r="D180" s="315" t="inlineStr">
        <is>
          <t>Vacant</t>
        </is>
      </c>
      <c r="E180" s="317" t="inlineStr">
        <is>
          <t>Technology Manager, Data &amp; Engineering</t>
        </is>
      </c>
      <c r="F180" s="239" t="inlineStr">
        <is>
          <t>Customer</t>
        </is>
      </c>
      <c r="G180" s="315" t="inlineStr">
        <is>
          <t>Loyatly &amp; Martec</t>
        </is>
      </c>
      <c r="H180" s="239" t="inlineStr">
        <is>
          <t>Loyalty, Data &amp; Engineering</t>
        </is>
      </c>
      <c r="I180" s="239" t="inlineStr">
        <is>
          <t>Customer</t>
        </is>
      </c>
      <c r="J180" s="315" t="inlineStr">
        <is>
          <t>Customer Z</t>
        </is>
      </c>
      <c r="K180" s="315" t="inlineStr">
        <is>
          <t>Z Energy Martech</t>
        </is>
      </c>
      <c r="L180" s="315" t="n"/>
      <c r="M180" s="316" t="n"/>
      <c r="N180" t="inlineStr">
        <is>
          <t>Customer</t>
        </is>
      </c>
      <c r="O180" t="inlineStr">
        <is>
          <t>Customer Z</t>
        </is>
      </c>
      <c r="P180" t="inlineStr">
        <is>
          <t>Z Energy Martech</t>
        </is>
      </c>
      <c r="Q180" t="inlineStr">
        <is>
          <t>Squad</t>
        </is>
      </c>
      <c r="R180" t="inlineStr">
        <is>
          <t>Vacant</t>
        </is>
      </c>
    </row>
    <row r="181" ht="18" customHeight="1" s="302">
      <c r="A181" s="314" t="n">
        <v>94663</v>
      </c>
      <c r="B181" s="239" t="inlineStr">
        <is>
          <t>Penny Pennisi</t>
        </is>
      </c>
      <c r="C181" s="239" t="inlineStr">
        <is>
          <t>Delivery Lead</t>
        </is>
      </c>
      <c r="D181" s="315" t="inlineStr">
        <is>
          <t>vacant</t>
        </is>
      </c>
      <c r="E181" s="239" t="inlineStr">
        <is>
          <t>Delivery Manager, Digital</t>
        </is>
      </c>
      <c r="F181" s="239" t="inlineStr">
        <is>
          <t>Customer</t>
        </is>
      </c>
      <c r="G181" s="315" t="inlineStr">
        <is>
          <t>Digital</t>
        </is>
      </c>
      <c r="H181" s="315" t="inlineStr">
        <is>
          <t>Digital, Delivery</t>
        </is>
      </c>
      <c r="I181" s="315" t="inlineStr">
        <is>
          <t>Customer</t>
        </is>
      </c>
      <c r="J181" s="239" t="inlineStr">
        <is>
          <t>Ampol Digital</t>
        </is>
      </c>
      <c r="K181" s="239" t="inlineStr">
        <is>
          <t>Ampol App</t>
        </is>
      </c>
      <c r="L181" s="315" t="n"/>
      <c r="M181" s="316" t="inlineStr">
        <is>
          <t>Australia</t>
        </is>
      </c>
      <c r="N181" t="inlineStr">
        <is>
          <t>Customer</t>
        </is>
      </c>
      <c r="O181" t="inlineStr">
        <is>
          <t>Ampol Digital</t>
        </is>
      </c>
      <c r="P181" t="inlineStr">
        <is>
          <t>Ampol App</t>
        </is>
      </c>
      <c r="Q181" t="inlineStr">
        <is>
          <t>Squad</t>
        </is>
      </c>
      <c r="R181" t="inlineStr">
        <is>
          <t>Filled</t>
        </is>
      </c>
    </row>
    <row r="182" ht="18" customHeight="1" s="302">
      <c r="A182" s="314" t="n">
        <v>108384</v>
      </c>
      <c r="B182" s="239" t="inlineStr">
        <is>
          <t>Saugata Acharya</t>
        </is>
      </c>
      <c r="C182" s="239" t="inlineStr">
        <is>
          <t>Delivery Lead</t>
        </is>
      </c>
      <c r="D182" s="315" t="inlineStr">
        <is>
          <t>Vacant</t>
        </is>
      </c>
      <c r="E182" s="239" t="inlineStr">
        <is>
          <t>Delivery Manager, Digital</t>
        </is>
      </c>
      <c r="F182" s="239" t="inlineStr">
        <is>
          <t>Customer</t>
        </is>
      </c>
      <c r="G182" s="315" t="inlineStr">
        <is>
          <t>Digital</t>
        </is>
      </c>
      <c r="H182" s="315" t="inlineStr">
        <is>
          <t>Digital, Delivery</t>
        </is>
      </c>
      <c r="I182" s="315" t="inlineStr">
        <is>
          <t>Customer</t>
        </is>
      </c>
      <c r="J182" s="239" t="inlineStr">
        <is>
          <t>Ampol Digital</t>
        </is>
      </c>
      <c r="K182" s="239" t="inlineStr">
        <is>
          <t>Ampol Web</t>
        </is>
      </c>
      <c r="L182" s="315" t="n"/>
      <c r="M182" s="316" t="inlineStr">
        <is>
          <t>Australia</t>
        </is>
      </c>
      <c r="N182" t="inlineStr">
        <is>
          <t>Customer</t>
        </is>
      </c>
      <c r="O182" t="inlineStr">
        <is>
          <t>Ampol Digital</t>
        </is>
      </c>
      <c r="P182" t="inlineStr">
        <is>
          <t>Ampol Web</t>
        </is>
      </c>
      <c r="Q182" t="inlineStr">
        <is>
          <t>Squad</t>
        </is>
      </c>
      <c r="R182" t="inlineStr">
        <is>
          <t>Filled</t>
        </is>
      </c>
    </row>
    <row r="183" ht="18" customHeight="1" s="302">
      <c r="A183" s="314" t="n">
        <v>99999100621</v>
      </c>
      <c r="B183" s="326" t="inlineStr">
        <is>
          <t>Kellie Gathergood</t>
        </is>
      </c>
      <c r="C183" s="315" t="inlineStr">
        <is>
          <t>Lead Quality Assurance</t>
        </is>
      </c>
      <c r="D183" s="315" t="inlineStr">
        <is>
          <t>Vacant</t>
        </is>
      </c>
      <c r="E183" s="315" t="inlineStr">
        <is>
          <t>Technology Manager, Loyalty &amp; Martech</t>
        </is>
      </c>
      <c r="F183" s="239" t="inlineStr">
        <is>
          <t>Customer</t>
        </is>
      </c>
      <c r="G183" s="315" t="inlineStr">
        <is>
          <t>Loyatly &amp; Martec</t>
        </is>
      </c>
      <c r="H183" s="315" t="inlineStr">
        <is>
          <t>Loyalty, Tech</t>
        </is>
      </c>
      <c r="I183" s="239" t="inlineStr">
        <is>
          <t>Customer</t>
        </is>
      </c>
      <c r="J183" s="315" t="inlineStr">
        <is>
          <t>Customer Z</t>
        </is>
      </c>
      <c r="K183" s="315" t="inlineStr">
        <is>
          <t>Z Energy Martech</t>
        </is>
      </c>
      <c r="L183" s="315" t="n"/>
      <c r="M183" s="316" t="inlineStr">
        <is>
          <t>NZ</t>
        </is>
      </c>
      <c r="N183" t="inlineStr">
        <is>
          <t>Customer</t>
        </is>
      </c>
      <c r="O183" t="inlineStr">
        <is>
          <t>Customer Z</t>
        </is>
      </c>
      <c r="P183" t="inlineStr">
        <is>
          <t>Z Energy Martech</t>
        </is>
      </c>
      <c r="Q183" t="inlineStr">
        <is>
          <t>Squad</t>
        </is>
      </c>
      <c r="R183" t="inlineStr">
        <is>
          <t>Filled</t>
        </is>
      </c>
    </row>
    <row r="184" ht="18" customHeight="1" s="302">
      <c r="A184" s="314" t="n"/>
      <c r="B184" s="239" t="inlineStr">
        <is>
          <t>Vacant</t>
        </is>
      </c>
      <c r="C184" s="239" t="inlineStr">
        <is>
          <t>Quality Assurance</t>
        </is>
      </c>
      <c r="D184" s="239" t="inlineStr">
        <is>
          <t>Vacant</t>
        </is>
      </c>
      <c r="E184" s="239" t="inlineStr">
        <is>
          <t>Digital Support Manager(AU)</t>
        </is>
      </c>
      <c r="F184" s="239" t="inlineStr">
        <is>
          <t>Customer</t>
        </is>
      </c>
      <c r="G184" s="315" t="inlineStr">
        <is>
          <t>Digital</t>
        </is>
      </c>
      <c r="H184" s="239" t="inlineStr">
        <is>
          <t>Digital Support (AU)</t>
        </is>
      </c>
      <c r="I184" s="315" t="inlineStr">
        <is>
          <t>Customer</t>
        </is>
      </c>
      <c r="J184" s="239" t="inlineStr">
        <is>
          <t>Ampol Digital</t>
        </is>
      </c>
      <c r="K184" s="239" t="inlineStr">
        <is>
          <t>Digital Ops Support</t>
        </is>
      </c>
      <c r="L184" s="315" t="n"/>
      <c r="M184" s="316" t="inlineStr">
        <is>
          <t>Australia</t>
        </is>
      </c>
      <c r="N184" t="inlineStr">
        <is>
          <t>Customer</t>
        </is>
      </c>
      <c r="O184" t="inlineStr">
        <is>
          <t>Ampol Digital</t>
        </is>
      </c>
      <c r="P184" t="inlineStr">
        <is>
          <t>Digital Operations</t>
        </is>
      </c>
      <c r="Q184" t="inlineStr">
        <is>
          <t>Squad</t>
        </is>
      </c>
      <c r="R184" t="inlineStr">
        <is>
          <t>Vacant</t>
        </is>
      </c>
    </row>
    <row r="185" ht="18" customHeight="1" s="302">
      <c r="A185" s="314" t="n">
        <v>0</v>
      </c>
      <c r="B185" s="239" t="inlineStr">
        <is>
          <t>Lily Fong</t>
        </is>
      </c>
      <c r="C185" s="239" t="inlineStr">
        <is>
          <t>Snr Business Analyst</t>
        </is>
      </c>
      <c r="D185" s="315" t="inlineStr">
        <is>
          <t>vacant</t>
        </is>
      </c>
      <c r="E185" s="239" t="inlineStr">
        <is>
          <t>Delivery Manager, Digital</t>
        </is>
      </c>
      <c r="F185" s="239" t="inlineStr">
        <is>
          <t>Customer</t>
        </is>
      </c>
      <c r="G185" s="315" t="inlineStr">
        <is>
          <t>Digital</t>
        </is>
      </c>
      <c r="H185" s="315" t="inlineStr">
        <is>
          <t>Ampol Retail, Store Platforms</t>
        </is>
      </c>
      <c r="I185" s="315" t="inlineStr">
        <is>
          <t>Customer</t>
        </is>
      </c>
      <c r="J185" s="239" t="inlineStr">
        <is>
          <t>Ampol Digital</t>
        </is>
      </c>
      <c r="K185" s="239" t="inlineStr">
        <is>
          <t>Ampol Web</t>
        </is>
      </c>
      <c r="L185" s="315" t="n"/>
      <c r="M185" s="316" t="inlineStr">
        <is>
          <t>Australia</t>
        </is>
      </c>
      <c r="N185" t="inlineStr">
        <is>
          <t>Customer</t>
        </is>
      </c>
      <c r="O185" t="inlineStr">
        <is>
          <t>Ampol Digital</t>
        </is>
      </c>
      <c r="P185" t="inlineStr">
        <is>
          <t>Ampol Web</t>
        </is>
      </c>
      <c r="Q185" t="inlineStr">
        <is>
          <t>Squad</t>
        </is>
      </c>
      <c r="R185" t="inlineStr">
        <is>
          <t>Filled</t>
        </is>
      </c>
    </row>
    <row r="186" ht="18" customHeight="1" s="302">
      <c r="A186" s="314" t="n"/>
      <c r="B186" s="341" t="inlineStr">
        <is>
          <t>Vacant</t>
        </is>
      </c>
      <c r="C186" s="315" t="inlineStr">
        <is>
          <t>Quality Assurance</t>
        </is>
      </c>
      <c r="D186" s="315" t="inlineStr">
        <is>
          <t>Vacant</t>
        </is>
      </c>
      <c r="E186" s="315" t="inlineStr">
        <is>
          <t>Delivery Manager, Loyalty</t>
        </is>
      </c>
      <c r="F186" s="239" t="inlineStr">
        <is>
          <t>Customer</t>
        </is>
      </c>
      <c r="G186" s="315" t="inlineStr">
        <is>
          <t>Loyalty &amp; Martech</t>
        </is>
      </c>
      <c r="H186" s="239" t="inlineStr">
        <is>
          <t xml:space="preserve">Loyalty, Delivery </t>
        </is>
      </c>
      <c r="I186" s="239" t="inlineStr">
        <is>
          <t>Customer</t>
        </is>
      </c>
      <c r="J186" s="315" t="inlineStr">
        <is>
          <t>Group Customer</t>
        </is>
      </c>
      <c r="K186" s="315" t="inlineStr">
        <is>
          <t>AU CRM &amp; Martech</t>
        </is>
      </c>
      <c r="L186" s="315" t="n"/>
      <c r="M186" s="316" t="n"/>
      <c r="N186" t="inlineStr">
        <is>
          <t>Customer</t>
        </is>
      </c>
      <c r="O186" t="inlineStr">
        <is>
          <t>Group Customer Platforms</t>
        </is>
      </c>
      <c r="P186" t="inlineStr">
        <is>
          <t>AU CRM &amp; Martech</t>
        </is>
      </c>
      <c r="Q186" t="inlineStr">
        <is>
          <t>Squad</t>
        </is>
      </c>
      <c r="R186" t="inlineStr">
        <is>
          <t>Vacant</t>
        </is>
      </c>
    </row>
    <row r="187" ht="18" customHeight="1" s="302">
      <c r="A187" s="314" t="n">
        <v>0</v>
      </c>
      <c r="B187" s="239" t="inlineStr">
        <is>
          <t>Swapnil Pithwa</t>
        </is>
      </c>
      <c r="C187" s="239" t="inlineStr">
        <is>
          <t>Engineer - BE</t>
        </is>
      </c>
      <c r="D187" s="239" t="inlineStr">
        <is>
          <t>vacant</t>
        </is>
      </c>
      <c r="E187" s="239" t="inlineStr">
        <is>
          <t>Technology Manager, Digital Engineering</t>
        </is>
      </c>
      <c r="F187" s="239" t="inlineStr">
        <is>
          <t>Customer</t>
        </is>
      </c>
      <c r="G187" s="315" t="inlineStr">
        <is>
          <t>Digital</t>
        </is>
      </c>
      <c r="H187" s="315" t="inlineStr">
        <is>
          <t>Tech, Digital Engineering</t>
        </is>
      </c>
      <c r="I187" s="315" t="inlineStr">
        <is>
          <t>Commercial Fuels</t>
        </is>
      </c>
      <c r="J187" s="239" t="inlineStr">
        <is>
          <t>CTRM</t>
        </is>
      </c>
      <c r="K187" s="239" t="inlineStr">
        <is>
          <t>CTRM</t>
        </is>
      </c>
      <c r="L187" s="315" t="n"/>
      <c r="M187" s="316" t="inlineStr">
        <is>
          <t>Australia</t>
        </is>
      </c>
      <c r="N187" t="inlineStr">
        <is>
          <t>Commercial Fuels</t>
        </is>
      </c>
      <c r="O187" t="inlineStr">
        <is>
          <t>CTRM</t>
        </is>
      </c>
      <c r="P187" t="inlineStr">
        <is>
          <t>CTRM</t>
        </is>
      </c>
      <c r="Q187" t="inlineStr">
        <is>
          <t>Strategic Program</t>
        </is>
      </c>
      <c r="R187" t="inlineStr">
        <is>
          <t>Filled</t>
        </is>
      </c>
    </row>
    <row r="188" ht="18" customHeight="1" s="302">
      <c r="A188" s="314" t="n"/>
      <c r="B188" s="239" t="inlineStr">
        <is>
          <t>Vacant</t>
        </is>
      </c>
      <c r="C188" s="239" t="inlineStr">
        <is>
          <t>Technology Manager, Engineering</t>
        </is>
      </c>
      <c r="D188" s="239" t="inlineStr">
        <is>
          <t>Vacant</t>
        </is>
      </c>
      <c r="E188" s="239" t="inlineStr">
        <is>
          <t>Head of Technology, Digital</t>
        </is>
      </c>
      <c r="F188" s="239" t="inlineStr">
        <is>
          <t>Customer</t>
        </is>
      </c>
      <c r="G188" s="315" t="inlineStr">
        <is>
          <t>Loyalty &amp; Martech</t>
        </is>
      </c>
      <c r="H188" s="315" t="inlineStr">
        <is>
          <t>Tech, Digital Engineering</t>
        </is>
      </c>
      <c r="I188" s="315" t="inlineStr">
        <is>
          <t>Customer</t>
        </is>
      </c>
      <c r="J188" s="239" t="inlineStr">
        <is>
          <t>Ampol Digital</t>
        </is>
      </c>
      <c r="K188" s="239" t="inlineStr">
        <is>
          <t>Leadership</t>
        </is>
      </c>
      <c r="L188" s="315" t="n"/>
      <c r="M188" s="316" t="inlineStr">
        <is>
          <t>Australia</t>
        </is>
      </c>
      <c r="N188" t="inlineStr">
        <is>
          <t>Customer</t>
        </is>
      </c>
      <c r="O188" t="inlineStr">
        <is>
          <t>Leadership</t>
        </is>
      </c>
      <c r="P188" t="inlineStr">
        <is>
          <t>Leadership</t>
        </is>
      </c>
      <c r="Q188" t="inlineStr">
        <is>
          <t>Leadership</t>
        </is>
      </c>
      <c r="R188" t="inlineStr">
        <is>
          <t>Vacant</t>
        </is>
      </c>
    </row>
    <row r="189" ht="18" customHeight="1" s="302">
      <c r="A189" s="314" t="n">
        <v>0</v>
      </c>
      <c r="B189" s="239" t="inlineStr">
        <is>
          <t>Rob Jadrjevic</t>
        </is>
      </c>
      <c r="C189" s="239" t="inlineStr">
        <is>
          <t>Engineer - BE</t>
        </is>
      </c>
      <c r="D189" s="239" t="inlineStr">
        <is>
          <t>Vacant</t>
        </is>
      </c>
      <c r="E189" s="239" t="inlineStr">
        <is>
          <t>Technology Manager, Digital Engineering</t>
        </is>
      </c>
      <c r="F189" s="239" t="inlineStr">
        <is>
          <t>Customer</t>
        </is>
      </c>
      <c r="G189" s="315" t="inlineStr">
        <is>
          <t>Digital</t>
        </is>
      </c>
      <c r="H189" s="315" t="inlineStr">
        <is>
          <t>Delivery, Commercial Fuels</t>
        </is>
      </c>
      <c r="I189" s="315" t="inlineStr">
        <is>
          <t>EGI Integration</t>
        </is>
      </c>
      <c r="J189" s="239" t="inlineStr">
        <is>
          <t>EGI</t>
        </is>
      </c>
      <c r="K189" s="239" t="inlineStr">
        <is>
          <t>EGI Customer</t>
        </is>
      </c>
      <c r="L189" s="315" t="n"/>
      <c r="M189" s="316" t="inlineStr">
        <is>
          <t>Australia</t>
        </is>
      </c>
      <c r="N189" t="inlineStr">
        <is>
          <t>Customer</t>
        </is>
      </c>
      <c r="O189" t="inlineStr">
        <is>
          <t>EGI Customer</t>
        </is>
      </c>
      <c r="P189" t="inlineStr">
        <is>
          <t>EGI Customer</t>
        </is>
      </c>
      <c r="Q189" t="inlineStr">
        <is>
          <t>Strategic Program</t>
        </is>
      </c>
      <c r="R189" t="inlineStr">
        <is>
          <t>Filled</t>
        </is>
      </c>
    </row>
    <row r="190" ht="18" customHeight="1" s="302">
      <c r="A190" s="314" t="n">
        <v>0</v>
      </c>
      <c r="B190" s="239" t="inlineStr">
        <is>
          <t>Andy Stewart</t>
        </is>
      </c>
      <c r="C190" s="239" t="inlineStr">
        <is>
          <t>Head of Technology, Loyalty &amp; Martech</t>
        </is>
      </c>
      <c r="D190" s="239" t="inlineStr">
        <is>
          <t>Vacant</t>
        </is>
      </c>
      <c r="E190" s="239" t="inlineStr">
        <is>
          <t>GM TDD, Customer</t>
        </is>
      </c>
      <c r="F190" s="239" t="inlineStr">
        <is>
          <t>Customer</t>
        </is>
      </c>
      <c r="G190" s="315" t="inlineStr">
        <is>
          <t>Loyalty &amp; Martech</t>
        </is>
      </c>
      <c r="H190" s="239" t="n"/>
      <c r="I190" s="239" t="inlineStr">
        <is>
          <t>Customer</t>
        </is>
      </c>
      <c r="J190" s="239" t="inlineStr">
        <is>
          <t>Customer Z, Group Customer Platforms</t>
        </is>
      </c>
      <c r="K190" s="239" t="inlineStr">
        <is>
          <t>Leadership</t>
        </is>
      </c>
      <c r="L190" s="315" t="n"/>
      <c r="M190" s="316" t="n">
        <v>0</v>
      </c>
      <c r="N190" t="inlineStr">
        <is>
          <t>Customer</t>
        </is>
      </c>
      <c r="O190" t="inlineStr">
        <is>
          <t>Leadership</t>
        </is>
      </c>
      <c r="P190" t="inlineStr">
        <is>
          <t>Leadership</t>
        </is>
      </c>
      <c r="Q190" t="inlineStr">
        <is>
          <t>Leadership</t>
        </is>
      </c>
      <c r="R190" t="inlineStr">
        <is>
          <t>Filled</t>
        </is>
      </c>
    </row>
    <row r="191" ht="18" customHeight="1" s="302">
      <c r="A191" s="314" t="n">
        <v>99999100847</v>
      </c>
      <c r="B191" s="326" t="inlineStr">
        <is>
          <t>Nimi Rose</t>
        </is>
      </c>
      <c r="C191" s="315" t="inlineStr">
        <is>
          <t>Marketing Technology Lead</t>
        </is>
      </c>
      <c r="D191" s="315" t="inlineStr">
        <is>
          <t>Vacant</t>
        </is>
      </c>
      <c r="E191" s="315" t="inlineStr">
        <is>
          <t>Technology Manager, Loyalty &amp; Martech</t>
        </is>
      </c>
      <c r="F191" s="239" t="inlineStr">
        <is>
          <t>Customer</t>
        </is>
      </c>
      <c r="G191" s="315" t="inlineStr">
        <is>
          <t>Loyatly &amp; Martec</t>
        </is>
      </c>
      <c r="H191" s="315" t="inlineStr">
        <is>
          <t>Loyalty, Tech</t>
        </is>
      </c>
      <c r="I191" s="239" t="inlineStr">
        <is>
          <t>Customer</t>
        </is>
      </c>
      <c r="J191" s="315" t="inlineStr">
        <is>
          <t>Customer Z</t>
        </is>
      </c>
      <c r="K191" s="315" t="inlineStr">
        <is>
          <t>Z Energy Martech</t>
        </is>
      </c>
      <c r="L191" s="315" t="n"/>
      <c r="M191" s="316" t="inlineStr">
        <is>
          <t>NZ</t>
        </is>
      </c>
      <c r="N191" t="inlineStr">
        <is>
          <t>Customer</t>
        </is>
      </c>
      <c r="O191" t="inlineStr">
        <is>
          <t>Customer Z</t>
        </is>
      </c>
      <c r="P191" t="inlineStr">
        <is>
          <t>Z Energy Martech</t>
        </is>
      </c>
      <c r="Q191" t="inlineStr">
        <is>
          <t>Squad</t>
        </is>
      </c>
      <c r="R191" t="inlineStr">
        <is>
          <t>Filled</t>
        </is>
      </c>
    </row>
    <row r="192" ht="18" customHeight="1" s="302">
      <c r="A192" s="314" t="n">
        <v>114650</v>
      </c>
      <c r="B192" s="239" t="inlineStr">
        <is>
          <t>Jin Zhong</t>
        </is>
      </c>
      <c r="C192" s="239" t="inlineStr">
        <is>
          <t>Lead Engineer - BE</t>
        </is>
      </c>
      <c r="D192" s="239" t="inlineStr">
        <is>
          <t>vacant</t>
        </is>
      </c>
      <c r="E192" s="239" t="inlineStr">
        <is>
          <t>Technology Manager, Digital Engineering</t>
        </is>
      </c>
      <c r="F192" s="239" t="inlineStr">
        <is>
          <t>Customer</t>
        </is>
      </c>
      <c r="G192" s="315" t="inlineStr">
        <is>
          <t>Digital</t>
        </is>
      </c>
      <c r="H192" s="315" t="inlineStr">
        <is>
          <t>Tech, Digital Engineering</t>
        </is>
      </c>
      <c r="I192" s="315" t="inlineStr">
        <is>
          <t>Customer</t>
        </is>
      </c>
      <c r="J192" s="239" t="inlineStr">
        <is>
          <t>Ampol Digital</t>
        </is>
      </c>
      <c r="K192" s="239" t="inlineStr">
        <is>
          <t>Ampol Web</t>
        </is>
      </c>
      <c r="L192" s="315" t="n"/>
      <c r="M192" s="316" t="inlineStr">
        <is>
          <t>Australia</t>
        </is>
      </c>
      <c r="N192" t="inlineStr">
        <is>
          <t>Customer</t>
        </is>
      </c>
      <c r="O192" t="inlineStr">
        <is>
          <t>Ampol Digital</t>
        </is>
      </c>
      <c r="P192" t="inlineStr">
        <is>
          <t>Ampol Web</t>
        </is>
      </c>
      <c r="Q192" t="inlineStr">
        <is>
          <t>Squad</t>
        </is>
      </c>
      <c r="R192" t="inlineStr">
        <is>
          <t>Filled</t>
        </is>
      </c>
    </row>
    <row r="193" ht="18" customHeight="1" s="302">
      <c r="A193" s="314" t="n">
        <v>99999101540</v>
      </c>
      <c r="B193" s="239" t="inlineStr">
        <is>
          <t>James Nicolle</t>
        </is>
      </c>
      <c r="C193" s="239" t="inlineStr">
        <is>
          <t>Delivery Lead</t>
        </is>
      </c>
      <c r="D193" s="315" t="inlineStr">
        <is>
          <t>vacant</t>
        </is>
      </c>
      <c r="E193" s="239" t="inlineStr">
        <is>
          <t>Delivery Manager, Digital</t>
        </is>
      </c>
      <c r="F193" s="239" t="inlineStr">
        <is>
          <t>Customer</t>
        </is>
      </c>
      <c r="G193" s="315" t="inlineStr">
        <is>
          <t>Digital</t>
        </is>
      </c>
      <c r="H193" s="315" t="inlineStr">
        <is>
          <t>Digital, Delivery</t>
        </is>
      </c>
      <c r="I193" s="239" t="inlineStr">
        <is>
          <t>Customer</t>
        </is>
      </c>
      <c r="J193" s="239" t="inlineStr">
        <is>
          <t>Customer Z</t>
        </is>
      </c>
      <c r="K193" s="239" t="inlineStr">
        <is>
          <t>Z Energy Apps</t>
        </is>
      </c>
      <c r="L193" s="315" t="n"/>
      <c r="M193" s="316" t="inlineStr">
        <is>
          <t>NZ</t>
        </is>
      </c>
      <c r="N193" t="inlineStr">
        <is>
          <t>Customer</t>
        </is>
      </c>
      <c r="O193" t="inlineStr">
        <is>
          <t>Customer Z</t>
        </is>
      </c>
      <c r="P193" t="inlineStr">
        <is>
          <t>Z Energy Apps</t>
        </is>
      </c>
      <c r="Q193" t="inlineStr">
        <is>
          <t>Squad</t>
        </is>
      </c>
      <c r="R193" t="inlineStr">
        <is>
          <t>Filled</t>
        </is>
      </c>
    </row>
    <row r="194" ht="18" customHeight="1" s="302">
      <c r="A194" s="314" t="n"/>
      <c r="B194" s="341" t="inlineStr">
        <is>
          <t>Vacant</t>
        </is>
      </c>
      <c r="C194" s="315" t="inlineStr">
        <is>
          <t>Engineer, Software</t>
        </is>
      </c>
      <c r="D194" s="315" t="inlineStr">
        <is>
          <t>Vacant</t>
        </is>
      </c>
      <c r="E194" s="315" t="inlineStr">
        <is>
          <t>Technology Manager, Data &amp; Engineering</t>
        </is>
      </c>
      <c r="F194" s="239" t="inlineStr">
        <is>
          <t>Customer</t>
        </is>
      </c>
      <c r="G194" s="315" t="inlineStr">
        <is>
          <t>Loyatly &amp; Martec</t>
        </is>
      </c>
      <c r="H194" s="239" t="inlineStr">
        <is>
          <t>Loyalty, Data &amp; Engineering</t>
        </is>
      </c>
      <c r="I194" s="239" t="inlineStr">
        <is>
          <t>Customer</t>
        </is>
      </c>
      <c r="J194" s="315" t="inlineStr">
        <is>
          <t>Customer Z</t>
        </is>
      </c>
      <c r="K194" s="315" t="inlineStr">
        <is>
          <t>Z Energy Martech</t>
        </is>
      </c>
      <c r="L194" s="315" t="n"/>
      <c r="M194" s="316" t="n"/>
      <c r="N194" t="inlineStr">
        <is>
          <t>Customer</t>
        </is>
      </c>
      <c r="O194" t="inlineStr">
        <is>
          <t>Customer Z</t>
        </is>
      </c>
      <c r="P194" t="inlineStr">
        <is>
          <t>Z Energy Martech</t>
        </is>
      </c>
      <c r="Q194" t="inlineStr">
        <is>
          <t>Squad</t>
        </is>
      </c>
      <c r="R194" t="inlineStr">
        <is>
          <t>Vacant</t>
        </is>
      </c>
    </row>
    <row r="195" ht="18" customHeight="1" s="302">
      <c r="A195" s="314" t="n">
        <v>99999101312</v>
      </c>
      <c r="B195" s="326" t="inlineStr">
        <is>
          <t>Megan Rodgers</t>
        </is>
      </c>
      <c r="C195" s="315" t="inlineStr">
        <is>
          <t>Business Analyst</t>
        </is>
      </c>
      <c r="D195" s="315" t="inlineStr">
        <is>
          <t>Vacant</t>
        </is>
      </c>
      <c r="E195" s="315" t="inlineStr">
        <is>
          <t>Delivery Manager, Loyalty</t>
        </is>
      </c>
      <c r="F195" s="239" t="inlineStr">
        <is>
          <t>Customer</t>
        </is>
      </c>
      <c r="G195" s="315" t="inlineStr">
        <is>
          <t>Loyatly &amp; Martec</t>
        </is>
      </c>
      <c r="H195" s="239" t="inlineStr">
        <is>
          <t xml:space="preserve">Loyalty, Delivery </t>
        </is>
      </c>
      <c r="I195" s="239" t="inlineStr">
        <is>
          <t>Customer</t>
        </is>
      </c>
      <c r="J195" s="315" t="inlineStr">
        <is>
          <t>Customer Z</t>
        </is>
      </c>
      <c r="K195" s="315" t="inlineStr">
        <is>
          <t>Z Energy Martech</t>
        </is>
      </c>
      <c r="L195" s="315" t="n"/>
      <c r="M195" s="316" t="inlineStr">
        <is>
          <t>NZ</t>
        </is>
      </c>
      <c r="N195" t="inlineStr">
        <is>
          <t>Customer</t>
        </is>
      </c>
      <c r="O195" t="inlineStr">
        <is>
          <t>Customer Z</t>
        </is>
      </c>
      <c r="P195" t="inlineStr">
        <is>
          <t>Z Energy Martech</t>
        </is>
      </c>
      <c r="Q195" t="inlineStr">
        <is>
          <t>Squad</t>
        </is>
      </c>
      <c r="R195" t="inlineStr">
        <is>
          <t>Filled</t>
        </is>
      </c>
    </row>
    <row r="196" ht="18" customHeight="1" s="302">
      <c r="A196" s="314" t="n">
        <v>99999102155</v>
      </c>
      <c r="B196" s="326" t="inlineStr">
        <is>
          <t>Yash Thakkar</t>
        </is>
      </c>
      <c r="C196" s="315" t="inlineStr">
        <is>
          <t>Martech Specialist</t>
        </is>
      </c>
      <c r="D196" s="315" t="inlineStr">
        <is>
          <t>Vacant</t>
        </is>
      </c>
      <c r="E196" s="315" t="inlineStr">
        <is>
          <t>Technology Manager, Loyalty &amp; Martech</t>
        </is>
      </c>
      <c r="F196" s="239" t="inlineStr">
        <is>
          <t>Customer</t>
        </is>
      </c>
      <c r="G196" s="315" t="inlineStr">
        <is>
          <t>Loyatly &amp; Martec</t>
        </is>
      </c>
      <c r="H196" s="315" t="inlineStr">
        <is>
          <t>Loyalty, Tech</t>
        </is>
      </c>
      <c r="I196" s="239" t="inlineStr">
        <is>
          <t>Customer</t>
        </is>
      </c>
      <c r="J196" s="315" t="inlineStr">
        <is>
          <t>(All Customer)</t>
        </is>
      </c>
      <c r="K196" s="315" t="inlineStr">
        <is>
          <t>Z Energy Martech</t>
        </is>
      </c>
      <c r="L196" s="315" t="n"/>
      <c r="M196" s="316" t="inlineStr">
        <is>
          <t>NZ</t>
        </is>
      </c>
      <c r="N196" t="inlineStr">
        <is>
          <t>Customer</t>
        </is>
      </c>
      <c r="O196" t="inlineStr">
        <is>
          <t>Customer Z</t>
        </is>
      </c>
      <c r="P196" t="inlineStr">
        <is>
          <t>Z Energy Martech</t>
        </is>
      </c>
      <c r="Q196" t="inlineStr">
        <is>
          <t>Squad</t>
        </is>
      </c>
      <c r="R196" t="inlineStr">
        <is>
          <t>Filled</t>
        </is>
      </c>
    </row>
    <row r="197" ht="18" customHeight="1" s="302">
      <c r="A197" s="314" t="n">
        <v>0</v>
      </c>
      <c r="B197" s="239" t="inlineStr">
        <is>
          <t>Alan Peng</t>
        </is>
      </c>
      <c r="C197" s="239" t="inlineStr">
        <is>
          <t>Delivery Lead</t>
        </is>
      </c>
      <c r="D197" s="315" t="inlineStr">
        <is>
          <t>vacant</t>
        </is>
      </c>
      <c r="E197" s="239" t="inlineStr">
        <is>
          <t>Delivery Manager, Digital</t>
        </is>
      </c>
      <c r="F197" s="239" t="inlineStr">
        <is>
          <t>Customer</t>
        </is>
      </c>
      <c r="G197" s="315" t="inlineStr">
        <is>
          <t>Digital</t>
        </is>
      </c>
      <c r="H197" s="315" t="inlineStr">
        <is>
          <t>Digital, Delivery</t>
        </is>
      </c>
      <c r="I197" s="315" t="inlineStr">
        <is>
          <t>EGI Integration</t>
        </is>
      </c>
      <c r="J197" s="239" t="inlineStr">
        <is>
          <t>EGI</t>
        </is>
      </c>
      <c r="K197" s="239" t="inlineStr">
        <is>
          <t>EGI Customer</t>
        </is>
      </c>
      <c r="L197" s="315" t="n"/>
      <c r="M197" s="316" t="inlineStr">
        <is>
          <t>Australia</t>
        </is>
      </c>
      <c r="N197" t="inlineStr">
        <is>
          <t>Customer</t>
        </is>
      </c>
      <c r="O197" t="inlineStr">
        <is>
          <t>EGI Customer</t>
        </is>
      </c>
      <c r="P197" t="inlineStr">
        <is>
          <t>EGI Customer</t>
        </is>
      </c>
      <c r="Q197" t="inlineStr">
        <is>
          <t>Strategic Program</t>
        </is>
      </c>
      <c r="R197" t="inlineStr">
        <is>
          <t>Filled</t>
        </is>
      </c>
    </row>
    <row r="198" ht="18" customHeight="1" s="302">
      <c r="A198" s="314" t="n">
        <v>114411</v>
      </c>
      <c r="B198" s="239" t="inlineStr">
        <is>
          <t>Vacant</t>
        </is>
      </c>
      <c r="C198" s="239" t="inlineStr">
        <is>
          <t>Senior Engineer - BE</t>
        </is>
      </c>
      <c r="D198" s="239" t="inlineStr">
        <is>
          <t>Vacant</t>
        </is>
      </c>
      <c r="E198" s="239" t="inlineStr">
        <is>
          <t>Lead Engineer - BE</t>
        </is>
      </c>
      <c r="F198" s="239" t="inlineStr">
        <is>
          <t>Customer</t>
        </is>
      </c>
      <c r="G198" s="315" t="inlineStr">
        <is>
          <t>Digital</t>
        </is>
      </c>
      <c r="H198" s="315" t="inlineStr">
        <is>
          <t>Tech, Digital Engineering</t>
        </is>
      </c>
      <c r="I198" s="315" t="inlineStr">
        <is>
          <t>Customer</t>
        </is>
      </c>
      <c r="J198" s="239" t="inlineStr">
        <is>
          <t>Ampol Digital</t>
        </is>
      </c>
      <c r="K198" s="239" t="inlineStr">
        <is>
          <t>Ampol App</t>
        </is>
      </c>
      <c r="L198" s="315" t="n"/>
      <c r="M198" s="316" t="inlineStr">
        <is>
          <t>Australia</t>
        </is>
      </c>
      <c r="N198" t="inlineStr">
        <is>
          <t>Customer</t>
        </is>
      </c>
      <c r="O198" t="inlineStr">
        <is>
          <t>Ampol Digital</t>
        </is>
      </c>
      <c r="P198" t="inlineStr">
        <is>
          <t>Ampol App</t>
        </is>
      </c>
      <c r="Q198" t="inlineStr">
        <is>
          <t>Squad</t>
        </is>
      </c>
      <c r="R198" t="inlineStr">
        <is>
          <t>Vacant</t>
        </is>
      </c>
    </row>
    <row r="199" ht="18" customHeight="1" s="302">
      <c r="A199" s="314" t="n">
        <v>0</v>
      </c>
      <c r="B199" s="239" t="inlineStr">
        <is>
          <t>Anup Antony</t>
        </is>
      </c>
      <c r="C199" s="239" t="inlineStr">
        <is>
          <t>Engineer - BE</t>
        </is>
      </c>
      <c r="D199" s="239" t="inlineStr">
        <is>
          <t>vacant</t>
        </is>
      </c>
      <c r="E199" s="239" t="inlineStr">
        <is>
          <t>Technology Manager, Digital Engineering</t>
        </is>
      </c>
      <c r="F199" s="239" t="inlineStr">
        <is>
          <t>Customer</t>
        </is>
      </c>
      <c r="G199" s="315" t="inlineStr">
        <is>
          <t>Digital</t>
        </is>
      </c>
      <c r="H199" s="315" t="inlineStr">
        <is>
          <t>Tech, Digital Engineering</t>
        </is>
      </c>
      <c r="I199" s="315" t="inlineStr">
        <is>
          <t>Customer</t>
        </is>
      </c>
      <c r="J199" s="239" t="inlineStr">
        <is>
          <t>Ampol Digital</t>
        </is>
      </c>
      <c r="K199" s="239" t="inlineStr">
        <is>
          <t>Ampol App</t>
        </is>
      </c>
      <c r="L199" s="315" t="n"/>
      <c r="M199" s="316" t="inlineStr">
        <is>
          <t>Australia</t>
        </is>
      </c>
      <c r="N199" t="inlineStr">
        <is>
          <t>Customer</t>
        </is>
      </c>
      <c r="O199" t="inlineStr">
        <is>
          <t>Ampol Digital</t>
        </is>
      </c>
      <c r="P199" t="inlineStr">
        <is>
          <t>Ampol App</t>
        </is>
      </c>
      <c r="Q199" t="inlineStr">
        <is>
          <t>Squad</t>
        </is>
      </c>
      <c r="R199" t="inlineStr">
        <is>
          <t>Filled</t>
        </is>
      </c>
    </row>
    <row r="200" ht="18" customHeight="1" s="302">
      <c r="A200" s="314" t="n"/>
      <c r="B200" s="239" t="inlineStr">
        <is>
          <t>Dasha Fothergill</t>
        </is>
      </c>
      <c r="C200" s="239" t="inlineStr">
        <is>
          <t>Data Analyst</t>
        </is>
      </c>
      <c r="D200" s="239" t="inlineStr">
        <is>
          <t>Vacant</t>
        </is>
      </c>
      <c r="E200" s="239" t="inlineStr">
        <is>
          <t>Technology Manager, Data &amp; Engineering</t>
        </is>
      </c>
      <c r="F200" s="326" t="inlineStr">
        <is>
          <t>Customer</t>
        </is>
      </c>
      <c r="G200" s="315" t="inlineStr">
        <is>
          <t>Loyatly &amp; Martec</t>
        </is>
      </c>
      <c r="H200" s="326" t="inlineStr">
        <is>
          <t>Ampol Retail, Store Platforms</t>
        </is>
      </c>
      <c r="I200" s="315" t="inlineStr">
        <is>
          <t>EGI Integration</t>
        </is>
      </c>
      <c r="J200" s="315" t="inlineStr">
        <is>
          <t>EGI</t>
        </is>
      </c>
      <c r="K200" s="239" t="inlineStr">
        <is>
          <t>EGI Customer</t>
        </is>
      </c>
      <c r="L200" s="315" t="n"/>
      <c r="M200" s="316" t="inlineStr">
        <is>
          <t>NZ</t>
        </is>
      </c>
      <c r="N200" t="inlineStr">
        <is>
          <t>Customer</t>
        </is>
      </c>
      <c r="O200" t="inlineStr">
        <is>
          <t>EGI Customer</t>
        </is>
      </c>
      <c r="P200" t="inlineStr">
        <is>
          <t>EGI Customer</t>
        </is>
      </c>
      <c r="Q200" t="inlineStr">
        <is>
          <t>Strategic Program</t>
        </is>
      </c>
      <c r="R200" t="inlineStr">
        <is>
          <t>Filled</t>
        </is>
      </c>
    </row>
    <row r="201" ht="18" customHeight="1" s="302">
      <c r="A201" s="314" t="n"/>
      <c r="B201" s="239" t="inlineStr">
        <is>
          <t>Vacant</t>
        </is>
      </c>
      <c r="C201" s="239" t="inlineStr">
        <is>
          <t>Snr Business Analyst</t>
        </is>
      </c>
      <c r="D201" s="315" t="inlineStr">
        <is>
          <t>vacant</t>
        </is>
      </c>
      <c r="E201" s="239" t="inlineStr">
        <is>
          <t>Delivery Manager, Digital</t>
        </is>
      </c>
      <c r="F201" s="239" t="inlineStr">
        <is>
          <t>Customer</t>
        </is>
      </c>
      <c r="G201" s="315" t="inlineStr">
        <is>
          <t>Digital</t>
        </is>
      </c>
      <c r="H201" s="342" t="inlineStr">
        <is>
          <t>Technology, CF Engineering</t>
        </is>
      </c>
      <c r="I201" s="315" t="inlineStr">
        <is>
          <t>Customer</t>
        </is>
      </c>
      <c r="J201" s="239" t="inlineStr">
        <is>
          <t>Leadership</t>
        </is>
      </c>
      <c r="K201" s="315" t="inlineStr">
        <is>
          <t>Leadership</t>
        </is>
      </c>
      <c r="L201" s="315" t="n"/>
      <c r="M201" s="316" t="inlineStr">
        <is>
          <t>Australia</t>
        </is>
      </c>
      <c r="N201" t="inlineStr">
        <is>
          <t>Customer</t>
        </is>
      </c>
      <c r="O201" t="inlineStr">
        <is>
          <t>Leadership</t>
        </is>
      </c>
      <c r="P201" t="inlineStr">
        <is>
          <t>Leadership</t>
        </is>
      </c>
      <c r="Q201" t="inlineStr">
        <is>
          <t>Leadership</t>
        </is>
      </c>
      <c r="R201" t="inlineStr">
        <is>
          <t>Vacant</t>
        </is>
      </c>
    </row>
    <row r="202" ht="18" customHeight="1" s="302">
      <c r="A202" s="314" t="n">
        <v>99999101601</v>
      </c>
      <c r="B202" s="326" t="inlineStr">
        <is>
          <t>Jordan Kettles</t>
        </is>
      </c>
      <c r="C202" s="315" t="inlineStr">
        <is>
          <t>Engineer, Sotware</t>
        </is>
      </c>
      <c r="D202" s="315" t="inlineStr">
        <is>
          <t>Vacant</t>
        </is>
      </c>
      <c r="E202" s="315" t="inlineStr">
        <is>
          <t>Technology Manager, Data &amp; Engineering</t>
        </is>
      </c>
      <c r="F202" s="239" t="inlineStr">
        <is>
          <t>Customer</t>
        </is>
      </c>
      <c r="G202" s="315" t="inlineStr">
        <is>
          <t>Loyatly &amp; Martec</t>
        </is>
      </c>
      <c r="H202" s="239" t="inlineStr">
        <is>
          <t>Loyalty, Data &amp; Engineering</t>
        </is>
      </c>
      <c r="I202" s="239" t="inlineStr">
        <is>
          <t>Customer</t>
        </is>
      </c>
      <c r="J202" s="315" t="inlineStr">
        <is>
          <t>Customer Z</t>
        </is>
      </c>
      <c r="K202" s="315" t="inlineStr">
        <is>
          <t>Z Energy Martech</t>
        </is>
      </c>
      <c r="L202" s="315" t="n"/>
      <c r="M202" s="316" t="inlineStr">
        <is>
          <t>NZ</t>
        </is>
      </c>
      <c r="N202" t="inlineStr">
        <is>
          <t>Customer</t>
        </is>
      </c>
      <c r="O202" t="inlineStr">
        <is>
          <t>Customer Z</t>
        </is>
      </c>
      <c r="P202" t="inlineStr">
        <is>
          <t>Z Energy Martech</t>
        </is>
      </c>
      <c r="Q202" t="inlineStr">
        <is>
          <t>Squad</t>
        </is>
      </c>
      <c r="R202" t="inlineStr">
        <is>
          <t>Filled</t>
        </is>
      </c>
    </row>
    <row r="203" ht="18" customHeight="1" s="302">
      <c r="A203" s="314" t="n"/>
      <c r="B203" s="239" t="inlineStr">
        <is>
          <t xml:space="preserve">Vacant </t>
        </is>
      </c>
      <c r="C203" s="239" t="inlineStr">
        <is>
          <t>Data Risk Analyst</t>
        </is>
      </c>
      <c r="D203" s="239" t="inlineStr">
        <is>
          <t>Brian Gates</t>
        </is>
      </c>
      <c r="E203" s="239" t="n"/>
      <c r="F203" s="239" t="inlineStr">
        <is>
          <t>Cyber, Risk &amp; Operations</t>
        </is>
      </c>
      <c r="G203" s="315" t="inlineStr">
        <is>
          <t>Cyber Risk</t>
        </is>
      </c>
      <c r="H203" s="239" t="inlineStr">
        <is>
          <t>Ampol Retail, Store Platforms</t>
        </is>
      </c>
      <c r="I203" s="239" t="inlineStr">
        <is>
          <t>NA</t>
        </is>
      </c>
      <c r="J203" s="239" t="inlineStr">
        <is>
          <t>NA</t>
        </is>
      </c>
      <c r="K203" s="239" t="inlineStr">
        <is>
          <t>NA</t>
        </is>
      </c>
      <c r="L203" s="239" t="n"/>
      <c r="M203" s="316" t="n"/>
      <c r="N203" t="inlineStr">
        <is>
          <t>TDD Cyber</t>
        </is>
      </c>
      <c r="O203" t="inlineStr">
        <is>
          <t>TDD Cyber, Risk &amp; Service Ops</t>
        </is>
      </c>
      <c r="P203" t="inlineStr">
        <is>
          <t>TDD Cyber</t>
        </is>
      </c>
      <c r="Q203" t="inlineStr">
        <is>
          <t>Squad</t>
        </is>
      </c>
      <c r="R203" t="inlineStr">
        <is>
          <t>Vacant</t>
        </is>
      </c>
    </row>
    <row r="204" ht="18" customHeight="1" s="302">
      <c r="A204" s="314" t="n">
        <v>96830</v>
      </c>
      <c r="B204" s="239" t="inlineStr">
        <is>
          <t>Lynda Niewidok</t>
        </is>
      </c>
      <c r="C204" s="239" t="inlineStr">
        <is>
          <t>Lead – Service Desk</t>
        </is>
      </c>
      <c r="D204" s="239" t="inlineStr">
        <is>
          <t>Chris Rojas</t>
        </is>
      </c>
      <c r="E204" s="239" t="inlineStr">
        <is>
          <t xml:space="preserve">CISO </t>
        </is>
      </c>
      <c r="F204" s="239" t="inlineStr">
        <is>
          <t>Cyber, Risk &amp; Operations</t>
        </is>
      </c>
      <c r="G204" s="315" t="inlineStr">
        <is>
          <t>Service Op &amp; Assurance</t>
        </is>
      </c>
      <c r="H204" s="239" t="inlineStr">
        <is>
          <t>NA</t>
        </is>
      </c>
      <c r="I204" s="239" t="inlineStr">
        <is>
          <t>NA</t>
        </is>
      </c>
      <c r="J204" s="239" t="inlineStr">
        <is>
          <t>NA</t>
        </is>
      </c>
      <c r="K204" s="239" t="inlineStr">
        <is>
          <t>NA</t>
        </is>
      </c>
      <c r="L204" s="239" t="n"/>
      <c r="M204" s="316" t="inlineStr">
        <is>
          <t>Australia</t>
        </is>
      </c>
      <c r="N204" t="inlineStr">
        <is>
          <t>TDD Cyber</t>
        </is>
      </c>
      <c r="O204" t="inlineStr">
        <is>
          <t>TDD Cyber, Risk &amp; Service Ops</t>
        </is>
      </c>
      <c r="P204" t="inlineStr">
        <is>
          <t>TDD Cyber</t>
        </is>
      </c>
      <c r="Q204" t="inlineStr">
        <is>
          <t>Squad</t>
        </is>
      </c>
      <c r="R204" t="inlineStr">
        <is>
          <t>Filled</t>
        </is>
      </c>
    </row>
    <row r="205" ht="18" customHeight="1" s="302">
      <c r="A205" s="314" t="n">
        <v>92681</v>
      </c>
      <c r="B205" s="239" t="inlineStr">
        <is>
          <t>Mark Pearson</t>
        </is>
      </c>
      <c r="C205" s="239" t="inlineStr">
        <is>
          <t>Lead – Technology Support</t>
        </is>
      </c>
      <c r="D205" s="239" t="inlineStr">
        <is>
          <t>Chris Rojas</t>
        </is>
      </c>
      <c r="E205" s="239" t="inlineStr">
        <is>
          <t xml:space="preserve">Manager Service Management &amp; Major Incident Management Lead </t>
        </is>
      </c>
      <c r="F205" s="239" t="inlineStr">
        <is>
          <t>Cyber, Risk &amp; Operations</t>
        </is>
      </c>
      <c r="G205" s="315" t="inlineStr">
        <is>
          <t>Service Op &amp; Assurance</t>
        </is>
      </c>
      <c r="H205" s="239" t="inlineStr">
        <is>
          <t>NA</t>
        </is>
      </c>
      <c r="I205" s="239" t="inlineStr">
        <is>
          <t>NA</t>
        </is>
      </c>
      <c r="J205" s="239" t="inlineStr">
        <is>
          <t>NA</t>
        </is>
      </c>
      <c r="K205" s="239" t="inlineStr">
        <is>
          <t>NA</t>
        </is>
      </c>
      <c r="L205" s="239" t="n"/>
      <c r="M205" s="316" t="inlineStr">
        <is>
          <t>Australia</t>
        </is>
      </c>
      <c r="N205" t="inlineStr">
        <is>
          <t>TDD Cyber</t>
        </is>
      </c>
      <c r="O205" t="inlineStr">
        <is>
          <t>TDD Cyber, Risk &amp; Service Ops</t>
        </is>
      </c>
      <c r="P205" t="inlineStr">
        <is>
          <t>TDD Cyber</t>
        </is>
      </c>
      <c r="Q205" t="inlineStr">
        <is>
          <t>Squad</t>
        </is>
      </c>
      <c r="R205" t="inlineStr">
        <is>
          <t>Filled</t>
        </is>
      </c>
    </row>
    <row r="206" ht="18" customHeight="1" s="302">
      <c r="A206" s="314" t="n"/>
      <c r="B206" s="239" t="inlineStr">
        <is>
          <t>Vacant</t>
        </is>
      </c>
      <c r="C206" s="239" t="inlineStr">
        <is>
          <t>Lead – Problem Management</t>
        </is>
      </c>
      <c r="D206" s="239" t="inlineStr">
        <is>
          <t>Darren Koller</t>
        </is>
      </c>
      <c r="E206" s="239" t="inlineStr">
        <is>
          <t>Manager Cyber Security GRC</t>
        </is>
      </c>
      <c r="F206" s="239" t="inlineStr">
        <is>
          <t>Cyber, Risk &amp; Operations</t>
        </is>
      </c>
      <c r="G206" s="315" t="inlineStr">
        <is>
          <t>Service Op &amp; Assurance</t>
        </is>
      </c>
      <c r="H206" s="239" t="inlineStr">
        <is>
          <t>NA</t>
        </is>
      </c>
      <c r="I206" s="239" t="inlineStr">
        <is>
          <t>NA</t>
        </is>
      </c>
      <c r="J206" s="239" t="inlineStr">
        <is>
          <t>NA</t>
        </is>
      </c>
      <c r="K206" s="239" t="inlineStr">
        <is>
          <t>NA</t>
        </is>
      </c>
      <c r="L206" s="239" t="n"/>
      <c r="M206" s="316" t="n"/>
      <c r="N206" t="inlineStr">
        <is>
          <t>TDD Cyber</t>
        </is>
      </c>
      <c r="O206" t="inlineStr">
        <is>
          <t>TDD Cyber, Risk &amp; Service Ops</t>
        </is>
      </c>
      <c r="P206" t="inlineStr">
        <is>
          <t>TDD Cyber</t>
        </is>
      </c>
      <c r="Q206" t="inlineStr">
        <is>
          <t>Squad</t>
        </is>
      </c>
      <c r="R206" t="inlineStr">
        <is>
          <t>Vacant</t>
        </is>
      </c>
    </row>
    <row r="207" ht="18" customHeight="1" s="302">
      <c r="A207" s="314" t="n">
        <v>99999101697</v>
      </c>
      <c r="B207" s="239" t="inlineStr">
        <is>
          <t>Vanessa Castro</t>
        </is>
      </c>
      <c r="C207" s="239" t="inlineStr">
        <is>
          <t>Cyber GRC Analyst</t>
        </is>
      </c>
      <c r="D207" s="239" t="inlineStr">
        <is>
          <t>Diya Thomas</t>
        </is>
      </c>
      <c r="E207" s="239" t="n"/>
      <c r="F207" s="239" t="inlineStr">
        <is>
          <t>Cyber, Risk &amp; Operations</t>
        </is>
      </c>
      <c r="G207" s="315" t="inlineStr">
        <is>
          <t>Cyber GRC</t>
        </is>
      </c>
      <c r="H207" s="239" t="inlineStr">
        <is>
          <t>NA</t>
        </is>
      </c>
      <c r="I207" s="239" t="inlineStr">
        <is>
          <t>NA</t>
        </is>
      </c>
      <c r="J207" s="239" t="inlineStr">
        <is>
          <t>NA</t>
        </is>
      </c>
      <c r="K207" s="239" t="inlineStr">
        <is>
          <t>NA</t>
        </is>
      </c>
      <c r="L207" s="239" t="n"/>
      <c r="M207" s="316" t="inlineStr">
        <is>
          <t>NZ</t>
        </is>
      </c>
      <c r="N207" t="inlineStr">
        <is>
          <t>TDD Cyber</t>
        </is>
      </c>
      <c r="O207" t="inlineStr">
        <is>
          <t>TDD Cyber, Risk &amp; Service Ops</t>
        </is>
      </c>
      <c r="P207" t="inlineStr">
        <is>
          <t>TDD Cyber</t>
        </is>
      </c>
      <c r="Q207" t="inlineStr">
        <is>
          <t>Squad</t>
        </is>
      </c>
      <c r="R207" t="inlineStr">
        <is>
          <t>Filled</t>
        </is>
      </c>
    </row>
    <row r="208" ht="18" customHeight="1" s="302">
      <c r="A208" s="314" t="n">
        <v>114683</v>
      </c>
      <c r="B208" s="239" t="inlineStr">
        <is>
          <t>Prashanth Chandran</t>
        </is>
      </c>
      <c r="C208" s="239" t="inlineStr">
        <is>
          <t>Senior Cyber GRC Specialist</t>
        </is>
      </c>
      <c r="D208" s="239" t="inlineStr">
        <is>
          <t>Diya Thomas</t>
        </is>
      </c>
      <c r="E208" s="239" t="inlineStr">
        <is>
          <t>Manager Cyber Security GRC</t>
        </is>
      </c>
      <c r="F208" s="239" t="inlineStr">
        <is>
          <t>Cyber, Risk &amp; Operations</t>
        </is>
      </c>
      <c r="G208" s="315" t="inlineStr">
        <is>
          <t>Cyber GRC</t>
        </is>
      </c>
      <c r="H208" s="239" t="inlineStr">
        <is>
          <t>NA</t>
        </is>
      </c>
      <c r="I208" s="239" t="inlineStr">
        <is>
          <t>NA</t>
        </is>
      </c>
      <c r="J208" s="239" t="inlineStr">
        <is>
          <t>NA</t>
        </is>
      </c>
      <c r="K208" s="239" t="inlineStr">
        <is>
          <t>NA</t>
        </is>
      </c>
      <c r="L208" s="239" t="n"/>
      <c r="M208" s="316" t="inlineStr">
        <is>
          <t>Australia</t>
        </is>
      </c>
      <c r="N208" t="inlineStr">
        <is>
          <t>TDD Cyber</t>
        </is>
      </c>
      <c r="O208" t="inlineStr">
        <is>
          <t>TDD Cyber, Risk &amp; Service Ops</t>
        </is>
      </c>
      <c r="P208" t="inlineStr">
        <is>
          <t>TDD Cyber</t>
        </is>
      </c>
      <c r="Q208" t="inlineStr">
        <is>
          <t>Squad</t>
        </is>
      </c>
      <c r="R208" t="inlineStr">
        <is>
          <t>Filled</t>
        </is>
      </c>
    </row>
    <row r="209" ht="18" customHeight="1" s="302">
      <c r="A209" s="314" t="n">
        <v>109491</v>
      </c>
      <c r="B209" s="239" t="inlineStr">
        <is>
          <t>Pooja Kuperkar</t>
        </is>
      </c>
      <c r="C209" s="239" t="inlineStr">
        <is>
          <t>Cyber GRC Analyst</t>
        </is>
      </c>
      <c r="D209" s="239" t="inlineStr">
        <is>
          <t>Diya Thomas</t>
        </is>
      </c>
      <c r="E209" s="239" t="n"/>
      <c r="F209" s="239" t="inlineStr">
        <is>
          <t>Cyber, Risk &amp; Operations</t>
        </is>
      </c>
      <c r="G209" s="315" t="inlineStr">
        <is>
          <t>Cyber GRC</t>
        </is>
      </c>
      <c r="H209" s="239" t="inlineStr">
        <is>
          <t>NA</t>
        </is>
      </c>
      <c r="I209" s="239" t="inlineStr">
        <is>
          <t>NA</t>
        </is>
      </c>
      <c r="J209" s="239" t="inlineStr">
        <is>
          <t>NA</t>
        </is>
      </c>
      <c r="K209" s="239" t="inlineStr">
        <is>
          <t>NA</t>
        </is>
      </c>
      <c r="L209" s="239" t="n"/>
      <c r="M209" s="316" t="inlineStr">
        <is>
          <t>Australia</t>
        </is>
      </c>
      <c r="N209" t="inlineStr">
        <is>
          <t>TDD Cyber</t>
        </is>
      </c>
      <c r="O209" t="inlineStr">
        <is>
          <t>TDD Cyber, Risk &amp; Service Ops</t>
        </is>
      </c>
      <c r="P209" t="inlineStr">
        <is>
          <t>TDD Cyber</t>
        </is>
      </c>
      <c r="Q209" t="inlineStr">
        <is>
          <t>Squad</t>
        </is>
      </c>
      <c r="R209" t="inlineStr">
        <is>
          <t>Filled</t>
        </is>
      </c>
    </row>
    <row r="210" ht="18" customHeight="1" s="302">
      <c r="A210" s="314" t="n">
        <v>98823</v>
      </c>
      <c r="B210" s="239" t="inlineStr">
        <is>
          <t>Brian Gates</t>
        </is>
      </c>
      <c r="C210" s="239" t="inlineStr">
        <is>
          <t>Manager Risk &amp; Resilience</t>
        </is>
      </c>
      <c r="D210" s="239" t="inlineStr">
        <is>
          <t>Frances Bouzo</t>
        </is>
      </c>
      <c r="E210" s="239" t="inlineStr">
        <is>
          <t xml:space="preserve">CISO </t>
        </is>
      </c>
      <c r="F210" s="239" t="inlineStr">
        <is>
          <t>Cyber, Risk &amp; Operations</t>
        </is>
      </c>
      <c r="G210" s="315" t="inlineStr">
        <is>
          <t>Cyber Risk</t>
        </is>
      </c>
      <c r="H210" s="239" t="inlineStr">
        <is>
          <t xml:space="preserve">Risk &amp; Resilience </t>
        </is>
      </c>
      <c r="I210" s="239" t="inlineStr">
        <is>
          <t>NA</t>
        </is>
      </c>
      <c r="J210" s="239" t="inlineStr">
        <is>
          <t>NA</t>
        </is>
      </c>
      <c r="K210" s="239" t="inlineStr">
        <is>
          <t>NA</t>
        </is>
      </c>
      <c r="L210" s="239" t="n"/>
      <c r="M210" s="316" t="inlineStr">
        <is>
          <t>Australia</t>
        </is>
      </c>
      <c r="N210" t="inlineStr">
        <is>
          <t>TDD Cyber</t>
        </is>
      </c>
      <c r="O210" t="inlineStr">
        <is>
          <t>TDD Cyber, Risk &amp; Service Ops</t>
        </is>
      </c>
      <c r="P210" t="inlineStr">
        <is>
          <t>TDD Cyber</t>
        </is>
      </c>
      <c r="Q210" t="inlineStr">
        <is>
          <t>Squad</t>
        </is>
      </c>
      <c r="R210" t="inlineStr">
        <is>
          <t>Filled</t>
        </is>
      </c>
    </row>
    <row r="211" ht="18" customHeight="1" s="302">
      <c r="A211" s="314" t="n">
        <v>101700</v>
      </c>
      <c r="B211" s="239" t="inlineStr">
        <is>
          <t>Diya Thomas</t>
        </is>
      </c>
      <c r="C211" s="239" t="inlineStr">
        <is>
          <t>Manager Cyber Security GRC</t>
        </is>
      </c>
      <c r="D211" s="239" t="inlineStr">
        <is>
          <t>Frances Bouzo</t>
        </is>
      </c>
      <c r="E211" s="239" t="inlineStr">
        <is>
          <t xml:space="preserve">Manager Cyber Security Operations </t>
        </is>
      </c>
      <c r="F211" s="239" t="inlineStr">
        <is>
          <t>Cyber, Risk &amp; Operations</t>
        </is>
      </c>
      <c r="G211" s="315" t="inlineStr">
        <is>
          <t>Loyalty &amp; Martech</t>
        </is>
      </c>
      <c r="H211" s="239" t="inlineStr">
        <is>
          <t>NA</t>
        </is>
      </c>
      <c r="I211" s="239" t="inlineStr">
        <is>
          <t>NA</t>
        </is>
      </c>
      <c r="J211" s="239" t="inlineStr">
        <is>
          <t>NA</t>
        </is>
      </c>
      <c r="K211" s="239" t="inlineStr">
        <is>
          <t>NA</t>
        </is>
      </c>
      <c r="L211" s="239" t="n"/>
      <c r="M211" s="316" t="inlineStr">
        <is>
          <t>Australia</t>
        </is>
      </c>
      <c r="N211" t="inlineStr">
        <is>
          <t>Customer</t>
        </is>
      </c>
      <c r="O211" t="inlineStr">
        <is>
          <t>Group Customer Platforms</t>
        </is>
      </c>
      <c r="P211" t="inlineStr">
        <is>
          <t>AU CRM &amp; Martech</t>
        </is>
      </c>
      <c r="Q211" t="inlineStr">
        <is>
          <t>Squad</t>
        </is>
      </c>
      <c r="R211" t="inlineStr">
        <is>
          <t>Filled</t>
        </is>
      </c>
    </row>
    <row r="212" ht="18" customHeight="1" s="302">
      <c r="A212" s="314" t="n">
        <v>100825</v>
      </c>
      <c r="B212" s="239" t="inlineStr">
        <is>
          <t>James Byrne</t>
        </is>
      </c>
      <c r="C212" s="239" t="inlineStr">
        <is>
          <t>Head of Cyber Strategy &amp; Technology</t>
        </is>
      </c>
      <c r="D212" s="239" t="inlineStr">
        <is>
          <t>Frances Bouzo</t>
        </is>
      </c>
      <c r="E212" s="239" t="inlineStr">
        <is>
          <t xml:space="preserve">Manager Customer Support Operations </t>
        </is>
      </c>
      <c r="F212" s="239" t="inlineStr">
        <is>
          <t>Cyber, Risk &amp; Operations</t>
        </is>
      </c>
      <c r="G212" s="315" t="inlineStr">
        <is>
          <t>Cyber Strat &amp; Tech</t>
        </is>
      </c>
      <c r="H212" s="239" t="inlineStr">
        <is>
          <t>NA</t>
        </is>
      </c>
      <c r="I212" s="239" t="inlineStr">
        <is>
          <t>EGI Integration</t>
        </is>
      </c>
      <c r="J212" s="239" t="inlineStr">
        <is>
          <t>EGI</t>
        </is>
      </c>
      <c r="K212" s="239" t="inlineStr">
        <is>
          <t>EGI Retail</t>
        </is>
      </c>
      <c r="L212" s="239" t="n"/>
      <c r="M212" s="316" t="inlineStr">
        <is>
          <t>Australia</t>
        </is>
      </c>
      <c r="N212" t="inlineStr">
        <is>
          <t>Ampol Retail</t>
        </is>
      </c>
      <c r="O212" t="inlineStr">
        <is>
          <t>EGI Retail</t>
        </is>
      </c>
      <c r="P212" t="inlineStr">
        <is>
          <t>EGI Retail</t>
        </is>
      </c>
      <c r="Q212" t="inlineStr">
        <is>
          <t>Strategic Program</t>
        </is>
      </c>
      <c r="R212" t="inlineStr">
        <is>
          <t>Filled</t>
        </is>
      </c>
    </row>
    <row r="213" ht="18" customHeight="1" s="302">
      <c r="A213" s="314" t="n">
        <v>97592</v>
      </c>
      <c r="B213" s="239" t="inlineStr">
        <is>
          <t>Kevin Sheerin</t>
        </is>
      </c>
      <c r="C213" s="239" t="inlineStr">
        <is>
          <t>Cyber Architecture Lead</t>
        </is>
      </c>
      <c r="D213" s="239" t="inlineStr">
        <is>
          <t>James Byrne</t>
        </is>
      </c>
      <c r="E213" s="239" t="n"/>
      <c r="F213" s="239" t="inlineStr">
        <is>
          <t>Cyber, Risk &amp; Operations</t>
        </is>
      </c>
      <c r="G213" s="315" t="inlineStr">
        <is>
          <t>Cyber Strat &amp; Tech</t>
        </is>
      </c>
      <c r="H213" s="239" t="inlineStr">
        <is>
          <t>NA</t>
        </is>
      </c>
      <c r="I213" s="239" t="inlineStr">
        <is>
          <t>NA</t>
        </is>
      </c>
      <c r="J213" s="239" t="inlineStr">
        <is>
          <t>NA</t>
        </is>
      </c>
      <c r="K213" s="239" t="inlineStr">
        <is>
          <t>NA</t>
        </is>
      </c>
      <c r="L213" s="239" t="n"/>
      <c r="M213" s="316" t="inlineStr">
        <is>
          <t>Australia</t>
        </is>
      </c>
      <c r="N213" t="inlineStr">
        <is>
          <t>TDD Cyber</t>
        </is>
      </c>
      <c r="O213" t="inlineStr">
        <is>
          <t>TDD Cyber, Risk &amp; Service Ops</t>
        </is>
      </c>
      <c r="P213" t="inlineStr">
        <is>
          <t>TDD Cyber</t>
        </is>
      </c>
      <c r="Q213" t="inlineStr">
        <is>
          <t>Squad</t>
        </is>
      </c>
      <c r="R213" t="inlineStr">
        <is>
          <t>Filled</t>
        </is>
      </c>
    </row>
    <row r="214" ht="18" customHeight="1" s="302">
      <c r="A214" s="314" t="n">
        <v>108809</v>
      </c>
      <c r="B214" s="239" t="inlineStr">
        <is>
          <t>Joe Nahma</t>
        </is>
      </c>
      <c r="C214" s="239" t="inlineStr">
        <is>
          <t>Manager Identity &amp; Access Management</t>
        </is>
      </c>
      <c r="D214" s="239" t="inlineStr">
        <is>
          <t>James Byrne</t>
        </is>
      </c>
      <c r="E214" s="239" t="inlineStr">
        <is>
          <t>Manager Cyber Security GRC</t>
        </is>
      </c>
      <c r="F214" s="239" t="inlineStr">
        <is>
          <t>Cyber, Risk &amp; Operations</t>
        </is>
      </c>
      <c r="G214" s="315" t="inlineStr">
        <is>
          <t>Cyber Strat &amp; Tech</t>
        </is>
      </c>
      <c r="H214" s="239" t="inlineStr">
        <is>
          <t>NA</t>
        </is>
      </c>
      <c r="I214" s="239" t="inlineStr">
        <is>
          <t>NA</t>
        </is>
      </c>
      <c r="J214" s="239" t="inlineStr">
        <is>
          <t>NA</t>
        </is>
      </c>
      <c r="K214" s="239" t="inlineStr">
        <is>
          <t>NA</t>
        </is>
      </c>
      <c r="L214" s="239" t="n"/>
      <c r="M214" s="316" t="inlineStr">
        <is>
          <t>Australia</t>
        </is>
      </c>
      <c r="N214" t="inlineStr">
        <is>
          <t>TDD Cyber</t>
        </is>
      </c>
      <c r="O214" t="inlineStr">
        <is>
          <t>TDD Cyber, Risk &amp; Service Ops</t>
        </is>
      </c>
      <c r="P214" t="inlineStr">
        <is>
          <t>TDD Cyber</t>
        </is>
      </c>
      <c r="Q214" t="inlineStr">
        <is>
          <t>Squad</t>
        </is>
      </c>
      <c r="R214" t="inlineStr">
        <is>
          <t>Filled</t>
        </is>
      </c>
    </row>
    <row r="215" ht="18" customHeight="1" s="302">
      <c r="A215" s="314" t="n">
        <v>101830</v>
      </c>
      <c r="B215" s="239" t="inlineStr">
        <is>
          <t>Vivienne Vasak</t>
        </is>
      </c>
      <c r="C215" s="239" t="inlineStr">
        <is>
          <t>Portfolio Manager Cyber Security</t>
        </is>
      </c>
      <c r="D215" s="239" t="inlineStr">
        <is>
          <t>James Byrne</t>
        </is>
      </c>
      <c r="E215" s="239" t="inlineStr">
        <is>
          <t xml:space="preserve">Manager Service Perforance &amp; Assurance </t>
        </is>
      </c>
      <c r="F215" s="239" t="inlineStr">
        <is>
          <t>Cyber, Risk &amp; Operations</t>
        </is>
      </c>
      <c r="G215" s="315" t="inlineStr">
        <is>
          <t>Cyber Strat &amp; Tech</t>
        </is>
      </c>
      <c r="H215" s="239" t="inlineStr">
        <is>
          <t>NA</t>
        </is>
      </c>
      <c r="I215" s="239" t="inlineStr">
        <is>
          <t>NA</t>
        </is>
      </c>
      <c r="J215" s="239" t="inlineStr">
        <is>
          <t>NA</t>
        </is>
      </c>
      <c r="K215" s="239" t="inlineStr">
        <is>
          <t>NA</t>
        </is>
      </c>
      <c r="L215" s="239" t="n"/>
      <c r="M215" s="316" t="inlineStr">
        <is>
          <t>Australia</t>
        </is>
      </c>
      <c r="N215" t="inlineStr">
        <is>
          <t>TDD Cyber</t>
        </is>
      </c>
      <c r="O215" t="inlineStr">
        <is>
          <t>TDD Cyber, Risk &amp; Service Ops</t>
        </is>
      </c>
      <c r="P215" t="inlineStr">
        <is>
          <t>TDD Cyber</t>
        </is>
      </c>
      <c r="Q215" t="inlineStr">
        <is>
          <t>Squad</t>
        </is>
      </c>
      <c r="R215" t="inlineStr">
        <is>
          <t>Filled</t>
        </is>
      </c>
    </row>
    <row r="216" ht="18" customHeight="1" s="302">
      <c r="A216" s="314" t="n">
        <v>86962</v>
      </c>
      <c r="B216" s="239" t="inlineStr">
        <is>
          <t>Cameron Watman</t>
        </is>
      </c>
      <c r="C216" s="239" t="inlineStr">
        <is>
          <t>Engineer - IDAM</t>
        </is>
      </c>
      <c r="D216" s="239" t="inlineStr">
        <is>
          <t>Joe Nahma</t>
        </is>
      </c>
      <c r="E216" s="239" t="inlineStr">
        <is>
          <t xml:space="preserve">Head of Cyber Strategy &amp; Technology </t>
        </is>
      </c>
      <c r="F216" s="239" t="inlineStr">
        <is>
          <t>Cyber, Risk &amp; Operations</t>
        </is>
      </c>
      <c r="G216" s="315" t="inlineStr">
        <is>
          <t>Cyber Strat &amp; Tech</t>
        </is>
      </c>
      <c r="H216" s="315" t="inlineStr">
        <is>
          <t xml:space="preserve">Identity &amp; Access Management </t>
        </is>
      </c>
      <c r="I216" s="239" t="inlineStr">
        <is>
          <t>NA</t>
        </is>
      </c>
      <c r="J216" s="239" t="inlineStr">
        <is>
          <t>NA</t>
        </is>
      </c>
      <c r="K216" s="239" t="inlineStr">
        <is>
          <t>NA</t>
        </is>
      </c>
      <c r="L216" s="239" t="n"/>
      <c r="M216" s="316" t="inlineStr">
        <is>
          <t>Australia</t>
        </is>
      </c>
      <c r="N216" t="inlineStr">
        <is>
          <t>TDD Cyber</t>
        </is>
      </c>
      <c r="O216" t="inlineStr">
        <is>
          <t>TDD Cyber, Risk &amp; Service Ops</t>
        </is>
      </c>
      <c r="P216" t="inlineStr">
        <is>
          <t>TDD Cyber</t>
        </is>
      </c>
      <c r="Q216" t="inlineStr">
        <is>
          <t>Squad</t>
        </is>
      </c>
      <c r="R216" t="inlineStr">
        <is>
          <t>Filled</t>
        </is>
      </c>
    </row>
    <row r="217" ht="18" customHeight="1" s="302">
      <c r="A217" s="314" t="n">
        <v>116241</v>
      </c>
      <c r="B217" s="239" t="inlineStr">
        <is>
          <t>Raymond Cheung</t>
        </is>
      </c>
      <c r="C217" s="239" t="inlineStr">
        <is>
          <t>Engineer - IDAM</t>
        </is>
      </c>
      <c r="D217" s="239" t="inlineStr">
        <is>
          <t>Joe Nahma</t>
        </is>
      </c>
      <c r="E217" s="239" t="inlineStr">
        <is>
          <t xml:space="preserve">Head Cyber Strategy &amp; Technology </t>
        </is>
      </c>
      <c r="F217" s="239" t="inlineStr">
        <is>
          <t>Cyber, Risk &amp; Operations</t>
        </is>
      </c>
      <c r="G217" s="315" t="inlineStr">
        <is>
          <t>Cyber Strat &amp; Tech</t>
        </is>
      </c>
      <c r="H217" s="239" t="inlineStr">
        <is>
          <t>NA</t>
        </is>
      </c>
      <c r="I217" s="239" t="inlineStr">
        <is>
          <t>NA</t>
        </is>
      </c>
      <c r="J217" s="239" t="inlineStr">
        <is>
          <t>NA</t>
        </is>
      </c>
      <c r="K217" s="239" t="inlineStr">
        <is>
          <t>NA</t>
        </is>
      </c>
      <c r="L217" s="239" t="n"/>
      <c r="M217" s="316" t="inlineStr">
        <is>
          <t>Australia</t>
        </is>
      </c>
      <c r="N217" t="inlineStr">
        <is>
          <t>TDD Cyber</t>
        </is>
      </c>
      <c r="O217" t="inlineStr">
        <is>
          <t>TDD Cyber, Risk &amp; Service Ops</t>
        </is>
      </c>
      <c r="P217" t="inlineStr">
        <is>
          <t>TDD Cyber</t>
        </is>
      </c>
      <c r="Q217" t="inlineStr">
        <is>
          <t>Squad</t>
        </is>
      </c>
      <c r="R217" t="inlineStr">
        <is>
          <t>Filled</t>
        </is>
      </c>
    </row>
    <row r="218" ht="18" customHeight="1" s="302">
      <c r="A218" s="314" t="n">
        <v>102385</v>
      </c>
      <c r="B218" s="239" t="inlineStr">
        <is>
          <t>Chris Lyons</t>
        </is>
      </c>
      <c r="C218" s="239" t="inlineStr">
        <is>
          <t>Cyber Security Architect</t>
        </is>
      </c>
      <c r="D218" s="239" t="inlineStr">
        <is>
          <t>Kevin Sheerin</t>
        </is>
      </c>
      <c r="E218" s="239" t="inlineStr">
        <is>
          <t xml:space="preserve">Head of Cyber Strategy &amp; Technology </t>
        </is>
      </c>
      <c r="F218" s="239" t="inlineStr">
        <is>
          <t>Cyber, Risk &amp; Operations</t>
        </is>
      </c>
      <c r="G218" s="315" t="inlineStr">
        <is>
          <t>Cyber Strat &amp; Tech</t>
        </is>
      </c>
      <c r="H218" s="239" t="inlineStr">
        <is>
          <t>NA</t>
        </is>
      </c>
      <c r="I218" s="239" t="inlineStr">
        <is>
          <t>NA</t>
        </is>
      </c>
      <c r="J218" s="239" t="inlineStr">
        <is>
          <t>NA</t>
        </is>
      </c>
      <c r="K218" s="239" t="inlineStr">
        <is>
          <t>NA</t>
        </is>
      </c>
      <c r="L218" s="239" t="n"/>
      <c r="M218" s="316" t="inlineStr">
        <is>
          <t>Australia</t>
        </is>
      </c>
      <c r="N218" t="inlineStr">
        <is>
          <t>TDD Cyber</t>
        </is>
      </c>
      <c r="O218" t="inlineStr">
        <is>
          <t>TDD Cyber, Risk &amp; Service Ops</t>
        </is>
      </c>
      <c r="P218" t="inlineStr">
        <is>
          <t>TDD Cyber</t>
        </is>
      </c>
      <c r="Q218" t="inlineStr">
        <is>
          <t>Squad</t>
        </is>
      </c>
      <c r="R218" t="inlineStr">
        <is>
          <t>Filled</t>
        </is>
      </c>
    </row>
    <row r="219" ht="18" customHeight="1" s="302">
      <c r="A219" s="314" t="n">
        <v>99707</v>
      </c>
      <c r="B219" s="239" t="inlineStr">
        <is>
          <t>Darshan Suvama</t>
        </is>
      </c>
      <c r="C219" s="239" t="inlineStr">
        <is>
          <t>Cyber Offensive Security Lead</t>
        </is>
      </c>
      <c r="D219" s="239" t="inlineStr">
        <is>
          <t>Kevin Sheerin</t>
        </is>
      </c>
      <c r="E219" s="239" t="inlineStr">
        <is>
          <t>Cyber Architecture Lead</t>
        </is>
      </c>
      <c r="F219" s="239" t="inlineStr">
        <is>
          <t>Cyber, Risk &amp; Operations</t>
        </is>
      </c>
      <c r="G219" s="315" t="inlineStr">
        <is>
          <t>Cyber Strat &amp; Tech</t>
        </is>
      </c>
      <c r="H219" s="239" t="inlineStr">
        <is>
          <t>NA</t>
        </is>
      </c>
      <c r="I219" s="239" t="inlineStr">
        <is>
          <t>NA</t>
        </is>
      </c>
      <c r="J219" s="239" t="inlineStr">
        <is>
          <t>NA</t>
        </is>
      </c>
      <c r="K219" s="239" t="inlineStr">
        <is>
          <t>NA</t>
        </is>
      </c>
      <c r="L219" s="239" t="n"/>
      <c r="M219" s="316" t="inlineStr">
        <is>
          <t>Australia</t>
        </is>
      </c>
      <c r="N219" t="inlineStr">
        <is>
          <t>TDD Cyber</t>
        </is>
      </c>
      <c r="O219" t="inlineStr">
        <is>
          <t>TDD Cyber, Risk &amp; Service Ops</t>
        </is>
      </c>
      <c r="P219" t="inlineStr">
        <is>
          <t>TDD Cyber</t>
        </is>
      </c>
      <c r="Q219" t="inlineStr">
        <is>
          <t>Squad</t>
        </is>
      </c>
      <c r="R219" t="inlineStr">
        <is>
          <t>Filled</t>
        </is>
      </c>
    </row>
    <row r="220" ht="18" customHeight="1" s="302">
      <c r="A220" s="314" t="n">
        <v>104966</v>
      </c>
      <c r="B220" s="239" t="inlineStr">
        <is>
          <t>Rahul Sahni</t>
        </is>
      </c>
      <c r="C220" s="239" t="inlineStr">
        <is>
          <t>Cyber Security Architect</t>
        </is>
      </c>
      <c r="D220" s="239" t="inlineStr">
        <is>
          <t>Kevin Sheerin</t>
        </is>
      </c>
      <c r="E220" s="239" t="n"/>
      <c r="F220" s="239" t="inlineStr">
        <is>
          <t>Cyber, Risk &amp; Operations</t>
        </is>
      </c>
      <c r="G220" s="315" t="inlineStr">
        <is>
          <t>Cyber Strat &amp; Tech</t>
        </is>
      </c>
      <c r="H220" s="239" t="inlineStr">
        <is>
          <t>NA</t>
        </is>
      </c>
      <c r="I220" s="239" t="inlineStr">
        <is>
          <t>NA</t>
        </is>
      </c>
      <c r="J220" s="239" t="inlineStr">
        <is>
          <t>NA</t>
        </is>
      </c>
      <c r="K220" s="239" t="inlineStr">
        <is>
          <t>NA</t>
        </is>
      </c>
      <c r="L220" s="239" t="n"/>
      <c r="M220" s="316" t="inlineStr">
        <is>
          <t>Australia</t>
        </is>
      </c>
      <c r="N220" t="inlineStr">
        <is>
          <t>TDD Cyber</t>
        </is>
      </c>
      <c r="O220" t="inlineStr">
        <is>
          <t>TDD Cyber, Risk &amp; Service Ops</t>
        </is>
      </c>
      <c r="P220" t="inlineStr">
        <is>
          <t>TDD Cyber</t>
        </is>
      </c>
      <c r="Q220" t="inlineStr">
        <is>
          <t>Squad</t>
        </is>
      </c>
      <c r="R220" t="inlineStr">
        <is>
          <t>Filled</t>
        </is>
      </c>
    </row>
    <row r="221" ht="18" customHeight="1" s="302">
      <c r="A221" s="314" t="n"/>
      <c r="B221" s="239" t="inlineStr">
        <is>
          <t>Vacant</t>
        </is>
      </c>
      <c r="C221" s="239" t="inlineStr">
        <is>
          <t>Cyber Architect (backfill for EGI Secondment)</t>
        </is>
      </c>
      <c r="D221" s="239" t="inlineStr">
        <is>
          <t>Kevin Sheerin</t>
        </is>
      </c>
      <c r="E221" s="239" t="n"/>
      <c r="F221" s="239" t="inlineStr">
        <is>
          <t>Cyber, Risk &amp; Operations</t>
        </is>
      </c>
      <c r="G221" s="315" t="inlineStr">
        <is>
          <t>Cyber Strat &amp; Tech</t>
        </is>
      </c>
      <c r="H221" s="239" t="inlineStr">
        <is>
          <t>NA</t>
        </is>
      </c>
      <c r="I221" s="239" t="inlineStr">
        <is>
          <t>NA</t>
        </is>
      </c>
      <c r="J221" s="239" t="inlineStr">
        <is>
          <t>NA</t>
        </is>
      </c>
      <c r="K221" s="239" t="inlineStr">
        <is>
          <t>NA</t>
        </is>
      </c>
      <c r="L221" s="239" t="n"/>
      <c r="M221" s="316" t="n"/>
      <c r="N221" t="inlineStr">
        <is>
          <t>TDD Cyber</t>
        </is>
      </c>
      <c r="O221" t="inlineStr">
        <is>
          <t>TDD Cyber, Risk &amp; Service Ops</t>
        </is>
      </c>
      <c r="P221" t="inlineStr">
        <is>
          <t>TDD Cyber</t>
        </is>
      </c>
      <c r="Q221" t="inlineStr">
        <is>
          <t>Squad</t>
        </is>
      </c>
      <c r="R221" t="inlineStr">
        <is>
          <t>Vacant</t>
        </is>
      </c>
    </row>
    <row r="222" ht="18" customHeight="1" s="302">
      <c r="A222" s="314" t="n">
        <v>113382</v>
      </c>
      <c r="B222" s="239" t="inlineStr">
        <is>
          <t>Jack Jenkins</t>
        </is>
      </c>
      <c r="C222" s="239" t="inlineStr">
        <is>
          <t>Asset Analyst</t>
        </is>
      </c>
      <c r="D222" s="239" t="inlineStr">
        <is>
          <t>Lead – Asset &amp; Configuration (Vacant)</t>
        </is>
      </c>
      <c r="E222" s="239" t="n"/>
      <c r="F222" s="239" t="inlineStr">
        <is>
          <t>Cyber, Risk &amp; Operations</t>
        </is>
      </c>
      <c r="G222" s="315" t="inlineStr">
        <is>
          <t>Service Op &amp; Assurance</t>
        </is>
      </c>
      <c r="H222" s="239" t="inlineStr">
        <is>
          <t>NA</t>
        </is>
      </c>
      <c r="I222" s="239" t="inlineStr">
        <is>
          <t>NA</t>
        </is>
      </c>
      <c r="J222" s="239" t="inlineStr">
        <is>
          <t>NA</t>
        </is>
      </c>
      <c r="K222" s="239" t="inlineStr">
        <is>
          <t>NA</t>
        </is>
      </c>
      <c r="L222" s="239" t="n"/>
      <c r="M222" s="316" t="inlineStr">
        <is>
          <t>Australia</t>
        </is>
      </c>
      <c r="N222" t="inlineStr">
        <is>
          <t>TDD Cyber</t>
        </is>
      </c>
      <c r="O222" t="inlineStr">
        <is>
          <t>TDD Cyber, Risk &amp; Service Ops</t>
        </is>
      </c>
      <c r="P222" t="inlineStr">
        <is>
          <t>TDD Cyber</t>
        </is>
      </c>
      <c r="Q222" t="inlineStr">
        <is>
          <t>Squad</t>
        </is>
      </c>
      <c r="R222" t="inlineStr">
        <is>
          <t>Filled</t>
        </is>
      </c>
    </row>
    <row r="223" ht="18" customHeight="1" s="302">
      <c r="A223" s="314" t="n">
        <v>104555</v>
      </c>
      <c r="B223" s="239" t="inlineStr">
        <is>
          <t>Ritika Salaria</t>
        </is>
      </c>
      <c r="C223" s="239" t="inlineStr">
        <is>
          <t>Configuration Analyst</t>
        </is>
      </c>
      <c r="D223" s="239" t="inlineStr">
        <is>
          <t>Lead – Asset &amp; Configuration (Vacant)</t>
        </is>
      </c>
      <c r="E223" s="239" t="n"/>
      <c r="F223" s="239" t="inlineStr">
        <is>
          <t>Cyber, Risk &amp; Operations</t>
        </is>
      </c>
      <c r="G223" s="315" t="inlineStr">
        <is>
          <t>Service Op &amp; Assurance</t>
        </is>
      </c>
      <c r="H223" s="239" t="inlineStr">
        <is>
          <t>NA</t>
        </is>
      </c>
      <c r="I223" s="239" t="inlineStr">
        <is>
          <t>NA</t>
        </is>
      </c>
      <c r="J223" s="239" t="inlineStr">
        <is>
          <t>NA</t>
        </is>
      </c>
      <c r="K223" s="239" t="inlineStr">
        <is>
          <t>NA</t>
        </is>
      </c>
      <c r="L223" s="239" t="n"/>
      <c r="M223" s="316" t="inlineStr">
        <is>
          <t>Australia</t>
        </is>
      </c>
      <c r="N223" t="inlineStr">
        <is>
          <t>TDD Cyber</t>
        </is>
      </c>
      <c r="O223" t="inlineStr">
        <is>
          <t>TDD Cyber, Risk &amp; Service Ops</t>
        </is>
      </c>
      <c r="P223" t="inlineStr">
        <is>
          <t>TDD Cyber</t>
        </is>
      </c>
      <c r="Q223" t="inlineStr">
        <is>
          <t>Squad</t>
        </is>
      </c>
      <c r="R223" t="inlineStr">
        <is>
          <t>Filled</t>
        </is>
      </c>
    </row>
    <row r="224" ht="18" customHeight="1" s="302">
      <c r="A224" s="314" t="n">
        <v>114354</v>
      </c>
      <c r="B224" s="239" t="inlineStr">
        <is>
          <t>Kaaviya Salai Manimudian</t>
        </is>
      </c>
      <c r="C224" s="239" t="inlineStr">
        <is>
          <t>Graduate</t>
        </is>
      </c>
      <c r="D224" s="239" t="inlineStr">
        <is>
          <t>Lynda Niewidok</t>
        </is>
      </c>
      <c r="E224" s="239" t="inlineStr">
        <is>
          <t xml:space="preserve">Manager Customer Support Operations </t>
        </is>
      </c>
      <c r="F224" s="239" t="inlineStr">
        <is>
          <t>Cyber, Risk &amp; Operations</t>
        </is>
      </c>
      <c r="G224" s="315" t="inlineStr">
        <is>
          <t>Service Op &amp; Assurance</t>
        </is>
      </c>
      <c r="H224" s="239" t="inlineStr">
        <is>
          <t>NA</t>
        </is>
      </c>
      <c r="I224" s="239" t="inlineStr">
        <is>
          <t>NA</t>
        </is>
      </c>
      <c r="J224" s="239" t="inlineStr">
        <is>
          <t>NA</t>
        </is>
      </c>
      <c r="K224" s="239" t="inlineStr">
        <is>
          <t>NA</t>
        </is>
      </c>
      <c r="L224" s="239" t="n"/>
      <c r="M224" s="316" t="inlineStr">
        <is>
          <t>Australia</t>
        </is>
      </c>
      <c r="N224" t="inlineStr">
        <is>
          <t>TDD Cyber</t>
        </is>
      </c>
      <c r="O224" t="inlineStr">
        <is>
          <t>TDD Cyber, Risk &amp; Service Ops</t>
        </is>
      </c>
      <c r="P224" t="inlineStr">
        <is>
          <t>TDD Cyber</t>
        </is>
      </c>
      <c r="Q224" t="inlineStr">
        <is>
          <t>Squad</t>
        </is>
      </c>
      <c r="R224" t="inlineStr">
        <is>
          <t>Filled</t>
        </is>
      </c>
    </row>
    <row r="225" ht="18" customHeight="1" s="302">
      <c r="A225" s="314" t="n"/>
      <c r="B225" s="239" t="inlineStr">
        <is>
          <t>Vacant (SYD)</t>
        </is>
      </c>
      <c r="C225" s="239" t="inlineStr">
        <is>
          <t>Tech Support Technician</t>
        </is>
      </c>
      <c r="D225" s="239" t="inlineStr">
        <is>
          <t>Mark Pearson</t>
        </is>
      </c>
      <c r="E225" s="239" t="n"/>
      <c r="F225" s="239" t="inlineStr">
        <is>
          <t>Cyber, Risk &amp; Operations</t>
        </is>
      </c>
      <c r="G225" s="315" t="inlineStr">
        <is>
          <t>Service Op &amp; Assurance</t>
        </is>
      </c>
      <c r="H225" s="239" t="inlineStr">
        <is>
          <t>NA</t>
        </is>
      </c>
      <c r="I225" s="239" t="inlineStr">
        <is>
          <t>NA</t>
        </is>
      </c>
      <c r="J225" s="239" t="inlineStr">
        <is>
          <t>NA</t>
        </is>
      </c>
      <c r="K225" s="239" t="inlineStr">
        <is>
          <t>NA</t>
        </is>
      </c>
      <c r="L225" s="239" t="n"/>
      <c r="M225" s="316" t="n"/>
      <c r="N225" t="inlineStr">
        <is>
          <t>TDD Cyber</t>
        </is>
      </c>
      <c r="O225" t="inlineStr">
        <is>
          <t>TDD Cyber, Risk &amp; Service Ops</t>
        </is>
      </c>
      <c r="P225" t="inlineStr">
        <is>
          <t>TDD Cyber</t>
        </is>
      </c>
      <c r="Q225" t="inlineStr">
        <is>
          <t>Squad</t>
        </is>
      </c>
      <c r="R225" t="inlineStr">
        <is>
          <t>Filled</t>
        </is>
      </c>
    </row>
    <row r="226" ht="18" customHeight="1" s="302">
      <c r="A226" s="314" t="n">
        <v>108727</v>
      </c>
      <c r="B226" s="239" t="inlineStr">
        <is>
          <t>Jas Mann</t>
        </is>
      </c>
      <c r="C226" s="239" t="inlineStr">
        <is>
          <t>Technology Support Engineer</t>
        </is>
      </c>
      <c r="D226" s="239" t="inlineStr">
        <is>
          <t>Mark Pearson</t>
        </is>
      </c>
      <c r="E226" s="239" t="inlineStr">
        <is>
          <t xml:space="preserve">Lead Technology Support </t>
        </is>
      </c>
      <c r="F226" s="239" t="inlineStr">
        <is>
          <t>Cyber, Risk &amp; Operations</t>
        </is>
      </c>
      <c r="G226" s="315" t="inlineStr">
        <is>
          <t>Service Op &amp; Assurance</t>
        </is>
      </c>
      <c r="H226" s="239" t="inlineStr">
        <is>
          <t>NA</t>
        </is>
      </c>
      <c r="I226" s="239" t="inlineStr">
        <is>
          <t>NA</t>
        </is>
      </c>
      <c r="J226" s="239" t="inlineStr">
        <is>
          <t>NA</t>
        </is>
      </c>
      <c r="K226" s="239" t="inlineStr">
        <is>
          <t>NA</t>
        </is>
      </c>
      <c r="L226" s="239" t="n"/>
      <c r="M226" s="316" t="inlineStr">
        <is>
          <t>Australia</t>
        </is>
      </c>
      <c r="N226" t="inlineStr">
        <is>
          <t>TDD Cyber</t>
        </is>
      </c>
      <c r="O226" t="inlineStr">
        <is>
          <t>TDD Cyber, Risk &amp; Service Ops</t>
        </is>
      </c>
      <c r="P226" t="inlineStr">
        <is>
          <t>TDD Cyber</t>
        </is>
      </c>
      <c r="Q226" t="inlineStr">
        <is>
          <t>Squad</t>
        </is>
      </c>
      <c r="R226" t="inlineStr">
        <is>
          <t>Filled</t>
        </is>
      </c>
    </row>
    <row r="227" ht="18" customHeight="1" s="302">
      <c r="A227" s="314" t="n">
        <v>108013</v>
      </c>
      <c r="B227" s="239" t="inlineStr">
        <is>
          <t>Vacant</t>
        </is>
      </c>
      <c r="C227" s="239" t="inlineStr">
        <is>
          <t>Technology Support Engineer</t>
        </is>
      </c>
      <c r="D227" s="239" t="inlineStr">
        <is>
          <t>Mark Pearson</t>
        </is>
      </c>
      <c r="E227" s="239" t="inlineStr">
        <is>
          <t xml:space="preserve">Lead Technology Support </t>
        </is>
      </c>
      <c r="F227" s="239" t="inlineStr">
        <is>
          <t>Cyber, Risk &amp; Operations</t>
        </is>
      </c>
      <c r="G227" s="315" t="inlineStr">
        <is>
          <t>Service Op &amp; Assurance</t>
        </is>
      </c>
      <c r="H227" s="239" t="inlineStr">
        <is>
          <t xml:space="preserve">Technology Support </t>
        </is>
      </c>
      <c r="I227" s="239" t="inlineStr">
        <is>
          <t>NA</t>
        </is>
      </c>
      <c r="J227" s="239" t="inlineStr">
        <is>
          <t>NA</t>
        </is>
      </c>
      <c r="K227" s="239" t="inlineStr">
        <is>
          <t>NA</t>
        </is>
      </c>
      <c r="L227" s="239" t="n"/>
      <c r="M227" s="316" t="inlineStr">
        <is>
          <t>Australia</t>
        </is>
      </c>
      <c r="N227" t="inlineStr">
        <is>
          <t>TDD Cyber</t>
        </is>
      </c>
      <c r="O227" t="inlineStr">
        <is>
          <t>TDD Cyber, Risk &amp; Service Ops</t>
        </is>
      </c>
      <c r="P227" t="inlineStr">
        <is>
          <t>TDD Cyber</t>
        </is>
      </c>
      <c r="Q227" t="inlineStr">
        <is>
          <t>Squad</t>
        </is>
      </c>
      <c r="R227" t="inlineStr">
        <is>
          <t>Vacant</t>
        </is>
      </c>
    </row>
    <row r="228" ht="18" customHeight="1" s="302">
      <c r="A228" s="314" t="n"/>
      <c r="B228" s="239" t="inlineStr">
        <is>
          <t>Vacant</t>
        </is>
      </c>
      <c r="C228" s="239" t="inlineStr">
        <is>
          <t>Operations Analyst</t>
        </is>
      </c>
      <c r="D228" s="239" t="inlineStr">
        <is>
          <t>Mick Collins</t>
        </is>
      </c>
      <c r="E228" s="239" t="inlineStr">
        <is>
          <t xml:space="preserve">Manager Service Management &amp; Major Incident Management Lead </t>
        </is>
      </c>
      <c r="F228" s="239" t="inlineStr">
        <is>
          <t>Cyber, Risk &amp; Operations</t>
        </is>
      </c>
      <c r="G228" s="315" t="inlineStr">
        <is>
          <t>Loyalty &amp; Martech</t>
        </is>
      </c>
      <c r="H228" s="239" t="inlineStr">
        <is>
          <t>NA</t>
        </is>
      </c>
      <c r="I228" s="239" t="inlineStr">
        <is>
          <t>NA</t>
        </is>
      </c>
      <c r="J228" s="239" t="inlineStr">
        <is>
          <t>NA</t>
        </is>
      </c>
      <c r="K228" s="239" t="inlineStr">
        <is>
          <t>NA</t>
        </is>
      </c>
      <c r="L228" s="239" t="n"/>
      <c r="M228" s="316" t="n"/>
      <c r="N228" t="inlineStr">
        <is>
          <t>Customer</t>
        </is>
      </c>
      <c r="O228" t="inlineStr">
        <is>
          <t>Group Customer Platforms</t>
        </is>
      </c>
      <c r="P228" t="inlineStr">
        <is>
          <t>AU CRM &amp; Martech</t>
        </is>
      </c>
      <c r="Q228" t="inlineStr">
        <is>
          <t>Squad</t>
        </is>
      </c>
      <c r="R228" t="inlineStr">
        <is>
          <t>Vacant</t>
        </is>
      </c>
    </row>
    <row r="229" ht="18" customHeight="1" s="302">
      <c r="A229" s="314" t="n">
        <v>99999101684</v>
      </c>
      <c r="B229" s="239" t="inlineStr">
        <is>
          <t>Ashley Mueller</t>
        </is>
      </c>
      <c r="C229" s="239" t="inlineStr">
        <is>
          <t>Lead – Service Assurance</t>
        </is>
      </c>
      <c r="D229" s="239" t="inlineStr">
        <is>
          <t>Mick Collins</t>
        </is>
      </c>
      <c r="E229" s="239" t="inlineStr">
        <is>
          <t>Cyber Architecture Lead</t>
        </is>
      </c>
      <c r="F229" s="239" t="inlineStr">
        <is>
          <t>Cyber, Risk &amp; Operations</t>
        </is>
      </c>
      <c r="G229" s="315" t="inlineStr">
        <is>
          <t>Service Op &amp; Assurance</t>
        </is>
      </c>
      <c r="H229" s="239" t="inlineStr">
        <is>
          <t xml:space="preserve">Service Performance &amp; Assurance </t>
        </is>
      </c>
      <c r="I229" s="239" t="inlineStr">
        <is>
          <t>NA</t>
        </is>
      </c>
      <c r="J229" s="239" t="inlineStr">
        <is>
          <t>NA</t>
        </is>
      </c>
      <c r="K229" s="239" t="inlineStr">
        <is>
          <t>NA</t>
        </is>
      </c>
      <c r="L229" s="239" t="n"/>
      <c r="M229" s="316" t="inlineStr">
        <is>
          <t>NZ</t>
        </is>
      </c>
      <c r="N229" t="inlineStr">
        <is>
          <t>TDD Cyber</t>
        </is>
      </c>
      <c r="O229" t="inlineStr">
        <is>
          <t>TDD Cyber, Risk &amp; Service Ops</t>
        </is>
      </c>
      <c r="P229" t="inlineStr">
        <is>
          <t>TDD Cyber</t>
        </is>
      </c>
      <c r="Q229" t="inlineStr">
        <is>
          <t>Squad</t>
        </is>
      </c>
      <c r="R229" t="inlineStr">
        <is>
          <t>Filled</t>
        </is>
      </c>
    </row>
    <row r="230" ht="18" customHeight="1" s="302">
      <c r="A230" s="314" t="n"/>
      <c r="B230" s="239" t="inlineStr">
        <is>
          <t>Vacant</t>
        </is>
      </c>
      <c r="C230" s="239" t="inlineStr">
        <is>
          <t>Lead – Asset &amp; Configuration</t>
        </is>
      </c>
      <c r="D230" s="239" t="inlineStr">
        <is>
          <t>Mick Collins</t>
        </is>
      </c>
      <c r="E230" s="239" t="inlineStr">
        <is>
          <t xml:space="preserve">Manager Cyber Security Operations </t>
        </is>
      </c>
      <c r="F230" s="239" t="inlineStr">
        <is>
          <t>Cyber, Risk &amp; Operations</t>
        </is>
      </c>
      <c r="G230" s="315" t="inlineStr">
        <is>
          <t>Service Op &amp; Assurance</t>
        </is>
      </c>
      <c r="H230" s="239" t="inlineStr">
        <is>
          <t>NA</t>
        </is>
      </c>
      <c r="I230" s="239" t="inlineStr">
        <is>
          <t>NA</t>
        </is>
      </c>
      <c r="J230" s="239" t="inlineStr">
        <is>
          <t>NA</t>
        </is>
      </c>
      <c r="K230" s="239" t="inlineStr">
        <is>
          <t>NA</t>
        </is>
      </c>
      <c r="L230" s="239" t="n"/>
      <c r="M230" s="316" t="n"/>
      <c r="N230" t="inlineStr">
        <is>
          <t>TDD Cyber</t>
        </is>
      </c>
      <c r="O230" t="inlineStr">
        <is>
          <t>TDD Cyber, Risk &amp; Service Ops</t>
        </is>
      </c>
      <c r="P230" t="inlineStr">
        <is>
          <t>TDD Cyber</t>
        </is>
      </c>
      <c r="Q230" t="inlineStr">
        <is>
          <t>Squad</t>
        </is>
      </c>
      <c r="R230" t="inlineStr">
        <is>
          <t>Vacant</t>
        </is>
      </c>
    </row>
    <row r="231" ht="18" customHeight="1" s="302">
      <c r="A231" s="314" t="n">
        <v>6307</v>
      </c>
      <c r="B231" s="239" t="inlineStr">
        <is>
          <t>Darren Koller</t>
        </is>
      </c>
      <c r="C231" s="239" t="inlineStr">
        <is>
          <t>Manager, Service Management &amp; Major Incident Mgmt Lead</t>
        </is>
      </c>
      <c r="D231" s="239" t="inlineStr">
        <is>
          <t>Rajini Onteddu Reddy</t>
        </is>
      </c>
      <c r="E231" s="239" t="inlineStr">
        <is>
          <t>Head of Service Operatoins &amp; Assurance</t>
        </is>
      </c>
      <c r="F231" s="239" t="inlineStr">
        <is>
          <t>Cyber, Risk &amp; Operations</t>
        </is>
      </c>
      <c r="G231" s="315" t="inlineStr">
        <is>
          <t>Service Op &amp; Assurance</t>
        </is>
      </c>
      <c r="H231" s="239" t="inlineStr">
        <is>
          <t>NA</t>
        </is>
      </c>
      <c r="I231" s="239" t="inlineStr">
        <is>
          <t>NA</t>
        </is>
      </c>
      <c r="J231" s="239" t="inlineStr">
        <is>
          <t>NA</t>
        </is>
      </c>
      <c r="K231" s="239" t="inlineStr">
        <is>
          <t>NA</t>
        </is>
      </c>
      <c r="L231" s="239" t="n"/>
      <c r="M231" s="316" t="inlineStr">
        <is>
          <t>Australia</t>
        </is>
      </c>
      <c r="N231" t="inlineStr">
        <is>
          <t>TDD Cyber</t>
        </is>
      </c>
      <c r="O231" t="inlineStr">
        <is>
          <t>TDD Cyber, Risk &amp; Service Ops</t>
        </is>
      </c>
      <c r="P231" t="inlineStr">
        <is>
          <t>TDD Cyber</t>
        </is>
      </c>
      <c r="Q231" t="inlineStr">
        <is>
          <t>Squad</t>
        </is>
      </c>
      <c r="R231" t="inlineStr">
        <is>
          <t>Filled</t>
        </is>
      </c>
    </row>
    <row r="232" ht="18" customHeight="1" s="302">
      <c r="A232" s="314" t="n">
        <v>99999101673</v>
      </c>
      <c r="B232" s="239" t="inlineStr">
        <is>
          <t>Lisa Ng</t>
        </is>
      </c>
      <c r="C232" s="239" t="inlineStr">
        <is>
          <t>Cyber Security Analyst</t>
        </is>
      </c>
      <c r="D232" s="239" t="inlineStr">
        <is>
          <t>Steven Atcheson</t>
        </is>
      </c>
      <c r="E232" s="239" t="n"/>
      <c r="F232" s="239" t="inlineStr">
        <is>
          <t>Cyber, Risk &amp; Operations</t>
        </is>
      </c>
      <c r="G232" s="315" t="inlineStr">
        <is>
          <t>Cyber Sec Ops</t>
        </is>
      </c>
      <c r="H232" s="239" t="inlineStr">
        <is>
          <t>NA</t>
        </is>
      </c>
      <c r="I232" s="239" t="inlineStr">
        <is>
          <t>NA</t>
        </is>
      </c>
      <c r="J232" s="239" t="inlineStr">
        <is>
          <t>NA</t>
        </is>
      </c>
      <c r="K232" s="239" t="inlineStr">
        <is>
          <t>NA</t>
        </is>
      </c>
      <c r="L232" s="239" t="n"/>
      <c r="M232" s="316" t="inlineStr">
        <is>
          <t>NZ</t>
        </is>
      </c>
      <c r="N232" t="inlineStr">
        <is>
          <t>TDD Cyber</t>
        </is>
      </c>
      <c r="O232" t="inlineStr">
        <is>
          <t>TDD Cyber, Risk &amp; Service Ops</t>
        </is>
      </c>
      <c r="P232" t="inlineStr">
        <is>
          <t>TDD Cyber</t>
        </is>
      </c>
      <c r="Q232" t="inlineStr">
        <is>
          <t>Squad</t>
        </is>
      </c>
      <c r="R232" t="inlineStr">
        <is>
          <t>Filled</t>
        </is>
      </c>
    </row>
    <row r="233" ht="18" customHeight="1" s="302">
      <c r="A233" s="314" t="n">
        <v>98371</v>
      </c>
      <c r="B233" s="239" t="inlineStr">
        <is>
          <t>Stafford Dowling</t>
        </is>
      </c>
      <c r="C233" s="239" t="inlineStr">
        <is>
          <t>Cyber Security Analyst</t>
        </is>
      </c>
      <c r="D233" s="239" t="inlineStr">
        <is>
          <t>Steven Atcheson</t>
        </is>
      </c>
      <c r="E233" s="239" t="n"/>
      <c r="F233" s="239" t="inlineStr">
        <is>
          <t>Cyber, Risk &amp; Operations</t>
        </is>
      </c>
      <c r="G233" s="315" t="inlineStr">
        <is>
          <t>Cyber Sec Ops</t>
        </is>
      </c>
      <c r="H233" s="239" t="inlineStr">
        <is>
          <t>NA</t>
        </is>
      </c>
      <c r="I233" s="239" t="inlineStr">
        <is>
          <t>NA</t>
        </is>
      </c>
      <c r="J233" s="239" t="inlineStr">
        <is>
          <t>NA</t>
        </is>
      </c>
      <c r="K233" s="239" t="inlineStr">
        <is>
          <t>NA</t>
        </is>
      </c>
      <c r="L233" s="239" t="n"/>
      <c r="M233" s="316" t="inlineStr">
        <is>
          <t>Australia</t>
        </is>
      </c>
      <c r="N233" t="inlineStr">
        <is>
          <t>TDD Cyber</t>
        </is>
      </c>
      <c r="O233" t="inlineStr">
        <is>
          <t>TDD Cyber, Risk &amp; Service Ops</t>
        </is>
      </c>
      <c r="P233" t="inlineStr">
        <is>
          <t>TDD Cyber</t>
        </is>
      </c>
      <c r="Q233" t="inlineStr">
        <is>
          <t>Squad</t>
        </is>
      </c>
      <c r="R233" t="inlineStr">
        <is>
          <t>Filled</t>
        </is>
      </c>
    </row>
    <row r="234" ht="18" customHeight="1" s="302">
      <c r="A234" s="314" t="n">
        <v>97425</v>
      </c>
      <c r="B234" s="239" t="inlineStr">
        <is>
          <t>Nischal Bhusal</t>
        </is>
      </c>
      <c r="C234" s="239" t="inlineStr">
        <is>
          <t>Cyber Security Analyst</t>
        </is>
      </c>
      <c r="D234" s="239" t="inlineStr">
        <is>
          <t>Steven Atcheson</t>
        </is>
      </c>
      <c r="E234" s="239" t="n"/>
      <c r="F234" s="239" t="inlineStr">
        <is>
          <t>Cyber, Risk &amp; Operations</t>
        </is>
      </c>
      <c r="G234" s="315" t="inlineStr">
        <is>
          <t>Cyber Sec Ops</t>
        </is>
      </c>
      <c r="H234" s="239" t="inlineStr">
        <is>
          <t>NA</t>
        </is>
      </c>
      <c r="I234" s="239" t="inlineStr">
        <is>
          <t>NA</t>
        </is>
      </c>
      <c r="J234" s="239" t="inlineStr">
        <is>
          <t>NA</t>
        </is>
      </c>
      <c r="K234" s="239" t="inlineStr">
        <is>
          <t>NA</t>
        </is>
      </c>
      <c r="L234" s="239" t="n"/>
      <c r="M234" s="316" t="inlineStr">
        <is>
          <t>Australia</t>
        </is>
      </c>
      <c r="N234" t="inlineStr">
        <is>
          <t>TDD Cyber</t>
        </is>
      </c>
      <c r="O234" t="inlineStr">
        <is>
          <t>TDD Cyber, Risk &amp; Service Ops</t>
        </is>
      </c>
      <c r="P234" t="inlineStr">
        <is>
          <t>TDD Cyber</t>
        </is>
      </c>
      <c r="Q234" t="inlineStr">
        <is>
          <t>Squad</t>
        </is>
      </c>
      <c r="R234" t="inlineStr">
        <is>
          <t>Filled</t>
        </is>
      </c>
    </row>
    <row r="235" ht="18" customHeight="1" s="302">
      <c r="A235" s="314" t="n">
        <v>99999101321</v>
      </c>
      <c r="B235" s="239" t="inlineStr">
        <is>
          <t>Sameer Pattanaik</t>
        </is>
      </c>
      <c r="C235" s="239" t="inlineStr">
        <is>
          <t>Cyber Security Operations Lead</t>
        </is>
      </c>
      <c r="D235" s="239" t="inlineStr">
        <is>
          <t>Steven Atcheson</t>
        </is>
      </c>
      <c r="E235" s="239" t="n"/>
      <c r="F235" s="239" t="inlineStr">
        <is>
          <t>Cyber, Risk &amp; Operations</t>
        </is>
      </c>
      <c r="G235" s="315" t="inlineStr">
        <is>
          <t>Cyber Sec Ops</t>
        </is>
      </c>
      <c r="H235" s="239" t="inlineStr">
        <is>
          <t>NA</t>
        </is>
      </c>
      <c r="I235" s="239" t="inlineStr">
        <is>
          <t>NA</t>
        </is>
      </c>
      <c r="J235" s="239" t="inlineStr">
        <is>
          <t>NA</t>
        </is>
      </c>
      <c r="K235" s="239" t="inlineStr">
        <is>
          <t>NA</t>
        </is>
      </c>
      <c r="L235" s="239" t="n"/>
      <c r="M235" s="316" t="inlineStr">
        <is>
          <t>NZ</t>
        </is>
      </c>
      <c r="N235" t="inlineStr">
        <is>
          <t>TDD Cyber</t>
        </is>
      </c>
      <c r="O235" t="inlineStr">
        <is>
          <t>TDD Cyber, Risk &amp; Service Ops</t>
        </is>
      </c>
      <c r="P235" t="inlineStr">
        <is>
          <t>TDD Cyber</t>
        </is>
      </c>
      <c r="Q235" t="inlineStr">
        <is>
          <t>Squad</t>
        </is>
      </c>
      <c r="R235" t="inlineStr">
        <is>
          <t>Filled</t>
        </is>
      </c>
    </row>
    <row r="236" ht="18" customHeight="1" s="302">
      <c r="A236" s="314" t="n">
        <v>98924</v>
      </c>
      <c r="B236" s="239" t="inlineStr">
        <is>
          <t>Dan Balsamo</t>
        </is>
      </c>
      <c r="C236" s="239" t="inlineStr">
        <is>
          <t>Senior Cyber Project Manager</t>
        </is>
      </c>
      <c r="D236" s="239" t="inlineStr">
        <is>
          <t>Vacant</t>
        </is>
      </c>
      <c r="E236" s="239" t="inlineStr">
        <is>
          <t xml:space="preserve">Head of Cyber Strategy &amp; Technology </t>
        </is>
      </c>
      <c r="F236" s="239" t="inlineStr">
        <is>
          <t>Cyber, Risk &amp; Operations</t>
        </is>
      </c>
      <c r="G236" s="315" t="inlineStr">
        <is>
          <t>Cyber Strat &amp; Tech</t>
        </is>
      </c>
      <c r="H236" s="239" t="inlineStr">
        <is>
          <t>NA</t>
        </is>
      </c>
      <c r="I236" s="239" t="inlineStr">
        <is>
          <t>NA</t>
        </is>
      </c>
      <c r="J236" s="239" t="inlineStr">
        <is>
          <t>NA</t>
        </is>
      </c>
      <c r="K236" s="239" t="inlineStr">
        <is>
          <t>NA</t>
        </is>
      </c>
      <c r="L236" s="239" t="n"/>
      <c r="M236" s="316" t="inlineStr">
        <is>
          <t>Australia</t>
        </is>
      </c>
      <c r="N236" t="inlineStr">
        <is>
          <t>TDD Cyber</t>
        </is>
      </c>
      <c r="O236" t="inlineStr">
        <is>
          <t>TDD Cyber, Risk &amp; Service Ops</t>
        </is>
      </c>
      <c r="P236" t="inlineStr">
        <is>
          <t>TDD Cyber</t>
        </is>
      </c>
      <c r="Q236" t="inlineStr">
        <is>
          <t>Squad</t>
        </is>
      </c>
      <c r="R236" t="inlineStr">
        <is>
          <t>Filled</t>
        </is>
      </c>
    </row>
    <row r="237" ht="18" customHeight="1" s="302">
      <c r="A237" s="314" t="n">
        <v>87951</v>
      </c>
      <c r="B237" s="239" t="inlineStr">
        <is>
          <t>Iwan Wibisono</t>
        </is>
      </c>
      <c r="C237" s="239" t="inlineStr">
        <is>
          <t>Engineer - IDAM</t>
        </is>
      </c>
      <c r="D237" s="239" t="inlineStr">
        <is>
          <t>Vacant</t>
        </is>
      </c>
      <c r="E237" s="239" t="inlineStr">
        <is>
          <t xml:space="preserve">Lead Service Desk </t>
        </is>
      </c>
      <c r="F237" s="239" t="inlineStr">
        <is>
          <t>Cyber, Risk &amp; Operations</t>
        </is>
      </c>
      <c r="G237" s="315" t="inlineStr">
        <is>
          <t>Cyber Strat &amp; Tech</t>
        </is>
      </c>
      <c r="H237" s="239" t="inlineStr">
        <is>
          <t>NA</t>
        </is>
      </c>
      <c r="I237" s="239" t="inlineStr">
        <is>
          <t>NA</t>
        </is>
      </c>
      <c r="J237" s="239" t="inlineStr">
        <is>
          <t>NA</t>
        </is>
      </c>
      <c r="K237" s="239" t="inlineStr">
        <is>
          <t>NA</t>
        </is>
      </c>
      <c r="L237" s="239" t="n"/>
      <c r="M237" s="316" t="inlineStr">
        <is>
          <t>Australia</t>
        </is>
      </c>
      <c r="N237" t="inlineStr">
        <is>
          <t>TDD Cyber</t>
        </is>
      </c>
      <c r="O237" t="inlineStr">
        <is>
          <t>TDD Cyber, Risk &amp; Service Ops</t>
        </is>
      </c>
      <c r="P237" t="inlineStr">
        <is>
          <t>TDD Cyber</t>
        </is>
      </c>
      <c r="Q237" t="inlineStr">
        <is>
          <t>Squad</t>
        </is>
      </c>
      <c r="R237" t="inlineStr">
        <is>
          <t>Filled</t>
        </is>
      </c>
    </row>
    <row r="238" ht="18" customHeight="1" s="302">
      <c r="A238" s="314" t="n">
        <v>108728</v>
      </c>
      <c r="B238" s="239" t="inlineStr">
        <is>
          <t>Remya Pookat</t>
        </is>
      </c>
      <c r="C238" s="239" t="inlineStr">
        <is>
          <t>Lead – Change &amp; Release Management</t>
        </is>
      </c>
      <c r="D238" s="239" t="inlineStr">
        <is>
          <t>Vacant</t>
        </is>
      </c>
      <c r="E238" s="239" t="inlineStr">
        <is>
          <t>Manager Cyber Security GRC</t>
        </is>
      </c>
      <c r="F238" s="239" t="inlineStr">
        <is>
          <t>Cyber, Risk &amp; Operations</t>
        </is>
      </c>
      <c r="G238" s="315" t="inlineStr">
        <is>
          <t>Service Op &amp; Assurance</t>
        </is>
      </c>
      <c r="H238" s="239" t="inlineStr">
        <is>
          <t>NA</t>
        </is>
      </c>
      <c r="I238" s="239" t="inlineStr">
        <is>
          <t>NA</t>
        </is>
      </c>
      <c r="J238" s="239" t="inlineStr">
        <is>
          <t>NA</t>
        </is>
      </c>
      <c r="K238" s="239" t="inlineStr">
        <is>
          <t>NA</t>
        </is>
      </c>
      <c r="L238" s="239" t="n"/>
      <c r="M238" s="316" t="inlineStr">
        <is>
          <t>Australia</t>
        </is>
      </c>
      <c r="N238" t="inlineStr">
        <is>
          <t>TDD Cyber</t>
        </is>
      </c>
      <c r="O238" t="inlineStr">
        <is>
          <t>TDD Cyber, Risk &amp; Service Ops</t>
        </is>
      </c>
      <c r="P238" t="inlineStr">
        <is>
          <t>TDD Cyber</t>
        </is>
      </c>
      <c r="Q238" t="inlineStr">
        <is>
          <t>Squad</t>
        </is>
      </c>
      <c r="R238" t="inlineStr">
        <is>
          <t>Filled</t>
        </is>
      </c>
    </row>
    <row r="239" ht="18" customHeight="1" s="302">
      <c r="A239" s="314" t="n">
        <v>113900</v>
      </c>
      <c r="B239" s="239" t="inlineStr">
        <is>
          <t>Mick Collins</t>
        </is>
      </c>
      <c r="C239" s="239" t="inlineStr">
        <is>
          <t>Manager, Service Performance &amp; Assurance</t>
        </is>
      </c>
      <c r="D239" s="239" t="inlineStr">
        <is>
          <t>Vacant</t>
        </is>
      </c>
      <c r="E239" s="239" t="n"/>
      <c r="F239" s="239" t="inlineStr">
        <is>
          <t>Cyber, Risk &amp; Operations</t>
        </is>
      </c>
      <c r="G239" s="315" t="inlineStr">
        <is>
          <t>Service Op &amp; Assurance</t>
        </is>
      </c>
      <c r="H239" s="239" t="inlineStr">
        <is>
          <t>NA</t>
        </is>
      </c>
      <c r="I239" s="239" t="inlineStr">
        <is>
          <t>NA</t>
        </is>
      </c>
      <c r="J239" s="239" t="inlineStr">
        <is>
          <t>NA</t>
        </is>
      </c>
      <c r="K239" s="239" t="inlineStr">
        <is>
          <t>NA</t>
        </is>
      </c>
      <c r="L239" s="239" t="n"/>
      <c r="M239" s="316" t="inlineStr">
        <is>
          <t>Australia</t>
        </is>
      </c>
      <c r="N239" t="inlineStr">
        <is>
          <t>TDD Cyber</t>
        </is>
      </c>
      <c r="O239" t="inlineStr">
        <is>
          <t>TDD Cyber, Risk &amp; Service Ops</t>
        </is>
      </c>
      <c r="P239" t="inlineStr">
        <is>
          <t>TDD Cyber</t>
        </is>
      </c>
      <c r="Q239" t="inlineStr">
        <is>
          <t>Squad</t>
        </is>
      </c>
      <c r="R239" t="inlineStr">
        <is>
          <t>Filled</t>
        </is>
      </c>
    </row>
    <row r="240" ht="18" customHeight="1" s="302">
      <c r="A240" s="314" t="n">
        <v>99999100770</v>
      </c>
      <c r="B240" s="239" t="inlineStr">
        <is>
          <t>Spoilagi Bhutwala</t>
        </is>
      </c>
      <c r="C240" s="239" t="inlineStr">
        <is>
          <t>Tech Support Technician</t>
        </is>
      </c>
      <c r="D240" s="239" t="inlineStr">
        <is>
          <t>Vacant</t>
        </is>
      </c>
      <c r="E240" s="239" t="inlineStr">
        <is>
          <t xml:space="preserve">Lead Technology Support </t>
        </is>
      </c>
      <c r="F240" s="239" t="inlineStr">
        <is>
          <t>Cyber, Risk &amp; Operations</t>
        </is>
      </c>
      <c r="G240" s="315" t="inlineStr">
        <is>
          <t>Service Op &amp; Assurance</t>
        </is>
      </c>
      <c r="H240" s="239" t="inlineStr">
        <is>
          <t>NA</t>
        </is>
      </c>
      <c r="I240" s="239" t="inlineStr">
        <is>
          <t>NA</t>
        </is>
      </c>
      <c r="J240" s="239" t="inlineStr">
        <is>
          <t>NA</t>
        </is>
      </c>
      <c r="K240" s="239" t="inlineStr">
        <is>
          <t>NA</t>
        </is>
      </c>
      <c r="L240" s="239" t="n"/>
      <c r="M240" s="316" t="inlineStr">
        <is>
          <t>NZ</t>
        </is>
      </c>
      <c r="N240" t="inlineStr">
        <is>
          <t>TDD Cyber</t>
        </is>
      </c>
      <c r="O240" t="inlineStr">
        <is>
          <t>TDD Cyber, Risk &amp; Service Ops</t>
        </is>
      </c>
      <c r="P240" t="inlineStr">
        <is>
          <t>TDD Cyber</t>
        </is>
      </c>
      <c r="Q240" t="inlineStr">
        <is>
          <t>Squad</t>
        </is>
      </c>
      <c r="R240" t="inlineStr">
        <is>
          <t>Filled</t>
        </is>
      </c>
    </row>
    <row r="241" ht="18" customHeight="1" s="302">
      <c r="A241" s="314" t="n">
        <v>99999101346</v>
      </c>
      <c r="B241" s="239" t="inlineStr">
        <is>
          <t>Shomiya Shayal</t>
        </is>
      </c>
      <c r="C241" s="239" t="inlineStr">
        <is>
          <t>Risk &amp; Resilience Lead</t>
        </is>
      </c>
      <c r="D241" s="239" t="inlineStr">
        <is>
          <t>Vacant</t>
        </is>
      </c>
      <c r="E241" s="239" t="inlineStr">
        <is>
          <t xml:space="preserve">Manager Risk &amp; Resilience </t>
        </is>
      </c>
      <c r="F241" s="239" t="inlineStr">
        <is>
          <t>Cyber, Risk &amp; Operations</t>
        </is>
      </c>
      <c r="G241" s="315" t="inlineStr">
        <is>
          <t>Cyber Risk</t>
        </is>
      </c>
      <c r="H241" s="239" t="inlineStr">
        <is>
          <t>NA</t>
        </is>
      </c>
      <c r="I241" s="239" t="inlineStr">
        <is>
          <t>NA</t>
        </is>
      </c>
      <c r="J241" s="239" t="inlineStr">
        <is>
          <t>NA</t>
        </is>
      </c>
      <c r="K241" s="239" t="inlineStr">
        <is>
          <t>NA</t>
        </is>
      </c>
      <c r="L241" s="239" t="n"/>
      <c r="M241" s="316" t="inlineStr">
        <is>
          <t>NZ</t>
        </is>
      </c>
      <c r="N241" t="inlineStr">
        <is>
          <t>TDD Cyber</t>
        </is>
      </c>
      <c r="O241" t="inlineStr">
        <is>
          <t>TDD Cyber, Risk &amp; Service Ops</t>
        </is>
      </c>
      <c r="P241" t="inlineStr">
        <is>
          <t>TDD Cyber</t>
        </is>
      </c>
      <c r="Q241" t="inlineStr">
        <is>
          <t>Squad</t>
        </is>
      </c>
      <c r="R241" t="inlineStr">
        <is>
          <t>Filled</t>
        </is>
      </c>
    </row>
    <row r="242" ht="18" customHeight="1" s="302">
      <c r="A242" s="314" t="n"/>
      <c r="B242" s="239" t="inlineStr">
        <is>
          <t>Vacant</t>
        </is>
      </c>
      <c r="C242" s="239" t="inlineStr">
        <is>
          <t>Operations Analyst</t>
        </is>
      </c>
      <c r="D242" s="239" t="inlineStr">
        <is>
          <t>Vacant</t>
        </is>
      </c>
      <c r="E242" s="239" t="inlineStr">
        <is>
          <t>Cyber Architecture Lead</t>
        </is>
      </c>
      <c r="F242" s="239" t="inlineStr">
        <is>
          <t>Cyber, Risk &amp; Operations</t>
        </is>
      </c>
      <c r="G242" s="315" t="inlineStr">
        <is>
          <t>Service Op &amp; Assurance</t>
        </is>
      </c>
      <c r="H242" s="239" t="inlineStr">
        <is>
          <t>NA</t>
        </is>
      </c>
      <c r="I242" s="239" t="inlineStr">
        <is>
          <t>NA</t>
        </is>
      </c>
      <c r="J242" s="239" t="inlineStr">
        <is>
          <t>NA</t>
        </is>
      </c>
      <c r="K242" s="239" t="inlineStr">
        <is>
          <t>NA</t>
        </is>
      </c>
      <c r="L242" s="239" t="n"/>
      <c r="M242" s="316" t="n"/>
      <c r="N242" t="inlineStr">
        <is>
          <t>TDD Cyber</t>
        </is>
      </c>
      <c r="O242" t="inlineStr">
        <is>
          <t>TDD Cyber, Risk &amp; Service Ops</t>
        </is>
      </c>
      <c r="P242" t="inlineStr">
        <is>
          <t>TDD Cyber</t>
        </is>
      </c>
      <c r="Q242" t="inlineStr">
        <is>
          <t>Squad</t>
        </is>
      </c>
      <c r="R242" t="inlineStr">
        <is>
          <t>Vacant</t>
        </is>
      </c>
    </row>
    <row r="243" ht="18" customHeight="1" s="302">
      <c r="A243" s="314" t="n">
        <v>90096</v>
      </c>
      <c r="B243" s="239" t="inlineStr">
        <is>
          <t>Mary-Grace Rivera</t>
        </is>
      </c>
      <c r="C243" s="239" t="inlineStr">
        <is>
          <t>Lead, Service Management</t>
        </is>
      </c>
      <c r="D243" s="343" t="inlineStr">
        <is>
          <t>Vacant</t>
        </is>
      </c>
      <c r="E243" s="239" t="inlineStr">
        <is>
          <t>Darren Koller</t>
        </is>
      </c>
      <c r="F243" s="239" t="inlineStr">
        <is>
          <t>Cyber, Risk &amp; Operations</t>
        </is>
      </c>
      <c r="G243" s="315" t="inlineStr">
        <is>
          <t>Service Op &amp; Assurance</t>
        </is>
      </c>
      <c r="H243" s="239" t="inlineStr">
        <is>
          <t>NA</t>
        </is>
      </c>
      <c r="I243" s="239" t="inlineStr">
        <is>
          <t>NA</t>
        </is>
      </c>
      <c r="J243" s="239" t="inlineStr">
        <is>
          <t>NA</t>
        </is>
      </c>
      <c r="K243" s="239" t="inlineStr">
        <is>
          <t>NA</t>
        </is>
      </c>
      <c r="L243" s="239" t="n"/>
      <c r="M243" s="316" t="inlineStr">
        <is>
          <t>Australia</t>
        </is>
      </c>
      <c r="N243" t="inlineStr">
        <is>
          <t>TDD Cyber</t>
        </is>
      </c>
      <c r="O243" t="inlineStr">
        <is>
          <t>TDD Cyber, Risk &amp; Service Ops</t>
        </is>
      </c>
      <c r="P243" t="inlineStr">
        <is>
          <t>TDD Cyber</t>
        </is>
      </c>
      <c r="Q243" t="inlineStr">
        <is>
          <t>Squad</t>
        </is>
      </c>
      <c r="R243" t="inlineStr">
        <is>
          <t>Filled</t>
        </is>
      </c>
    </row>
    <row r="244" ht="18" customHeight="1" s="302">
      <c r="A244" s="314" t="n">
        <v>105647</v>
      </c>
      <c r="B244" s="239" t="inlineStr">
        <is>
          <t>Rajini Onteddu Reddy</t>
        </is>
      </c>
      <c r="C244" s="239" t="inlineStr">
        <is>
          <t>Head of Service Operations &amp; Assurance</t>
        </is>
      </c>
      <c r="D244" s="239" t="inlineStr">
        <is>
          <t>Vacant</t>
        </is>
      </c>
      <c r="E244" s="239" t="inlineStr">
        <is>
          <t xml:space="preserve">Manager Service Management &amp; Major Incident Management Lead </t>
        </is>
      </c>
      <c r="F244" s="239" t="inlineStr">
        <is>
          <t>Cyber, Risk &amp; Operations</t>
        </is>
      </c>
      <c r="G244" s="315" t="inlineStr">
        <is>
          <t>Service Op &amp; Assurance</t>
        </is>
      </c>
      <c r="H244" s="239" t="inlineStr">
        <is>
          <t>NA</t>
        </is>
      </c>
      <c r="I244" s="239" t="inlineStr">
        <is>
          <t>NA</t>
        </is>
      </c>
      <c r="J244" s="239" t="inlineStr">
        <is>
          <t>NA</t>
        </is>
      </c>
      <c r="K244" s="239" t="inlineStr">
        <is>
          <t>NA</t>
        </is>
      </c>
      <c r="L244" s="239" t="n"/>
      <c r="M244" s="316" t="inlineStr">
        <is>
          <t>Australia</t>
        </is>
      </c>
      <c r="N244" t="inlineStr">
        <is>
          <t>TDD Cyber</t>
        </is>
      </c>
      <c r="O244" t="inlineStr">
        <is>
          <t>TDD Cyber, Risk &amp; Service Ops</t>
        </is>
      </c>
      <c r="P244" t="inlineStr">
        <is>
          <t>TDD Cyber</t>
        </is>
      </c>
      <c r="Q244" t="inlineStr">
        <is>
          <t>Squad</t>
        </is>
      </c>
      <c r="R244" t="inlineStr">
        <is>
          <t>Filled</t>
        </is>
      </c>
    </row>
    <row r="245" ht="18" customHeight="1" s="302">
      <c r="A245" s="314" t="n">
        <v>106511</v>
      </c>
      <c r="B245" s="239" t="inlineStr">
        <is>
          <t>Catherine Gire</t>
        </is>
      </c>
      <c r="C245" s="239" t="inlineStr">
        <is>
          <t>Cyber Technical Business Analyst</t>
        </is>
      </c>
      <c r="D245" s="239" t="inlineStr">
        <is>
          <t>Vacant</t>
        </is>
      </c>
      <c r="E245" s="239" t="inlineStr">
        <is>
          <t xml:space="preserve">Portfolio Manger Cyber Security </t>
        </is>
      </c>
      <c r="F245" s="239" t="inlineStr">
        <is>
          <t>Cyber, Risk &amp; Operations</t>
        </is>
      </c>
      <c r="G245" s="315" t="inlineStr">
        <is>
          <t>Cyber Strat &amp; Tech</t>
        </is>
      </c>
      <c r="H245" s="239" t="inlineStr">
        <is>
          <t>Cyber Security Uplift Program</t>
        </is>
      </c>
      <c r="I245" s="239" t="inlineStr">
        <is>
          <t>NA</t>
        </is>
      </c>
      <c r="J245" s="239" t="inlineStr">
        <is>
          <t>NA</t>
        </is>
      </c>
      <c r="K245" s="239" t="inlineStr">
        <is>
          <t>NA</t>
        </is>
      </c>
      <c r="L245" s="239" t="n"/>
      <c r="M245" s="316" t="inlineStr">
        <is>
          <t>Australia</t>
        </is>
      </c>
      <c r="N245" t="inlineStr">
        <is>
          <t>TDD Cyber</t>
        </is>
      </c>
      <c r="O245" t="inlineStr">
        <is>
          <t>TDD Cyber, Risk &amp; Service Ops</t>
        </is>
      </c>
      <c r="P245" t="inlineStr">
        <is>
          <t>TDD Cyber</t>
        </is>
      </c>
      <c r="Q245" t="inlineStr">
        <is>
          <t>Squad</t>
        </is>
      </c>
      <c r="R245" t="inlineStr">
        <is>
          <t>Filled</t>
        </is>
      </c>
    </row>
    <row r="246" ht="18" customHeight="1" s="302">
      <c r="A246" s="314" t="n">
        <v>99999102157</v>
      </c>
      <c r="B246" s="239" t="inlineStr">
        <is>
          <t>Ethan Lamhert (FT)</t>
        </is>
      </c>
      <c r="C246" s="239" t="inlineStr">
        <is>
          <t>Tech Support Technician</t>
        </is>
      </c>
      <c r="D246" s="239" t="inlineStr">
        <is>
          <t>Vacant</t>
        </is>
      </c>
      <c r="E246" s="239" t="inlineStr">
        <is>
          <t xml:space="preserve">Lead Technology Support </t>
        </is>
      </c>
      <c r="F246" s="239" t="inlineStr">
        <is>
          <t>Cyber, Risk &amp; Operations</t>
        </is>
      </c>
      <c r="G246" s="315" t="inlineStr">
        <is>
          <t>Service Op &amp; Assurance</t>
        </is>
      </c>
      <c r="H246" s="239" t="inlineStr">
        <is>
          <t>NA</t>
        </is>
      </c>
      <c r="I246" s="239" t="inlineStr">
        <is>
          <t>NA</t>
        </is>
      </c>
      <c r="J246" s="239" t="inlineStr">
        <is>
          <t>NA</t>
        </is>
      </c>
      <c r="K246" s="239" t="inlineStr">
        <is>
          <t>NA</t>
        </is>
      </c>
      <c r="L246" s="239" t="n"/>
      <c r="M246" s="316" t="inlineStr">
        <is>
          <t>NZ</t>
        </is>
      </c>
      <c r="N246" t="inlineStr">
        <is>
          <t>TDD Cyber</t>
        </is>
      </c>
      <c r="O246" t="inlineStr">
        <is>
          <t>TDD Cyber, Risk &amp; Service Ops</t>
        </is>
      </c>
      <c r="P246" t="inlineStr">
        <is>
          <t>TDD Cyber</t>
        </is>
      </c>
      <c r="Q246" t="inlineStr">
        <is>
          <t>Squad</t>
        </is>
      </c>
      <c r="R246" t="inlineStr">
        <is>
          <t>Filled</t>
        </is>
      </c>
    </row>
    <row r="247" ht="18" customHeight="1" s="302">
      <c r="A247" s="314" t="n"/>
      <c r="B247" s="239" t="inlineStr">
        <is>
          <t>Vacant  (AKL )</t>
        </is>
      </c>
      <c r="C247" s="239" t="inlineStr">
        <is>
          <t>Tech Support Technician</t>
        </is>
      </c>
      <c r="D247" s="239" t="inlineStr">
        <is>
          <t>Vacant</t>
        </is>
      </c>
      <c r="E247" s="239" t="n"/>
      <c r="F247" s="239" t="inlineStr">
        <is>
          <t>Cyber, Risk &amp; Operations</t>
        </is>
      </c>
      <c r="G247" s="315" t="inlineStr">
        <is>
          <t>Service Op &amp; Assurance</t>
        </is>
      </c>
      <c r="H247" s="239" t="inlineStr">
        <is>
          <t>NA</t>
        </is>
      </c>
      <c r="I247" s="239" t="inlineStr">
        <is>
          <t>NA</t>
        </is>
      </c>
      <c r="J247" s="239" t="inlineStr">
        <is>
          <t>NA</t>
        </is>
      </c>
      <c r="K247" s="239" t="inlineStr">
        <is>
          <t>NA</t>
        </is>
      </c>
      <c r="L247" s="239" t="n"/>
      <c r="M247" s="316" t="n"/>
      <c r="N247" t="inlineStr">
        <is>
          <t>TDD Cyber</t>
        </is>
      </c>
      <c r="O247" t="inlineStr">
        <is>
          <t>TDD Cyber, Risk &amp; Service Ops</t>
        </is>
      </c>
      <c r="P247" t="inlineStr">
        <is>
          <t>TDD Cyber</t>
        </is>
      </c>
      <c r="Q247" t="inlineStr">
        <is>
          <t>Squad</t>
        </is>
      </c>
      <c r="R247" t="inlineStr">
        <is>
          <t>Filled</t>
        </is>
      </c>
    </row>
    <row r="248" ht="18" customHeight="1" s="302">
      <c r="A248" s="314" t="n">
        <v>110204</v>
      </c>
      <c r="B248" s="239" t="inlineStr">
        <is>
          <t>Daniel Jolley</t>
        </is>
      </c>
      <c r="C248" s="239" t="inlineStr">
        <is>
          <t>Tech Support Technician</t>
        </is>
      </c>
      <c r="D248" s="239" t="inlineStr">
        <is>
          <t>Vacant</t>
        </is>
      </c>
      <c r="E248" s="239" t="inlineStr">
        <is>
          <t xml:space="preserve">Lead Technology Support </t>
        </is>
      </c>
      <c r="F248" s="239" t="inlineStr">
        <is>
          <t>Cyber, Risk &amp; Operations</t>
        </is>
      </c>
      <c r="G248" s="315" t="inlineStr">
        <is>
          <t>Service Op &amp; Assurance</t>
        </is>
      </c>
      <c r="H248" s="239" t="inlineStr">
        <is>
          <t>NA</t>
        </is>
      </c>
      <c r="I248" s="239" t="inlineStr">
        <is>
          <t>NA</t>
        </is>
      </c>
      <c r="J248" s="239" t="inlineStr">
        <is>
          <t>NA</t>
        </is>
      </c>
      <c r="K248" s="239" t="inlineStr">
        <is>
          <t>NA</t>
        </is>
      </c>
      <c r="L248" s="239" t="n"/>
      <c r="M248" s="316" t="inlineStr">
        <is>
          <t>Australia</t>
        </is>
      </c>
      <c r="N248" t="inlineStr">
        <is>
          <t>TDD Cyber</t>
        </is>
      </c>
      <c r="O248" t="inlineStr">
        <is>
          <t>TDD Cyber, Risk &amp; Service Ops</t>
        </is>
      </c>
      <c r="P248" t="inlineStr">
        <is>
          <t>TDD Cyber</t>
        </is>
      </c>
      <c r="Q248" t="inlineStr">
        <is>
          <t>Squad</t>
        </is>
      </c>
      <c r="R248" t="inlineStr">
        <is>
          <t>Filled</t>
        </is>
      </c>
    </row>
    <row r="249" ht="18" customHeight="1" s="302">
      <c r="A249" s="314" t="n"/>
      <c r="B249" s="239" t="inlineStr">
        <is>
          <t xml:space="preserve">Vacant </t>
        </is>
      </c>
      <c r="C249" s="239" t="inlineStr">
        <is>
          <t>Data Risk Analyst</t>
        </is>
      </c>
      <c r="D249" s="239" t="inlineStr">
        <is>
          <t>Vacant</t>
        </is>
      </c>
      <c r="E249" s="239" t="n"/>
      <c r="F249" s="239" t="inlineStr">
        <is>
          <t>Cyber, Risk &amp; Operations</t>
        </is>
      </c>
      <c r="G249" s="315" t="inlineStr">
        <is>
          <t>Cyber Risk</t>
        </is>
      </c>
      <c r="H249" s="239" t="inlineStr">
        <is>
          <t>NA</t>
        </is>
      </c>
      <c r="I249" s="239" t="inlineStr">
        <is>
          <t>NA</t>
        </is>
      </c>
      <c r="J249" s="239" t="inlineStr">
        <is>
          <t>NA</t>
        </is>
      </c>
      <c r="K249" s="239" t="inlineStr">
        <is>
          <t>NA</t>
        </is>
      </c>
      <c r="L249" s="239" t="n"/>
      <c r="M249" s="316" t="n"/>
      <c r="N249" t="inlineStr">
        <is>
          <t>TDD Cyber</t>
        </is>
      </c>
      <c r="O249" t="inlineStr">
        <is>
          <t>TDD Cyber, Risk &amp; Service Ops</t>
        </is>
      </c>
      <c r="P249" t="inlineStr">
        <is>
          <t>TDD Cyber</t>
        </is>
      </c>
      <c r="Q249" t="inlineStr">
        <is>
          <t>Squad</t>
        </is>
      </c>
      <c r="R249" t="inlineStr">
        <is>
          <t>Vacant</t>
        </is>
      </c>
    </row>
    <row r="250" ht="18" customHeight="1" s="302">
      <c r="A250" s="314" t="n">
        <v>84274</v>
      </c>
      <c r="B250" s="239" t="inlineStr">
        <is>
          <t>Chris Rojas</t>
        </is>
      </c>
      <c r="C250" s="239" t="inlineStr">
        <is>
          <t>Manager, Customer Support Operations</t>
        </is>
      </c>
      <c r="D250" s="239" t="inlineStr">
        <is>
          <t>Vacant</t>
        </is>
      </c>
      <c r="E250" s="239" t="inlineStr">
        <is>
          <t xml:space="preserve">Manager Cyber Security Operations </t>
        </is>
      </c>
      <c r="F250" s="239" t="inlineStr">
        <is>
          <t>Cyber, Risk &amp; Operations</t>
        </is>
      </c>
      <c r="G250" s="315" t="inlineStr">
        <is>
          <t>Service Op &amp; Assurance</t>
        </is>
      </c>
      <c r="H250" s="239" t="inlineStr">
        <is>
          <t>NA</t>
        </is>
      </c>
      <c r="I250" s="239" t="inlineStr">
        <is>
          <t>NA</t>
        </is>
      </c>
      <c r="J250" s="239" t="inlineStr">
        <is>
          <t>NA</t>
        </is>
      </c>
      <c r="K250" s="239" t="inlineStr">
        <is>
          <t>NA</t>
        </is>
      </c>
      <c r="L250" s="239" t="n"/>
      <c r="M250" s="316" t="inlineStr">
        <is>
          <t>Australia</t>
        </is>
      </c>
      <c r="N250" t="inlineStr">
        <is>
          <t>TDD Cyber</t>
        </is>
      </c>
      <c r="O250" t="inlineStr">
        <is>
          <t>TDD Cyber, Risk &amp; Service Ops</t>
        </is>
      </c>
      <c r="P250" t="inlineStr">
        <is>
          <t>TDD Cyber</t>
        </is>
      </c>
      <c r="Q250" t="inlineStr">
        <is>
          <t>Squad</t>
        </is>
      </c>
      <c r="R250" t="inlineStr">
        <is>
          <t>Filled</t>
        </is>
      </c>
    </row>
    <row r="251" ht="18" customHeight="1" s="302">
      <c r="A251" s="314" t="n">
        <v>101504</v>
      </c>
      <c r="B251" s="239" t="inlineStr">
        <is>
          <t>Steven Atcheson</t>
        </is>
      </c>
      <c r="C251" s="239" t="inlineStr">
        <is>
          <t>Manager Cyber Security Operations</t>
        </is>
      </c>
      <c r="D251" s="239" t="inlineStr">
        <is>
          <t>Vacant</t>
        </is>
      </c>
      <c r="E251" s="239" t="inlineStr">
        <is>
          <t xml:space="preserve">Manager, Risk &amp; Resilience </t>
        </is>
      </c>
      <c r="F251" s="239" t="inlineStr">
        <is>
          <t>Cyber, Risk &amp; Operations</t>
        </is>
      </c>
      <c r="G251" s="315" t="inlineStr">
        <is>
          <t>Cyber Sec Ops</t>
        </is>
      </c>
      <c r="H251" s="239" t="inlineStr">
        <is>
          <t>NA</t>
        </is>
      </c>
      <c r="I251" s="239" t="inlineStr">
        <is>
          <t>NA</t>
        </is>
      </c>
      <c r="J251" s="239" t="inlineStr">
        <is>
          <t>NA</t>
        </is>
      </c>
      <c r="K251" s="239" t="inlineStr">
        <is>
          <t>NA</t>
        </is>
      </c>
      <c r="L251" s="239" t="n"/>
      <c r="M251" s="316" t="inlineStr">
        <is>
          <t>Australia</t>
        </is>
      </c>
      <c r="N251" t="inlineStr">
        <is>
          <t>TDD Cyber</t>
        </is>
      </c>
      <c r="O251" t="inlineStr">
        <is>
          <t>TDD Cyber, Risk &amp; Service Ops</t>
        </is>
      </c>
      <c r="P251" t="inlineStr">
        <is>
          <t>TDD Cyber</t>
        </is>
      </c>
      <c r="Q251" t="inlineStr">
        <is>
          <t>Squad</t>
        </is>
      </c>
      <c r="R251" t="inlineStr">
        <is>
          <t>Filled</t>
        </is>
      </c>
    </row>
    <row r="252" ht="18" customHeight="1" s="302">
      <c r="A252" s="314" t="n">
        <v>104805</v>
      </c>
      <c r="B252" s="239" t="inlineStr">
        <is>
          <t>Shruti Manchanda</t>
        </is>
      </c>
      <c r="C252" s="239" t="inlineStr">
        <is>
          <t>Cyber GRC Analyst</t>
        </is>
      </c>
      <c r="D252" s="239" t="inlineStr">
        <is>
          <t>Vacant</t>
        </is>
      </c>
      <c r="E252" s="239" t="n"/>
      <c r="F252" s="239" t="inlineStr">
        <is>
          <t>Cyber, Risk &amp; Operations</t>
        </is>
      </c>
      <c r="G252" s="315" t="inlineStr">
        <is>
          <t>Cyber GRC</t>
        </is>
      </c>
      <c r="H252" s="239" t="inlineStr">
        <is>
          <t>Technology, Trading &amp; Shipping</t>
        </is>
      </c>
      <c r="I252" s="239" t="inlineStr">
        <is>
          <t>NA</t>
        </is>
      </c>
      <c r="J252" s="239" t="inlineStr">
        <is>
          <t>Leadership</t>
        </is>
      </c>
      <c r="K252" s="239" t="inlineStr">
        <is>
          <t>Leadership</t>
        </is>
      </c>
      <c r="L252" s="239" t="n"/>
      <c r="M252" s="316" t="inlineStr">
        <is>
          <t>Australia</t>
        </is>
      </c>
      <c r="N252" t="inlineStr">
        <is>
          <t>Unmapped</t>
        </is>
      </c>
      <c r="O252" t="inlineStr">
        <is>
          <t>Leadership</t>
        </is>
      </c>
      <c r="P252" t="inlineStr">
        <is>
          <t>Leadership</t>
        </is>
      </c>
      <c r="Q252" t="inlineStr">
        <is>
          <t>Leadership</t>
        </is>
      </c>
      <c r="R252" t="inlineStr">
        <is>
          <t>Filled</t>
        </is>
      </c>
    </row>
    <row r="253" ht="18" customHeight="1" s="302">
      <c r="A253" s="314" t="n"/>
      <c r="B253" s="239" t="inlineStr">
        <is>
          <t>Vacant</t>
        </is>
      </c>
      <c r="C253" s="239" t="inlineStr">
        <is>
          <t>Lead – Service Performance &amp; Insights</t>
        </is>
      </c>
      <c r="D253" s="239" t="inlineStr">
        <is>
          <t>Vacant</t>
        </is>
      </c>
      <c r="E253" s="239" t="inlineStr">
        <is>
          <t xml:space="preserve">Manager Identity &amp; Access Management </t>
        </is>
      </c>
      <c r="F253" s="239" t="inlineStr">
        <is>
          <t>Cyber, Risk &amp; Operations</t>
        </is>
      </c>
      <c r="G253" s="315" t="inlineStr">
        <is>
          <t>Service Op &amp; Assurance</t>
        </is>
      </c>
      <c r="H253" s="239" t="inlineStr">
        <is>
          <t>NA</t>
        </is>
      </c>
      <c r="I253" s="239" t="inlineStr">
        <is>
          <t>NA</t>
        </is>
      </c>
      <c r="J253" s="239" t="inlineStr">
        <is>
          <t>NA</t>
        </is>
      </c>
      <c r="K253" s="239" t="inlineStr">
        <is>
          <t>NA</t>
        </is>
      </c>
      <c r="L253" s="239" t="n"/>
      <c r="M253" s="316" t="n"/>
      <c r="N253" t="inlineStr">
        <is>
          <t>TDD Cyber</t>
        </is>
      </c>
      <c r="O253" t="inlineStr">
        <is>
          <t>TDD Cyber, Risk &amp; Service Ops</t>
        </is>
      </c>
      <c r="P253" t="inlineStr">
        <is>
          <t>TDD Cyber</t>
        </is>
      </c>
      <c r="Q253" t="inlineStr">
        <is>
          <t>Squad</t>
        </is>
      </c>
      <c r="R253" t="inlineStr">
        <is>
          <t>Vacant</t>
        </is>
      </c>
    </row>
    <row r="254" ht="18" customHeight="1" s="302">
      <c r="A254" s="314" t="n">
        <v>114383</v>
      </c>
      <c r="B254" s="239" t="inlineStr">
        <is>
          <t>Tony Keeler</t>
        </is>
      </c>
      <c r="C254" s="239" t="inlineStr">
        <is>
          <t>Cyber Business Analyst</t>
        </is>
      </c>
      <c r="D254" s="239" t="inlineStr">
        <is>
          <t>Vivienne Vasak</t>
        </is>
      </c>
      <c r="E254" s="239" t="inlineStr">
        <is>
          <t xml:space="preserve">Portfolio Manger Cyber Security </t>
        </is>
      </c>
      <c r="F254" s="239" t="inlineStr">
        <is>
          <t>Cyber, Risk &amp; Operations</t>
        </is>
      </c>
      <c r="G254" s="315" t="inlineStr">
        <is>
          <t>Cyber Strat &amp; Tech</t>
        </is>
      </c>
      <c r="H254" s="239" t="inlineStr">
        <is>
          <t>NA</t>
        </is>
      </c>
      <c r="I254" s="239" t="inlineStr">
        <is>
          <t>NA</t>
        </is>
      </c>
      <c r="J254" s="239" t="inlineStr">
        <is>
          <t>NA</t>
        </is>
      </c>
      <c r="K254" s="239" t="inlineStr">
        <is>
          <t>NA</t>
        </is>
      </c>
      <c r="L254" s="239" t="n"/>
      <c r="M254" s="316" t="inlineStr">
        <is>
          <t>Australia</t>
        </is>
      </c>
      <c r="N254" t="inlineStr">
        <is>
          <t>TDD Cyber</t>
        </is>
      </c>
      <c r="O254" t="inlineStr">
        <is>
          <t>TDD Cyber, Risk &amp; Service Ops</t>
        </is>
      </c>
      <c r="P254" t="inlineStr">
        <is>
          <t>TDD Cyber</t>
        </is>
      </c>
      <c r="Q254" t="inlineStr">
        <is>
          <t>Squad</t>
        </is>
      </c>
      <c r="R254" t="inlineStr">
        <is>
          <t>Filled</t>
        </is>
      </c>
    </row>
    <row r="255" ht="18" customHeight="1" s="302">
      <c r="A255" s="314" t="n">
        <v>0</v>
      </c>
      <c r="B255" s="239" t="inlineStr">
        <is>
          <t>Niall Greene</t>
        </is>
      </c>
      <c r="C255" s="239" t="inlineStr">
        <is>
          <t>Project Manager (PEP13-EGI-UKG)</t>
        </is>
      </c>
      <c r="D255" s="327" t="inlineStr">
        <is>
          <t>Vacant</t>
        </is>
      </c>
      <c r="E255" s="239" t="n"/>
      <c r="F255" s="239" t="inlineStr">
        <is>
          <t>EGI</t>
        </is>
      </c>
      <c r="G255" s="315" t="n"/>
      <c r="H255" s="239" t="n"/>
      <c r="I255" s="239" t="inlineStr">
        <is>
          <t>EGI</t>
        </is>
      </c>
      <c r="J255" s="315" t="inlineStr">
        <is>
          <t>EGI</t>
        </is>
      </c>
      <c r="K255" s="239" t="inlineStr">
        <is>
          <t>EGI</t>
        </is>
      </c>
      <c r="L255" s="315" t="n"/>
      <c r="M255" s="316" t="n">
        <v>0</v>
      </c>
      <c r="N255" t="inlineStr">
        <is>
          <t>EGI</t>
        </is>
      </c>
      <c r="O255" t="inlineStr">
        <is>
          <t>EGI</t>
        </is>
      </c>
      <c r="P255" t="inlineStr">
        <is>
          <t>EGI (unassigned)</t>
        </is>
      </c>
      <c r="Q255" t="inlineStr">
        <is>
          <t>Unmapped</t>
        </is>
      </c>
      <c r="R255" t="inlineStr">
        <is>
          <t>Filled</t>
        </is>
      </c>
    </row>
    <row r="256" ht="18" customHeight="1" s="302">
      <c r="A256" s="314" t="n">
        <v>0</v>
      </c>
      <c r="B256" s="239" t="inlineStr">
        <is>
          <t>Winnie Fernandes</t>
        </is>
      </c>
      <c r="C256" s="239" t="inlineStr">
        <is>
          <t>Delivery Lead</t>
        </is>
      </c>
      <c r="D256" s="239" t="inlineStr">
        <is>
          <t>Vacant</t>
        </is>
      </c>
      <c r="E256" s="239" t="n"/>
      <c r="F256" s="239" t="inlineStr">
        <is>
          <t>EGI</t>
        </is>
      </c>
      <c r="G256" s="315" t="n"/>
      <c r="H256" s="239" t="n"/>
      <c r="I256" s="239" t="inlineStr">
        <is>
          <t>EGI</t>
        </is>
      </c>
      <c r="J256" s="315" t="inlineStr">
        <is>
          <t>EGI</t>
        </is>
      </c>
      <c r="K256" s="239" t="inlineStr">
        <is>
          <t>EGI</t>
        </is>
      </c>
      <c r="L256" s="315" t="n"/>
      <c r="M256" s="316" t="n">
        <v>0</v>
      </c>
      <c r="N256" t="inlineStr">
        <is>
          <t>EGI</t>
        </is>
      </c>
      <c r="O256" t="inlineStr">
        <is>
          <t>EGI</t>
        </is>
      </c>
      <c r="P256" t="inlineStr">
        <is>
          <t>EGI (unassigned)</t>
        </is>
      </c>
      <c r="Q256" t="inlineStr">
        <is>
          <t>Unmapped</t>
        </is>
      </c>
      <c r="R256" t="inlineStr">
        <is>
          <t>Filled</t>
        </is>
      </c>
    </row>
    <row r="257" ht="18" customHeight="1" s="302">
      <c r="A257" s="314" t="n">
        <v>0</v>
      </c>
      <c r="B257" s="239" t="inlineStr">
        <is>
          <t>Areum Kim Lee</t>
        </is>
      </c>
      <c r="C257" s="239" t="inlineStr">
        <is>
          <t>Program Manager (PEP13-EGI-UKG)</t>
        </is>
      </c>
      <c r="D257" s="239" t="n"/>
      <c r="E257" s="239" t="n"/>
      <c r="F257" s="239" t="inlineStr">
        <is>
          <t>EGI</t>
        </is>
      </c>
      <c r="G257" s="315" t="n"/>
      <c r="H257" s="239" t="n"/>
      <c r="I257" s="239" t="inlineStr">
        <is>
          <t>EGI</t>
        </is>
      </c>
      <c r="J257" s="315" t="inlineStr">
        <is>
          <t>EGI</t>
        </is>
      </c>
      <c r="K257" s="239" t="inlineStr">
        <is>
          <t>EGI</t>
        </is>
      </c>
      <c r="L257" s="315" t="n"/>
      <c r="M257" s="316" t="n">
        <v>0</v>
      </c>
      <c r="N257" t="inlineStr">
        <is>
          <t>EGI</t>
        </is>
      </c>
      <c r="O257" t="inlineStr">
        <is>
          <t>EGI</t>
        </is>
      </c>
      <c r="P257" t="inlineStr">
        <is>
          <t>EGI (unassigned)</t>
        </is>
      </c>
      <c r="Q257" t="inlineStr">
        <is>
          <t>Unmapped</t>
        </is>
      </c>
      <c r="R257" t="inlineStr">
        <is>
          <t>Filled</t>
        </is>
      </c>
    </row>
    <row r="258" ht="18" customHeight="1" s="302">
      <c r="A258" s="314" t="n">
        <v>113935</v>
      </c>
      <c r="B258" s="239" t="inlineStr">
        <is>
          <t>Thomas Reid</t>
        </is>
      </c>
      <c r="C258" s="239" t="inlineStr">
        <is>
          <t>TDD BP - Retail &amp; Customer - Store Digital</t>
        </is>
      </c>
      <c r="D258" s="239" t="inlineStr">
        <is>
          <t>Michael Schofield</t>
        </is>
      </c>
      <c r="E258" s="239" t="inlineStr">
        <is>
          <t>GM TDD, Partnering &amp; Transformation</t>
        </is>
      </c>
      <c r="F258" s="239" t="inlineStr">
        <is>
          <t>Partnering &amp; Transformation</t>
        </is>
      </c>
      <c r="G258" s="239" t="inlineStr">
        <is>
          <t>TDD Business Partner</t>
        </is>
      </c>
      <c r="H258" s="239" t="inlineStr">
        <is>
          <t>NA</t>
        </is>
      </c>
      <c r="I258" s="239" t="inlineStr">
        <is>
          <t>NA</t>
        </is>
      </c>
      <c r="J258" s="239" t="inlineStr">
        <is>
          <t>NA</t>
        </is>
      </c>
      <c r="K258" s="239" t="inlineStr">
        <is>
          <t>NA</t>
        </is>
      </c>
      <c r="L258" s="315" t="n"/>
      <c r="M258" s="316" t="inlineStr">
        <is>
          <t>Australia</t>
        </is>
      </c>
      <c r="N258" t="inlineStr">
        <is>
          <t>COE</t>
        </is>
      </c>
      <c r="O258" t="inlineStr">
        <is>
          <t>COE - Business Partnering</t>
        </is>
      </c>
      <c r="P258" t="inlineStr">
        <is>
          <t>COE - Business Partnering</t>
        </is>
      </c>
      <c r="Q258" t="inlineStr">
        <is>
          <t>COE</t>
        </is>
      </c>
      <c r="R258" t="inlineStr">
        <is>
          <t>Filled</t>
        </is>
      </c>
    </row>
    <row r="259" ht="18" customHeight="1" s="302">
      <c r="A259" s="314" t="n"/>
      <c r="B259" s="239" t="inlineStr">
        <is>
          <t>Vacant</t>
        </is>
      </c>
      <c r="C259" s="239" t="inlineStr">
        <is>
          <t>Head of Transformation</t>
        </is>
      </c>
      <c r="D259" s="239" t="inlineStr">
        <is>
          <t>Michael Schofield</t>
        </is>
      </c>
      <c r="E259" s="239" t="inlineStr">
        <is>
          <t>Head of Service Operatoins &amp; Assurance</t>
        </is>
      </c>
      <c r="F259" s="239" t="inlineStr">
        <is>
          <t>Partnering &amp; Transformation</t>
        </is>
      </c>
      <c r="G259" s="239" t="inlineStr">
        <is>
          <t>Transformation</t>
        </is>
      </c>
      <c r="H259" s="239" t="inlineStr">
        <is>
          <t>NA</t>
        </is>
      </c>
      <c r="I259" s="239" t="inlineStr">
        <is>
          <t>NA</t>
        </is>
      </c>
      <c r="J259" s="239" t="inlineStr">
        <is>
          <t>NA</t>
        </is>
      </c>
      <c r="K259" s="239" t="inlineStr">
        <is>
          <t>NA</t>
        </is>
      </c>
      <c r="L259" s="315" t="n"/>
      <c r="M259" s="316" t="n"/>
      <c r="N259" t="inlineStr">
        <is>
          <t>COE</t>
        </is>
      </c>
      <c r="O259" t="inlineStr">
        <is>
          <t>COE - Transformation</t>
        </is>
      </c>
      <c r="P259" t="inlineStr">
        <is>
          <t>COE - Transformation</t>
        </is>
      </c>
      <c r="Q259" t="inlineStr">
        <is>
          <t>COE</t>
        </is>
      </c>
      <c r="R259" t="inlineStr">
        <is>
          <t>Vacant</t>
        </is>
      </c>
    </row>
    <row r="260" ht="18" customHeight="1" s="302">
      <c r="A260" s="314" t="n"/>
      <c r="B260" s="239" t="inlineStr">
        <is>
          <t>Vacant</t>
        </is>
      </c>
      <c r="C260" s="239" t="inlineStr">
        <is>
          <t>Commercial Director</t>
        </is>
      </c>
      <c r="D260" s="239" t="inlineStr">
        <is>
          <t>Michael Schofield</t>
        </is>
      </c>
      <c r="E260" s="239" t="inlineStr">
        <is>
          <t>GM TDD, Partnering &amp; Transformation</t>
        </is>
      </c>
      <c r="F260" s="239" t="inlineStr">
        <is>
          <t>Partnering &amp; Transformation</t>
        </is>
      </c>
      <c r="G260" s="239" t="inlineStr">
        <is>
          <t>Commercial</t>
        </is>
      </c>
      <c r="H260" s="239" t="inlineStr">
        <is>
          <t>NA</t>
        </is>
      </c>
      <c r="I260" s="239" t="inlineStr">
        <is>
          <t>NA</t>
        </is>
      </c>
      <c r="J260" s="239" t="inlineStr">
        <is>
          <t>NA</t>
        </is>
      </c>
      <c r="K260" s="239" t="inlineStr">
        <is>
          <t>NA</t>
        </is>
      </c>
      <c r="L260" s="315" t="n"/>
      <c r="M260" s="316" t="n"/>
      <c r="N260" t="inlineStr">
        <is>
          <t>Unmapped</t>
        </is>
      </c>
      <c r="O260" t="inlineStr">
        <is>
          <t>NA</t>
        </is>
      </c>
      <c r="P260" t="inlineStr">
        <is>
          <t>NA</t>
        </is>
      </c>
      <c r="Q260" t="inlineStr">
        <is>
          <t>Unmapped</t>
        </is>
      </c>
      <c r="R260" t="inlineStr">
        <is>
          <t>Vacant</t>
        </is>
      </c>
    </row>
    <row r="261" ht="18" customHeight="1" s="302">
      <c r="A261" s="314" t="n"/>
      <c r="B261" s="239" t="inlineStr">
        <is>
          <t>Vacant</t>
        </is>
      </c>
      <c r="C261" s="239" t="inlineStr">
        <is>
          <t>Delivery Systems Analyst</t>
        </is>
      </c>
      <c r="D261" t="inlineStr">
        <is>
          <t>Ruth Chou</t>
        </is>
      </c>
      <c r="E261" s="239" t="inlineStr">
        <is>
          <t>Portfolio Reporting Manger</t>
        </is>
      </c>
      <c r="F261" s="239" t="inlineStr">
        <is>
          <t>Partnering &amp; Transformation</t>
        </is>
      </c>
      <c r="G261" s="239" t="inlineStr">
        <is>
          <t>Transformation</t>
        </is>
      </c>
      <c r="H261" s="239" t="inlineStr">
        <is>
          <t>NA</t>
        </is>
      </c>
      <c r="I261" s="239" t="inlineStr">
        <is>
          <t>NA</t>
        </is>
      </c>
      <c r="J261" s="239" t="inlineStr">
        <is>
          <t>NA</t>
        </is>
      </c>
      <c r="K261" s="239" t="inlineStr">
        <is>
          <t>NA</t>
        </is>
      </c>
      <c r="L261" s="315" t="n"/>
      <c r="M261" s="316" t="n"/>
      <c r="N261" t="inlineStr">
        <is>
          <t>COE</t>
        </is>
      </c>
      <c r="O261" t="inlineStr">
        <is>
          <t>COE - Transformation</t>
        </is>
      </c>
      <c r="P261" t="inlineStr">
        <is>
          <t>COE - Transformation</t>
        </is>
      </c>
      <c r="Q261" t="inlineStr">
        <is>
          <t>COE</t>
        </is>
      </c>
      <c r="R261" t="inlineStr">
        <is>
          <t>Vacant</t>
        </is>
      </c>
    </row>
    <row r="262" ht="18" customHeight="1" s="302">
      <c r="A262" s="314" t="n"/>
      <c r="B262" s="239" t="inlineStr">
        <is>
          <t xml:space="preserve">Vacant </t>
        </is>
      </c>
      <c r="C262" s="239" t="inlineStr">
        <is>
          <t>Portfolio Analyst</t>
        </is>
      </c>
      <c r="D262" s="239" t="inlineStr">
        <is>
          <t>Ruth Chou</t>
        </is>
      </c>
      <c r="E262" s="239" t="inlineStr">
        <is>
          <t xml:space="preserve">Manager Service Perforance &amp; Assurance </t>
        </is>
      </c>
      <c r="F262" s="239" t="inlineStr">
        <is>
          <t>Partnering &amp; Transformation</t>
        </is>
      </c>
      <c r="G262" s="239" t="inlineStr">
        <is>
          <t>Transformation</t>
        </is>
      </c>
      <c r="H262" s="239" t="inlineStr">
        <is>
          <t>NA</t>
        </is>
      </c>
      <c r="I262" s="239" t="inlineStr">
        <is>
          <t>NA</t>
        </is>
      </c>
      <c r="J262" s="239" t="inlineStr">
        <is>
          <t>NA</t>
        </is>
      </c>
      <c r="K262" s="239" t="inlineStr">
        <is>
          <t>NA</t>
        </is>
      </c>
      <c r="L262" s="315" t="n"/>
      <c r="M262" s="316" t="n"/>
      <c r="N262" t="inlineStr">
        <is>
          <t>COE</t>
        </is>
      </c>
      <c r="O262" t="inlineStr">
        <is>
          <t>COE - Transformation</t>
        </is>
      </c>
      <c r="P262" t="inlineStr">
        <is>
          <t>COE - Transformation</t>
        </is>
      </c>
      <c r="Q262" t="inlineStr">
        <is>
          <t>COE</t>
        </is>
      </c>
      <c r="R262" t="inlineStr">
        <is>
          <t>Vacant</t>
        </is>
      </c>
    </row>
    <row r="263" ht="18" customHeight="1" s="302">
      <c r="A263" s="314" t="n"/>
      <c r="B263" s="239" t="inlineStr">
        <is>
          <t xml:space="preserve">Vacant </t>
        </is>
      </c>
      <c r="C263" s="239" t="inlineStr">
        <is>
          <t>Portfolio Analyst</t>
        </is>
      </c>
      <c r="D263" s="239" t="inlineStr">
        <is>
          <t>Ruth Chou</t>
        </is>
      </c>
      <c r="E263" s="239" t="inlineStr">
        <is>
          <t xml:space="preserve">Manager Service Perforance &amp; Assurance </t>
        </is>
      </c>
      <c r="F263" s="239" t="inlineStr">
        <is>
          <t>Partnering &amp; Transformation</t>
        </is>
      </c>
      <c r="G263" s="239" t="inlineStr">
        <is>
          <t>Transformation</t>
        </is>
      </c>
      <c r="H263" s="239" t="inlineStr">
        <is>
          <t>NA</t>
        </is>
      </c>
      <c r="I263" s="239" t="inlineStr">
        <is>
          <t>NA</t>
        </is>
      </c>
      <c r="J263" s="239" t="inlineStr">
        <is>
          <t>NA</t>
        </is>
      </c>
      <c r="K263" s="239" t="inlineStr">
        <is>
          <t>NA</t>
        </is>
      </c>
      <c r="L263" s="315" t="n"/>
      <c r="M263" s="316" t="n"/>
      <c r="N263" t="inlineStr">
        <is>
          <t>COE</t>
        </is>
      </c>
      <c r="O263" t="inlineStr">
        <is>
          <t>COE - Transformation</t>
        </is>
      </c>
      <c r="P263" t="inlineStr">
        <is>
          <t>COE - Transformation</t>
        </is>
      </c>
      <c r="Q263" t="inlineStr">
        <is>
          <t>COE</t>
        </is>
      </c>
      <c r="R263" t="inlineStr">
        <is>
          <t>Vacant</t>
        </is>
      </c>
    </row>
    <row r="264" ht="18" customHeight="1" s="302">
      <c r="A264" s="314" t="n">
        <v>12992</v>
      </c>
      <c r="B264" s="239" t="inlineStr">
        <is>
          <t>Jeannie Chu</t>
        </is>
      </c>
      <c r="C264" s="239" t="inlineStr">
        <is>
          <t>Snr Finance Support Administrator</t>
        </is>
      </c>
      <c r="D264" t="inlineStr">
        <is>
          <t>Sam Chan</t>
        </is>
      </c>
      <c r="E264" s="239" t="inlineStr">
        <is>
          <t>Fin Ops Manager</t>
        </is>
      </c>
      <c r="F264" s="239" t="inlineStr">
        <is>
          <t>Partnering &amp; Transformation</t>
        </is>
      </c>
      <c r="G264" s="239" t="inlineStr">
        <is>
          <t>Transformation</t>
        </is>
      </c>
      <c r="H264" s="239" t="inlineStr">
        <is>
          <t>NA</t>
        </is>
      </c>
      <c r="I264" s="239" t="inlineStr">
        <is>
          <t>NA</t>
        </is>
      </c>
      <c r="J264" s="239" t="inlineStr">
        <is>
          <t>NA</t>
        </is>
      </c>
      <c r="K264" s="239" t="inlineStr">
        <is>
          <t>NA</t>
        </is>
      </c>
      <c r="L264" s="315" t="n"/>
      <c r="M264" s="316" t="inlineStr">
        <is>
          <t>Australia</t>
        </is>
      </c>
      <c r="N264" t="inlineStr">
        <is>
          <t>COE</t>
        </is>
      </c>
      <c r="O264" t="inlineStr">
        <is>
          <t>COE - Transformation</t>
        </is>
      </c>
      <c r="P264" t="inlineStr">
        <is>
          <t>COE - Transformation</t>
        </is>
      </c>
      <c r="Q264" t="inlineStr">
        <is>
          <t>COE</t>
        </is>
      </c>
      <c r="R264" t="inlineStr">
        <is>
          <t>Filled</t>
        </is>
      </c>
    </row>
    <row r="265" ht="18" customHeight="1" s="302">
      <c r="A265" s="314" t="n">
        <v>5607</v>
      </c>
      <c r="B265" s="239" t="inlineStr">
        <is>
          <t>Maria Somera</t>
        </is>
      </c>
      <c r="C265" s="239" t="inlineStr">
        <is>
          <t>Technology Finance Analyst</t>
        </is>
      </c>
      <c r="D265" s="239" t="inlineStr">
        <is>
          <t>Sam Chan</t>
        </is>
      </c>
      <c r="E265" s="239" t="inlineStr">
        <is>
          <t>Fin Ops Manager</t>
        </is>
      </c>
      <c r="F265" s="239" t="inlineStr">
        <is>
          <t>Partnering &amp; Transformation</t>
        </is>
      </c>
      <c r="G265" s="239" t="inlineStr">
        <is>
          <t>Transformation</t>
        </is>
      </c>
      <c r="H265" s="239" t="inlineStr">
        <is>
          <t>NA</t>
        </is>
      </c>
      <c r="I265" s="239" t="inlineStr">
        <is>
          <t>NA</t>
        </is>
      </c>
      <c r="J265" s="239" t="inlineStr">
        <is>
          <t>NA</t>
        </is>
      </c>
      <c r="K265" s="239" t="inlineStr">
        <is>
          <t>NA</t>
        </is>
      </c>
      <c r="L265" s="315" t="n"/>
      <c r="M265" s="316" t="inlineStr">
        <is>
          <t>Australia</t>
        </is>
      </c>
      <c r="N265" t="inlineStr">
        <is>
          <t>COE</t>
        </is>
      </c>
      <c r="O265" t="inlineStr">
        <is>
          <t>COE - Transformation</t>
        </is>
      </c>
      <c r="P265" t="inlineStr">
        <is>
          <t>COE - Transformation</t>
        </is>
      </c>
      <c r="Q265" t="inlineStr">
        <is>
          <t>COE</t>
        </is>
      </c>
      <c r="R265" t="inlineStr">
        <is>
          <t>Filled</t>
        </is>
      </c>
    </row>
    <row r="266" ht="18" customHeight="1" s="302">
      <c r="A266" s="314" t="n">
        <v>83658</v>
      </c>
      <c r="B266" s="239" t="inlineStr">
        <is>
          <t>Sam Chan</t>
        </is>
      </c>
      <c r="C266" s="239" t="inlineStr">
        <is>
          <t>FinOps Manager</t>
        </is>
      </c>
      <c r="D266" s="315" t="inlineStr">
        <is>
          <t>vacant</t>
        </is>
      </c>
      <c r="E266" s="239" t="inlineStr">
        <is>
          <t xml:space="preserve">Manager Cyber Security Operations </t>
        </is>
      </c>
      <c r="F266" s="239" t="inlineStr">
        <is>
          <t>Partnering &amp; Transformation</t>
        </is>
      </c>
      <c r="G266" s="239" t="inlineStr">
        <is>
          <t>Transformation</t>
        </is>
      </c>
      <c r="H266" s="239" t="inlineStr">
        <is>
          <t>NA</t>
        </is>
      </c>
      <c r="I266" s="239" t="inlineStr">
        <is>
          <t>NA</t>
        </is>
      </c>
      <c r="J266" s="239" t="inlineStr">
        <is>
          <t>NA</t>
        </is>
      </c>
      <c r="K266" s="239" t="inlineStr">
        <is>
          <t>NA</t>
        </is>
      </c>
      <c r="L266" s="315" t="n"/>
      <c r="M266" s="316" t="inlineStr">
        <is>
          <t>Australia</t>
        </is>
      </c>
      <c r="N266" t="inlineStr">
        <is>
          <t>COE</t>
        </is>
      </c>
      <c r="O266" t="inlineStr">
        <is>
          <t>COE - Transformation</t>
        </is>
      </c>
      <c r="P266" t="inlineStr">
        <is>
          <t>COE - Transformation</t>
        </is>
      </c>
      <c r="Q266" t="inlineStr">
        <is>
          <t>COE</t>
        </is>
      </c>
      <c r="R266" t="inlineStr">
        <is>
          <t>Filled</t>
        </is>
      </c>
    </row>
    <row r="267" ht="18" customHeight="1" s="302">
      <c r="A267" s="314" t="n">
        <v>116540</v>
      </c>
      <c r="B267" s="239" t="inlineStr">
        <is>
          <t>Neil Reilly</t>
        </is>
      </c>
      <c r="C267" s="239" t="inlineStr">
        <is>
          <t>TDD BP - T&amp;S</t>
        </is>
      </c>
      <c r="D267" s="239" t="inlineStr">
        <is>
          <t>Vacant</t>
        </is>
      </c>
      <c r="E267" s="239" t="inlineStr">
        <is>
          <t>GM TDD, Partnering &amp; Transformation</t>
        </is>
      </c>
      <c r="F267" s="239" t="inlineStr">
        <is>
          <t>Partnering &amp; Transformation</t>
        </is>
      </c>
      <c r="G267" s="239" t="inlineStr">
        <is>
          <t>TDD Business Partner</t>
        </is>
      </c>
      <c r="H267" s="239" t="inlineStr">
        <is>
          <t>NA</t>
        </is>
      </c>
      <c r="I267" s="239" t="inlineStr">
        <is>
          <t>NA</t>
        </is>
      </c>
      <c r="J267" s="239" t="inlineStr">
        <is>
          <t>NA</t>
        </is>
      </c>
      <c r="K267" s="239" t="inlineStr">
        <is>
          <t>NA</t>
        </is>
      </c>
      <c r="L267" s="315" t="n"/>
      <c r="M267" s="316" t="inlineStr">
        <is>
          <t>Singapore</t>
        </is>
      </c>
      <c r="N267" t="inlineStr">
        <is>
          <t>COE</t>
        </is>
      </c>
      <c r="O267" t="inlineStr">
        <is>
          <t>COE - Business Partnering</t>
        </is>
      </c>
      <c r="P267" t="inlineStr">
        <is>
          <t>COE - Business Partnering</t>
        </is>
      </c>
      <c r="Q267" t="inlineStr">
        <is>
          <t>COE</t>
        </is>
      </c>
      <c r="R267" t="inlineStr">
        <is>
          <t>Filled</t>
        </is>
      </c>
    </row>
    <row r="268" ht="18" customHeight="1" s="302">
      <c r="A268" s="314" t="n"/>
      <c r="B268" s="239" t="inlineStr">
        <is>
          <t>Vacant</t>
        </is>
      </c>
      <c r="C268" s="239" t="inlineStr">
        <is>
          <t>Business Analysis Practice Lead</t>
        </is>
      </c>
      <c r="D268" s="315" t="inlineStr">
        <is>
          <t>vacant</t>
        </is>
      </c>
      <c r="E268" s="239" t="inlineStr">
        <is>
          <t>Delivery Excellence Manager</t>
        </is>
      </c>
      <c r="F268" s="239" t="inlineStr">
        <is>
          <t>Partnering &amp; Transformation</t>
        </is>
      </c>
      <c r="G268" s="239" t="inlineStr">
        <is>
          <t>Transformation</t>
        </is>
      </c>
      <c r="H268" s="239" t="inlineStr">
        <is>
          <t>NA</t>
        </is>
      </c>
      <c r="I268" s="239" t="inlineStr">
        <is>
          <t>NA</t>
        </is>
      </c>
      <c r="J268" s="239" t="inlineStr">
        <is>
          <t>NA</t>
        </is>
      </c>
      <c r="K268" s="239" t="inlineStr">
        <is>
          <t>NA</t>
        </is>
      </c>
      <c r="L268" s="315" t="n"/>
      <c r="M268" s="316" t="n"/>
      <c r="N268" t="inlineStr">
        <is>
          <t>COE</t>
        </is>
      </c>
      <c r="O268" t="inlineStr">
        <is>
          <t>COE - Transformation</t>
        </is>
      </c>
      <c r="P268" t="inlineStr">
        <is>
          <t>COE - Transformation</t>
        </is>
      </c>
      <c r="Q268" t="inlineStr">
        <is>
          <t>COE</t>
        </is>
      </c>
      <c r="R268" t="inlineStr">
        <is>
          <t>Vacant</t>
        </is>
      </c>
    </row>
    <row r="269" ht="18" customHeight="1" s="302">
      <c r="A269" s="314" t="n">
        <v>95835</v>
      </c>
      <c r="B269" s="239" t="inlineStr">
        <is>
          <t>Briony Scott</t>
        </is>
      </c>
      <c r="C269" s="239" t="inlineStr">
        <is>
          <t>Service &amp; Contract Specialist AU</t>
        </is>
      </c>
      <c r="D269" s="315" t="inlineStr">
        <is>
          <t>vacant</t>
        </is>
      </c>
      <c r="E269" s="239" t="inlineStr">
        <is>
          <t>Commercial Director</t>
        </is>
      </c>
      <c r="F269" s="239" t="inlineStr">
        <is>
          <t>Partnering &amp; Transformation</t>
        </is>
      </c>
      <c r="G269" s="239" t="inlineStr">
        <is>
          <t>Commercial</t>
        </is>
      </c>
      <c r="H269" s="239" t="inlineStr">
        <is>
          <t>NA</t>
        </is>
      </c>
      <c r="I269" s="239" t="inlineStr">
        <is>
          <t>NA</t>
        </is>
      </c>
      <c r="J269" s="239" t="inlineStr">
        <is>
          <t>NA</t>
        </is>
      </c>
      <c r="K269" s="239" t="inlineStr">
        <is>
          <t>NA</t>
        </is>
      </c>
      <c r="L269" s="315" t="n"/>
      <c r="M269" s="316" t="inlineStr">
        <is>
          <t>Australia</t>
        </is>
      </c>
      <c r="N269" t="inlineStr">
        <is>
          <t>Unmapped</t>
        </is>
      </c>
      <c r="O269" t="inlineStr">
        <is>
          <t>NA</t>
        </is>
      </c>
      <c r="P269" t="inlineStr">
        <is>
          <t>NA</t>
        </is>
      </c>
      <c r="Q269" t="inlineStr">
        <is>
          <t>Unmapped</t>
        </is>
      </c>
      <c r="R269" t="inlineStr">
        <is>
          <t>Filled</t>
        </is>
      </c>
    </row>
    <row r="270" ht="18" customHeight="1" s="302">
      <c r="A270" s="314" t="n">
        <v>99999170371</v>
      </c>
      <c r="B270" s="239" t="inlineStr">
        <is>
          <t>Helen Ngu</t>
        </is>
      </c>
      <c r="C270" s="239" t="inlineStr">
        <is>
          <t>Service &amp; Contract Specialist NZ</t>
        </is>
      </c>
      <c r="D270" s="315" t="inlineStr">
        <is>
          <t>vacant</t>
        </is>
      </c>
      <c r="E270" s="239" t="inlineStr">
        <is>
          <t>Commercial Director</t>
        </is>
      </c>
      <c r="F270" s="239" t="inlineStr">
        <is>
          <t>Partnering &amp; Transformation</t>
        </is>
      </c>
      <c r="G270" s="239" t="inlineStr">
        <is>
          <t>Commercial</t>
        </is>
      </c>
      <c r="H270" s="239" t="inlineStr">
        <is>
          <t>NA</t>
        </is>
      </c>
      <c r="I270" s="239" t="inlineStr">
        <is>
          <t>NA</t>
        </is>
      </c>
      <c r="J270" s="239" t="inlineStr">
        <is>
          <t>NA</t>
        </is>
      </c>
      <c r="K270" s="239" t="inlineStr">
        <is>
          <t>NA</t>
        </is>
      </c>
      <c r="L270" s="315" t="n"/>
      <c r="M270" s="316" t="inlineStr">
        <is>
          <t>NZ</t>
        </is>
      </c>
      <c r="N270" t="inlineStr">
        <is>
          <t>Unmapped</t>
        </is>
      </c>
      <c r="O270" t="inlineStr">
        <is>
          <t>NA</t>
        </is>
      </c>
      <c r="P270" t="inlineStr">
        <is>
          <t>NA</t>
        </is>
      </c>
      <c r="Q270" t="inlineStr">
        <is>
          <t>Unmapped</t>
        </is>
      </c>
      <c r="R270" t="inlineStr">
        <is>
          <t>Filled</t>
        </is>
      </c>
    </row>
    <row r="271" ht="18" customHeight="1" s="302">
      <c r="A271" s="314" t="n">
        <v>101862</v>
      </c>
      <c r="B271" s="239" t="inlineStr">
        <is>
          <t>Vaughn Scott</t>
        </is>
      </c>
      <c r="C271" s="239" t="inlineStr">
        <is>
          <t>TDD BP - ES</t>
        </is>
      </c>
      <c r="D271" s="239" t="inlineStr">
        <is>
          <t>Vacant</t>
        </is>
      </c>
      <c r="E271" s="239" t="inlineStr">
        <is>
          <t>GM TDD, Partnering &amp; Transformation</t>
        </is>
      </c>
      <c r="F271" s="239" t="inlineStr">
        <is>
          <t>Partnering &amp; Transformation</t>
        </is>
      </c>
      <c r="G271" s="239" t="inlineStr">
        <is>
          <t>TDD Business Partner</t>
        </is>
      </c>
      <c r="H271" t="inlineStr">
        <is>
          <t>NA</t>
        </is>
      </c>
      <c r="I271" s="239" t="inlineStr">
        <is>
          <t>NA</t>
        </is>
      </c>
      <c r="J271" s="239" t="inlineStr">
        <is>
          <t>NA</t>
        </is>
      </c>
      <c r="K271" s="239" t="inlineStr">
        <is>
          <t>NA</t>
        </is>
      </c>
      <c r="L271" s="315" t="n"/>
      <c r="M271" s="316" t="inlineStr">
        <is>
          <t>Australia</t>
        </is>
      </c>
      <c r="N271" t="inlineStr">
        <is>
          <t>COE</t>
        </is>
      </c>
      <c r="O271" t="inlineStr">
        <is>
          <t>COE - Business Partnering</t>
        </is>
      </c>
      <c r="P271" t="inlineStr">
        <is>
          <t>COE - Business Partnering</t>
        </is>
      </c>
      <c r="Q271" t="inlineStr">
        <is>
          <t>COE</t>
        </is>
      </c>
      <c r="R271" t="inlineStr">
        <is>
          <t>Filled</t>
        </is>
      </c>
    </row>
    <row r="272" ht="18" customHeight="1" s="302">
      <c r="A272" s="314" t="n">
        <v>82561</v>
      </c>
      <c r="B272" s="239" t="inlineStr">
        <is>
          <t>Jenny Chan</t>
        </is>
      </c>
      <c r="C272" s="239" t="inlineStr">
        <is>
          <t>Project Finance Lead</t>
        </is>
      </c>
      <c r="D272" s="239" t="inlineStr">
        <is>
          <t>Vacant</t>
        </is>
      </c>
      <c r="E272" s="239" t="inlineStr">
        <is>
          <t xml:space="preserve">Manager Risk &amp; Resilience </t>
        </is>
      </c>
      <c r="F272" s="239" t="inlineStr">
        <is>
          <t>Partnering &amp; Transformation</t>
        </is>
      </c>
      <c r="G272" s="239" t="inlineStr">
        <is>
          <t>Transformation</t>
        </is>
      </c>
      <c r="H272" s="239" t="inlineStr">
        <is>
          <t>Technology, CF Engineering</t>
        </is>
      </c>
      <c r="I272" s="239" t="inlineStr">
        <is>
          <t>NA</t>
        </is>
      </c>
      <c r="J272" s="239" t="inlineStr">
        <is>
          <t>NA</t>
        </is>
      </c>
      <c r="K272" s="239" t="inlineStr">
        <is>
          <t>NA</t>
        </is>
      </c>
      <c r="L272" s="315" t="n"/>
      <c r="M272" s="316" t="inlineStr">
        <is>
          <t>Australia</t>
        </is>
      </c>
      <c r="N272" t="inlineStr">
        <is>
          <t>COE</t>
        </is>
      </c>
      <c r="O272" t="inlineStr">
        <is>
          <t>COE - Transformation</t>
        </is>
      </c>
      <c r="P272" t="inlineStr">
        <is>
          <t>COE - Transformation</t>
        </is>
      </c>
      <c r="Q272" t="inlineStr">
        <is>
          <t>COE</t>
        </is>
      </c>
      <c r="R272" t="inlineStr">
        <is>
          <t>Filled</t>
        </is>
      </c>
    </row>
    <row r="273" ht="18" customHeight="1" s="302">
      <c r="A273" s="314" t="n"/>
      <c r="B273" s="239" t="inlineStr">
        <is>
          <t>Vacant</t>
        </is>
      </c>
      <c r="C273" s="239" t="inlineStr">
        <is>
          <t>Scrum Master</t>
        </is>
      </c>
      <c r="D273" s="315" t="inlineStr">
        <is>
          <t>Vacant</t>
        </is>
      </c>
      <c r="E273" s="239" t="inlineStr">
        <is>
          <t xml:space="preserve">Lead Technology Support </t>
        </is>
      </c>
      <c r="F273" s="239" t="inlineStr">
        <is>
          <t>Partnering &amp; Transformation</t>
        </is>
      </c>
      <c r="G273" s="239" t="inlineStr">
        <is>
          <t>Loyalty &amp; Martech</t>
        </is>
      </c>
      <c r="H273" s="239" t="inlineStr">
        <is>
          <t>NA</t>
        </is>
      </c>
      <c r="I273" s="239" t="inlineStr">
        <is>
          <t>NA</t>
        </is>
      </c>
      <c r="J273" s="239" t="inlineStr">
        <is>
          <t>NA</t>
        </is>
      </c>
      <c r="K273" s="239" t="inlineStr">
        <is>
          <t>NA</t>
        </is>
      </c>
      <c r="L273" s="315" t="n"/>
      <c r="M273" s="316" t="n"/>
      <c r="N273" t="inlineStr">
        <is>
          <t>Customer</t>
        </is>
      </c>
      <c r="O273" t="inlineStr">
        <is>
          <t>Group Customer Platforms</t>
        </is>
      </c>
      <c r="P273" t="inlineStr">
        <is>
          <t>AU CRM &amp; Martech</t>
        </is>
      </c>
      <c r="Q273" t="inlineStr">
        <is>
          <t>Squad</t>
        </is>
      </c>
      <c r="R273" t="inlineStr">
        <is>
          <t>Vacant</t>
        </is>
      </c>
    </row>
    <row r="274" ht="18" customHeight="1" s="302">
      <c r="A274" s="314" t="n">
        <v>99999102029</v>
      </c>
      <c r="B274" s="239" t="inlineStr">
        <is>
          <t>Matt Saunders</t>
        </is>
      </c>
      <c r="C274" s="239" t="inlineStr">
        <is>
          <t>Scrum Master</t>
        </is>
      </c>
      <c r="D274" s="315" t="inlineStr">
        <is>
          <t>Vacant</t>
        </is>
      </c>
      <c r="E274" s="239" t="inlineStr">
        <is>
          <t xml:space="preserve">Lead Technology Support </t>
        </is>
      </c>
      <c r="F274" s="239" t="inlineStr">
        <is>
          <t>Partnering &amp; Transformation</t>
        </is>
      </c>
      <c r="G274" s="239" t="inlineStr">
        <is>
          <t>Transformation</t>
        </is>
      </c>
      <c r="H274" s="239" t="inlineStr">
        <is>
          <t>NA</t>
        </is>
      </c>
      <c r="I274" s="239" t="inlineStr">
        <is>
          <t>NA</t>
        </is>
      </c>
      <c r="J274" s="239" t="inlineStr">
        <is>
          <t>NA</t>
        </is>
      </c>
      <c r="K274" s="239" t="inlineStr">
        <is>
          <t>NA</t>
        </is>
      </c>
      <c r="L274" s="315" t="n"/>
      <c r="M274" s="316" t="inlineStr">
        <is>
          <t>NZ</t>
        </is>
      </c>
      <c r="N274" t="inlineStr">
        <is>
          <t>COE</t>
        </is>
      </c>
      <c r="O274" t="inlineStr">
        <is>
          <t>COE - Transformation</t>
        </is>
      </c>
      <c r="P274" t="inlineStr">
        <is>
          <t>COE - Transformation</t>
        </is>
      </c>
      <c r="Q274" t="inlineStr">
        <is>
          <t>COE</t>
        </is>
      </c>
      <c r="R274" t="inlineStr">
        <is>
          <t>Filled</t>
        </is>
      </c>
    </row>
    <row r="275" ht="18" customHeight="1" s="302">
      <c r="A275" s="314" t="n">
        <v>0</v>
      </c>
      <c r="B275" s="239" t="inlineStr">
        <is>
          <t>Malcolm Deare</t>
        </is>
      </c>
      <c r="C275" s="239" t="inlineStr">
        <is>
          <t>TDD BP, Group Functions</t>
        </is>
      </c>
      <c r="D275" s="239" t="inlineStr">
        <is>
          <t>Vacant</t>
        </is>
      </c>
      <c r="E275" s="239" t="inlineStr">
        <is>
          <t>GM TDD, Partnering &amp; Transformation</t>
        </is>
      </c>
      <c r="F275" s="239" t="inlineStr">
        <is>
          <t>Partnering &amp; Transformation</t>
        </is>
      </c>
      <c r="G275" s="239" t="inlineStr">
        <is>
          <t>TDD Business Partner</t>
        </is>
      </c>
      <c r="H275" s="239" t="inlineStr">
        <is>
          <t>NA</t>
        </is>
      </c>
      <c r="I275" s="239" t="inlineStr">
        <is>
          <t>NA</t>
        </is>
      </c>
      <c r="J275" s="239" t="inlineStr">
        <is>
          <t>NA</t>
        </is>
      </c>
      <c r="K275" s="239" t="inlineStr">
        <is>
          <t>NA</t>
        </is>
      </c>
      <c r="L275" s="315" t="n"/>
      <c r="M275" s="316" t="n">
        <v>0</v>
      </c>
      <c r="N275" t="inlineStr">
        <is>
          <t>COE</t>
        </is>
      </c>
      <c r="O275" t="inlineStr">
        <is>
          <t>COE - Business Partnering</t>
        </is>
      </c>
      <c r="P275" t="inlineStr">
        <is>
          <t>COE - Business Partnering</t>
        </is>
      </c>
      <c r="Q275" t="inlineStr">
        <is>
          <t>COE</t>
        </is>
      </c>
      <c r="R275" t="inlineStr">
        <is>
          <t>Filled</t>
        </is>
      </c>
    </row>
    <row r="276" ht="18" customHeight="1" s="302">
      <c r="A276" s="314" t="n">
        <v>113835</v>
      </c>
      <c r="B276" s="239" t="inlineStr">
        <is>
          <t>Ruth Chou</t>
        </is>
      </c>
      <c r="C276" s="239" t="inlineStr">
        <is>
          <t>Portfolio Reporting Manager</t>
        </is>
      </c>
      <c r="D276" s="315" t="inlineStr">
        <is>
          <t>vacant</t>
        </is>
      </c>
      <c r="E276" s="239" t="inlineStr">
        <is>
          <t xml:space="preserve">Manager Service Perforance &amp; Assurance </t>
        </is>
      </c>
      <c r="F276" s="239" t="inlineStr">
        <is>
          <t>Partnering &amp; Transformation</t>
        </is>
      </c>
      <c r="G276" s="239" t="inlineStr">
        <is>
          <t>Loyalty &amp; Martech</t>
        </is>
      </c>
      <c r="H276" s="239" t="inlineStr">
        <is>
          <t>NA</t>
        </is>
      </c>
      <c r="I276" s="239" t="inlineStr">
        <is>
          <t>NA</t>
        </is>
      </c>
      <c r="J276" s="239" t="inlineStr">
        <is>
          <t>NA</t>
        </is>
      </c>
      <c r="K276" s="239" t="inlineStr">
        <is>
          <t>NA</t>
        </is>
      </c>
      <c r="L276" s="315" t="n"/>
      <c r="M276" s="316" t="inlineStr">
        <is>
          <t>Australia</t>
        </is>
      </c>
      <c r="N276" t="inlineStr">
        <is>
          <t>Customer</t>
        </is>
      </c>
      <c r="O276" t="inlineStr">
        <is>
          <t>Group Customer Platforms</t>
        </is>
      </c>
      <c r="P276" t="inlineStr">
        <is>
          <t>AU CRM &amp; Martech</t>
        </is>
      </c>
      <c r="Q276" t="inlineStr">
        <is>
          <t>Squad</t>
        </is>
      </c>
      <c r="R276" t="inlineStr">
        <is>
          <t>Filled</t>
        </is>
      </c>
    </row>
    <row r="277" ht="18" customHeight="1" s="302">
      <c r="A277" s="314" t="n"/>
      <c r="B277" s="239" t="inlineStr">
        <is>
          <t>Vacant</t>
        </is>
      </c>
      <c r="C277" s="239" t="inlineStr">
        <is>
          <t>Delivery Capacity &amp; Assurance Lead</t>
        </is>
      </c>
      <c r="D277" s="343" t="inlineStr">
        <is>
          <t>Vacant</t>
        </is>
      </c>
      <c r="E277" s="315" t="inlineStr">
        <is>
          <t>vacant</t>
        </is>
      </c>
      <c r="F277" s="239" t="inlineStr">
        <is>
          <t>Partnering &amp; Transformation</t>
        </is>
      </c>
      <c r="G277" s="239" t="inlineStr">
        <is>
          <t>Transformation</t>
        </is>
      </c>
      <c r="H277" t="inlineStr">
        <is>
          <t>NA</t>
        </is>
      </c>
      <c r="I277" s="239" t="inlineStr">
        <is>
          <t>NA</t>
        </is>
      </c>
      <c r="J277" s="239" t="inlineStr">
        <is>
          <t>NA</t>
        </is>
      </c>
      <c r="K277" s="239" t="inlineStr">
        <is>
          <t>NA</t>
        </is>
      </c>
      <c r="L277" s="315" t="n"/>
      <c r="M277" s="316" t="n"/>
      <c r="N277" t="inlineStr">
        <is>
          <t>COE</t>
        </is>
      </c>
      <c r="O277" t="inlineStr">
        <is>
          <t>COE - Transformation</t>
        </is>
      </c>
      <c r="P277" t="inlineStr">
        <is>
          <t>COE - Transformation</t>
        </is>
      </c>
      <c r="Q277" t="inlineStr">
        <is>
          <t>COE</t>
        </is>
      </c>
      <c r="R277" t="inlineStr">
        <is>
          <t>Vacant</t>
        </is>
      </c>
    </row>
    <row r="278" ht="18" customHeight="1" s="302">
      <c r="A278" s="314" t="n">
        <v>99999102144</v>
      </c>
      <c r="B278" s="239" t="inlineStr">
        <is>
          <t>Shelley Crawford</t>
        </is>
      </c>
      <c r="C278" s="239" t="inlineStr">
        <is>
          <t>TDD BP - Z</t>
        </is>
      </c>
      <c r="D278" s="239" t="inlineStr">
        <is>
          <t>Vacant</t>
        </is>
      </c>
      <c r="E278" s="239" t="inlineStr">
        <is>
          <t>GM TDD, Partnering &amp; Transformation</t>
        </is>
      </c>
      <c r="F278" s="239" t="inlineStr">
        <is>
          <t>Partnering &amp; Transformation</t>
        </is>
      </c>
      <c r="G278" s="239" t="inlineStr">
        <is>
          <t>TDD Business Partner</t>
        </is>
      </c>
      <c r="H278" s="239" t="inlineStr">
        <is>
          <t>NA</t>
        </is>
      </c>
      <c r="I278" s="239" t="inlineStr">
        <is>
          <t>NA</t>
        </is>
      </c>
      <c r="J278" s="239" t="inlineStr">
        <is>
          <t>NA</t>
        </is>
      </c>
      <c r="K278" s="239" t="inlineStr">
        <is>
          <t>NA</t>
        </is>
      </c>
      <c r="L278" s="315" t="n"/>
      <c r="M278" s="316" t="inlineStr">
        <is>
          <t>NZ</t>
        </is>
      </c>
      <c r="N278" t="inlineStr">
        <is>
          <t>COE</t>
        </is>
      </c>
      <c r="O278" t="inlineStr">
        <is>
          <t>COE - Business Partnering</t>
        </is>
      </c>
      <c r="P278" t="inlineStr">
        <is>
          <t>COE - Business Partnering</t>
        </is>
      </c>
      <c r="Q278" t="inlineStr">
        <is>
          <t>COE</t>
        </is>
      </c>
      <c r="R278" t="inlineStr">
        <is>
          <t>Filled</t>
        </is>
      </c>
    </row>
    <row r="279" ht="18" customHeight="1" s="302">
      <c r="A279" s="314" t="n">
        <v>102411</v>
      </c>
      <c r="B279" s="239" t="inlineStr">
        <is>
          <t>Vacant</t>
        </is>
      </c>
      <c r="C279" s="239" t="inlineStr">
        <is>
          <t>TDD BP - Infrastructure</t>
        </is>
      </c>
      <c r="D279" s="239" t="inlineStr">
        <is>
          <t>Vacant</t>
        </is>
      </c>
      <c r="E279" s="239" t="inlineStr">
        <is>
          <t>GM TDD, Partnering &amp; Transformation</t>
        </is>
      </c>
      <c r="F279" s="239" t="inlineStr">
        <is>
          <t>Partnering &amp; Transformation</t>
        </is>
      </c>
      <c r="G279" s="239" t="inlineStr">
        <is>
          <t>TDD Business Partner</t>
        </is>
      </c>
      <c r="H279" s="239" t="inlineStr">
        <is>
          <t>NA</t>
        </is>
      </c>
      <c r="I279" s="239" t="inlineStr">
        <is>
          <t>NA</t>
        </is>
      </c>
      <c r="J279" s="239" t="inlineStr">
        <is>
          <t>NA</t>
        </is>
      </c>
      <c r="K279" s="239" t="inlineStr">
        <is>
          <t>NA</t>
        </is>
      </c>
      <c r="L279" s="315" t="n"/>
      <c r="M279" s="316" t="inlineStr">
        <is>
          <t>Australia</t>
        </is>
      </c>
      <c r="N279" t="inlineStr">
        <is>
          <t>COE</t>
        </is>
      </c>
      <c r="O279" t="inlineStr">
        <is>
          <t>COE - Business Partnering</t>
        </is>
      </c>
      <c r="P279" t="inlineStr">
        <is>
          <t>COE - Business Partnering</t>
        </is>
      </c>
      <c r="Q279" t="inlineStr">
        <is>
          <t>COE</t>
        </is>
      </c>
      <c r="R279" t="inlineStr">
        <is>
          <t>Vacant</t>
        </is>
      </c>
    </row>
    <row r="280" ht="18" customHeight="1" s="302">
      <c r="A280" s="314" t="n"/>
      <c r="B280" s="315" t="inlineStr">
        <is>
          <t>Vacant</t>
        </is>
      </c>
      <c r="C280" s="315" t="inlineStr">
        <is>
          <t>Delivery Assurance Manager</t>
        </is>
      </c>
      <c r="D280" s="315" t="inlineStr">
        <is>
          <t>vacant</t>
        </is>
      </c>
      <c r="E280" s="315" t="inlineStr">
        <is>
          <t xml:space="preserve">Manager Identity &amp; Access Management </t>
        </is>
      </c>
      <c r="F280" s="239" t="inlineStr">
        <is>
          <t>Partnering &amp; Transformation</t>
        </is>
      </c>
      <c r="G280" s="315" t="inlineStr">
        <is>
          <t>Transformation</t>
        </is>
      </c>
      <c r="H280" s="239" t="inlineStr">
        <is>
          <t>NA</t>
        </is>
      </c>
      <c r="I280" s="239" t="inlineStr">
        <is>
          <t>NA</t>
        </is>
      </c>
      <c r="J280" s="239" t="inlineStr">
        <is>
          <t>NA</t>
        </is>
      </c>
      <c r="K280" s="239" t="inlineStr">
        <is>
          <t>NA</t>
        </is>
      </c>
      <c r="L280" s="315" t="n"/>
      <c r="M280" s="316" t="n"/>
      <c r="N280" t="inlineStr">
        <is>
          <t>COE</t>
        </is>
      </c>
      <c r="O280" t="inlineStr">
        <is>
          <t>COE - Transformation</t>
        </is>
      </c>
      <c r="P280" t="inlineStr">
        <is>
          <t>COE - Transformation</t>
        </is>
      </c>
      <c r="Q280" t="inlineStr">
        <is>
          <t>COE</t>
        </is>
      </c>
      <c r="R280" t="inlineStr">
        <is>
          <t>Vacant</t>
        </is>
      </c>
    </row>
    <row r="281" ht="18" customHeight="1" s="302">
      <c r="A281" s="314" t="n">
        <v>113362</v>
      </c>
      <c r="B281" s="239" t="inlineStr">
        <is>
          <t>Vacant</t>
        </is>
      </c>
      <c r="C281" s="239" t="inlineStr">
        <is>
          <t>Software Asset Specialist</t>
        </is>
      </c>
      <c r="D281" s="315" t="inlineStr">
        <is>
          <t>vacant</t>
        </is>
      </c>
      <c r="E281" s="239" t="inlineStr">
        <is>
          <t>Commercial Director</t>
        </is>
      </c>
      <c r="F281" s="239" t="inlineStr">
        <is>
          <t>Partnering &amp; Transformation</t>
        </is>
      </c>
      <c r="G281" s="239" t="inlineStr">
        <is>
          <t>Commercial</t>
        </is>
      </c>
      <c r="H281" s="239" t="inlineStr">
        <is>
          <t>NA</t>
        </is>
      </c>
      <c r="I281" s="239" t="inlineStr">
        <is>
          <t>NA</t>
        </is>
      </c>
      <c r="J281" s="239" t="inlineStr">
        <is>
          <t>NA</t>
        </is>
      </c>
      <c r="K281" s="239" t="inlineStr">
        <is>
          <t>NA</t>
        </is>
      </c>
      <c r="L281" s="315" t="n"/>
      <c r="M281" s="316" t="inlineStr">
        <is>
          <t>Australia</t>
        </is>
      </c>
      <c r="N281" t="inlineStr">
        <is>
          <t>Unmapped</t>
        </is>
      </c>
      <c r="O281" t="inlineStr">
        <is>
          <t>NA</t>
        </is>
      </c>
      <c r="P281" t="inlineStr">
        <is>
          <t>NA</t>
        </is>
      </c>
      <c r="Q281" t="inlineStr">
        <is>
          <t>Unmapped</t>
        </is>
      </c>
      <c r="R281" t="inlineStr">
        <is>
          <t>Vacant</t>
        </is>
      </c>
    </row>
    <row r="282" ht="18" customHeight="1" s="302">
      <c r="A282" s="314" t="n"/>
      <c r="B282" s="239" t="inlineStr">
        <is>
          <t>Vacant</t>
        </is>
      </c>
      <c r="C282" s="239" t="inlineStr">
        <is>
          <t>Delivery Excellence Manager</t>
        </is>
      </c>
      <c r="D282" s="315" t="inlineStr">
        <is>
          <t>vacant</t>
        </is>
      </c>
      <c r="E282" s="239" t="inlineStr">
        <is>
          <t xml:space="preserve">CISO </t>
        </is>
      </c>
      <c r="F282" s="239" t="inlineStr">
        <is>
          <t>Partnering &amp; Transformation</t>
        </is>
      </c>
      <c r="G282" s="239" t="inlineStr">
        <is>
          <t>Transformation</t>
        </is>
      </c>
      <c r="H282" s="239" t="inlineStr">
        <is>
          <t>NA</t>
        </is>
      </c>
      <c r="I282" s="239" t="inlineStr">
        <is>
          <t>NA</t>
        </is>
      </c>
      <c r="J282" s="239" t="inlineStr">
        <is>
          <t>NA</t>
        </is>
      </c>
      <c r="K282" s="239" t="inlineStr">
        <is>
          <t>NA</t>
        </is>
      </c>
      <c r="L282" s="315" t="n"/>
      <c r="M282" s="316" t="n"/>
      <c r="N282" t="inlineStr">
        <is>
          <t>COE</t>
        </is>
      </c>
      <c r="O282" t="inlineStr">
        <is>
          <t>COE - Transformation</t>
        </is>
      </c>
      <c r="P282" t="inlineStr">
        <is>
          <t>COE - Transformation</t>
        </is>
      </c>
      <c r="Q282" t="inlineStr">
        <is>
          <t>COE</t>
        </is>
      </c>
      <c r="R282" t="inlineStr">
        <is>
          <t>Vacant</t>
        </is>
      </c>
    </row>
    <row r="283" ht="18" customHeight="1" s="302">
      <c r="A283" s="314" t="n"/>
      <c r="B283" s="239" t="inlineStr">
        <is>
          <t>Vacant</t>
        </is>
      </c>
      <c r="C283" s="239" t="inlineStr">
        <is>
          <t>Service Transition Lead</t>
        </is>
      </c>
      <c r="D283" s="239" t="inlineStr">
        <is>
          <t>Deepali Mahajan</t>
        </is>
      </c>
      <c r="E283" s="239" t="inlineStr">
        <is>
          <t>Data Operations Manager</t>
        </is>
      </c>
      <c r="F283" s="326" t="inlineStr">
        <is>
          <t>Strategy, Architecture &amp; Data</t>
        </is>
      </c>
      <c r="G283" s="315" t="inlineStr">
        <is>
          <t>Group Data</t>
        </is>
      </c>
      <c r="H283" s="326" t="inlineStr">
        <is>
          <t>Data Operations</t>
        </is>
      </c>
      <c r="I283" s="326" t="inlineStr">
        <is>
          <t>Enterprise Data</t>
        </is>
      </c>
      <c r="J283" s="315" t="n"/>
      <c r="K283" s="315" t="inlineStr">
        <is>
          <t>COE, Data Operations</t>
        </is>
      </c>
      <c r="L283" s="315" t="n"/>
      <c r="M283" s="316" t="n"/>
      <c r="N283" t="inlineStr">
        <is>
          <t>Enterprise Data</t>
        </is>
      </c>
      <c r="O283" t="inlineStr">
        <is>
          <t>Group Data</t>
        </is>
      </c>
      <c r="P283" t="inlineStr">
        <is>
          <t>Operations</t>
        </is>
      </c>
      <c r="Q283" t="inlineStr">
        <is>
          <t>Squad</t>
        </is>
      </c>
      <c r="R283" t="inlineStr">
        <is>
          <t>Vacant</t>
        </is>
      </c>
    </row>
    <row r="284" ht="18" customHeight="1" s="302">
      <c r="A284" s="314" t="n"/>
      <c r="B284" s="239" t="inlineStr">
        <is>
          <t>Vacant</t>
        </is>
      </c>
      <c r="C284" s="239" t="inlineStr">
        <is>
          <t>Engineer Data - Reporting</t>
        </is>
      </c>
      <c r="D284" s="239" t="inlineStr">
        <is>
          <t>Dinesh Chandrasekaran</t>
        </is>
      </c>
      <c r="E284" s="239" t="inlineStr">
        <is>
          <t>Lead Engineer (Snowflake)</t>
        </is>
      </c>
      <c r="F284" s="326" t="inlineStr">
        <is>
          <t>Strategy, Architecture &amp; Data</t>
        </is>
      </c>
      <c r="G284" s="315" t="inlineStr">
        <is>
          <t>Group Data</t>
        </is>
      </c>
      <c r="H284" s="326" t="inlineStr">
        <is>
          <t>Data Engineering &amp; Platforms</t>
        </is>
      </c>
      <c r="I284" s="326" t="inlineStr">
        <is>
          <t>Enterprise Data</t>
        </is>
      </c>
      <c r="J284" s="326" t="inlineStr">
        <is>
          <t>Group Data</t>
        </is>
      </c>
      <c r="K284" s="326" t="inlineStr">
        <is>
          <t>Reporting &amp; Analytics</t>
        </is>
      </c>
      <c r="L284" s="315" t="n"/>
      <c r="M284" s="316" t="n"/>
      <c r="N284" t="inlineStr">
        <is>
          <t>Enterprise Data</t>
        </is>
      </c>
      <c r="O284" t="inlineStr">
        <is>
          <t>Group Data</t>
        </is>
      </c>
      <c r="P284" t="inlineStr">
        <is>
          <t>Reporting &amp; Analytics</t>
        </is>
      </c>
      <c r="Q284" t="inlineStr">
        <is>
          <t>Squad</t>
        </is>
      </c>
      <c r="R284" t="inlineStr">
        <is>
          <t>Vacant</t>
        </is>
      </c>
    </row>
    <row r="285" ht="18" customHeight="1" s="302">
      <c r="A285" s="314" t="n"/>
      <c r="B285" s="239" t="inlineStr">
        <is>
          <t>Vacant</t>
        </is>
      </c>
      <c r="C285" s="239" t="inlineStr">
        <is>
          <t xml:space="preserve">Engineer Data  </t>
        </is>
      </c>
      <c r="D285" s="239" t="inlineStr">
        <is>
          <t>Dinesh Chandrasekaran</t>
        </is>
      </c>
      <c r="E285" s="239" t="inlineStr">
        <is>
          <t>Lead Engineer (Snowflake)</t>
        </is>
      </c>
      <c r="F285" s="326" t="inlineStr">
        <is>
          <t>Strategy, Architecture &amp; Data</t>
        </is>
      </c>
      <c r="G285" s="315" t="inlineStr">
        <is>
          <t>Group Data</t>
        </is>
      </c>
      <c r="H285" s="326" t="inlineStr">
        <is>
          <t>Data Engineering &amp; Platforms</t>
        </is>
      </c>
      <c r="I285" s="315" t="inlineStr">
        <is>
          <t>Enterprise Data</t>
        </is>
      </c>
      <c r="J285" s="326" t="inlineStr">
        <is>
          <t>Group Data</t>
        </is>
      </c>
      <c r="K285" s="315" t="inlineStr">
        <is>
          <t>Data Platform</t>
        </is>
      </c>
      <c r="L285" s="315" t="n"/>
      <c r="M285" s="316" t="n"/>
      <c r="N285" t="inlineStr">
        <is>
          <t>Enterprise Data</t>
        </is>
      </c>
      <c r="O285" t="inlineStr">
        <is>
          <t>Group Data</t>
        </is>
      </c>
      <c r="P285" t="inlineStr">
        <is>
          <t>Data Platforms</t>
        </is>
      </c>
      <c r="Q285" t="inlineStr">
        <is>
          <t>Squad</t>
        </is>
      </c>
      <c r="R285" t="inlineStr">
        <is>
          <t>Vacant</t>
        </is>
      </c>
    </row>
    <row r="286" ht="18" customHeight="1" s="302">
      <c r="A286" s="314" t="n">
        <v>113559</v>
      </c>
      <c r="B286" s="239" t="inlineStr">
        <is>
          <t>John Forde</t>
        </is>
      </c>
      <c r="C286" s="239" t="inlineStr">
        <is>
          <t>Enterprise Architect</t>
        </is>
      </c>
      <c r="D286" s="239" t="inlineStr">
        <is>
          <t>Ed Tacey</t>
        </is>
      </c>
      <c r="E286" s="239" t="inlineStr">
        <is>
          <t>Head of Architecture</t>
        </is>
      </c>
      <c r="F286" s="326" t="inlineStr">
        <is>
          <t>Strategy, Architecture &amp; Data</t>
        </is>
      </c>
      <c r="G286" s="315" t="inlineStr">
        <is>
          <t>Architecture</t>
        </is>
      </c>
      <c r="H286" s="326" t="inlineStr">
        <is>
          <t>Architecture</t>
        </is>
      </c>
      <c r="I286" s="326" t="n"/>
      <c r="J286" s="326" t="n"/>
      <c r="K286" s="315" t="inlineStr">
        <is>
          <t>COE, Architecture</t>
        </is>
      </c>
      <c r="L286" s="315" t="n"/>
      <c r="M286" s="316" t="n"/>
      <c r="N286" t="inlineStr">
        <is>
          <t>COE</t>
        </is>
      </c>
      <c r="O286" t="inlineStr">
        <is>
          <t>COE - Strategy Architecture</t>
        </is>
      </c>
      <c r="P286" t="inlineStr">
        <is>
          <t>COE - Strategy Architecture</t>
        </is>
      </c>
      <c r="Q286" t="inlineStr">
        <is>
          <t>COE</t>
        </is>
      </c>
      <c r="R286" t="inlineStr">
        <is>
          <t>Filled</t>
        </is>
      </c>
    </row>
    <row r="287" ht="18" customHeight="1" s="302">
      <c r="A287" s="314" t="n"/>
      <c r="B287" s="239" t="inlineStr">
        <is>
          <t>ring fenced</t>
        </is>
      </c>
      <c r="C287" s="239" t="inlineStr">
        <is>
          <t>Domain Architect - Customer &amp; Digital Tech</t>
        </is>
      </c>
      <c r="D287" s="239" t="inlineStr">
        <is>
          <t>Ed Tacey</t>
        </is>
      </c>
      <c r="E287" s="239" t="inlineStr">
        <is>
          <t>Head of Architecture</t>
        </is>
      </c>
      <c r="F287" s="326" t="inlineStr">
        <is>
          <t>Strategy, Architecture &amp; Data</t>
        </is>
      </c>
      <c r="G287" s="315" t="inlineStr">
        <is>
          <t>Architecture</t>
        </is>
      </c>
      <c r="H287" s="326" t="inlineStr">
        <is>
          <t>Architecture</t>
        </is>
      </c>
      <c r="I287" s="326" t="n"/>
      <c r="J287" s="326" t="n"/>
      <c r="K287" s="315" t="inlineStr">
        <is>
          <t>COE, Architecture</t>
        </is>
      </c>
      <c r="L287" s="315" t="n"/>
      <c r="M287" s="316" t="n"/>
      <c r="N287" t="inlineStr">
        <is>
          <t>COE</t>
        </is>
      </c>
      <c r="O287" t="inlineStr">
        <is>
          <t>COE - Strategy Architecture</t>
        </is>
      </c>
      <c r="P287" t="inlineStr">
        <is>
          <t>COE - Strategy Architecture</t>
        </is>
      </c>
      <c r="Q287" t="inlineStr">
        <is>
          <t>COE</t>
        </is>
      </c>
      <c r="R287" t="inlineStr">
        <is>
          <t>Filled</t>
        </is>
      </c>
    </row>
    <row r="288" ht="18" customHeight="1" s="302">
      <c r="A288" s="314" t="n">
        <v>115483</v>
      </c>
      <c r="B288" s="239" t="inlineStr">
        <is>
          <t>Craig Ambrose</t>
        </is>
      </c>
      <c r="C288" s="239" t="inlineStr">
        <is>
          <t>Domain Architect - Group Functions</t>
        </is>
      </c>
      <c r="D288" s="239" t="inlineStr">
        <is>
          <t>Ed Tacey</t>
        </is>
      </c>
      <c r="E288" s="239" t="inlineStr">
        <is>
          <t>Head of Architecture</t>
        </is>
      </c>
      <c r="F288" s="326" t="inlineStr">
        <is>
          <t>Strategy, Architecture &amp; Data</t>
        </is>
      </c>
      <c r="G288" s="315" t="inlineStr">
        <is>
          <t>Architecture</t>
        </is>
      </c>
      <c r="H288" s="326" t="inlineStr">
        <is>
          <t>Architecture</t>
        </is>
      </c>
      <c r="I288" s="326" t="n"/>
      <c r="J288" s="326" t="n"/>
      <c r="K288" s="315" t="inlineStr">
        <is>
          <t>COE, Architecture</t>
        </is>
      </c>
      <c r="L288" s="315" t="n"/>
      <c r="M288" s="316" t="n"/>
      <c r="N288" t="inlineStr">
        <is>
          <t>COE</t>
        </is>
      </c>
      <c r="O288" t="inlineStr">
        <is>
          <t>COE - Strategy Architecture</t>
        </is>
      </c>
      <c r="P288" t="inlineStr">
        <is>
          <t>COE - Strategy Architecture</t>
        </is>
      </c>
      <c r="Q288" t="inlineStr">
        <is>
          <t>COE</t>
        </is>
      </c>
      <c r="R288" t="inlineStr">
        <is>
          <t>Filled</t>
        </is>
      </c>
    </row>
    <row r="289" ht="18" customHeight="1" s="302">
      <c r="A289" s="314" t="n"/>
      <c r="B289" s="239" t="inlineStr">
        <is>
          <t>ring fenced</t>
        </is>
      </c>
      <c r="C289" s="239" t="inlineStr">
        <is>
          <t>Domain Architect - TDD</t>
        </is>
      </c>
      <c r="D289" s="239" t="inlineStr">
        <is>
          <t>Ed Tacey</t>
        </is>
      </c>
      <c r="E289" s="239" t="inlineStr">
        <is>
          <t>Head of Architecture</t>
        </is>
      </c>
      <c r="F289" s="326" t="inlineStr">
        <is>
          <t>Strategy, Architecture &amp; Data</t>
        </is>
      </c>
      <c r="G289" s="315" t="inlineStr">
        <is>
          <t>Architecture</t>
        </is>
      </c>
      <c r="H289" s="326" t="inlineStr">
        <is>
          <t>Architecture</t>
        </is>
      </c>
      <c r="I289" s="326" t="n"/>
      <c r="J289" s="326" t="n"/>
      <c r="K289" s="315" t="inlineStr">
        <is>
          <t>COE, Architecture</t>
        </is>
      </c>
      <c r="L289" s="315" t="n"/>
      <c r="M289" s="316" t="n"/>
      <c r="N289" t="inlineStr">
        <is>
          <t>COE</t>
        </is>
      </c>
      <c r="O289" t="inlineStr">
        <is>
          <t>COE - Strategy Architecture</t>
        </is>
      </c>
      <c r="P289" t="inlineStr">
        <is>
          <t>COE - Strategy Architecture</t>
        </is>
      </c>
      <c r="Q289" t="inlineStr">
        <is>
          <t>COE</t>
        </is>
      </c>
      <c r="R289" t="inlineStr">
        <is>
          <t>Filled</t>
        </is>
      </c>
    </row>
    <row r="290" ht="18" customHeight="1" s="302">
      <c r="A290" s="314" t="n">
        <v>110144</v>
      </c>
      <c r="B290" s="239" t="inlineStr">
        <is>
          <t>Sanjay Tikoo</t>
        </is>
      </c>
      <c r="C290" s="239" t="inlineStr">
        <is>
          <t>Principal, Data Architecture &amp; Governance</t>
        </is>
      </c>
      <c r="D290" s="239" t="inlineStr">
        <is>
          <t>James Holgate</t>
        </is>
      </c>
      <c r="E290" s="239" t="inlineStr">
        <is>
          <t>Head of Technology,  Group Data</t>
        </is>
      </c>
      <c r="F290" s="326" t="inlineStr">
        <is>
          <t>Strategy, Architecture &amp; Data</t>
        </is>
      </c>
      <c r="G290" s="315" t="inlineStr">
        <is>
          <t>Group Data</t>
        </is>
      </c>
      <c r="H290" s="315" t="inlineStr">
        <is>
          <t>Data Capability</t>
        </is>
      </c>
      <c r="I290" s="315" t="n"/>
      <c r="J290" s="326" t="n"/>
      <c r="K290" s="315" t="inlineStr">
        <is>
          <t>COE, Leadership</t>
        </is>
      </c>
      <c r="L290" s="315" t="n"/>
      <c r="M290" s="316" t="inlineStr">
        <is>
          <t>Australia</t>
        </is>
      </c>
      <c r="N290" t="inlineStr">
        <is>
          <t>COE</t>
        </is>
      </c>
      <c r="O290" t="inlineStr">
        <is>
          <t>Leadership</t>
        </is>
      </c>
      <c r="P290" t="inlineStr">
        <is>
          <t>Leadership</t>
        </is>
      </c>
      <c r="Q290" t="inlineStr">
        <is>
          <t>Leadership</t>
        </is>
      </c>
      <c r="R290" t="inlineStr">
        <is>
          <t>Filled</t>
        </is>
      </c>
    </row>
    <row r="291" ht="18" customHeight="1" s="302">
      <c r="A291" s="314" t="n">
        <v>99999102152</v>
      </c>
      <c r="B291" s="239" t="inlineStr">
        <is>
          <t>Vacant</t>
        </is>
      </c>
      <c r="C291" s="239" t="inlineStr">
        <is>
          <t>Technology Manager, Data Engineering &amp; Platforms</t>
        </is>
      </c>
      <c r="D291" s="239" t="inlineStr">
        <is>
          <t>James Holgate</t>
        </is>
      </c>
      <c r="E291" s="239" t="inlineStr">
        <is>
          <t>Head of Technology,  Group Data</t>
        </is>
      </c>
      <c r="F291" s="326" t="inlineStr">
        <is>
          <t>Strategy, Architecture &amp; Data</t>
        </is>
      </c>
      <c r="G291" s="315" t="inlineStr">
        <is>
          <t>Group Data</t>
        </is>
      </c>
      <c r="H291" s="326" t="inlineStr">
        <is>
          <t>Data Engineering &amp; Platforms</t>
        </is>
      </c>
      <c r="I291" s="326" t="inlineStr">
        <is>
          <t>Enterprise Data</t>
        </is>
      </c>
      <c r="J291" s="326" t="inlineStr">
        <is>
          <t>Group Data</t>
        </is>
      </c>
      <c r="K291" s="315" t="inlineStr">
        <is>
          <t>COE, Leadership</t>
        </is>
      </c>
      <c r="L291" s="315" t="n"/>
      <c r="M291" s="316" t="inlineStr">
        <is>
          <t>NZ</t>
        </is>
      </c>
      <c r="N291" t="inlineStr">
        <is>
          <t>COE</t>
        </is>
      </c>
      <c r="O291" t="inlineStr">
        <is>
          <t>Leadership</t>
        </is>
      </c>
      <c r="P291" t="inlineStr">
        <is>
          <t>Leadership</t>
        </is>
      </c>
      <c r="Q291" t="inlineStr">
        <is>
          <t>Leadership</t>
        </is>
      </c>
      <c r="R291" t="inlineStr">
        <is>
          <t>Vacant</t>
        </is>
      </c>
    </row>
    <row r="292" ht="18" customHeight="1" s="302">
      <c r="A292" s="314" t="n">
        <v>113956</v>
      </c>
      <c r="B292" s="239" t="inlineStr">
        <is>
          <t>Deepali Mahajan</t>
        </is>
      </c>
      <c r="C292" s="239" t="inlineStr">
        <is>
          <t>Data Operations Manager</t>
        </is>
      </c>
      <c r="D292" s="239" t="inlineStr">
        <is>
          <t>James Holgate</t>
        </is>
      </c>
      <c r="E292" s="239" t="inlineStr">
        <is>
          <t>Head of Technology,  Group Data</t>
        </is>
      </c>
      <c r="F292" s="326" t="inlineStr">
        <is>
          <t>Strategy, Architecture &amp; Data</t>
        </is>
      </c>
      <c r="G292" s="315" t="inlineStr">
        <is>
          <t>Group Data</t>
        </is>
      </c>
      <c r="H292" s="315" t="inlineStr">
        <is>
          <t>Data Operations</t>
        </is>
      </c>
      <c r="I292" s="326" t="inlineStr">
        <is>
          <t>Enterprise Data</t>
        </is>
      </c>
      <c r="J292" s="326" t="n"/>
      <c r="K292" s="315" t="inlineStr">
        <is>
          <t>COE, Data Operations</t>
        </is>
      </c>
      <c r="L292" s="315" t="n"/>
      <c r="M292" s="316" t="inlineStr">
        <is>
          <t>Australia</t>
        </is>
      </c>
      <c r="N292" t="inlineStr">
        <is>
          <t>Enterprise Data</t>
        </is>
      </c>
      <c r="O292" t="inlineStr">
        <is>
          <t>Group Data</t>
        </is>
      </c>
      <c r="P292" t="inlineStr">
        <is>
          <t>Operations</t>
        </is>
      </c>
      <c r="Q292" t="inlineStr">
        <is>
          <t>Squad</t>
        </is>
      </c>
      <c r="R292" t="inlineStr">
        <is>
          <t>Filled</t>
        </is>
      </c>
    </row>
    <row r="293" ht="18" customHeight="1" s="302">
      <c r="A293" s="314" t="n"/>
      <c r="B293" s="239" t="inlineStr">
        <is>
          <t>Vacant</t>
        </is>
      </c>
      <c r="C293" s="239" t="inlineStr">
        <is>
          <t>Engineer - DevOps</t>
        </is>
      </c>
      <c r="D293" s="239" t="inlineStr">
        <is>
          <t>Jason Gleason</t>
        </is>
      </c>
      <c r="E293" s="239" t="inlineStr">
        <is>
          <t>Technology Manager, Data Engineering &amp; Platforms</t>
        </is>
      </c>
      <c r="F293" s="326" t="inlineStr">
        <is>
          <t>Strategy, Architecture &amp; Data</t>
        </is>
      </c>
      <c r="G293" s="315" t="inlineStr">
        <is>
          <t>Group Data</t>
        </is>
      </c>
      <c r="H293" s="326" t="inlineStr">
        <is>
          <t>Data Engineering &amp; Platforms</t>
        </is>
      </c>
      <c r="I293" s="315" t="inlineStr">
        <is>
          <t>Enterprise Data</t>
        </is>
      </c>
      <c r="J293" s="326" t="inlineStr">
        <is>
          <t>Group Data</t>
        </is>
      </c>
      <c r="K293" s="315" t="inlineStr">
        <is>
          <t>Data Platform</t>
        </is>
      </c>
      <c r="L293" s="315" t="n"/>
      <c r="M293" s="316" t="n"/>
      <c r="N293" t="inlineStr">
        <is>
          <t>Enterprise Data</t>
        </is>
      </c>
      <c r="O293" t="inlineStr">
        <is>
          <t>Group Data</t>
        </is>
      </c>
      <c r="P293" t="inlineStr">
        <is>
          <t>Data Platforms</t>
        </is>
      </c>
      <c r="Q293" t="inlineStr">
        <is>
          <t>Squad</t>
        </is>
      </c>
      <c r="R293" t="inlineStr">
        <is>
          <t>Vacant</t>
        </is>
      </c>
    </row>
    <row r="294" ht="18" customHeight="1" s="302">
      <c r="A294" s="314" t="n">
        <v>114147</v>
      </c>
      <c r="B294" s="239" t="inlineStr">
        <is>
          <t>Sumathi Manikkampichai</t>
        </is>
      </c>
      <c r="C294" s="239" t="inlineStr">
        <is>
          <t>Data Architect</t>
        </is>
      </c>
      <c r="D294" s="239" t="inlineStr">
        <is>
          <t>Jason Gleason</t>
        </is>
      </c>
      <c r="E294" s="239" t="inlineStr">
        <is>
          <t>Technology Manager, Data Engineering &amp; Platforms</t>
        </is>
      </c>
      <c r="F294" s="326" t="inlineStr">
        <is>
          <t>Strategy, Architecture &amp; Data</t>
        </is>
      </c>
      <c r="G294" s="315" t="inlineStr">
        <is>
          <t>Group Data</t>
        </is>
      </c>
      <c r="H294" s="326" t="inlineStr">
        <is>
          <t>Data Engineering &amp; Platforms</t>
        </is>
      </c>
      <c r="I294" s="326" t="inlineStr">
        <is>
          <t>Enterprise Data</t>
        </is>
      </c>
      <c r="J294" s="326" t="inlineStr">
        <is>
          <t>EGI</t>
        </is>
      </c>
      <c r="K294" s="326" t="inlineStr">
        <is>
          <t>Reporting &amp; Analytics</t>
        </is>
      </c>
      <c r="L294" s="315" t="n"/>
      <c r="M294" s="316" t="inlineStr">
        <is>
          <t>Australia</t>
        </is>
      </c>
      <c r="N294" t="inlineStr">
        <is>
          <t>Enterprise Data</t>
        </is>
      </c>
      <c r="O294" t="inlineStr">
        <is>
          <t>Group Data</t>
        </is>
      </c>
      <c r="P294" t="inlineStr">
        <is>
          <t>Reporting &amp; Analytics</t>
        </is>
      </c>
      <c r="Q294" t="inlineStr">
        <is>
          <t>Squad</t>
        </is>
      </c>
      <c r="R294" t="inlineStr">
        <is>
          <t>Filled</t>
        </is>
      </c>
    </row>
    <row r="295" ht="18" customHeight="1" s="302">
      <c r="A295" s="314" t="n">
        <v>99999101674</v>
      </c>
      <c r="B295" s="239" t="inlineStr">
        <is>
          <t>Roozbeh Shahbazirad</t>
        </is>
      </c>
      <c r="C295" s="239" t="inlineStr">
        <is>
          <t>Lead Engineer</t>
        </is>
      </c>
      <c r="D295" s="239" t="inlineStr">
        <is>
          <t>Jason Gleason</t>
        </is>
      </c>
      <c r="E295" s="239" t="inlineStr">
        <is>
          <t>Technology Manager, Data Engineering &amp; Platforms</t>
        </is>
      </c>
      <c r="F295" s="326" t="inlineStr">
        <is>
          <t>Strategy, Architecture &amp; Data</t>
        </is>
      </c>
      <c r="G295" s="315" t="inlineStr">
        <is>
          <t>Group Data</t>
        </is>
      </c>
      <c r="H295" s="326" t="inlineStr">
        <is>
          <t>Data Engineering &amp; Platforms</t>
        </is>
      </c>
      <c r="I295" s="315" t="inlineStr">
        <is>
          <t>Enterprise Data</t>
        </is>
      </c>
      <c r="J295" s="326" t="inlineStr">
        <is>
          <t>An</t>
        </is>
      </c>
      <c r="K295" s="315" t="inlineStr">
        <is>
          <t>Data Platform</t>
        </is>
      </c>
      <c r="L295" s="315" t="n"/>
      <c r="M295" s="316" t="inlineStr">
        <is>
          <t>NZ</t>
        </is>
      </c>
      <c r="N295" t="inlineStr">
        <is>
          <t>Enterprise Data</t>
        </is>
      </c>
      <c r="O295" t="inlineStr">
        <is>
          <t>Group Data</t>
        </is>
      </c>
      <c r="P295" t="inlineStr">
        <is>
          <t>Data Platforms</t>
        </is>
      </c>
      <c r="Q295" t="inlineStr">
        <is>
          <t>Squad</t>
        </is>
      </c>
      <c r="R295" t="inlineStr">
        <is>
          <t>Filled</t>
        </is>
      </c>
    </row>
    <row r="296" ht="18" customHeight="1" s="302">
      <c r="A296" s="314" t="n"/>
      <c r="B296" s="239" t="inlineStr">
        <is>
          <t>Vacant</t>
        </is>
      </c>
      <c r="C296" s="239" t="inlineStr">
        <is>
          <t>Business Analyst</t>
        </is>
      </c>
      <c r="D296" s="239" t="inlineStr">
        <is>
          <t>Joel Vijayakumar</t>
        </is>
      </c>
      <c r="E296" s="239" t="inlineStr">
        <is>
          <t>Delivery Manager, Strategy, Architecture &amp; Data</t>
        </is>
      </c>
      <c r="F296" s="326" t="inlineStr">
        <is>
          <t>Strategy, Architecture &amp; Data</t>
        </is>
      </c>
      <c r="G296" s="315" t="inlineStr">
        <is>
          <t>Delivery, SADA</t>
        </is>
      </c>
      <c r="H296" s="315" t="n"/>
      <c r="I296" s="326" t="inlineStr">
        <is>
          <t>Enterprise Data</t>
        </is>
      </c>
      <c r="J296" s="326" t="inlineStr">
        <is>
          <t>EGI</t>
        </is>
      </c>
      <c r="K296" s="326" t="inlineStr">
        <is>
          <t>Reporting &amp; Analytics</t>
        </is>
      </c>
      <c r="L296" s="315" t="n"/>
      <c r="M296" s="316" t="n"/>
      <c r="N296" t="inlineStr">
        <is>
          <t>Enterprise Data</t>
        </is>
      </c>
      <c r="O296" t="inlineStr">
        <is>
          <t>Group Data</t>
        </is>
      </c>
      <c r="P296" t="inlineStr">
        <is>
          <t>Reporting &amp; Analytics</t>
        </is>
      </c>
      <c r="Q296" t="inlineStr">
        <is>
          <t>Squad</t>
        </is>
      </c>
      <c r="R296" t="inlineStr">
        <is>
          <t>Vacant</t>
        </is>
      </c>
    </row>
    <row r="297" ht="18" customHeight="1" s="302">
      <c r="A297" s="314" t="n">
        <v>80477</v>
      </c>
      <c r="B297" s="239" t="inlineStr">
        <is>
          <t>Vacant</t>
        </is>
      </c>
      <c r="C297" s="239" t="inlineStr">
        <is>
          <t>Delivery Lead</t>
        </is>
      </c>
      <c r="D297" s="239" t="inlineStr">
        <is>
          <t>Joel Vijayakumar</t>
        </is>
      </c>
      <c r="E297" s="239" t="inlineStr">
        <is>
          <t>Delivery Manager, Strategy, Architecture &amp; Data</t>
        </is>
      </c>
      <c r="F297" s="326" t="inlineStr">
        <is>
          <t>Strategy, Architecture &amp; Data</t>
        </is>
      </c>
      <c r="G297" s="315" t="inlineStr">
        <is>
          <t>Delivery, SADA</t>
        </is>
      </c>
      <c r="H297" s="315" t="n"/>
      <c r="I297" s="326" t="inlineStr">
        <is>
          <t>Enterprise Data</t>
        </is>
      </c>
      <c r="J297" s="326" t="inlineStr">
        <is>
          <t>Group Data</t>
        </is>
      </c>
      <c r="K297" s="326" t="inlineStr">
        <is>
          <t>Reporting &amp; Analytics</t>
        </is>
      </c>
      <c r="L297" s="315" t="n"/>
      <c r="M297" s="316" t="inlineStr">
        <is>
          <t>Australia</t>
        </is>
      </c>
      <c r="N297" t="inlineStr">
        <is>
          <t>Enterprise Data</t>
        </is>
      </c>
      <c r="O297" t="inlineStr">
        <is>
          <t>Group Data</t>
        </is>
      </c>
      <c r="P297" t="inlineStr">
        <is>
          <t>Reporting &amp; Analytics</t>
        </is>
      </c>
      <c r="Q297" t="inlineStr">
        <is>
          <t>Squad</t>
        </is>
      </c>
      <c r="R297" t="inlineStr">
        <is>
          <t>Vacant</t>
        </is>
      </c>
    </row>
    <row r="298" ht="18" customHeight="1" s="302">
      <c r="A298" s="314" t="n">
        <v>94631</v>
      </c>
      <c r="B298" s="239" t="inlineStr">
        <is>
          <t>Rihan Schalkwyk</t>
        </is>
      </c>
      <c r="C298" s="239" t="inlineStr">
        <is>
          <t>Senior Business Analyst</t>
        </is>
      </c>
      <c r="D298" s="239" t="inlineStr">
        <is>
          <t>Joel Vijayakumar</t>
        </is>
      </c>
      <c r="E298" s="239" t="inlineStr">
        <is>
          <t>Delivery Manager, Strategy, Architecture &amp; Data</t>
        </is>
      </c>
      <c r="F298" s="326" t="inlineStr">
        <is>
          <t>Strategy, Architecture &amp; Data</t>
        </is>
      </c>
      <c r="G298" s="315" t="inlineStr">
        <is>
          <t>Delivery, SADA</t>
        </is>
      </c>
      <c r="H298" s="315" t="inlineStr">
        <is>
          <t> </t>
        </is>
      </c>
      <c r="I298" s="315" t="n"/>
      <c r="J298" s="326" t="n"/>
      <c r="K298" s="315" t="inlineStr">
        <is>
          <t>COE</t>
        </is>
      </c>
      <c r="L298" s="315" t="n"/>
      <c r="M298" s="316" t="inlineStr">
        <is>
          <t>Australia</t>
        </is>
      </c>
      <c r="N298" t="inlineStr">
        <is>
          <t>COE</t>
        </is>
      </c>
      <c r="O298" t="inlineStr">
        <is>
          <t>COE (unspecified)</t>
        </is>
      </c>
      <c r="P298" t="inlineStr">
        <is>
          <t>COE (unspecified)</t>
        </is>
      </c>
      <c r="Q298" t="inlineStr">
        <is>
          <t>COE</t>
        </is>
      </c>
      <c r="R298" t="inlineStr">
        <is>
          <t>Filled</t>
        </is>
      </c>
    </row>
    <row r="299" ht="18" customHeight="1" s="302">
      <c r="A299" s="314" t="n"/>
      <c r="B299" s="239" t="inlineStr">
        <is>
          <t>Vacant</t>
        </is>
      </c>
      <c r="C299" s="239" t="inlineStr">
        <is>
          <t>Business Analyst</t>
        </is>
      </c>
      <c r="D299" s="239" t="inlineStr">
        <is>
          <t>Joel Vijayakumar</t>
        </is>
      </c>
      <c r="E299" s="239" t="inlineStr">
        <is>
          <t>Delivery Manager, Strategy, Architecture &amp; Data</t>
        </is>
      </c>
      <c r="F299" s="326" t="inlineStr">
        <is>
          <t>Strategy, Architecture &amp; Data</t>
        </is>
      </c>
      <c r="G299" s="315" t="inlineStr">
        <is>
          <t>Delivery, SADA</t>
        </is>
      </c>
      <c r="H299" s="315" t="n"/>
      <c r="I299" s="315" t="inlineStr">
        <is>
          <t>Enterprise Data</t>
        </is>
      </c>
      <c r="J299" s="326" t="inlineStr">
        <is>
          <t>Group Data</t>
        </is>
      </c>
      <c r="K299" s="315" t="inlineStr">
        <is>
          <t>Data Platform</t>
        </is>
      </c>
      <c r="L299" s="315" t="n"/>
      <c r="M299" s="316" t="n"/>
      <c r="N299" t="inlineStr">
        <is>
          <t>Enterprise Data</t>
        </is>
      </c>
      <c r="O299" t="inlineStr">
        <is>
          <t>Group Data</t>
        </is>
      </c>
      <c r="P299" t="inlineStr">
        <is>
          <t>Data Platforms</t>
        </is>
      </c>
      <c r="Q299" t="inlineStr">
        <is>
          <t>Squad</t>
        </is>
      </c>
      <c r="R299" t="inlineStr">
        <is>
          <t>Vacant</t>
        </is>
      </c>
    </row>
    <row r="300" ht="18" customHeight="1" s="302">
      <c r="A300" s="314" t="n">
        <v>99999101251</v>
      </c>
      <c r="B300" s="239" t="inlineStr">
        <is>
          <t>Tim Snedden</t>
        </is>
      </c>
      <c r="C300" s="239" t="inlineStr">
        <is>
          <t>Delivery Lead</t>
        </is>
      </c>
      <c r="D300" s="239" t="inlineStr">
        <is>
          <t>Joel Vijayakumar</t>
        </is>
      </c>
      <c r="E300" s="239" t="inlineStr">
        <is>
          <t>Delivery Manager, Strategy, Architecture &amp; Data</t>
        </is>
      </c>
      <c r="F300" s="326" t="inlineStr">
        <is>
          <t>Strategy, Architecture &amp; Data</t>
        </is>
      </c>
      <c r="G300" s="315" t="inlineStr">
        <is>
          <t>Delivery, SADA</t>
        </is>
      </c>
      <c r="H300" s="315" t="n"/>
      <c r="I300" s="315" t="inlineStr">
        <is>
          <t>Enterprise Data</t>
        </is>
      </c>
      <c r="J300" s="326" t="inlineStr">
        <is>
          <t>Group Data</t>
        </is>
      </c>
      <c r="K300" s="315" t="inlineStr">
        <is>
          <t>Data Platform</t>
        </is>
      </c>
      <c r="L300" s="315" t="n"/>
      <c r="M300" s="316" t="inlineStr">
        <is>
          <t>NZ</t>
        </is>
      </c>
      <c r="N300" t="inlineStr">
        <is>
          <t>Enterprise Data</t>
        </is>
      </c>
      <c r="O300" t="inlineStr">
        <is>
          <t>Group Data</t>
        </is>
      </c>
      <c r="P300" t="inlineStr">
        <is>
          <t>Data Platforms</t>
        </is>
      </c>
      <c r="Q300" t="inlineStr">
        <is>
          <t>Squad</t>
        </is>
      </c>
      <c r="R300" t="inlineStr">
        <is>
          <t>Filled</t>
        </is>
      </c>
    </row>
    <row r="301" ht="18" customHeight="1" s="302">
      <c r="A301" s="314" t="n">
        <v>101166</v>
      </c>
      <c r="B301" s="315" t="inlineStr">
        <is>
          <t>Yu Chen</t>
        </is>
      </c>
      <c r="C301" s="315" t="inlineStr">
        <is>
          <t>Senior Data Scientist</t>
        </is>
      </c>
      <c r="D301" s="239" t="inlineStr">
        <is>
          <t>Jonathan Robinson</t>
        </is>
      </c>
      <c r="E301" s="239" t="inlineStr">
        <is>
          <t>Technology Manager, Data Science</t>
        </is>
      </c>
      <c r="F301" s="326" t="inlineStr">
        <is>
          <t>Strategy, Architecture &amp; Data</t>
        </is>
      </c>
      <c r="G301" s="315" t="inlineStr">
        <is>
          <t>Group Data</t>
        </is>
      </c>
      <c r="H301" s="326" t="inlineStr">
        <is>
          <t>Data Science</t>
        </is>
      </c>
      <c r="I301" s="326" t="inlineStr">
        <is>
          <t>Enterprise Data</t>
        </is>
      </c>
      <c r="J301" s="326" t="inlineStr">
        <is>
          <t>Group Data</t>
        </is>
      </c>
      <c r="K301" s="315" t="inlineStr">
        <is>
          <t>COE, Data Science</t>
        </is>
      </c>
      <c r="L301" s="315" t="n"/>
      <c r="M301" s="316" t="inlineStr">
        <is>
          <t>Australia</t>
        </is>
      </c>
      <c r="N301" t="inlineStr">
        <is>
          <t>Enterprise Data</t>
        </is>
      </c>
      <c r="O301" t="inlineStr">
        <is>
          <t>Group Data</t>
        </is>
      </c>
      <c r="P301" t="inlineStr">
        <is>
          <t>Data Science</t>
        </is>
      </c>
      <c r="Q301" t="inlineStr">
        <is>
          <t>Squad</t>
        </is>
      </c>
      <c r="R301" t="inlineStr">
        <is>
          <t>Filled</t>
        </is>
      </c>
    </row>
    <row r="302" ht="18" customHeight="1" s="302">
      <c r="A302" s="314" t="n"/>
      <c r="B302" s="239" t="inlineStr">
        <is>
          <t>vacant</t>
        </is>
      </c>
      <c r="C302" s="239" t="inlineStr">
        <is>
          <t>Data Analyst</t>
        </is>
      </c>
      <c r="D302" s="239" t="inlineStr">
        <is>
          <t>Jonathan Robinson</t>
        </is>
      </c>
      <c r="E302" s="239" t="inlineStr">
        <is>
          <t>Technology Manager, Data Science</t>
        </is>
      </c>
      <c r="F302" s="326" t="inlineStr">
        <is>
          <t>Strategy, Architecture &amp; Data</t>
        </is>
      </c>
      <c r="G302" s="315" t="inlineStr">
        <is>
          <t>Group Data</t>
        </is>
      </c>
      <c r="H302" s="326" t="inlineStr">
        <is>
          <t>Ampol Retail, Store Platforms</t>
        </is>
      </c>
      <c r="I302" s="326" t="inlineStr">
        <is>
          <t>Enterprise Data</t>
        </is>
      </c>
      <c r="J302" s="326" t="inlineStr">
        <is>
          <t>Group Data</t>
        </is>
      </c>
      <c r="K302" s="315" t="inlineStr">
        <is>
          <t>COE, Data Science</t>
        </is>
      </c>
      <c r="L302" s="315" t="n"/>
      <c r="M302" s="316" t="n"/>
      <c r="N302" t="inlineStr">
        <is>
          <t>Enterprise Data</t>
        </is>
      </c>
      <c r="O302" t="inlineStr">
        <is>
          <t>Group Data</t>
        </is>
      </c>
      <c r="P302" t="inlineStr">
        <is>
          <t>Data Science</t>
        </is>
      </c>
      <c r="Q302" t="inlineStr">
        <is>
          <t>Squad</t>
        </is>
      </c>
      <c r="R302" t="inlineStr">
        <is>
          <t>Vacant</t>
        </is>
      </c>
    </row>
    <row r="303" ht="18" customHeight="1" s="302">
      <c r="A303" s="314" t="n">
        <v>107048</v>
      </c>
      <c r="B303" s="239" t="inlineStr">
        <is>
          <t>Om Singh</t>
        </is>
      </c>
      <c r="C303" s="239" t="inlineStr">
        <is>
          <t>Data Scientist</t>
        </is>
      </c>
      <c r="D303" s="239" t="inlineStr">
        <is>
          <t>Jonathan Robinson</t>
        </is>
      </c>
      <c r="E303" s="239" t="inlineStr">
        <is>
          <t>Technology Manager, Data Science</t>
        </is>
      </c>
      <c r="F303" s="326" t="inlineStr">
        <is>
          <t>Strategy, Architecture &amp; Data</t>
        </is>
      </c>
      <c r="G303" s="315" t="inlineStr">
        <is>
          <t>Group Data</t>
        </is>
      </c>
      <c r="H303" s="326" t="inlineStr">
        <is>
          <t>Data Science</t>
        </is>
      </c>
      <c r="I303" s="326" t="inlineStr">
        <is>
          <t>Enterprise Data</t>
        </is>
      </c>
      <c r="J303" s="326" t="inlineStr">
        <is>
          <t>Group Data</t>
        </is>
      </c>
      <c r="K303" s="315" t="inlineStr">
        <is>
          <t>COE, Data Science</t>
        </is>
      </c>
      <c r="L303" s="315" t="n"/>
      <c r="M303" s="316" t="inlineStr">
        <is>
          <t>Australia</t>
        </is>
      </c>
      <c r="N303" t="inlineStr">
        <is>
          <t>Enterprise Data</t>
        </is>
      </c>
      <c r="O303" t="inlineStr">
        <is>
          <t>Group Data</t>
        </is>
      </c>
      <c r="P303" t="inlineStr">
        <is>
          <t>Data Science</t>
        </is>
      </c>
      <c r="Q303" t="inlineStr">
        <is>
          <t>Squad</t>
        </is>
      </c>
      <c r="R303" t="inlineStr">
        <is>
          <t>Filled</t>
        </is>
      </c>
    </row>
    <row r="304" ht="18" customHeight="1" s="302">
      <c r="A304" s="314" t="n"/>
      <c r="B304" s="239" t="inlineStr">
        <is>
          <t>vacant</t>
        </is>
      </c>
      <c r="C304" s="239" t="inlineStr">
        <is>
          <t>Data Scientist</t>
        </is>
      </c>
      <c r="D304" s="239" t="inlineStr">
        <is>
          <t>Jonathan Robinson</t>
        </is>
      </c>
      <c r="E304" s="239" t="inlineStr">
        <is>
          <t>Technology Manager, Data Science</t>
        </is>
      </c>
      <c r="F304" s="326" t="inlineStr">
        <is>
          <t>Strategy, Architecture &amp; Data</t>
        </is>
      </c>
      <c r="G304" s="315" t="inlineStr">
        <is>
          <t>Group Data</t>
        </is>
      </c>
      <c r="H304" s="326" t="inlineStr">
        <is>
          <t>Data Science</t>
        </is>
      </c>
      <c r="I304" s="326" t="inlineStr">
        <is>
          <t>Enterprise Data</t>
        </is>
      </c>
      <c r="J304" s="326" t="inlineStr">
        <is>
          <t>Group Data</t>
        </is>
      </c>
      <c r="K304" s="315" t="inlineStr">
        <is>
          <t>COE, Data Science</t>
        </is>
      </c>
      <c r="L304" s="315" t="n"/>
      <c r="M304" s="316" t="n"/>
      <c r="N304" t="inlineStr">
        <is>
          <t>Enterprise Data</t>
        </is>
      </c>
      <c r="O304" t="inlineStr">
        <is>
          <t>Group Data</t>
        </is>
      </c>
      <c r="P304" t="inlineStr">
        <is>
          <t>Data Science</t>
        </is>
      </c>
      <c r="Q304" t="inlineStr">
        <is>
          <t>Squad</t>
        </is>
      </c>
      <c r="R304" t="inlineStr">
        <is>
          <t>Vacant</t>
        </is>
      </c>
    </row>
    <row r="305" ht="18" customHeight="1" s="302">
      <c r="A305" s="314" t="n">
        <v>99999101507</v>
      </c>
      <c r="B305" s="239" t="inlineStr">
        <is>
          <t>Vacant</t>
        </is>
      </c>
      <c r="C305" s="239" t="inlineStr">
        <is>
          <t>Senior Data Scientist</t>
        </is>
      </c>
      <c r="D305" s="239" t="inlineStr">
        <is>
          <t>Jonathan Robinson</t>
        </is>
      </c>
      <c r="E305" s="239" t="inlineStr">
        <is>
          <t>Technology Manager, Data Science</t>
        </is>
      </c>
      <c r="F305" s="326" t="inlineStr">
        <is>
          <t>Strategy, Architecture &amp; Data</t>
        </is>
      </c>
      <c r="G305" s="315" t="inlineStr">
        <is>
          <t>Group Data</t>
        </is>
      </c>
      <c r="H305" s="326" t="inlineStr">
        <is>
          <t>Data Science</t>
        </is>
      </c>
      <c r="I305" s="326" t="inlineStr">
        <is>
          <t>Enterprise Data</t>
        </is>
      </c>
      <c r="J305" s="326" t="inlineStr">
        <is>
          <t>Group Data</t>
        </is>
      </c>
      <c r="K305" s="315" t="inlineStr">
        <is>
          <t>COE, Data Science</t>
        </is>
      </c>
      <c r="L305" s="315" t="n"/>
      <c r="M305" s="316" t="inlineStr">
        <is>
          <t>NZ</t>
        </is>
      </c>
      <c r="N305" t="inlineStr">
        <is>
          <t>Enterprise Data</t>
        </is>
      </c>
      <c r="O305" t="inlineStr">
        <is>
          <t>Group Data</t>
        </is>
      </c>
      <c r="P305" t="inlineStr">
        <is>
          <t>Data Science</t>
        </is>
      </c>
      <c r="Q305" t="inlineStr">
        <is>
          <t>Squad</t>
        </is>
      </c>
      <c r="R305" t="inlineStr">
        <is>
          <t>Vacant</t>
        </is>
      </c>
    </row>
    <row r="306" ht="18" customHeight="1" s="302">
      <c r="A306" s="314" t="n"/>
      <c r="B306" s="239" t="inlineStr">
        <is>
          <t>Vacant</t>
        </is>
      </c>
      <c r="C306" s="239" t="inlineStr">
        <is>
          <t>Senior Communications Advisor</t>
        </is>
      </c>
      <c r="D306" s="239" t="inlineStr">
        <is>
          <t>Matt Ashley</t>
        </is>
      </c>
      <c r="E306" s="239" t="inlineStr">
        <is>
          <t>GM TDD, Strategy, Architecture, Data</t>
        </is>
      </c>
      <c r="F306" s="326" t="inlineStr">
        <is>
          <t>Strategy, Architecture &amp; Data</t>
        </is>
      </c>
      <c r="G306" s="315" t="inlineStr">
        <is>
          <t>na</t>
        </is>
      </c>
      <c r="H306" s="315" t="n"/>
      <c r="I306" s="315" t="n"/>
      <c r="J306" s="326" t="n"/>
      <c r="K306" s="326" t="inlineStr">
        <is>
          <t>Leadership</t>
        </is>
      </c>
      <c r="L306" s="315" t="n"/>
      <c r="M306" s="316" t="n"/>
      <c r="N306" t="inlineStr">
        <is>
          <t>Unmapped</t>
        </is>
      </c>
      <c r="O306" t="inlineStr">
        <is>
          <t>Leadership</t>
        </is>
      </c>
      <c r="P306" t="inlineStr">
        <is>
          <t>Leadership</t>
        </is>
      </c>
      <c r="Q306" t="inlineStr">
        <is>
          <t>Leadership</t>
        </is>
      </c>
      <c r="R306" t="inlineStr">
        <is>
          <t>Vacant</t>
        </is>
      </c>
    </row>
    <row r="307" ht="18" customHeight="1" s="302">
      <c r="A307" s="314" t="n">
        <v>80469</v>
      </c>
      <c r="B307" s="239" t="inlineStr">
        <is>
          <t>James Holgate</t>
        </is>
      </c>
      <c r="C307" s="239" t="inlineStr">
        <is>
          <t>Head of Technology,  Group Data</t>
        </is>
      </c>
      <c r="D307" s="239" t="inlineStr">
        <is>
          <t>Matt Ashley</t>
        </is>
      </c>
      <c r="E307" s="239" t="inlineStr">
        <is>
          <t>GM TDD, Strategy, Architecture, Data</t>
        </is>
      </c>
      <c r="F307" s="326" t="inlineStr">
        <is>
          <t>Strategy, Architecture &amp; Data</t>
        </is>
      </c>
      <c r="G307" s="315" t="inlineStr">
        <is>
          <t>Group Data</t>
        </is>
      </c>
      <c r="H307" s="326" t="n"/>
      <c r="I307" s="315" t="n"/>
      <c r="J307" s="326" t="n"/>
      <c r="K307" s="326" t="inlineStr">
        <is>
          <t>Leadership</t>
        </is>
      </c>
      <c r="L307" s="315" t="n"/>
      <c r="M307" s="316" t="inlineStr">
        <is>
          <t>Australia</t>
        </is>
      </c>
      <c r="N307" t="inlineStr">
        <is>
          <t>Unmapped</t>
        </is>
      </c>
      <c r="O307" t="inlineStr">
        <is>
          <t>Leadership</t>
        </is>
      </c>
      <c r="P307" t="inlineStr">
        <is>
          <t>Leadership</t>
        </is>
      </c>
      <c r="Q307" t="inlineStr">
        <is>
          <t>Leadership</t>
        </is>
      </c>
      <c r="R307" t="inlineStr">
        <is>
          <t>Filled</t>
        </is>
      </c>
    </row>
    <row r="308" ht="18" customHeight="1" s="302">
      <c r="A308" s="314" t="n">
        <v>113381</v>
      </c>
      <c r="B308" s="239" t="inlineStr">
        <is>
          <t>Joel Vijayakumar</t>
        </is>
      </c>
      <c r="C308" s="239" t="inlineStr">
        <is>
          <t>Delivery Manager, Strategy, Architecture &amp; Data</t>
        </is>
      </c>
      <c r="D308" s="239" t="inlineStr">
        <is>
          <t>Matt Ashley</t>
        </is>
      </c>
      <c r="E308" s="239" t="inlineStr">
        <is>
          <t>GM TDD, Strategy, Architecture, Data</t>
        </is>
      </c>
      <c r="F308" s="326" t="inlineStr">
        <is>
          <t>Strategy, Architecture &amp; Data</t>
        </is>
      </c>
      <c r="G308" s="315" t="inlineStr">
        <is>
          <t>Delivery, SADA</t>
        </is>
      </c>
      <c r="H308" s="315" t="n"/>
      <c r="I308" s="315" t="n"/>
      <c r="J308" s="326" t="n"/>
      <c r="K308" s="326" t="inlineStr">
        <is>
          <t>Leadership</t>
        </is>
      </c>
      <c r="L308" s="315" t="n"/>
      <c r="M308" s="316" t="inlineStr">
        <is>
          <t>Australia</t>
        </is>
      </c>
      <c r="N308" t="inlineStr">
        <is>
          <t>Unmapped</t>
        </is>
      </c>
      <c r="O308" t="inlineStr">
        <is>
          <t>Leadership</t>
        </is>
      </c>
      <c r="P308" t="inlineStr">
        <is>
          <t>Leadership</t>
        </is>
      </c>
      <c r="Q308" t="inlineStr">
        <is>
          <t>Leadership</t>
        </is>
      </c>
      <c r="R308" t="inlineStr">
        <is>
          <t>Filled</t>
        </is>
      </c>
    </row>
    <row r="309" ht="18" customHeight="1" s="302">
      <c r="A309" s="314" t="n"/>
      <c r="B309" s="239" t="inlineStr">
        <is>
          <t>Vacant</t>
        </is>
      </c>
      <c r="C309" s="239" t="inlineStr">
        <is>
          <t>Head of Technology Strategy &amp; AI Capability</t>
        </is>
      </c>
      <c r="D309" s="239" t="inlineStr">
        <is>
          <t>Matt Ashley</t>
        </is>
      </c>
      <c r="E309" s="239" t="inlineStr">
        <is>
          <t>GM TDD, Strategy, Architecture, Data</t>
        </is>
      </c>
      <c r="F309" s="326" t="inlineStr">
        <is>
          <t>Strategy, Architecture &amp; Data</t>
        </is>
      </c>
      <c r="G309" s="315" t="inlineStr">
        <is>
          <t>Technology Strategy &amp; AI Capability</t>
        </is>
      </c>
      <c r="H309" s="315" t="n"/>
      <c r="I309" s="315" t="n"/>
      <c r="J309" s="326" t="n"/>
      <c r="K309" s="326" t="inlineStr">
        <is>
          <t>Leadership</t>
        </is>
      </c>
      <c r="L309" s="315" t="n"/>
      <c r="M309" s="316" t="n"/>
      <c r="N309" t="inlineStr">
        <is>
          <t>Unmapped</t>
        </is>
      </c>
      <c r="O309" t="inlineStr">
        <is>
          <t>Leadership</t>
        </is>
      </c>
      <c r="P309" t="inlineStr">
        <is>
          <t>Leadership</t>
        </is>
      </c>
      <c r="Q309" t="inlineStr">
        <is>
          <t>Leadership</t>
        </is>
      </c>
      <c r="R309" t="inlineStr">
        <is>
          <t>Vacant</t>
        </is>
      </c>
    </row>
    <row r="310" ht="18" customHeight="1" s="302">
      <c r="A310" s="314" t="n"/>
      <c r="B310" s="239" t="inlineStr">
        <is>
          <t>Vacant (contract)</t>
        </is>
      </c>
      <c r="C310" s="239" t="inlineStr">
        <is>
          <t>Reporting analysts - Strategic Programs</t>
        </is>
      </c>
      <c r="D310" s="239" t="inlineStr">
        <is>
          <t>Prashanth Krishnankutty</t>
        </is>
      </c>
      <c r="E310" s="239" t="inlineStr">
        <is>
          <t>Lead, Reporting &amp; Insights</t>
        </is>
      </c>
      <c r="F310" s="326" t="inlineStr">
        <is>
          <t>Strategy, Architecture &amp; Data</t>
        </is>
      </c>
      <c r="G310" s="315" t="inlineStr">
        <is>
          <t>Group Data</t>
        </is>
      </c>
      <c r="H310" s="326" t="inlineStr">
        <is>
          <t>Data Engineering &amp; Platforms</t>
        </is>
      </c>
      <c r="I310" s="315" t="inlineStr">
        <is>
          <t>Enterprise Data</t>
        </is>
      </c>
      <c r="J310" s="326" t="inlineStr">
        <is>
          <t>Group Data</t>
        </is>
      </c>
      <c r="K310" s="326" t="inlineStr">
        <is>
          <t>Reporting &amp; Analytics</t>
        </is>
      </c>
      <c r="L310" s="315" t="n"/>
      <c r="M310" s="316" t="n"/>
      <c r="N310" t="inlineStr">
        <is>
          <t>Enterprise Data</t>
        </is>
      </c>
      <c r="O310" t="inlineStr">
        <is>
          <t>Group Data</t>
        </is>
      </c>
      <c r="P310" t="inlineStr">
        <is>
          <t>Reporting &amp; Analytics</t>
        </is>
      </c>
      <c r="Q310" t="inlineStr">
        <is>
          <t>Squad</t>
        </is>
      </c>
      <c r="R310" t="inlineStr">
        <is>
          <t>Filled</t>
        </is>
      </c>
    </row>
    <row r="311" ht="18" customHeight="1" s="302">
      <c r="A311" s="314" t="n">
        <v>106026</v>
      </c>
      <c r="B311" s="239" t="inlineStr">
        <is>
          <t>Vincent Lu</t>
        </is>
      </c>
      <c r="C311" s="239" t="inlineStr">
        <is>
          <t>Reporting Analyst</t>
        </is>
      </c>
      <c r="D311" s="239" t="inlineStr">
        <is>
          <t>Prashanth Krishnankutty</t>
        </is>
      </c>
      <c r="E311" s="239" t="inlineStr">
        <is>
          <t>Lead, Reporting &amp; Insights</t>
        </is>
      </c>
      <c r="F311" s="326" t="inlineStr">
        <is>
          <t>Strategy, Architecture &amp; Data</t>
        </is>
      </c>
      <c r="G311" s="315" t="inlineStr">
        <is>
          <t>Group Data</t>
        </is>
      </c>
      <c r="H311" s="326" t="inlineStr">
        <is>
          <t>Data Engineering &amp; Platforms</t>
        </is>
      </c>
      <c r="I311" s="326" t="inlineStr">
        <is>
          <t>Enterprise Data</t>
        </is>
      </c>
      <c r="J311" s="326" t="inlineStr">
        <is>
          <t>Group Data</t>
        </is>
      </c>
      <c r="K311" s="326" t="inlineStr">
        <is>
          <t>Reporting &amp; Analytics</t>
        </is>
      </c>
      <c r="L311" s="315" t="n"/>
      <c r="M311" s="316" t="inlineStr">
        <is>
          <t>Australia</t>
        </is>
      </c>
      <c r="N311" t="inlineStr">
        <is>
          <t>Enterprise Data</t>
        </is>
      </c>
      <c r="O311" t="inlineStr">
        <is>
          <t>Group Data</t>
        </is>
      </c>
      <c r="P311" t="inlineStr">
        <is>
          <t>Reporting &amp; Analytics</t>
        </is>
      </c>
      <c r="Q311" t="inlineStr">
        <is>
          <t>Squad</t>
        </is>
      </c>
      <c r="R311" t="inlineStr">
        <is>
          <t>Filled</t>
        </is>
      </c>
    </row>
    <row r="312" ht="18" customHeight="1" s="302">
      <c r="A312" s="314" t="n"/>
      <c r="B312" s="239" t="inlineStr">
        <is>
          <t>vacant  (Contract)</t>
        </is>
      </c>
      <c r="C312" s="239" t="inlineStr">
        <is>
          <t>Applications Specialist - Strategic Programs</t>
        </is>
      </c>
      <c r="D312" s="239" t="inlineStr">
        <is>
          <t>Sai Konka</t>
        </is>
      </c>
      <c r="E312" s="239" t="inlineStr">
        <is>
          <t>Applications &amp; Analytics Manager</t>
        </is>
      </c>
      <c r="F312" s="326" t="inlineStr">
        <is>
          <t>Strategy, Architecture &amp; Data</t>
        </is>
      </c>
      <c r="G312" s="315" t="inlineStr">
        <is>
          <t>Group Data</t>
        </is>
      </c>
      <c r="H312" s="326" t="inlineStr">
        <is>
          <t>Data Engineering &amp; Platforms</t>
        </is>
      </c>
      <c r="I312" s="315" t="inlineStr">
        <is>
          <t>Enterprise Data</t>
        </is>
      </c>
      <c r="J312" s="326" t="inlineStr">
        <is>
          <t>EGI</t>
        </is>
      </c>
      <c r="K312" s="326" t="inlineStr">
        <is>
          <t>Reporting &amp; Analytics</t>
        </is>
      </c>
      <c r="L312" s="315" t="n"/>
      <c r="M312" s="316" t="n"/>
      <c r="N312" t="inlineStr">
        <is>
          <t>Enterprise Data</t>
        </is>
      </c>
      <c r="O312" t="inlineStr">
        <is>
          <t>Group Data</t>
        </is>
      </c>
      <c r="P312" t="inlineStr">
        <is>
          <t>Reporting &amp; Analytics</t>
        </is>
      </c>
      <c r="Q312" t="inlineStr">
        <is>
          <t>Squad</t>
        </is>
      </c>
      <c r="R312" t="inlineStr">
        <is>
          <t>Filled</t>
        </is>
      </c>
    </row>
    <row r="313" ht="18" customHeight="1" s="302">
      <c r="A313" s="314" t="n">
        <v>116032</v>
      </c>
      <c r="B313" s="315" t="inlineStr">
        <is>
          <t>Abdul Ghaffar</t>
        </is>
      </c>
      <c r="C313" s="315" t="inlineStr">
        <is>
          <t>Applications Specialist - Demand Planning</t>
        </is>
      </c>
      <c r="D313" s="239" t="inlineStr">
        <is>
          <t>Sai Konka</t>
        </is>
      </c>
      <c r="E313" s="239" t="inlineStr">
        <is>
          <t>Applications &amp; Analytics Manager</t>
        </is>
      </c>
      <c r="F313" s="326" t="inlineStr">
        <is>
          <t>Strategy, Architecture &amp; Data</t>
        </is>
      </c>
      <c r="G313" s="315" t="inlineStr">
        <is>
          <t>Group Data</t>
        </is>
      </c>
      <c r="H313" s="326" t="inlineStr">
        <is>
          <t>Data Engineering &amp; Platforms</t>
        </is>
      </c>
      <c r="I313" s="326" t="inlineStr">
        <is>
          <t>Enterprise Data</t>
        </is>
      </c>
      <c r="J313" s="326" t="inlineStr">
        <is>
          <t>EGI</t>
        </is>
      </c>
      <c r="K313" s="326" t="inlineStr">
        <is>
          <t>Reporting &amp; Analytics</t>
        </is>
      </c>
      <c r="L313" s="315" t="n"/>
      <c r="M313" s="316" t="inlineStr">
        <is>
          <t>Australia</t>
        </is>
      </c>
      <c r="N313" t="inlineStr">
        <is>
          <t>Enterprise Data</t>
        </is>
      </c>
      <c r="O313" t="inlineStr">
        <is>
          <t>Group Data</t>
        </is>
      </c>
      <c r="P313" t="inlineStr">
        <is>
          <t>Reporting &amp; Analytics</t>
        </is>
      </c>
      <c r="Q313" t="inlineStr">
        <is>
          <t>Squad</t>
        </is>
      </c>
      <c r="R313" t="inlineStr">
        <is>
          <t>Filled</t>
        </is>
      </c>
    </row>
    <row r="314" ht="18" customHeight="1" s="302">
      <c r="A314" s="314" t="n">
        <v>80549</v>
      </c>
      <c r="B314" s="239" t="inlineStr">
        <is>
          <t>Steve Murray</t>
        </is>
      </c>
      <c r="C314" s="239" t="inlineStr">
        <is>
          <t>Applications Specialist</t>
        </is>
      </c>
      <c r="D314" s="239" t="inlineStr">
        <is>
          <t>Sai Konka</t>
        </is>
      </c>
      <c r="E314" s="239" t="inlineStr">
        <is>
          <t>Applications &amp; Analytics Manager</t>
        </is>
      </c>
      <c r="F314" s="326" t="inlineStr">
        <is>
          <t>Strategy, Architecture &amp; Data</t>
        </is>
      </c>
      <c r="G314" s="315" t="inlineStr">
        <is>
          <t>Group Data</t>
        </is>
      </c>
      <c r="H314" s="326" t="inlineStr">
        <is>
          <t>Data Engineering &amp; Platforms</t>
        </is>
      </c>
      <c r="I314" s="326" t="inlineStr">
        <is>
          <t>Enterprise Data</t>
        </is>
      </c>
      <c r="J314" s="326" t="inlineStr">
        <is>
          <t>EGI</t>
        </is>
      </c>
      <c r="K314" s="326" t="inlineStr">
        <is>
          <t>Reporting &amp; Analytics</t>
        </is>
      </c>
      <c r="L314" s="315" t="n"/>
      <c r="M314" s="316" t="inlineStr">
        <is>
          <t>Australia</t>
        </is>
      </c>
      <c r="N314" t="inlineStr">
        <is>
          <t>Enterprise Data</t>
        </is>
      </c>
      <c r="O314" t="inlineStr">
        <is>
          <t>Group Data</t>
        </is>
      </c>
      <c r="P314" t="inlineStr">
        <is>
          <t>Reporting &amp; Analytics</t>
        </is>
      </c>
      <c r="Q314" t="inlineStr">
        <is>
          <t>Squad</t>
        </is>
      </c>
      <c r="R314" t="inlineStr">
        <is>
          <t>Filled</t>
        </is>
      </c>
    </row>
    <row r="315" ht="18" customHeight="1" s="302">
      <c r="A315" s="314" t="n">
        <v>83092</v>
      </c>
      <c r="B315" s="239" t="inlineStr">
        <is>
          <t>Rakshit Kaul</t>
        </is>
      </c>
      <c r="C315" s="239" t="inlineStr">
        <is>
          <t>Applications Specialist</t>
        </is>
      </c>
      <c r="D315" s="239" t="inlineStr">
        <is>
          <t>Sai Konka</t>
        </is>
      </c>
      <c r="E315" s="239" t="inlineStr">
        <is>
          <t>Applications &amp; Analytics Manager</t>
        </is>
      </c>
      <c r="F315" s="326" t="inlineStr">
        <is>
          <t>Strategy, Architecture &amp; Data</t>
        </is>
      </c>
      <c r="G315" s="315" t="inlineStr">
        <is>
          <t>Group Data</t>
        </is>
      </c>
      <c r="H315" s="326" t="inlineStr">
        <is>
          <t>Data Engineering &amp; Platforms</t>
        </is>
      </c>
      <c r="I315" s="326" t="inlineStr">
        <is>
          <t>Enterprise Data</t>
        </is>
      </c>
      <c r="J315" s="326" t="inlineStr">
        <is>
          <t>EGI</t>
        </is>
      </c>
      <c r="K315" s="326" t="inlineStr">
        <is>
          <t>Reporting &amp; Analytics</t>
        </is>
      </c>
      <c r="L315" s="315" t="n"/>
      <c r="M315" s="316" t="inlineStr">
        <is>
          <t>Australia</t>
        </is>
      </c>
      <c r="N315" t="inlineStr">
        <is>
          <t>Enterprise Data</t>
        </is>
      </c>
      <c r="O315" t="inlineStr">
        <is>
          <t>Group Data</t>
        </is>
      </c>
      <c r="P315" t="inlineStr">
        <is>
          <t>Reporting &amp; Analytics</t>
        </is>
      </c>
      <c r="Q315" t="inlineStr">
        <is>
          <t>Squad</t>
        </is>
      </c>
      <c r="R315" t="inlineStr">
        <is>
          <t>Filled</t>
        </is>
      </c>
    </row>
    <row r="316" ht="18" customHeight="1" s="302">
      <c r="A316" s="314" t="n">
        <v>98599</v>
      </c>
      <c r="B316" s="239" t="inlineStr">
        <is>
          <t>Raymond Bai</t>
        </is>
      </c>
      <c r="C316" s="239" t="inlineStr">
        <is>
          <t>Data Adoption Specialist</t>
        </is>
      </c>
      <c r="D316" s="315" t="inlineStr">
        <is>
          <t>Sanjay Tikoo</t>
        </is>
      </c>
      <c r="E316" s="239" t="inlineStr">
        <is>
          <t>Lead Engineer (Databricks)</t>
        </is>
      </c>
      <c r="F316" s="326" t="inlineStr">
        <is>
          <t>Strategy, Architecture &amp; Data</t>
        </is>
      </c>
      <c r="G316" s="315" t="inlineStr">
        <is>
          <t>Group Data</t>
        </is>
      </c>
      <c r="H316" s="326" t="inlineStr">
        <is>
          <t>Data Capability</t>
        </is>
      </c>
      <c r="I316" s="315" t="inlineStr">
        <is>
          <t>Enterprise Data</t>
        </is>
      </c>
      <c r="J316" s="326" t="inlineStr">
        <is>
          <t>Group Data</t>
        </is>
      </c>
      <c r="K316" s="315" t="inlineStr">
        <is>
          <t>COE, Data Capability</t>
        </is>
      </c>
      <c r="L316" s="315" t="n"/>
      <c r="M316" s="316" t="inlineStr">
        <is>
          <t>Australia</t>
        </is>
      </c>
      <c r="N316" t="inlineStr">
        <is>
          <t>COE</t>
        </is>
      </c>
      <c r="O316" t="inlineStr">
        <is>
          <t>COE - Data</t>
        </is>
      </c>
      <c r="P316" t="inlineStr">
        <is>
          <t>COE - Data</t>
        </is>
      </c>
      <c r="Q316" t="inlineStr">
        <is>
          <t>COE</t>
        </is>
      </c>
      <c r="R316" t="inlineStr">
        <is>
          <t>Filled</t>
        </is>
      </c>
    </row>
    <row r="317" ht="18" customHeight="1" s="302">
      <c r="A317" s="314" t="n">
        <v>99522</v>
      </c>
      <c r="B317" s="239" t="inlineStr">
        <is>
          <t>Mitchell Clarke</t>
        </is>
      </c>
      <c r="C317" s="239" t="inlineStr">
        <is>
          <t>Snr Data Governance Specialist</t>
        </is>
      </c>
      <c r="D317" s="315" t="inlineStr">
        <is>
          <t>Sanjay Tikoo</t>
        </is>
      </c>
      <c r="E317" s="239" t="inlineStr">
        <is>
          <t>Data Capability Manager</t>
        </is>
      </c>
      <c r="F317" s="326" t="inlineStr">
        <is>
          <t>Strategy, Architecture &amp; Data</t>
        </is>
      </c>
      <c r="G317" s="315" t="inlineStr">
        <is>
          <t>Group Data</t>
        </is>
      </c>
      <c r="H317" s="315" t="inlineStr">
        <is>
          <t>Delivery, Commercial Fuels</t>
        </is>
      </c>
      <c r="I317" s="326" t="inlineStr">
        <is>
          <t>Enterprise Data</t>
        </is>
      </c>
      <c r="J317" s="326" t="inlineStr">
        <is>
          <t>Leadership</t>
        </is>
      </c>
      <c r="K317" s="315" t="inlineStr">
        <is>
          <t>Leadership</t>
        </is>
      </c>
      <c r="L317" s="315" t="n"/>
      <c r="M317" s="316" t="inlineStr">
        <is>
          <t>Australia</t>
        </is>
      </c>
      <c r="N317" t="inlineStr">
        <is>
          <t>Enterprise Data</t>
        </is>
      </c>
      <c r="O317" t="inlineStr">
        <is>
          <t>Leadership</t>
        </is>
      </c>
      <c r="P317" t="inlineStr">
        <is>
          <t>Leadership</t>
        </is>
      </c>
      <c r="Q317" t="inlineStr">
        <is>
          <t>Leadership</t>
        </is>
      </c>
      <c r="R317" t="inlineStr">
        <is>
          <t>Filled</t>
        </is>
      </c>
    </row>
    <row r="318" ht="18" customHeight="1" s="302">
      <c r="A318" s="314" t="n"/>
      <c r="B318" s="239" t="inlineStr">
        <is>
          <t>Vacant</t>
        </is>
      </c>
      <c r="C318" s="239" t="inlineStr">
        <is>
          <t>Data Governance Lead</t>
        </is>
      </c>
      <c r="D318" s="315" t="inlineStr">
        <is>
          <t>Sanjay Tikoo</t>
        </is>
      </c>
      <c r="E318" s="239" t="inlineStr">
        <is>
          <t>Data Capability Manager</t>
        </is>
      </c>
      <c r="F318" s="326" t="inlineStr">
        <is>
          <t>Strategy, Architecture &amp; Data</t>
        </is>
      </c>
      <c r="G318" s="343" t="inlineStr">
        <is>
          <t>Group Data</t>
        </is>
      </c>
      <c r="H318" s="344" t="inlineStr">
        <is>
          <t>Data Capability</t>
        </is>
      </c>
      <c r="I318" s="326" t="inlineStr">
        <is>
          <t>Enterprise Data</t>
        </is>
      </c>
      <c r="J318" s="326" t="n"/>
      <c r="K318" s="315" t="inlineStr">
        <is>
          <t>COE, Data Capability</t>
        </is>
      </c>
      <c r="L318" s="315" t="n"/>
      <c r="M318" s="316" t="n"/>
      <c r="N318" t="inlineStr">
        <is>
          <t>COE</t>
        </is>
      </c>
      <c r="O318" t="inlineStr">
        <is>
          <t>COE - Data</t>
        </is>
      </c>
      <c r="P318" t="inlineStr">
        <is>
          <t>COE - Data</t>
        </is>
      </c>
      <c r="Q318" t="inlineStr">
        <is>
          <t>COE</t>
        </is>
      </c>
      <c r="R318" t="inlineStr">
        <is>
          <t>Vacant</t>
        </is>
      </c>
    </row>
    <row r="319" ht="18" customHeight="1" s="302">
      <c r="A319" s="314" t="n">
        <v>99999101535</v>
      </c>
      <c r="B319" s="239" t="inlineStr">
        <is>
          <t>Lynn Yiew</t>
        </is>
      </c>
      <c r="C319" s="239" t="inlineStr">
        <is>
          <t>Data Governance Specialist</t>
        </is>
      </c>
      <c r="D319" s="315" t="inlineStr">
        <is>
          <t>Sanjay Tikoo</t>
        </is>
      </c>
      <c r="E319" s="239" t="inlineStr">
        <is>
          <t>Data Capability Manager</t>
        </is>
      </c>
      <c r="F319" s="326" t="inlineStr">
        <is>
          <t>Strategy, Architecture &amp; Data</t>
        </is>
      </c>
      <c r="G319" s="315" t="inlineStr">
        <is>
          <t>Group Data</t>
        </is>
      </c>
      <c r="H319" s="315" t="inlineStr">
        <is>
          <t>Data Capability</t>
        </is>
      </c>
      <c r="I319" s="326" t="inlineStr">
        <is>
          <t>Enterprise Data</t>
        </is>
      </c>
      <c r="J319" s="326" t="n"/>
      <c r="K319" s="315" t="inlineStr">
        <is>
          <t>COE, Data Capability</t>
        </is>
      </c>
      <c r="L319" s="315" t="n"/>
      <c r="M319" s="316" t="inlineStr">
        <is>
          <t>NZ</t>
        </is>
      </c>
      <c r="N319" t="inlineStr">
        <is>
          <t>COE</t>
        </is>
      </c>
      <c r="O319" t="inlineStr">
        <is>
          <t>COE - Data</t>
        </is>
      </c>
      <c r="P319" t="inlineStr">
        <is>
          <t>COE - Data</t>
        </is>
      </c>
      <c r="Q319" t="inlineStr">
        <is>
          <t>COE</t>
        </is>
      </c>
      <c r="R319" t="inlineStr">
        <is>
          <t>Filled</t>
        </is>
      </c>
    </row>
    <row r="320" ht="18" customHeight="1" s="302">
      <c r="A320" s="314" t="n">
        <v>110146</v>
      </c>
      <c r="B320" s="239" t="inlineStr">
        <is>
          <t>Renosh Matthew Thomas</t>
        </is>
      </c>
      <c r="C320" s="239" t="inlineStr">
        <is>
          <t>Data Enablement Lead</t>
        </is>
      </c>
      <c r="D320" s="315" t="inlineStr">
        <is>
          <t>Sanjay Tikoo</t>
        </is>
      </c>
      <c r="E320" s="239" t="inlineStr">
        <is>
          <t>Data Capability Manager</t>
        </is>
      </c>
      <c r="F320" s="326" t="inlineStr">
        <is>
          <t>Strategy, Architecture &amp; Data</t>
        </is>
      </c>
      <c r="G320" s="315" t="inlineStr">
        <is>
          <t>Group Data</t>
        </is>
      </c>
      <c r="H320" s="315" t="inlineStr">
        <is>
          <t>Data Capability</t>
        </is>
      </c>
      <c r="I320" s="326" t="inlineStr">
        <is>
          <t>Enterprise Data</t>
        </is>
      </c>
      <c r="J320" s="326" t="inlineStr">
        <is>
          <t>Group Data</t>
        </is>
      </c>
      <c r="K320" s="315" t="inlineStr">
        <is>
          <t>COE, Data Capability</t>
        </is>
      </c>
      <c r="L320" s="315" t="n"/>
      <c r="M320" s="316" t="inlineStr">
        <is>
          <t>Australia</t>
        </is>
      </c>
      <c r="N320" t="inlineStr">
        <is>
          <t>COE</t>
        </is>
      </c>
      <c r="O320" t="inlineStr">
        <is>
          <t>COE - Data</t>
        </is>
      </c>
      <c r="P320" t="inlineStr">
        <is>
          <t>COE - Data</t>
        </is>
      </c>
      <c r="Q320" t="inlineStr">
        <is>
          <t>COE</t>
        </is>
      </c>
      <c r="R320" t="inlineStr">
        <is>
          <t>Filled</t>
        </is>
      </c>
    </row>
    <row r="321" ht="18" customHeight="1" s="302">
      <c r="A321" s="314" t="n">
        <v>100330</v>
      </c>
      <c r="B321" s="239" t="inlineStr">
        <is>
          <t>Milan Patel</t>
        </is>
      </c>
      <c r="C321" s="239" t="inlineStr">
        <is>
          <t>Platform Architect</t>
        </is>
      </c>
      <c r="D321" s="315" t="inlineStr">
        <is>
          <t>Sanjay Tikoo</t>
        </is>
      </c>
      <c r="E321" s="239" t="inlineStr">
        <is>
          <t>Data Capability Manager</t>
        </is>
      </c>
      <c r="F321" s="326" t="inlineStr">
        <is>
          <t>Strategy, Architecture &amp; Data</t>
        </is>
      </c>
      <c r="G321" s="315" t="inlineStr">
        <is>
          <t>Group Data</t>
        </is>
      </c>
      <c r="H321" s="315" t="inlineStr">
        <is>
          <t>Data Capability</t>
        </is>
      </c>
      <c r="I321" s="326" t="n"/>
      <c r="J321" s="326" t="n"/>
      <c r="K321" s="315" t="inlineStr">
        <is>
          <t>Data Platform</t>
        </is>
      </c>
      <c r="L321" s="315" t="n"/>
      <c r="M321" s="316" t="inlineStr">
        <is>
          <t>Australia</t>
        </is>
      </c>
      <c r="N321" t="inlineStr">
        <is>
          <t>Enterprise Data</t>
        </is>
      </c>
      <c r="O321" t="inlineStr">
        <is>
          <t>Group Data</t>
        </is>
      </c>
      <c r="P321" t="inlineStr">
        <is>
          <t>Data Platforms</t>
        </is>
      </c>
      <c r="Q321" t="inlineStr">
        <is>
          <t>Squad</t>
        </is>
      </c>
      <c r="R321" t="inlineStr">
        <is>
          <t>Filled</t>
        </is>
      </c>
    </row>
    <row r="322" ht="18" customHeight="1" s="302">
      <c r="A322" s="345" t="n"/>
      <c r="B322" s="346" t="inlineStr">
        <is>
          <t>Vacant</t>
        </is>
      </c>
      <c r="C322" s="346" t="inlineStr">
        <is>
          <t>Enterprise Data Architect</t>
        </is>
      </c>
      <c r="D322" s="347" t="inlineStr">
        <is>
          <t>Vacant</t>
        </is>
      </c>
      <c r="E322" s="346" t="inlineStr">
        <is>
          <t>Lead – Asset &amp; Configuration (Vacant)</t>
        </is>
      </c>
      <c r="F322" s="348" t="inlineStr">
        <is>
          <t>Strategy, Architecture &amp; Data</t>
        </is>
      </c>
      <c r="G322" s="347" t="inlineStr">
        <is>
          <t>Group Data</t>
        </is>
      </c>
      <c r="H322" s="347" t="inlineStr">
        <is>
          <t>Data Capability</t>
        </is>
      </c>
      <c r="I322" s="348" t="n"/>
      <c r="J322" s="348" t="n"/>
      <c r="K322" s="347" t="inlineStr">
        <is>
          <t>COE</t>
        </is>
      </c>
      <c r="L322" s="347" t="n"/>
      <c r="M322" s="349" t="n"/>
      <c r="N322" t="inlineStr">
        <is>
          <t>COE</t>
        </is>
      </c>
      <c r="O322" t="inlineStr">
        <is>
          <t>COE (unspecified)</t>
        </is>
      </c>
      <c r="P322" t="inlineStr">
        <is>
          <t>COE (unspecified)</t>
        </is>
      </c>
      <c r="Q322" t="inlineStr">
        <is>
          <t>COE</t>
        </is>
      </c>
      <c r="R322" t="inlineStr">
        <is>
          <t>Vacant</t>
        </is>
      </c>
    </row>
    <row r="323" ht="18" customHeight="1" s="302">
      <c r="A323" s="314" t="n">
        <v>114067</v>
      </c>
      <c r="B323" s="239" t="inlineStr">
        <is>
          <t>Jonathan Robinson</t>
        </is>
      </c>
      <c r="C323" s="239" t="inlineStr">
        <is>
          <t>Technology Manager  Data Science</t>
        </is>
      </c>
      <c r="D323" s="239" t="inlineStr">
        <is>
          <t>Vacant</t>
        </is>
      </c>
      <c r="E323" s="239" t="inlineStr">
        <is>
          <t>Head of Technology,  Group Data</t>
        </is>
      </c>
      <c r="F323" s="326" t="inlineStr">
        <is>
          <t>Strategy, Architecture &amp; Data</t>
        </is>
      </c>
      <c r="G323" s="315" t="inlineStr">
        <is>
          <t>Group Data</t>
        </is>
      </c>
      <c r="H323" s="315" t="inlineStr">
        <is>
          <t>Data Science</t>
        </is>
      </c>
      <c r="I323" s="326" t="inlineStr">
        <is>
          <t>Enterprise Data</t>
        </is>
      </c>
      <c r="J323" s="326" t="inlineStr">
        <is>
          <t>Group Data</t>
        </is>
      </c>
      <c r="K323" s="315" t="inlineStr">
        <is>
          <t>COE, Leadership</t>
        </is>
      </c>
      <c r="L323" s="315" t="n"/>
      <c r="M323" s="316" t="inlineStr">
        <is>
          <t>Australia</t>
        </is>
      </c>
      <c r="N323" t="inlineStr">
        <is>
          <t>COE</t>
        </is>
      </c>
      <c r="O323" t="inlineStr">
        <is>
          <t>Leadership</t>
        </is>
      </c>
      <c r="P323" t="inlineStr">
        <is>
          <t>Leadership</t>
        </is>
      </c>
      <c r="Q323" t="inlineStr">
        <is>
          <t>Leadership</t>
        </is>
      </c>
      <c r="R323" t="inlineStr">
        <is>
          <t>Filled</t>
        </is>
      </c>
    </row>
    <row r="324" ht="18" customHeight="1" s="302">
      <c r="A324" s="314" t="n"/>
      <c r="B324" s="239" t="inlineStr">
        <is>
          <t>Vacant</t>
        </is>
      </c>
      <c r="C324" s="239" t="inlineStr">
        <is>
          <t xml:space="preserve">Reporting Lead </t>
        </is>
      </c>
      <c r="D324" s="239" t="inlineStr">
        <is>
          <t>Vacant</t>
        </is>
      </c>
      <c r="E324" s="239" t="inlineStr">
        <is>
          <t>Lead, Reporting &amp; Insights</t>
        </is>
      </c>
      <c r="F324" s="326" t="inlineStr">
        <is>
          <t>Strategy, Architecture &amp; Data</t>
        </is>
      </c>
      <c r="G324" s="315" t="inlineStr">
        <is>
          <t>Loyalty &amp; Martech</t>
        </is>
      </c>
      <c r="H324" s="326" t="inlineStr">
        <is>
          <t>Data Engineering &amp; Platforms</t>
        </is>
      </c>
      <c r="I324" s="326" t="inlineStr">
        <is>
          <t>Enterprise Data</t>
        </is>
      </c>
      <c r="J324" s="326" t="inlineStr">
        <is>
          <t>Group Data</t>
        </is>
      </c>
      <c r="K324" s="326" t="inlineStr">
        <is>
          <t>Reporting &amp; Analytics</t>
        </is>
      </c>
      <c r="L324" s="315" t="n"/>
      <c r="M324" s="316" t="n"/>
      <c r="N324" t="inlineStr">
        <is>
          <t>Enterprise Data</t>
        </is>
      </c>
      <c r="O324" t="inlineStr">
        <is>
          <t>Group Data</t>
        </is>
      </c>
      <c r="P324" t="inlineStr">
        <is>
          <t>Reporting &amp; Analytics</t>
        </is>
      </c>
      <c r="Q324" t="inlineStr">
        <is>
          <t>Squad</t>
        </is>
      </c>
      <c r="R324" t="inlineStr">
        <is>
          <t>Vacant</t>
        </is>
      </c>
    </row>
    <row r="325" ht="20.15" customHeight="1" s="302">
      <c r="A325" s="314" t="n">
        <v>107154</v>
      </c>
      <c r="B325" s="239" t="inlineStr">
        <is>
          <t>Prashant Tataskar</t>
        </is>
      </c>
      <c r="C325" s="239" t="inlineStr">
        <is>
          <t>Data Scientist</t>
        </is>
      </c>
      <c r="D325" s="239" t="inlineStr">
        <is>
          <t>Vacant</t>
        </is>
      </c>
      <c r="E325" s="239" t="inlineStr">
        <is>
          <t>Technology Manager, Data Science</t>
        </is>
      </c>
      <c r="F325" s="326" t="inlineStr">
        <is>
          <t>Strategy, Architecture &amp; Data</t>
        </is>
      </c>
      <c r="G325" s="315" t="inlineStr">
        <is>
          <t>Group Data</t>
        </is>
      </c>
      <c r="H325" s="326" t="inlineStr">
        <is>
          <t>Data Science</t>
        </is>
      </c>
      <c r="I325" s="326" t="inlineStr">
        <is>
          <t>Enterprise Data</t>
        </is>
      </c>
      <c r="J325" s="326" t="inlineStr">
        <is>
          <t>Group Data</t>
        </is>
      </c>
      <c r="K325" s="315" t="inlineStr">
        <is>
          <t>COE, Data Science</t>
        </is>
      </c>
      <c r="L325" s="315" t="n"/>
      <c r="M325" s="316" t="inlineStr">
        <is>
          <t>Australia</t>
        </is>
      </c>
      <c r="N325" t="inlineStr">
        <is>
          <t>Enterprise Data</t>
        </is>
      </c>
      <c r="O325" t="inlineStr">
        <is>
          <t>Group Data</t>
        </is>
      </c>
      <c r="P325" t="inlineStr">
        <is>
          <t>Data Science</t>
        </is>
      </c>
      <c r="Q325" t="inlineStr">
        <is>
          <t>Squad</t>
        </is>
      </c>
      <c r="R325" t="inlineStr">
        <is>
          <t>Filled</t>
        </is>
      </c>
    </row>
    <row r="326" ht="18" customHeight="1" s="302">
      <c r="A326" s="314" t="n">
        <v>113595</v>
      </c>
      <c r="B326" s="239" t="inlineStr">
        <is>
          <t>Mike Gilbert</t>
        </is>
      </c>
      <c r="C326" s="239" t="inlineStr">
        <is>
          <t xml:space="preserve">Domain Architect - CFE &amp; Infrastructure </t>
        </is>
      </c>
      <c r="D326" s="239" t="inlineStr">
        <is>
          <t>Vacant</t>
        </is>
      </c>
      <c r="E326" s="239" t="inlineStr">
        <is>
          <t>Head of Architecture</t>
        </is>
      </c>
      <c r="F326" s="326" t="inlineStr">
        <is>
          <t>Strategy, Architecture &amp; Data</t>
        </is>
      </c>
      <c r="G326" s="315" t="inlineStr">
        <is>
          <t>Architecture</t>
        </is>
      </c>
      <c r="H326" s="344" t="inlineStr">
        <is>
          <t>Architecture</t>
        </is>
      </c>
      <c r="I326" s="326" t="n"/>
      <c r="J326" s="326" t="n"/>
      <c r="K326" s="315" t="inlineStr">
        <is>
          <t>COE, Architecture</t>
        </is>
      </c>
      <c r="L326" s="315" t="n"/>
      <c r="M326" s="316" t="n"/>
      <c r="N326" t="inlineStr">
        <is>
          <t>COE</t>
        </is>
      </c>
      <c r="O326" t="inlineStr">
        <is>
          <t>COE - Strategy Architecture</t>
        </is>
      </c>
      <c r="P326" t="inlineStr">
        <is>
          <t>COE - Strategy Architecture</t>
        </is>
      </c>
      <c r="Q326" t="inlineStr">
        <is>
          <t>COE</t>
        </is>
      </c>
      <c r="R326" t="inlineStr">
        <is>
          <t>Filled</t>
        </is>
      </c>
    </row>
    <row r="327" ht="18" customHeight="1" s="302">
      <c r="A327" s="314" t="n"/>
      <c r="B327" s="239" t="inlineStr">
        <is>
          <t>Vacant</t>
        </is>
      </c>
      <c r="C327" s="239" t="inlineStr">
        <is>
          <t>AI Capability Lead</t>
        </is>
      </c>
      <c r="D327" s="239" t="inlineStr">
        <is>
          <t>Vacant</t>
        </is>
      </c>
      <c r="E327" s="239" t="inlineStr">
        <is>
          <t>Head of Technology  Strategy &amp; AI Capability</t>
        </is>
      </c>
      <c r="F327" s="326" t="inlineStr">
        <is>
          <t>Strategy, Architecture &amp; Data</t>
        </is>
      </c>
      <c r="G327" s="315" t="inlineStr">
        <is>
          <t>Technology Strategy &amp; AI Capability</t>
        </is>
      </c>
      <c r="H327" s="315" t="inlineStr">
        <is>
          <t>Technology Strategy &amp; AI Capability</t>
        </is>
      </c>
      <c r="I327" s="326" t="n"/>
      <c r="J327" s="326" t="n"/>
      <c r="K327" s="315" t="inlineStr">
        <is>
          <t>COE</t>
        </is>
      </c>
      <c r="L327" s="315" t="n"/>
      <c r="M327" s="316" t="n"/>
      <c r="N327" t="inlineStr">
        <is>
          <t>COE</t>
        </is>
      </c>
      <c r="O327" t="inlineStr">
        <is>
          <t>COE (unspecified)</t>
        </is>
      </c>
      <c r="P327" t="inlineStr">
        <is>
          <t>COE (unspecified)</t>
        </is>
      </c>
      <c r="Q327" t="inlineStr">
        <is>
          <t>COE</t>
        </is>
      </c>
      <c r="R327" t="inlineStr">
        <is>
          <t>Vacant</t>
        </is>
      </c>
    </row>
    <row r="328" ht="18" customHeight="1" s="302">
      <c r="A328" s="314" t="n">
        <v>12010</v>
      </c>
      <c r="B328" s="239" t="inlineStr">
        <is>
          <t>Sai Konka</t>
        </is>
      </c>
      <c r="C328" s="239" t="inlineStr">
        <is>
          <t>Application &amp; Analytics Manager</t>
        </is>
      </c>
      <c r="D328" s="239" t="inlineStr">
        <is>
          <t>Vacant</t>
        </is>
      </c>
      <c r="E328" s="239" t="inlineStr">
        <is>
          <t>Technology Manager, Data Engineering &amp; Platforms</t>
        </is>
      </c>
      <c r="F328" s="326" t="inlineStr">
        <is>
          <t>Strategy, Architecture &amp; Data</t>
        </is>
      </c>
      <c r="G328" s="315" t="inlineStr">
        <is>
          <t>Group Data</t>
        </is>
      </c>
      <c r="H328" s="326" t="inlineStr">
        <is>
          <t>Data Engineering &amp; Platforms</t>
        </is>
      </c>
      <c r="I328" s="326" t="inlineStr">
        <is>
          <t>Enterprise Data</t>
        </is>
      </c>
      <c r="J328" s="326" t="inlineStr">
        <is>
          <t>EGI</t>
        </is>
      </c>
      <c r="K328" s="326" t="inlineStr">
        <is>
          <t>Reporting &amp; Analytics</t>
        </is>
      </c>
      <c r="L328" s="315" t="n"/>
      <c r="M328" s="316" t="inlineStr">
        <is>
          <t>Australia</t>
        </is>
      </c>
      <c r="N328" t="inlineStr">
        <is>
          <t>Enterprise Data</t>
        </is>
      </c>
      <c r="O328" t="inlineStr">
        <is>
          <t>Group Data</t>
        </is>
      </c>
      <c r="P328" t="inlineStr">
        <is>
          <t>Reporting &amp; Analytics</t>
        </is>
      </c>
      <c r="Q328" t="inlineStr">
        <is>
          <t>Squad</t>
        </is>
      </c>
      <c r="R328" t="inlineStr">
        <is>
          <t>Filled</t>
        </is>
      </c>
    </row>
    <row r="329" ht="18" customHeight="1" s="302">
      <c r="A329" s="314" t="n"/>
      <c r="B329" s="239" t="inlineStr">
        <is>
          <t>Vacant</t>
        </is>
      </c>
      <c r="C329" s="239" t="inlineStr">
        <is>
          <t>Quality Assurance</t>
        </is>
      </c>
      <c r="D329" s="239" t="inlineStr">
        <is>
          <t>Vacant</t>
        </is>
      </c>
      <c r="E329" s="239" t="inlineStr">
        <is>
          <t>Lead Engineer (Snowflake)</t>
        </is>
      </c>
      <c r="F329" s="326" t="inlineStr">
        <is>
          <t>Strategy, Architecture &amp; Data</t>
        </is>
      </c>
      <c r="G329" s="315" t="inlineStr">
        <is>
          <t>Group Data</t>
        </is>
      </c>
      <c r="H329" s="326" t="inlineStr">
        <is>
          <t>Data Engineering &amp; Platforms</t>
        </is>
      </c>
      <c r="I329" s="315" t="inlineStr">
        <is>
          <t>Enterprise Data</t>
        </is>
      </c>
      <c r="J329" s="326" t="inlineStr">
        <is>
          <t>Group Data</t>
        </is>
      </c>
      <c r="K329" s="315" t="inlineStr">
        <is>
          <t>Data Platform</t>
        </is>
      </c>
      <c r="L329" s="315" t="n"/>
      <c r="M329" s="316" t="n"/>
      <c r="N329" t="inlineStr">
        <is>
          <t>Enterprise Data</t>
        </is>
      </c>
      <c r="O329" t="inlineStr">
        <is>
          <t>Group Data</t>
        </is>
      </c>
      <c r="P329" t="inlineStr">
        <is>
          <t>Data Platforms</t>
        </is>
      </c>
      <c r="Q329" t="inlineStr">
        <is>
          <t>Squad</t>
        </is>
      </c>
      <c r="R329" t="inlineStr">
        <is>
          <t>Vacant</t>
        </is>
      </c>
    </row>
    <row r="330" ht="18" customHeight="1" s="302">
      <c r="A330" s="314" t="n"/>
      <c r="B330" s="239" t="inlineStr">
        <is>
          <t>vacant</t>
        </is>
      </c>
      <c r="C330" s="239" t="inlineStr">
        <is>
          <t>Quality Assurance</t>
        </is>
      </c>
      <c r="D330" s="239" t="inlineStr">
        <is>
          <t>Vacant</t>
        </is>
      </c>
      <c r="E330" s="239" t="inlineStr">
        <is>
          <t>Lead Engineer (Databricks)</t>
        </is>
      </c>
      <c r="F330" s="326" t="inlineStr">
        <is>
          <t>Strategy, Architecture &amp; Data</t>
        </is>
      </c>
      <c r="G330" s="315" t="inlineStr">
        <is>
          <t>Group Data</t>
        </is>
      </c>
      <c r="H330" s="326" t="inlineStr">
        <is>
          <t>Data Engineering &amp; Platforms</t>
        </is>
      </c>
      <c r="I330" s="315" t="inlineStr">
        <is>
          <t>Enterprise Data</t>
        </is>
      </c>
      <c r="J330" s="326" t="inlineStr">
        <is>
          <t>EGI</t>
        </is>
      </c>
      <c r="K330" s="315" t="inlineStr">
        <is>
          <t>Data Platform</t>
        </is>
      </c>
      <c r="L330" s="315" t="n"/>
      <c r="M330" s="316" t="n"/>
      <c r="N330" t="inlineStr">
        <is>
          <t>Enterprise Data</t>
        </is>
      </c>
      <c r="O330" t="inlineStr">
        <is>
          <t>Group Data</t>
        </is>
      </c>
      <c r="P330" t="inlineStr">
        <is>
          <t>Data Platforms</t>
        </is>
      </c>
      <c r="Q330" t="inlineStr">
        <is>
          <t>Squad</t>
        </is>
      </c>
      <c r="R330" t="inlineStr">
        <is>
          <t>Vacant</t>
        </is>
      </c>
    </row>
    <row r="331" ht="18" customHeight="1" s="302">
      <c r="A331" s="314" t="n">
        <v>109802</v>
      </c>
      <c r="B331" s="239" t="inlineStr">
        <is>
          <t>Roger Blazey</t>
        </is>
      </c>
      <c r="C331" s="239" t="inlineStr">
        <is>
          <t>Architect (AI Innovation)</t>
        </is>
      </c>
      <c r="D331" s="239" t="inlineStr">
        <is>
          <t>Vacant</t>
        </is>
      </c>
      <c r="E331" s="239" t="inlineStr">
        <is>
          <t>Head of Technology  Strategy &amp; AI Capability</t>
        </is>
      </c>
      <c r="F331" s="326" t="inlineStr">
        <is>
          <t>Strategy, Architecture &amp; Data</t>
        </is>
      </c>
      <c r="G331" s="315" t="inlineStr">
        <is>
          <t>Technology Strategy &amp; AI Capability</t>
        </is>
      </c>
      <c r="H331" s="315" t="inlineStr">
        <is>
          <t>Technology Strategy &amp; AI Capability</t>
        </is>
      </c>
      <c r="I331" s="326" t="n"/>
      <c r="J331" s="326" t="n"/>
      <c r="K331" s="315" t="inlineStr">
        <is>
          <t>COE</t>
        </is>
      </c>
      <c r="L331" s="315" t="n"/>
      <c r="M331" s="316" t="inlineStr">
        <is>
          <t>Australia</t>
        </is>
      </c>
      <c r="N331" t="inlineStr">
        <is>
          <t>COE</t>
        </is>
      </c>
      <c r="O331" t="inlineStr">
        <is>
          <t>COE (unspecified)</t>
        </is>
      </c>
      <c r="P331" t="inlineStr">
        <is>
          <t>COE (unspecified)</t>
        </is>
      </c>
      <c r="Q331" t="inlineStr">
        <is>
          <t>COE</t>
        </is>
      </c>
      <c r="R331" t="inlineStr">
        <is>
          <t>Filled</t>
        </is>
      </c>
    </row>
    <row r="332" ht="18" customHeight="1" s="302">
      <c r="A332" s="314" t="n"/>
      <c r="B332" s="239" t="inlineStr">
        <is>
          <t>vacant</t>
        </is>
      </c>
      <c r="C332" s="239" t="inlineStr">
        <is>
          <t>Engineer - Data</t>
        </is>
      </c>
      <c r="D332" s="239" t="inlineStr">
        <is>
          <t>Vacant</t>
        </is>
      </c>
      <c r="E332" s="239" t="inlineStr">
        <is>
          <t>Lead Engineer (Databricks)</t>
        </is>
      </c>
      <c r="F332" s="326" t="inlineStr">
        <is>
          <t>Strategy, Architecture &amp; Data</t>
        </is>
      </c>
      <c r="G332" s="315" t="inlineStr">
        <is>
          <t>Group Data</t>
        </is>
      </c>
      <c r="H332" s="326" t="inlineStr">
        <is>
          <t>Data Engineering &amp; Platforms</t>
        </is>
      </c>
      <c r="I332" s="315" t="inlineStr">
        <is>
          <t>Enterprise Data</t>
        </is>
      </c>
      <c r="J332" s="326" t="inlineStr">
        <is>
          <t>Group Data</t>
        </is>
      </c>
      <c r="K332" s="315" t="inlineStr">
        <is>
          <t>Data Platform</t>
        </is>
      </c>
      <c r="L332" s="315" t="n"/>
      <c r="M332" s="316" t="n"/>
      <c r="N332" t="inlineStr">
        <is>
          <t>Enterprise Data</t>
        </is>
      </c>
      <c r="O332" t="inlineStr">
        <is>
          <t>Group Data</t>
        </is>
      </c>
      <c r="P332" t="inlineStr">
        <is>
          <t>Data Platforms</t>
        </is>
      </c>
      <c r="Q332" t="inlineStr">
        <is>
          <t>Squad</t>
        </is>
      </c>
      <c r="R332" t="inlineStr">
        <is>
          <t>Vacant</t>
        </is>
      </c>
    </row>
    <row r="333" ht="18" customHeight="1" s="302">
      <c r="A333" s="314" t="n"/>
      <c r="B333" s="239" t="inlineStr">
        <is>
          <t>Vacant</t>
        </is>
      </c>
      <c r="C333" s="239" t="inlineStr">
        <is>
          <t>Enterprise Process Lead</t>
        </is>
      </c>
      <c r="D333" s="239" t="inlineStr">
        <is>
          <t>Vacant</t>
        </is>
      </c>
      <c r="E333" s="239" t="inlineStr">
        <is>
          <t>Head of Technology  Strategy &amp; AI Capability</t>
        </is>
      </c>
      <c r="F333" s="326" t="inlineStr">
        <is>
          <t>Strategy, Architecture &amp; Data</t>
        </is>
      </c>
      <c r="G333" s="315" t="inlineStr">
        <is>
          <t>Technology Strategy &amp; AI Capability</t>
        </is>
      </c>
      <c r="H333" s="315" t="inlineStr">
        <is>
          <t>Technology Strategy &amp; AI Capability</t>
        </is>
      </c>
      <c r="I333" s="326" t="n"/>
      <c r="J333" s="326" t="n"/>
      <c r="K333" s="315" t="inlineStr">
        <is>
          <t>COE</t>
        </is>
      </c>
      <c r="L333" s="315" t="n"/>
      <c r="M333" s="316" t="n"/>
      <c r="N333" t="inlineStr">
        <is>
          <t>COE</t>
        </is>
      </c>
      <c r="O333" t="inlineStr">
        <is>
          <t>COE (unspecified)</t>
        </is>
      </c>
      <c r="P333" t="inlineStr">
        <is>
          <t>COE (unspecified)</t>
        </is>
      </c>
      <c r="Q333" t="inlineStr">
        <is>
          <t>COE</t>
        </is>
      </c>
      <c r="R333" t="inlineStr">
        <is>
          <t>Vacant</t>
        </is>
      </c>
    </row>
    <row r="334" ht="18" customHeight="1" s="302">
      <c r="A334" s="314" t="n"/>
      <c r="B334" s="239" t="inlineStr">
        <is>
          <t>Vacant</t>
        </is>
      </c>
      <c r="C334" s="239" t="inlineStr">
        <is>
          <t>EnterpriseProcess Analyst</t>
        </is>
      </c>
      <c r="D334" s="315" t="inlineStr">
        <is>
          <t>vacant</t>
        </is>
      </c>
      <c r="E334" s="239" t="inlineStr">
        <is>
          <t>Enterprise Process Lead</t>
        </is>
      </c>
      <c r="F334" s="326" t="inlineStr">
        <is>
          <t>Strategy, Architecture &amp; Data</t>
        </is>
      </c>
      <c r="G334" s="315" t="inlineStr">
        <is>
          <t>Technology Strategy &amp; AI Capability</t>
        </is>
      </c>
      <c r="H334" s="315" t="inlineStr">
        <is>
          <t>Technology Strategy &amp; AI Capability</t>
        </is>
      </c>
      <c r="I334" s="326" t="n"/>
      <c r="J334" s="326" t="n"/>
      <c r="K334" s="315" t="inlineStr">
        <is>
          <t>COE</t>
        </is>
      </c>
      <c r="L334" s="315" t="n"/>
      <c r="M334" s="316" t="n"/>
      <c r="N334" t="inlineStr">
        <is>
          <t>COE</t>
        </is>
      </c>
      <c r="O334" t="inlineStr">
        <is>
          <t>COE (unspecified)</t>
        </is>
      </c>
      <c r="P334" t="inlineStr">
        <is>
          <t>COE (unspecified)</t>
        </is>
      </c>
      <c r="Q334" t="inlineStr">
        <is>
          <t>COE</t>
        </is>
      </c>
      <c r="R334" t="inlineStr">
        <is>
          <t>Vacant</t>
        </is>
      </c>
    </row>
    <row r="335" ht="18" customHeight="1" s="302">
      <c r="A335" s="314" t="n">
        <v>102098</v>
      </c>
      <c r="B335" s="239" t="inlineStr">
        <is>
          <t>Bobby Mason</t>
        </is>
      </c>
      <c r="C335" s="239" t="inlineStr">
        <is>
          <t>Reporting Analyst</t>
        </is>
      </c>
      <c r="D335" t="inlineStr">
        <is>
          <t>Vacant</t>
        </is>
      </c>
      <c r="E335" s="239" t="inlineStr">
        <is>
          <t>Lead, Reporting &amp; Insights</t>
        </is>
      </c>
      <c r="F335" s="326" t="inlineStr">
        <is>
          <t>Strategy, Architecture &amp; Data</t>
        </is>
      </c>
      <c r="G335" s="315" t="inlineStr">
        <is>
          <t>Group Data</t>
        </is>
      </c>
      <c r="H335" s="315" t="inlineStr">
        <is>
          <t>Technology, CF Engineering</t>
        </is>
      </c>
      <c r="I335" s="326" t="inlineStr">
        <is>
          <t>Enterprise Data</t>
        </is>
      </c>
      <c r="J335" s="326" t="inlineStr">
        <is>
          <t>Group Data</t>
        </is>
      </c>
      <c r="K335" s="326" t="inlineStr">
        <is>
          <t>Reporting &amp; Analytics</t>
        </is>
      </c>
      <c r="L335" s="315" t="n"/>
      <c r="M335" s="316" t="inlineStr">
        <is>
          <t>Australia</t>
        </is>
      </c>
      <c r="N335" t="inlineStr">
        <is>
          <t>Enterprise Data</t>
        </is>
      </c>
      <c r="O335" t="inlineStr">
        <is>
          <t>Group Data</t>
        </is>
      </c>
      <c r="P335" t="inlineStr">
        <is>
          <t>Reporting &amp; Analytics</t>
        </is>
      </c>
      <c r="Q335" t="inlineStr">
        <is>
          <t>Squad</t>
        </is>
      </c>
      <c r="R335" t="inlineStr">
        <is>
          <t>Filled</t>
        </is>
      </c>
    </row>
    <row r="336" ht="18" customHeight="1" s="302">
      <c r="A336" s="314" t="n"/>
      <c r="B336" s="239" t="inlineStr">
        <is>
          <t>Vacant</t>
        </is>
      </c>
      <c r="C336" s="239" t="inlineStr">
        <is>
          <t>Data Analyst</t>
        </is>
      </c>
      <c r="D336" t="inlineStr">
        <is>
          <t>Vacant</t>
        </is>
      </c>
      <c r="E336" s="239" t="inlineStr">
        <is>
          <t>Technology Manager, Data Science</t>
        </is>
      </c>
      <c r="F336" s="326" t="inlineStr">
        <is>
          <t>Strategy, Architecture &amp; Data</t>
        </is>
      </c>
      <c r="G336" s="315" t="inlineStr">
        <is>
          <t>Group Data</t>
        </is>
      </c>
      <c r="H336" s="326" t="inlineStr">
        <is>
          <t>Data Science</t>
        </is>
      </c>
      <c r="I336" s="326" t="inlineStr">
        <is>
          <t>Enterprise Data</t>
        </is>
      </c>
      <c r="J336" s="326" t="inlineStr">
        <is>
          <t>Group Data</t>
        </is>
      </c>
      <c r="K336" s="315" t="inlineStr">
        <is>
          <t>COE, Data Science</t>
        </is>
      </c>
      <c r="L336" s="315" t="n"/>
      <c r="M336" s="316" t="n"/>
      <c r="N336" t="inlineStr">
        <is>
          <t>Enterprise Data</t>
        </is>
      </c>
      <c r="O336" t="inlineStr">
        <is>
          <t>Group Data</t>
        </is>
      </c>
      <c r="P336" t="inlineStr">
        <is>
          <t>Data Science</t>
        </is>
      </c>
      <c r="Q336" t="inlineStr">
        <is>
          <t>Squad</t>
        </is>
      </c>
      <c r="R336" t="inlineStr">
        <is>
          <t>Vacant</t>
        </is>
      </c>
    </row>
    <row r="337" ht="18" customHeight="1" s="302">
      <c r="A337" s="314" t="n">
        <v>0</v>
      </c>
      <c r="B337" s="239" t="inlineStr">
        <is>
          <t>Dinesh Chandrasekaran</t>
        </is>
      </c>
      <c r="C337" s="239" t="inlineStr">
        <is>
          <t>Lead Engineer (Snowflake)</t>
        </is>
      </c>
      <c r="D337" t="inlineStr">
        <is>
          <t>Vacant</t>
        </is>
      </c>
      <c r="E337" s="239" t="inlineStr">
        <is>
          <t>Technology Manager, Data Engineering &amp; Platforms</t>
        </is>
      </c>
      <c r="F337" s="239" t="inlineStr">
        <is>
          <t>Strategy, Architecture &amp; Data</t>
        </is>
      </c>
      <c r="G337" s="239" t="inlineStr">
        <is>
          <t>Group Data</t>
        </is>
      </c>
      <c r="H337" s="326" t="inlineStr">
        <is>
          <t>Data Engineering &amp; Platforms</t>
        </is>
      </c>
      <c r="I337" s="315" t="inlineStr">
        <is>
          <t>Enterprise Data</t>
        </is>
      </c>
      <c r="J337" s="326" t="inlineStr">
        <is>
          <t>Group Data</t>
        </is>
      </c>
      <c r="K337" s="315" t="inlineStr">
        <is>
          <t>Data Platform</t>
        </is>
      </c>
      <c r="L337" s="315" t="n"/>
      <c r="M337" s="316" t="n">
        <v>0</v>
      </c>
      <c r="N337" t="inlineStr">
        <is>
          <t>Enterprise Data</t>
        </is>
      </c>
      <c r="O337" t="inlineStr">
        <is>
          <t>Group Data</t>
        </is>
      </c>
      <c r="P337" t="inlineStr">
        <is>
          <t>Data Platforms</t>
        </is>
      </c>
      <c r="Q337" t="inlineStr">
        <is>
          <t>Squad</t>
        </is>
      </c>
      <c r="R337" t="inlineStr">
        <is>
          <t>Filled</t>
        </is>
      </c>
    </row>
    <row r="338" ht="18" customHeight="1" s="302">
      <c r="A338" s="314" t="n">
        <v>113451</v>
      </c>
      <c r="B338" s="239" t="inlineStr">
        <is>
          <t>Prashanth Krishnankutty</t>
        </is>
      </c>
      <c r="C338" s="239" t="inlineStr">
        <is>
          <t>Lead Reporting &amp; Insights</t>
        </is>
      </c>
      <c r="D338" t="inlineStr">
        <is>
          <t>Vacant</t>
        </is>
      </c>
      <c r="E338" s="239" t="inlineStr">
        <is>
          <t>Technology Manager, Data Engineering &amp; Platforms</t>
        </is>
      </c>
      <c r="F338" s="326" t="inlineStr">
        <is>
          <t>Strategy, Architecture &amp; Data</t>
        </is>
      </c>
      <c r="G338" s="315" t="inlineStr">
        <is>
          <t>Group Data</t>
        </is>
      </c>
      <c r="H338" s="326" t="inlineStr">
        <is>
          <t>Data Engineering &amp; Platforms</t>
        </is>
      </c>
      <c r="I338" s="326" t="inlineStr">
        <is>
          <t>Enterprise Data</t>
        </is>
      </c>
      <c r="J338" s="326" t="inlineStr">
        <is>
          <t>Group Data</t>
        </is>
      </c>
      <c r="K338" s="326" t="inlineStr">
        <is>
          <t>Reporting &amp; Analytics</t>
        </is>
      </c>
      <c r="L338" s="315" t="n"/>
      <c r="M338" s="316" t="inlineStr">
        <is>
          <t>Australia</t>
        </is>
      </c>
      <c r="N338" t="inlineStr">
        <is>
          <t>Enterprise Data</t>
        </is>
      </c>
      <c r="O338" t="inlineStr">
        <is>
          <t>Group Data</t>
        </is>
      </c>
      <c r="P338" t="inlineStr">
        <is>
          <t>Reporting &amp; Analytics</t>
        </is>
      </c>
      <c r="Q338" t="inlineStr">
        <is>
          <t>Squad</t>
        </is>
      </c>
      <c r="R338" t="inlineStr">
        <is>
          <t>Filled</t>
        </is>
      </c>
    </row>
    <row r="339" ht="18" customHeight="1" s="302">
      <c r="A339" s="314" t="n"/>
      <c r="B339" s="239" t="inlineStr">
        <is>
          <t>ring fenced</t>
        </is>
      </c>
      <c r="C339" s="239" t="inlineStr">
        <is>
          <t>Domain Architect - Retail &amp; Z</t>
        </is>
      </c>
      <c r="D339" t="inlineStr">
        <is>
          <t>Vacant</t>
        </is>
      </c>
      <c r="E339" s="239" t="inlineStr">
        <is>
          <t>Head of Architecture</t>
        </is>
      </c>
      <c r="F339" s="326" t="inlineStr">
        <is>
          <t>Strategy, Architecture &amp; Data</t>
        </is>
      </c>
      <c r="G339" s="315" t="inlineStr">
        <is>
          <t>Architecture</t>
        </is>
      </c>
      <c r="H339" s="350" t="inlineStr">
        <is>
          <t>Architecture</t>
        </is>
      </c>
      <c r="I339" s="326" t="n"/>
      <c r="J339" s="326" t="n"/>
      <c r="K339" s="315" t="inlineStr">
        <is>
          <t>COE, Architecture</t>
        </is>
      </c>
      <c r="L339" s="315" t="n"/>
      <c r="M339" s="316" t="n"/>
      <c r="N339" t="inlineStr">
        <is>
          <t>COE</t>
        </is>
      </c>
      <c r="O339" t="inlineStr">
        <is>
          <t>COE - Strategy Architecture</t>
        </is>
      </c>
      <c r="P339" t="inlineStr">
        <is>
          <t>COE - Strategy Architecture</t>
        </is>
      </c>
      <c r="Q339" t="inlineStr">
        <is>
          <t>COE</t>
        </is>
      </c>
      <c r="R339" t="inlineStr">
        <is>
          <t>Filled</t>
        </is>
      </c>
    </row>
    <row r="340" ht="18" customHeight="1" s="302">
      <c r="A340" s="314" t="n">
        <v>96283</v>
      </c>
      <c r="B340" s="239" t="inlineStr">
        <is>
          <t>Ed Tacey</t>
        </is>
      </c>
      <c r="C340" s="239" t="inlineStr">
        <is>
          <t>Head of Architecture</t>
        </is>
      </c>
      <c r="D340" t="inlineStr">
        <is>
          <t>Vacant</t>
        </is>
      </c>
      <c r="E340" t="inlineStr">
        <is>
          <t>GM TDD, Strategy, Architecture, Data</t>
        </is>
      </c>
      <c r="F340" s="326" t="inlineStr">
        <is>
          <t>Strategy, Architecture &amp; Data</t>
        </is>
      </c>
      <c r="G340" s="315" t="inlineStr">
        <is>
          <t>Architecture</t>
        </is>
      </c>
      <c r="H340" s="315" t="n"/>
      <c r="I340" s="315" t="n"/>
      <c r="J340" s="326" t="n"/>
      <c r="K340" s="326" t="inlineStr">
        <is>
          <t>Leadership</t>
        </is>
      </c>
      <c r="L340" s="315" t="n"/>
      <c r="M340" s="316" t="inlineStr">
        <is>
          <t>Australia</t>
        </is>
      </c>
      <c r="N340" t="inlineStr">
        <is>
          <t>Unmapped</t>
        </is>
      </c>
      <c r="O340" t="inlineStr">
        <is>
          <t>Leadership</t>
        </is>
      </c>
      <c r="P340" t="inlineStr">
        <is>
          <t>Leadership</t>
        </is>
      </c>
      <c r="Q340" t="inlineStr">
        <is>
          <t>Leadership</t>
        </is>
      </c>
      <c r="R340" t="inlineStr">
        <is>
          <t>Filled</t>
        </is>
      </c>
    </row>
    <row r="341" ht="18" customHeight="1" s="302">
      <c r="A341" s="314" t="n"/>
      <c r="B341" s="239" t="inlineStr">
        <is>
          <t>ring fenced</t>
        </is>
      </c>
      <c r="C341" s="239" t="inlineStr">
        <is>
          <t>Enterprise Architect</t>
        </is>
      </c>
      <c r="D341" t="inlineStr">
        <is>
          <t>Vacant</t>
        </is>
      </c>
      <c r="E341" s="239" t="inlineStr">
        <is>
          <t>Head of Architecture</t>
        </is>
      </c>
      <c r="F341" s="326" t="inlineStr">
        <is>
          <t>Strategy, Architecture &amp; Data</t>
        </is>
      </c>
      <c r="G341" s="315" t="inlineStr">
        <is>
          <t>Architecture</t>
        </is>
      </c>
      <c r="H341" s="326" t="inlineStr">
        <is>
          <t>Architecture</t>
        </is>
      </c>
      <c r="I341" s="326" t="n"/>
      <c r="J341" s="326" t="n"/>
      <c r="K341" s="315" t="inlineStr">
        <is>
          <t>COE, Architecture</t>
        </is>
      </c>
      <c r="L341" s="315" t="n"/>
      <c r="M341" s="316" t="n"/>
      <c r="N341" t="inlineStr">
        <is>
          <t>COE</t>
        </is>
      </c>
      <c r="O341" t="inlineStr">
        <is>
          <t>COE - Strategy Architecture</t>
        </is>
      </c>
      <c r="P341" t="inlineStr">
        <is>
          <t>COE - Strategy Architecture</t>
        </is>
      </c>
      <c r="Q341" t="inlineStr">
        <is>
          <t>COE</t>
        </is>
      </c>
      <c r="R341" t="inlineStr">
        <is>
          <t>Filled</t>
        </is>
      </c>
    </row>
    <row r="342" ht="18" customHeight="1" s="302">
      <c r="A342" s="314" t="n"/>
      <c r="B342" s="239" t="inlineStr">
        <is>
          <t>Vacant</t>
        </is>
      </c>
      <c r="C342" s="239" t="inlineStr">
        <is>
          <t>Strategy Analyst</t>
        </is>
      </c>
      <c r="D342" t="inlineStr">
        <is>
          <t>Vacant</t>
        </is>
      </c>
      <c r="E342" s="239" t="inlineStr">
        <is>
          <t>Head of Technology  Strategy &amp; AI Capability</t>
        </is>
      </c>
      <c r="F342" s="326" t="inlineStr">
        <is>
          <t>Strategy, Architecture &amp; Data</t>
        </is>
      </c>
      <c r="G342" s="315" t="inlineStr">
        <is>
          <t>Technology Strategy &amp; AI Capability</t>
        </is>
      </c>
      <c r="H342" s="315" t="inlineStr">
        <is>
          <t>Technology Strategy &amp; AI Capability</t>
        </is>
      </c>
      <c r="I342" s="326" t="n"/>
      <c r="J342" s="326" t="n"/>
      <c r="K342" s="315" t="inlineStr">
        <is>
          <t>COE</t>
        </is>
      </c>
      <c r="L342" s="315" t="n"/>
      <c r="M342" s="316" t="n"/>
      <c r="N342" t="inlineStr">
        <is>
          <t>COE</t>
        </is>
      </c>
      <c r="O342" t="inlineStr">
        <is>
          <t>COE (unspecified)</t>
        </is>
      </c>
      <c r="P342" t="inlineStr">
        <is>
          <t>COE (unspecified)</t>
        </is>
      </c>
      <c r="Q342" t="inlineStr">
        <is>
          <t>COE</t>
        </is>
      </c>
      <c r="R342" t="inlineStr">
        <is>
          <t>Vacant</t>
        </is>
      </c>
    </row>
    <row r="343" ht="18" customFormat="1" customHeight="1" s="340">
      <c r="A343" s="338" t="n"/>
      <c r="B343" s="331" t="inlineStr">
        <is>
          <t>Vacant</t>
        </is>
      </c>
      <c r="C343" s="331" t="inlineStr">
        <is>
          <t>Tech Support Technician</t>
        </is>
      </c>
      <c r="D343" s="351" t="inlineStr">
        <is>
          <t>Allan Francia</t>
        </is>
      </c>
      <c r="E343" s="331" t="inlineStr">
        <is>
          <t>Technology Manager, T&amp;S</t>
        </is>
      </c>
      <c r="F343" s="331" t="inlineStr">
        <is>
          <t>TDD CFE&amp;I</t>
        </is>
      </c>
      <c r="G343" s="335" t="inlineStr">
        <is>
          <t>Commercial Fuels</t>
        </is>
      </c>
      <c r="H343" s="335" t="inlineStr">
        <is>
          <t>Technology, Trading &amp; Shipping</t>
        </is>
      </c>
      <c r="I343" s="335" t="inlineStr">
        <is>
          <t>Commercial Fuels</t>
        </is>
      </c>
      <c r="J343" s="335" t="inlineStr">
        <is>
          <t>Trading &amp; Shipping</t>
        </is>
      </c>
      <c r="K343" s="331" t="inlineStr">
        <is>
          <t>Trading &amp; Shipping</t>
        </is>
      </c>
      <c r="L343" s="335" t="n"/>
      <c r="M343" s="339" t="n"/>
      <c r="N343" t="inlineStr">
        <is>
          <t>Commercial Fuels</t>
        </is>
      </c>
      <c r="O343" t="inlineStr">
        <is>
          <t>Trading &amp; Shipping</t>
        </is>
      </c>
      <c r="P343" t="inlineStr">
        <is>
          <t>Trading &amp; Shipping</t>
        </is>
      </c>
      <c r="Q343" t="inlineStr">
        <is>
          <t>Squad</t>
        </is>
      </c>
      <c r="R343" t="inlineStr">
        <is>
          <t>Vacant</t>
        </is>
      </c>
    </row>
    <row r="344" ht="18" customHeight="1" s="302">
      <c r="A344" s="314" t="n">
        <v>116312</v>
      </c>
      <c r="B344" s="239" t="inlineStr">
        <is>
          <t>Trung Truong</t>
        </is>
      </c>
      <c r="C344" s="239" t="inlineStr">
        <is>
          <t>Engineer Applications</t>
        </is>
      </c>
      <c r="D344" t="inlineStr">
        <is>
          <t>Allan Francia</t>
        </is>
      </c>
      <c r="E344" t="inlineStr">
        <is>
          <t>Technology Manager, T&amp;S</t>
        </is>
      </c>
      <c r="F344" s="239" t="inlineStr">
        <is>
          <t>TDD CFE&amp;I</t>
        </is>
      </c>
      <c r="G344" s="315" t="inlineStr">
        <is>
          <t>Commercial Fuels</t>
        </is>
      </c>
      <c r="H344" s="315" t="inlineStr">
        <is>
          <t>Trading &amp; Shipping</t>
        </is>
      </c>
      <c r="I344" s="315" t="inlineStr">
        <is>
          <t>Commercial Fuels</t>
        </is>
      </c>
      <c r="J344" s="239" t="inlineStr">
        <is>
          <t>CTRM</t>
        </is>
      </c>
      <c r="K344" s="239" t="inlineStr">
        <is>
          <t>CTRM</t>
        </is>
      </c>
      <c r="L344" s="315" t="n"/>
      <c r="M344" s="316" t="inlineStr">
        <is>
          <t>Singapore</t>
        </is>
      </c>
      <c r="N344" t="inlineStr">
        <is>
          <t>Commercial Fuels</t>
        </is>
      </c>
      <c r="O344" t="inlineStr">
        <is>
          <t>CTRM</t>
        </is>
      </c>
      <c r="P344" t="inlineStr">
        <is>
          <t>CTRM</t>
        </is>
      </c>
      <c r="Q344" t="inlineStr">
        <is>
          <t>Strategic Program</t>
        </is>
      </c>
      <c r="R344" t="inlineStr">
        <is>
          <t>Filled</t>
        </is>
      </c>
    </row>
    <row r="345" ht="13.5" customHeight="1" s="302">
      <c r="A345" s="314" t="n">
        <v>6511</v>
      </c>
      <c r="B345" s="239" t="inlineStr">
        <is>
          <t>Leo Machin</t>
        </is>
      </c>
      <c r="C345" s="239" t="inlineStr">
        <is>
          <t>Lead Engineer Applications</t>
        </is>
      </c>
      <c r="D345" t="inlineStr">
        <is>
          <t>Allan Francia</t>
        </is>
      </c>
      <c r="E345" t="inlineStr">
        <is>
          <t>Technology Manager, T&amp;S</t>
        </is>
      </c>
      <c r="F345" s="239" t="inlineStr">
        <is>
          <t>TDD CFE&amp;I</t>
        </is>
      </c>
      <c r="G345" s="315" t="inlineStr">
        <is>
          <t>Commercial Fuels</t>
        </is>
      </c>
      <c r="H345" s="315" t="inlineStr">
        <is>
          <t>Technology, Trading &amp; Shipping</t>
        </is>
      </c>
      <c r="I345" s="315" t="inlineStr">
        <is>
          <t>Commercial Fuels</t>
        </is>
      </c>
      <c r="J345" s="315" t="inlineStr">
        <is>
          <t>Ampol Digital</t>
        </is>
      </c>
      <c r="K345" s="239" t="inlineStr">
        <is>
          <t>Trading &amp; Shipping</t>
        </is>
      </c>
      <c r="L345" s="315" t="n"/>
      <c r="M345" s="316" t="inlineStr">
        <is>
          <t>Australia</t>
        </is>
      </c>
      <c r="N345" t="inlineStr">
        <is>
          <t>Commercial Fuels</t>
        </is>
      </c>
      <c r="O345" t="inlineStr">
        <is>
          <t>Trading &amp; Shipping</t>
        </is>
      </c>
      <c r="P345" t="inlineStr">
        <is>
          <t>Trading &amp; Shipping</t>
        </is>
      </c>
      <c r="Q345" t="inlineStr">
        <is>
          <t>Squad</t>
        </is>
      </c>
      <c r="R345" t="inlineStr">
        <is>
          <t>Filled</t>
        </is>
      </c>
    </row>
    <row r="346" ht="18" customHeight="1" s="302">
      <c r="A346" s="314" t="n">
        <v>11661</v>
      </c>
      <c r="B346" s="326" t="inlineStr">
        <is>
          <t>Kevin Li</t>
        </is>
      </c>
      <c r="C346" s="326" t="inlineStr">
        <is>
          <t>System Specialist</t>
        </is>
      </c>
      <c r="D346" s="317" t="inlineStr">
        <is>
          <t>Allan Francia</t>
        </is>
      </c>
      <c r="E346" t="inlineStr">
        <is>
          <t>Technology Manager, T&amp;S</t>
        </is>
      </c>
      <c r="F346" s="239" t="inlineStr">
        <is>
          <t>TDD CFE&amp;I</t>
        </is>
      </c>
      <c r="G346" s="315" t="inlineStr">
        <is>
          <t>Commercial Fuels</t>
        </is>
      </c>
      <c r="H346" s="315" t="inlineStr">
        <is>
          <t>Technology, Trading &amp; Shipping</t>
        </is>
      </c>
      <c r="I346" s="315" t="inlineStr">
        <is>
          <t>Commercial Fuels</t>
        </is>
      </c>
      <c r="J346" s="315" t="inlineStr">
        <is>
          <t>Trading &amp; Shipping</t>
        </is>
      </c>
      <c r="K346" s="315" t="inlineStr">
        <is>
          <t>Trading &amp; Shipping</t>
        </is>
      </c>
      <c r="L346" s="315" t="n"/>
      <c r="M346" s="316" t="inlineStr">
        <is>
          <t>Australia</t>
        </is>
      </c>
      <c r="N346" t="inlineStr">
        <is>
          <t>Commercial Fuels</t>
        </is>
      </c>
      <c r="O346" t="inlineStr">
        <is>
          <t>Trading &amp; Shipping</t>
        </is>
      </c>
      <c r="P346" t="inlineStr">
        <is>
          <t>Trading &amp; Shipping</t>
        </is>
      </c>
      <c r="Q346" t="inlineStr">
        <is>
          <t>Squad</t>
        </is>
      </c>
      <c r="R346" t="inlineStr">
        <is>
          <t>Filled</t>
        </is>
      </c>
    </row>
    <row r="347" ht="18" customHeight="1" s="302">
      <c r="A347" s="314" t="n">
        <v>115836</v>
      </c>
      <c r="B347" s="239" t="inlineStr">
        <is>
          <t>JR Panganiban</t>
        </is>
      </c>
      <c r="C347" s="239" t="inlineStr">
        <is>
          <t>Technology Support Engineer</t>
        </is>
      </c>
      <c r="D347" t="inlineStr">
        <is>
          <t>Allan Francia</t>
        </is>
      </c>
      <c r="E347" t="inlineStr">
        <is>
          <t>Technology Manager, T&amp;S</t>
        </is>
      </c>
      <c r="F347" s="239" t="inlineStr">
        <is>
          <t>TDD CFE&amp;I</t>
        </is>
      </c>
      <c r="G347" s="315" t="inlineStr">
        <is>
          <t>Commercial Fuels</t>
        </is>
      </c>
      <c r="H347" s="315" t="inlineStr">
        <is>
          <t>Technology, Trading &amp; Shipping</t>
        </is>
      </c>
      <c r="I347" s="315" t="inlineStr">
        <is>
          <t>Commercial Fuels</t>
        </is>
      </c>
      <c r="J347" s="315" t="inlineStr">
        <is>
          <t>Trading &amp; Shipping</t>
        </is>
      </c>
      <c r="K347" s="239" t="inlineStr">
        <is>
          <t>Trading &amp; Shipping</t>
        </is>
      </c>
      <c r="L347" s="315" t="n"/>
      <c r="M347" s="316" t="inlineStr">
        <is>
          <t>USA</t>
        </is>
      </c>
      <c r="N347" t="inlineStr">
        <is>
          <t>Commercial Fuels</t>
        </is>
      </c>
      <c r="O347" t="inlineStr">
        <is>
          <t>Trading &amp; Shipping</t>
        </is>
      </c>
      <c r="P347" t="inlineStr">
        <is>
          <t>Trading &amp; Shipping</t>
        </is>
      </c>
      <c r="Q347" t="inlineStr">
        <is>
          <t>Squad</t>
        </is>
      </c>
      <c r="R347" t="inlineStr">
        <is>
          <t>Filled</t>
        </is>
      </c>
    </row>
    <row r="348" ht="18" customHeight="1" s="302">
      <c r="A348" s="314" t="n">
        <v>14920</v>
      </c>
      <c r="B348" s="239" t="inlineStr">
        <is>
          <t>Poch Fernandez</t>
        </is>
      </c>
      <c r="C348" s="239" t="inlineStr">
        <is>
          <t xml:space="preserve">Lead Technology Support  </t>
        </is>
      </c>
      <c r="D348" t="inlineStr">
        <is>
          <t>Allan Francia</t>
        </is>
      </c>
      <c r="E348" t="inlineStr">
        <is>
          <t>Technology Manager, T&amp;S</t>
        </is>
      </c>
      <c r="F348" s="239" t="inlineStr">
        <is>
          <t>TDD CFE&amp;I</t>
        </is>
      </c>
      <c r="G348" s="315" t="inlineStr">
        <is>
          <t>Commercial Fuels</t>
        </is>
      </c>
      <c r="H348" s="315" t="inlineStr">
        <is>
          <t>Technology, Trading &amp; Shipping</t>
        </is>
      </c>
      <c r="I348" s="315" t="inlineStr">
        <is>
          <t>Commercial Fuels</t>
        </is>
      </c>
      <c r="J348" s="315" t="inlineStr">
        <is>
          <t>Trading &amp; Shipping</t>
        </is>
      </c>
      <c r="K348" s="239" t="inlineStr">
        <is>
          <t>Trading &amp; Shipping</t>
        </is>
      </c>
      <c r="L348" s="315" t="n"/>
      <c r="M348" s="316" t="inlineStr">
        <is>
          <t>Singapore</t>
        </is>
      </c>
      <c r="N348" t="inlineStr">
        <is>
          <t>Commercial Fuels</t>
        </is>
      </c>
      <c r="O348" t="inlineStr">
        <is>
          <t>Trading &amp; Shipping</t>
        </is>
      </c>
      <c r="P348" t="inlineStr">
        <is>
          <t>Trading &amp; Shipping</t>
        </is>
      </c>
      <c r="Q348" t="inlineStr">
        <is>
          <t>Squad</t>
        </is>
      </c>
      <c r="R348" t="inlineStr">
        <is>
          <t>Filled</t>
        </is>
      </c>
    </row>
    <row r="349" ht="18" customHeight="1" s="302">
      <c r="A349" s="314" t="n">
        <v>14013</v>
      </c>
      <c r="B349" s="239" t="inlineStr">
        <is>
          <t>Jem Cruz</t>
        </is>
      </c>
      <c r="C349" s="239" t="inlineStr">
        <is>
          <t>System Specialist</t>
        </is>
      </c>
      <c r="D349" t="inlineStr">
        <is>
          <t>Allan Francia</t>
        </is>
      </c>
      <c r="E349" t="inlineStr">
        <is>
          <t>Technology Manager, T&amp;S</t>
        </is>
      </c>
      <c r="F349" s="239" t="inlineStr">
        <is>
          <t>TDD CFE&amp;I</t>
        </is>
      </c>
      <c r="G349" s="315" t="inlineStr">
        <is>
          <t>Commercial Fuels</t>
        </is>
      </c>
      <c r="H349" s="315" t="inlineStr">
        <is>
          <t>Technology, Trading &amp; Shipping</t>
        </is>
      </c>
      <c r="I349" s="315" t="inlineStr">
        <is>
          <t>Commercial Fuels</t>
        </is>
      </c>
      <c r="J349" s="315" t="inlineStr">
        <is>
          <t>Trading &amp; Shipping</t>
        </is>
      </c>
      <c r="K349" s="239" t="inlineStr">
        <is>
          <t>Trading &amp; Shipping</t>
        </is>
      </c>
      <c r="L349" s="315" t="n"/>
      <c r="M349" s="316" t="inlineStr">
        <is>
          <t>Australia</t>
        </is>
      </c>
      <c r="N349" t="inlineStr">
        <is>
          <t>Commercial Fuels</t>
        </is>
      </c>
      <c r="O349" t="inlineStr">
        <is>
          <t>Trading &amp; Shipping</t>
        </is>
      </c>
      <c r="P349" t="inlineStr">
        <is>
          <t>Trading &amp; Shipping</t>
        </is>
      </c>
      <c r="Q349" t="inlineStr">
        <is>
          <t>Squad</t>
        </is>
      </c>
      <c r="R349" t="inlineStr">
        <is>
          <t>Filled</t>
        </is>
      </c>
    </row>
    <row r="350" ht="18" customHeight="1" s="302">
      <c r="A350" s="314" t="n">
        <v>106547</v>
      </c>
      <c r="B350" s="239" t="inlineStr">
        <is>
          <t>Chin Fang Kwek</t>
        </is>
      </c>
      <c r="C350" s="239" t="inlineStr">
        <is>
          <t>System Analyst</t>
        </is>
      </c>
      <c r="D350" t="inlineStr">
        <is>
          <t>Allan Francia</t>
        </is>
      </c>
      <c r="E350" t="inlineStr">
        <is>
          <t>Technology Manager, T&amp;S</t>
        </is>
      </c>
      <c r="F350" s="239" t="inlineStr">
        <is>
          <t>TDD CFE&amp;I</t>
        </is>
      </c>
      <c r="G350" s="315" t="inlineStr">
        <is>
          <t>Commercial Fuels</t>
        </is>
      </c>
      <c r="H350" s="315" t="inlineStr">
        <is>
          <t>Technology, Trading &amp; Shipping</t>
        </is>
      </c>
      <c r="I350" s="315" t="inlineStr">
        <is>
          <t>Commercial Fuels</t>
        </is>
      </c>
      <c r="J350" s="315" t="inlineStr">
        <is>
          <t>Trading &amp; Shipping</t>
        </is>
      </c>
      <c r="K350" s="239" t="inlineStr">
        <is>
          <t>Trading &amp; Shipping</t>
        </is>
      </c>
      <c r="L350" s="315" t="n"/>
      <c r="M350" s="316" t="inlineStr">
        <is>
          <t>Singapore</t>
        </is>
      </c>
      <c r="N350" t="inlineStr">
        <is>
          <t>Commercial Fuels</t>
        </is>
      </c>
      <c r="O350" t="inlineStr">
        <is>
          <t>Trading &amp; Shipping</t>
        </is>
      </c>
      <c r="P350" t="inlineStr">
        <is>
          <t>Trading &amp; Shipping</t>
        </is>
      </c>
      <c r="Q350" t="inlineStr">
        <is>
          <t>Squad</t>
        </is>
      </c>
      <c r="R350" t="inlineStr">
        <is>
          <t>Filled</t>
        </is>
      </c>
    </row>
    <row r="351" ht="18" customHeight="1" s="302">
      <c r="A351" s="314" t="n"/>
      <c r="B351" s="239" t="inlineStr">
        <is>
          <t>vacant</t>
        </is>
      </c>
      <c r="C351" s="239" t="inlineStr">
        <is>
          <t>Technology Manager Data</t>
        </is>
      </c>
      <c r="D351" t="inlineStr">
        <is>
          <t>Amish Pandit</t>
        </is>
      </c>
      <c r="E351" t="inlineStr">
        <is>
          <t>Head of Technology, Fuel Infrastructure</t>
        </is>
      </c>
      <c r="F351" s="239" t="inlineStr">
        <is>
          <t>TDD CFE&amp;I</t>
        </is>
      </c>
      <c r="G351" s="315" t="inlineStr">
        <is>
          <t>Fuel Infrastructure</t>
        </is>
      </c>
      <c r="H351" s="315" t="inlineStr">
        <is>
          <t>Fuel Infrastructure, Data</t>
        </is>
      </c>
      <c r="I351" s="315" t="inlineStr">
        <is>
          <t>Infrastructure</t>
        </is>
      </c>
      <c r="J351" s="239" t="inlineStr">
        <is>
          <t>Leadership</t>
        </is>
      </c>
      <c r="K351" s="239" t="inlineStr">
        <is>
          <t>Leadership</t>
        </is>
      </c>
      <c r="L351" s="315" t="n"/>
      <c r="M351" s="316" t="n"/>
      <c r="N351" t="inlineStr">
        <is>
          <t>Infrastructure</t>
        </is>
      </c>
      <c r="O351" t="inlineStr">
        <is>
          <t>Leadership</t>
        </is>
      </c>
      <c r="P351" t="inlineStr">
        <is>
          <t>Leadership</t>
        </is>
      </c>
      <c r="Q351" t="inlineStr">
        <is>
          <t>Leadership</t>
        </is>
      </c>
      <c r="R351" t="inlineStr">
        <is>
          <t>Vacant</t>
        </is>
      </c>
    </row>
    <row r="352" ht="18" customHeight="1" s="302">
      <c r="A352" s="314" t="n">
        <v>109475</v>
      </c>
      <c r="B352" s="239" t="inlineStr">
        <is>
          <t>Jaya Ganasan</t>
        </is>
      </c>
      <c r="C352" s="352" t="inlineStr">
        <is>
          <t>B2B &amp; Energy+B452:I452</t>
        </is>
      </c>
      <c r="D352" t="inlineStr">
        <is>
          <t>Amish Pandit</t>
        </is>
      </c>
      <c r="E352" t="inlineStr">
        <is>
          <t>Head of Technology, Fuel Infrastructure</t>
        </is>
      </c>
      <c r="F352" s="239" t="inlineStr">
        <is>
          <t>TDD CFE&amp;I</t>
        </is>
      </c>
      <c r="G352" s="315" t="inlineStr">
        <is>
          <t>Fuel Infrastructure</t>
        </is>
      </c>
      <c r="H352" s="315" t="inlineStr">
        <is>
          <t>Refinery Applications</t>
        </is>
      </c>
      <c r="I352" s="315" t="inlineStr">
        <is>
          <t>Infrastructure</t>
        </is>
      </c>
      <c r="J352" s="315" t="inlineStr">
        <is>
          <t>Manufacturing</t>
        </is>
      </c>
      <c r="K352" s="239" t="inlineStr">
        <is>
          <t>Manufacturing Group Projects</t>
        </is>
      </c>
      <c r="L352" s="315" t="n"/>
      <c r="M352" s="316" t="inlineStr">
        <is>
          <t>Australia</t>
        </is>
      </c>
      <c r="N352" t="inlineStr">
        <is>
          <t>Infrastructure</t>
        </is>
      </c>
      <c r="O352" t="inlineStr">
        <is>
          <t>Manufacturing</t>
        </is>
      </c>
      <c r="P352" t="inlineStr">
        <is>
          <t>Manufacturing &amp; Group Projects</t>
        </is>
      </c>
      <c r="Q352" t="inlineStr">
        <is>
          <t>Squad</t>
        </is>
      </c>
      <c r="R352" t="inlineStr">
        <is>
          <t>Filled</t>
        </is>
      </c>
    </row>
    <row r="353" ht="18" customHeight="1" s="302">
      <c r="A353" s="314" t="n">
        <v>101861</v>
      </c>
      <c r="B353" s="239" t="inlineStr">
        <is>
          <t>Prem Shetty</t>
        </is>
      </c>
      <c r="C353" s="239" t="inlineStr">
        <is>
          <t>Delivery manager</t>
        </is>
      </c>
      <c r="D353" t="inlineStr">
        <is>
          <t>Amish Pandit</t>
        </is>
      </c>
      <c r="E353" t="inlineStr">
        <is>
          <t>Head of Technology, Fuel Infrastructure</t>
        </is>
      </c>
      <c r="F353" s="239" t="inlineStr">
        <is>
          <t>TDD CFE&amp;I</t>
        </is>
      </c>
      <c r="G353" s="315" t="inlineStr">
        <is>
          <t>Fuel Infrastructure</t>
        </is>
      </c>
      <c r="H353" s="315" t="inlineStr">
        <is>
          <t>Fuel Infrastructure, Delivery</t>
        </is>
      </c>
      <c r="I353" s="315" t="inlineStr">
        <is>
          <t>Infrastructure</t>
        </is>
      </c>
      <c r="J353" s="315" t="inlineStr">
        <is>
          <t xml:space="preserve">Leadership </t>
        </is>
      </c>
      <c r="K353" s="239" t="inlineStr">
        <is>
          <t>Leadership</t>
        </is>
      </c>
      <c r="L353" s="315" t="n"/>
      <c r="M353" s="316" t="n"/>
      <c r="N353" t="inlineStr">
        <is>
          <t>Infrastructure</t>
        </is>
      </c>
      <c r="O353" t="inlineStr">
        <is>
          <t>Leadership</t>
        </is>
      </c>
      <c r="P353" t="inlineStr">
        <is>
          <t>Leadership</t>
        </is>
      </c>
      <c r="Q353" t="inlineStr">
        <is>
          <t>Leadership</t>
        </is>
      </c>
      <c r="R353" t="inlineStr">
        <is>
          <t>Filled</t>
        </is>
      </c>
    </row>
    <row r="354" ht="18" customHeight="1" s="302">
      <c r="A354" s="314" t="n">
        <v>106201</v>
      </c>
      <c r="B354" s="326" t="inlineStr">
        <is>
          <t>George Moun</t>
        </is>
      </c>
      <c r="C354" s="326" t="inlineStr">
        <is>
          <t>Solution Architect</t>
        </is>
      </c>
      <c r="D354" s="317" t="inlineStr">
        <is>
          <t>Amish Pandit</t>
        </is>
      </c>
      <c r="E354" s="317" t="inlineStr">
        <is>
          <t>Head of Technology, Infrastructure</t>
        </is>
      </c>
      <c r="F354" s="239" t="inlineStr">
        <is>
          <t>TDD CFE&amp;I</t>
        </is>
      </c>
      <c r="G354" s="315" t="inlineStr">
        <is>
          <t>Fuel Infrastructure</t>
        </is>
      </c>
      <c r="H354" s="315" t="inlineStr">
        <is>
          <t>Fuel Infrastructure</t>
        </is>
      </c>
      <c r="I354" s="315" t="inlineStr">
        <is>
          <t>Infrastructure</t>
        </is>
      </c>
      <c r="J354" s="315" t="inlineStr">
        <is>
          <t xml:space="preserve">Leadership </t>
        </is>
      </c>
      <c r="K354" s="315" t="inlineStr">
        <is>
          <t>Leadership</t>
        </is>
      </c>
      <c r="L354" s="315" t="n"/>
      <c r="M354" s="316" t="inlineStr">
        <is>
          <t>Australia</t>
        </is>
      </c>
      <c r="N354" t="inlineStr">
        <is>
          <t>Infrastructure</t>
        </is>
      </c>
      <c r="O354" t="inlineStr">
        <is>
          <t>Leadership</t>
        </is>
      </c>
      <c r="P354" t="inlineStr">
        <is>
          <t>Leadership</t>
        </is>
      </c>
      <c r="Q354" t="inlineStr">
        <is>
          <t>Leadership</t>
        </is>
      </c>
      <c r="R354" t="inlineStr">
        <is>
          <t>Filled</t>
        </is>
      </c>
    </row>
    <row r="355" ht="18" customHeight="1" s="302">
      <c r="A355" s="314" t="n">
        <v>99999101636</v>
      </c>
      <c r="B355" s="239" t="inlineStr">
        <is>
          <t>Rod Santillan</t>
        </is>
      </c>
      <c r="C355" s="239" t="inlineStr">
        <is>
          <t>Snr Engineer Software</t>
        </is>
      </c>
      <c r="D355" t="inlineStr">
        <is>
          <t>Elle Spencer</t>
        </is>
      </c>
      <c r="E355" t="inlineStr">
        <is>
          <t>Technology Manager, Energy Solutions</t>
        </is>
      </c>
      <c r="F355" s="239" t="inlineStr">
        <is>
          <t>TDD CFE&amp;I</t>
        </is>
      </c>
      <c r="G355" s="315" t="inlineStr">
        <is>
          <t>B2B &amp; Energy Solutions</t>
        </is>
      </c>
      <c r="H355" s="315" t="inlineStr">
        <is>
          <t>Technology B2B</t>
        </is>
      </c>
      <c r="I355" s="315" t="inlineStr">
        <is>
          <t>B2B &amp; Energy Solutions</t>
        </is>
      </c>
      <c r="J355" s="239" t="inlineStr">
        <is>
          <t>B2B</t>
        </is>
      </c>
      <c r="K355" s="239" t="inlineStr">
        <is>
          <t>B2B</t>
        </is>
      </c>
      <c r="L355" s="315" t="n"/>
      <c r="M355" s="316" t="inlineStr">
        <is>
          <t>NZ</t>
        </is>
      </c>
      <c r="N355" t="inlineStr">
        <is>
          <t>Energy Solutions &amp; B2B</t>
        </is>
      </c>
      <c r="O355" t="inlineStr">
        <is>
          <t>B2B</t>
        </is>
      </c>
      <c r="P355" t="inlineStr">
        <is>
          <t>B2B</t>
        </is>
      </c>
      <c r="Q355" t="inlineStr">
        <is>
          <t>Squad</t>
        </is>
      </c>
      <c r="R355" t="inlineStr">
        <is>
          <t>Filled</t>
        </is>
      </c>
    </row>
    <row r="356" ht="18" customFormat="1" customHeight="1" s="357">
      <c r="A356" s="353" t="n">
        <v>90813</v>
      </c>
      <c r="B356" s="327" t="inlineStr">
        <is>
          <t>Vacant  (Contract)</t>
        </is>
      </c>
      <c r="C356" s="327" t="inlineStr">
        <is>
          <t>Senior Systems Analyst - Card</t>
        </is>
      </c>
      <c r="D356" s="354" t="inlineStr">
        <is>
          <t>Elle Spencer</t>
        </is>
      </c>
      <c r="E356" s="354" t="inlineStr">
        <is>
          <t>Technology Manager, Energy Solutions</t>
        </is>
      </c>
      <c r="F356" s="327" t="inlineStr">
        <is>
          <t>TDD CFE&amp;I</t>
        </is>
      </c>
      <c r="G356" s="355" t="inlineStr">
        <is>
          <t>B2B &amp; Energy Solutions</t>
        </is>
      </c>
      <c r="H356" s="355" t="inlineStr">
        <is>
          <t>Technology B2B</t>
        </is>
      </c>
      <c r="I356" s="355" t="inlineStr">
        <is>
          <t>B2B &amp; Energy Solutions</t>
        </is>
      </c>
      <c r="J356" s="327" t="inlineStr">
        <is>
          <t>B2B</t>
        </is>
      </c>
      <c r="K356" s="327" t="inlineStr">
        <is>
          <t>B2B</t>
        </is>
      </c>
      <c r="L356" s="355" t="n"/>
      <c r="M356" s="356" t="inlineStr">
        <is>
          <t>Australia</t>
        </is>
      </c>
      <c r="N356" t="inlineStr">
        <is>
          <t>Energy Solutions &amp; B2B</t>
        </is>
      </c>
      <c r="O356" t="inlineStr">
        <is>
          <t>B2B</t>
        </is>
      </c>
      <c r="P356" t="inlineStr">
        <is>
          <t>B2B</t>
        </is>
      </c>
      <c r="Q356" t="inlineStr">
        <is>
          <t>Squad</t>
        </is>
      </c>
      <c r="R356" t="inlineStr">
        <is>
          <t>Filled</t>
        </is>
      </c>
    </row>
    <row r="357" ht="18" customHeight="1" s="302">
      <c r="A357" s="314" t="n">
        <v>99691</v>
      </c>
      <c r="B357" s="239" t="inlineStr">
        <is>
          <t>Frank Liang</t>
        </is>
      </c>
      <c r="C357" s="239" t="inlineStr">
        <is>
          <t>Senior Systems Analyst</t>
        </is>
      </c>
      <c r="D357" t="inlineStr">
        <is>
          <t>Elle Spencer</t>
        </is>
      </c>
      <c r="E357" t="inlineStr">
        <is>
          <t>Technology Manager, Energy Solutions</t>
        </is>
      </c>
      <c r="F357" s="239" t="inlineStr">
        <is>
          <t>TDD CFE&amp;I</t>
        </is>
      </c>
      <c r="G357" s="315" t="inlineStr">
        <is>
          <t>B2B &amp; Energy Solutions</t>
        </is>
      </c>
      <c r="H357" s="315" t="inlineStr">
        <is>
          <t>Technology B2B</t>
        </is>
      </c>
      <c r="I357" s="315" t="inlineStr">
        <is>
          <t>B2B &amp; Energy Solutions</t>
        </is>
      </c>
      <c r="J357" s="239" t="inlineStr">
        <is>
          <t>B2B</t>
        </is>
      </c>
      <c r="K357" s="239" t="inlineStr">
        <is>
          <t>B2B</t>
        </is>
      </c>
      <c r="L357" s="315" t="n"/>
      <c r="M357" s="316" t="inlineStr">
        <is>
          <t>Australia</t>
        </is>
      </c>
      <c r="N357" t="inlineStr">
        <is>
          <t>Energy Solutions &amp; B2B</t>
        </is>
      </c>
      <c r="O357" t="inlineStr">
        <is>
          <t>B2B</t>
        </is>
      </c>
      <c r="P357" t="inlineStr">
        <is>
          <t>B2B</t>
        </is>
      </c>
      <c r="Q357" t="inlineStr">
        <is>
          <t>Squad</t>
        </is>
      </c>
      <c r="R357" t="inlineStr">
        <is>
          <t>Filled</t>
        </is>
      </c>
    </row>
    <row r="358" ht="18" customHeight="1" s="302">
      <c r="A358" s="314" t="n">
        <v>105799</v>
      </c>
      <c r="B358" s="239" t="inlineStr">
        <is>
          <t>Lindsay Baipas</t>
        </is>
      </c>
      <c r="C358" s="239" t="inlineStr">
        <is>
          <t>System Analyst Card</t>
        </is>
      </c>
      <c r="D358" t="inlineStr">
        <is>
          <t>Elle Spencer</t>
        </is>
      </c>
      <c r="E358" t="inlineStr">
        <is>
          <t>Technology Manager, Energy Solutions</t>
        </is>
      </c>
      <c r="F358" s="239" t="inlineStr">
        <is>
          <t>TDD CFE&amp;I</t>
        </is>
      </c>
      <c r="G358" s="315" t="inlineStr">
        <is>
          <t>B2B &amp; Energy Solutions</t>
        </is>
      </c>
      <c r="H358" s="315" t="inlineStr">
        <is>
          <t>Technology B2B</t>
        </is>
      </c>
      <c r="I358" s="315" t="inlineStr">
        <is>
          <t>B2B &amp; Energy Solutions</t>
        </is>
      </c>
      <c r="J358" s="239" t="inlineStr">
        <is>
          <t>B2B</t>
        </is>
      </c>
      <c r="K358" s="239" t="inlineStr">
        <is>
          <t>B2B</t>
        </is>
      </c>
      <c r="L358" s="315" t="n"/>
      <c r="M358" s="316" t="inlineStr">
        <is>
          <t>Australia</t>
        </is>
      </c>
      <c r="N358" t="inlineStr">
        <is>
          <t>Energy Solutions &amp; B2B</t>
        </is>
      </c>
      <c r="O358" t="inlineStr">
        <is>
          <t>B2B</t>
        </is>
      </c>
      <c r="P358" t="inlineStr">
        <is>
          <t>B2B</t>
        </is>
      </c>
      <c r="Q358" t="inlineStr">
        <is>
          <t>Squad</t>
        </is>
      </c>
      <c r="R358" t="inlineStr">
        <is>
          <t>Filled</t>
        </is>
      </c>
    </row>
    <row r="359" ht="18" customHeight="1" s="302">
      <c r="A359" s="314" t="n">
        <v>99999101912</v>
      </c>
      <c r="B359" s="239" t="inlineStr">
        <is>
          <t>Alex Abelita</t>
        </is>
      </c>
      <c r="C359" s="239" t="inlineStr">
        <is>
          <t>Associate Engineer - Automation Testing</t>
        </is>
      </c>
      <c r="D359" t="inlineStr">
        <is>
          <t>Elle Spencer</t>
        </is>
      </c>
      <c r="E359" t="inlineStr">
        <is>
          <t>Technology Manager, Energy Solutions</t>
        </is>
      </c>
      <c r="F359" s="239" t="inlineStr">
        <is>
          <t>TDD CFE&amp;I</t>
        </is>
      </c>
      <c r="G359" s="315" t="inlineStr">
        <is>
          <t>B2B &amp; Energy Solutions</t>
        </is>
      </c>
      <c r="H359" s="315" t="inlineStr">
        <is>
          <t>Technology B2B</t>
        </is>
      </c>
      <c r="I359" s="315" t="inlineStr">
        <is>
          <t>B2B &amp; Energy Solutions</t>
        </is>
      </c>
      <c r="J359" s="239" t="inlineStr">
        <is>
          <t>B2B</t>
        </is>
      </c>
      <c r="K359" s="239" t="inlineStr">
        <is>
          <t>B2B</t>
        </is>
      </c>
      <c r="L359" s="315" t="n"/>
      <c r="M359" s="316" t="inlineStr">
        <is>
          <t>NZ</t>
        </is>
      </c>
      <c r="N359" t="inlineStr">
        <is>
          <t>Energy Solutions &amp; B2B</t>
        </is>
      </c>
      <c r="O359" t="inlineStr">
        <is>
          <t>B2B</t>
        </is>
      </c>
      <c r="P359" t="inlineStr">
        <is>
          <t>B2B</t>
        </is>
      </c>
      <c r="Q359" t="inlineStr">
        <is>
          <t>Squad</t>
        </is>
      </c>
      <c r="R359" t="inlineStr">
        <is>
          <t>Filled</t>
        </is>
      </c>
    </row>
    <row r="360" ht="18" customHeight="1" s="302">
      <c r="A360" s="314" t="n">
        <v>114366</v>
      </c>
      <c r="B360" s="239" t="inlineStr">
        <is>
          <t>Allyn Puente</t>
        </is>
      </c>
      <c r="C360" s="239" t="inlineStr">
        <is>
          <t>Graduate</t>
        </is>
      </c>
      <c r="D360" t="inlineStr">
        <is>
          <t>Elle Spencer</t>
        </is>
      </c>
      <c r="E360" t="inlineStr">
        <is>
          <t>Technology Manager, Energy Solutions</t>
        </is>
      </c>
      <c r="F360" s="239" t="inlineStr">
        <is>
          <t>TDD CFE&amp;I</t>
        </is>
      </c>
      <c r="G360" s="315" t="inlineStr">
        <is>
          <t>B2B &amp; Energy Solutions</t>
        </is>
      </c>
      <c r="H360" s="315" t="inlineStr">
        <is>
          <t>Technology B2B</t>
        </is>
      </c>
      <c r="I360" s="315" t="inlineStr">
        <is>
          <t>B2B &amp; Energy Solutions</t>
        </is>
      </c>
      <c r="J360" s="239" t="inlineStr">
        <is>
          <t>B2B</t>
        </is>
      </c>
      <c r="K360" s="239" t="inlineStr">
        <is>
          <t>B2B</t>
        </is>
      </c>
      <c r="L360" s="315" t="n"/>
      <c r="M360" s="316" t="inlineStr">
        <is>
          <t>Australia</t>
        </is>
      </c>
      <c r="N360" t="inlineStr">
        <is>
          <t>Energy Solutions &amp; B2B</t>
        </is>
      </c>
      <c r="O360" t="inlineStr">
        <is>
          <t>B2B</t>
        </is>
      </c>
      <c r="P360" t="inlineStr">
        <is>
          <t>B2B</t>
        </is>
      </c>
      <c r="Q360" t="inlineStr">
        <is>
          <t>Squad</t>
        </is>
      </c>
      <c r="R360" t="inlineStr">
        <is>
          <t>Filled</t>
        </is>
      </c>
    </row>
    <row r="361" ht="18" customHeight="1" s="302">
      <c r="A361" s="314" t="n">
        <v>109362</v>
      </c>
      <c r="B361" s="239" t="inlineStr">
        <is>
          <t>Scott Hasson</t>
        </is>
      </c>
      <c r="C361" s="239" t="inlineStr">
        <is>
          <t>Technology Support Engineer - Infrastructure</t>
        </is>
      </c>
      <c r="D361" t="inlineStr">
        <is>
          <t>Glenn Earl</t>
        </is>
      </c>
      <c r="E361" t="inlineStr">
        <is>
          <t>Lead Support, Infrastructure</t>
        </is>
      </c>
      <c r="F361" s="239" t="inlineStr">
        <is>
          <t>TDD CFE&amp;I</t>
        </is>
      </c>
      <c r="G361" s="315" t="inlineStr">
        <is>
          <t>Fuel Infrastructure</t>
        </is>
      </c>
      <c r="H361" s="315" t="inlineStr">
        <is>
          <t>Refinery Applications</t>
        </is>
      </c>
      <c r="I361" s="317" t="inlineStr">
        <is>
          <t>Infrastructure</t>
        </is>
      </c>
      <c r="J361" s="315" t="inlineStr">
        <is>
          <t>Fuel Infrastructure</t>
        </is>
      </c>
      <c r="K361" t="inlineStr">
        <is>
          <t>Technology Suport</t>
        </is>
      </c>
      <c r="L361" s="315" t="n"/>
      <c r="M361" s="316" t="inlineStr">
        <is>
          <t>Australia</t>
        </is>
      </c>
      <c r="N361" t="inlineStr">
        <is>
          <t>Infrastructure</t>
        </is>
      </c>
      <c r="O361" t="inlineStr">
        <is>
          <t>Manufacturing</t>
        </is>
      </c>
      <c r="P361" t="inlineStr">
        <is>
          <t>Technology Support</t>
        </is>
      </c>
      <c r="Q361" t="inlineStr">
        <is>
          <t>Squad</t>
        </is>
      </c>
      <c r="R361" t="inlineStr">
        <is>
          <t>Filled</t>
        </is>
      </c>
    </row>
    <row r="362" ht="18" customFormat="1" customHeight="1" s="357">
      <c r="A362" s="353" t="n">
        <v>92699</v>
      </c>
      <c r="B362" s="327" t="inlineStr">
        <is>
          <t>Vacant</t>
        </is>
      </c>
      <c r="C362" s="327" t="inlineStr">
        <is>
          <t>Technology Support Engineer - Infrastructure</t>
        </is>
      </c>
      <c r="D362" s="354" t="inlineStr">
        <is>
          <t>Glenn Earl</t>
        </is>
      </c>
      <c r="E362" s="327" t="inlineStr">
        <is>
          <t>Lead Support, Infrastructure</t>
        </is>
      </c>
      <c r="F362" s="327" t="inlineStr">
        <is>
          <t>TDD CFE&amp;I</t>
        </is>
      </c>
      <c r="G362" s="355" t="inlineStr">
        <is>
          <t>Fuel Infrastructure</t>
        </is>
      </c>
      <c r="H362" s="355" t="inlineStr">
        <is>
          <t>Refinery Applications</t>
        </is>
      </c>
      <c r="I362" s="355" t="inlineStr">
        <is>
          <t>Infrastructure</t>
        </is>
      </c>
      <c r="J362" s="355" t="inlineStr">
        <is>
          <t>Fuel Infrastructure</t>
        </is>
      </c>
      <c r="K362" s="327" t="inlineStr">
        <is>
          <t>Technology Suport</t>
        </is>
      </c>
      <c r="L362" s="355" t="n"/>
      <c r="M362" s="356" t="inlineStr">
        <is>
          <t>Australia</t>
        </is>
      </c>
      <c r="N362" t="inlineStr">
        <is>
          <t>Infrastructure</t>
        </is>
      </c>
      <c r="O362" t="inlineStr">
        <is>
          <t>Manufacturing</t>
        </is>
      </c>
      <c r="P362" t="inlineStr">
        <is>
          <t>Technology Support</t>
        </is>
      </c>
      <c r="Q362" t="inlineStr">
        <is>
          <t>Squad</t>
        </is>
      </c>
      <c r="R362" t="inlineStr">
        <is>
          <t>Vacant</t>
        </is>
      </c>
    </row>
    <row r="363" ht="18" customHeight="1" s="302">
      <c r="A363" s="314" t="n">
        <v>110040</v>
      </c>
      <c r="B363" s="239" t="inlineStr">
        <is>
          <t>Tyler Meggs</t>
        </is>
      </c>
      <c r="C363" s="239" t="inlineStr">
        <is>
          <t>System Analyst</t>
        </is>
      </c>
      <c r="D363" t="inlineStr">
        <is>
          <t>Jaya Ganasan</t>
        </is>
      </c>
      <c r="E363" s="239" t="inlineStr">
        <is>
          <t>Technology Manager, TDD Refinery</t>
        </is>
      </c>
      <c r="F363" s="239" t="inlineStr">
        <is>
          <t>TDD CFE&amp;I</t>
        </is>
      </c>
      <c r="G363" s="315" t="inlineStr">
        <is>
          <t>Fuel Infrastructure</t>
        </is>
      </c>
      <c r="H363" s="315" t="inlineStr">
        <is>
          <t>Refinery Applications</t>
        </is>
      </c>
      <c r="I363" s="315" t="inlineStr">
        <is>
          <t>Infrastructure</t>
        </is>
      </c>
      <c r="J363" s="315" t="inlineStr">
        <is>
          <t>Manufacturing</t>
        </is>
      </c>
      <c r="K363" s="239" t="inlineStr">
        <is>
          <t>Manufacturing Group Projects</t>
        </is>
      </c>
      <c r="L363" s="315" t="n"/>
      <c r="M363" s="316" t="inlineStr">
        <is>
          <t>Australia</t>
        </is>
      </c>
      <c r="N363" t="inlineStr">
        <is>
          <t>Infrastructure</t>
        </is>
      </c>
      <c r="O363" t="inlineStr">
        <is>
          <t>Manufacturing</t>
        </is>
      </c>
      <c r="P363" t="inlineStr">
        <is>
          <t>Manufacturing &amp; Group Projects</t>
        </is>
      </c>
      <c r="Q363" t="inlineStr">
        <is>
          <t>Squad</t>
        </is>
      </c>
      <c r="R363" t="inlineStr">
        <is>
          <t>Filled</t>
        </is>
      </c>
    </row>
    <row r="364" ht="18" customHeight="1" s="302">
      <c r="A364" s="314" t="n">
        <v>98087</v>
      </c>
      <c r="B364" s="239" t="inlineStr">
        <is>
          <t>Victor Olasanoye</t>
        </is>
      </c>
      <c r="C364" s="239" t="inlineStr">
        <is>
          <t>Senior Systems Analyst</t>
        </is>
      </c>
      <c r="D364" t="inlineStr">
        <is>
          <t>Jaya Ganasan</t>
        </is>
      </c>
      <c r="E364" s="239" t="inlineStr">
        <is>
          <t>Technology Manager, TDD Refinery</t>
        </is>
      </c>
      <c r="F364" s="239" t="inlineStr">
        <is>
          <t>TDD CFE&amp;I</t>
        </is>
      </c>
      <c r="G364" s="315" t="inlineStr">
        <is>
          <t>Fuel Infrastructure</t>
        </is>
      </c>
      <c r="H364" s="315" t="inlineStr">
        <is>
          <t>Refinery Applications</t>
        </is>
      </c>
      <c r="I364" s="315" t="inlineStr">
        <is>
          <t>Infrastructure</t>
        </is>
      </c>
      <c r="J364" s="315" t="inlineStr">
        <is>
          <t>Manufacturing</t>
        </is>
      </c>
      <c r="K364" s="239" t="inlineStr">
        <is>
          <t>Manuacturing Group Projects</t>
        </is>
      </c>
      <c r="L364" s="315" t="n"/>
      <c r="M364" s="316" t="inlineStr">
        <is>
          <t>Australia</t>
        </is>
      </c>
      <c r="N364" t="inlineStr">
        <is>
          <t>Infrastructure</t>
        </is>
      </c>
      <c r="O364" t="inlineStr">
        <is>
          <t>Manufacturing</t>
        </is>
      </c>
      <c r="P364" t="inlineStr">
        <is>
          <t>Manufacturing &amp; Group Projects</t>
        </is>
      </c>
      <c r="Q364" t="inlineStr">
        <is>
          <t>Squad</t>
        </is>
      </c>
      <c r="R364" t="inlineStr">
        <is>
          <t>Filled</t>
        </is>
      </c>
    </row>
    <row r="365" ht="18" customHeight="1" s="302">
      <c r="A365" s="314" t="n"/>
      <c r="B365" s="239" t="inlineStr">
        <is>
          <t xml:space="preserve">Vacant </t>
        </is>
      </c>
      <c r="C365" s="239" t="inlineStr">
        <is>
          <t>Solution Architect</t>
        </is>
      </c>
      <c r="D365" s="239" t="inlineStr">
        <is>
          <t>Jaya Ganasan</t>
        </is>
      </c>
      <c r="E365" s="239" t="inlineStr">
        <is>
          <t>Technology Manager, TDD Refinery</t>
        </is>
      </c>
      <c r="F365" s="239" t="inlineStr">
        <is>
          <t>TDD CFE&amp;I</t>
        </is>
      </c>
      <c r="G365" s="315" t="inlineStr">
        <is>
          <t>Fuel Infrastructure</t>
        </is>
      </c>
      <c r="H365" s="315" t="inlineStr">
        <is>
          <t>Refinery Applications</t>
        </is>
      </c>
      <c r="I365" s="315" t="inlineStr">
        <is>
          <t>Infrastructure</t>
        </is>
      </c>
      <c r="J365" s="315" t="inlineStr">
        <is>
          <t>Manufacturing</t>
        </is>
      </c>
      <c r="K365" s="239" t="inlineStr">
        <is>
          <t>Manufacturing Group Projects</t>
        </is>
      </c>
      <c r="L365" s="315" t="n"/>
      <c r="M365" s="316" t="n"/>
      <c r="N365" t="inlineStr">
        <is>
          <t>Infrastructure</t>
        </is>
      </c>
      <c r="O365" t="inlineStr">
        <is>
          <t>Manufacturing</t>
        </is>
      </c>
      <c r="P365" t="inlineStr">
        <is>
          <t>Manufacturing &amp; Group Projects</t>
        </is>
      </c>
      <c r="Q365" t="inlineStr">
        <is>
          <t>Squad</t>
        </is>
      </c>
      <c r="R365" t="inlineStr">
        <is>
          <t>Vacant</t>
        </is>
      </c>
    </row>
    <row r="366" ht="18" customHeight="1" s="302">
      <c r="A366" s="314" t="n">
        <v>0</v>
      </c>
      <c r="B366" s="239" t="inlineStr">
        <is>
          <t>Chris Camacho</t>
        </is>
      </c>
      <c r="C366" s="239" t="inlineStr">
        <is>
          <t>Senior Systems Analyst</t>
        </is>
      </c>
      <c r="D366" s="239" t="inlineStr">
        <is>
          <t>Jaya Ganasan</t>
        </is>
      </c>
      <c r="E366" s="239" t="inlineStr">
        <is>
          <t>Technology Manager, TDD Refinery</t>
        </is>
      </c>
      <c r="F366" s="239" t="inlineStr">
        <is>
          <t>TDD CFE&amp;I</t>
        </is>
      </c>
      <c r="G366" s="315" t="inlineStr">
        <is>
          <t>Fuel Infrastructure</t>
        </is>
      </c>
      <c r="H366" s="315" t="inlineStr">
        <is>
          <t>Refinery Applications</t>
        </is>
      </c>
      <c r="I366" s="315" t="inlineStr">
        <is>
          <t>Infrastructure</t>
        </is>
      </c>
      <c r="J366" s="315" t="inlineStr">
        <is>
          <t>Manufacturing</t>
        </is>
      </c>
      <c r="K366" s="239" t="inlineStr">
        <is>
          <t>Manuacturing Group Projects</t>
        </is>
      </c>
      <c r="L366" s="315" t="n"/>
      <c r="M366" s="316" t="n">
        <v>0</v>
      </c>
      <c r="N366" t="inlineStr">
        <is>
          <t>Infrastructure</t>
        </is>
      </c>
      <c r="O366" t="inlineStr">
        <is>
          <t>Manufacturing</t>
        </is>
      </c>
      <c r="P366" t="inlineStr">
        <is>
          <t>Manufacturing &amp; Group Projects</t>
        </is>
      </c>
      <c r="Q366" t="inlineStr">
        <is>
          <t>Squad</t>
        </is>
      </c>
      <c r="R366" t="inlineStr">
        <is>
          <t>Filled</t>
        </is>
      </c>
    </row>
    <row r="367" ht="18" customHeight="1" s="302">
      <c r="A367" s="314" t="n">
        <v>116090</v>
      </c>
      <c r="B367" s="239" t="inlineStr">
        <is>
          <t>Fabian Moreno Cortes</t>
        </is>
      </c>
      <c r="C367" s="239" t="inlineStr">
        <is>
          <t>Engineer - Software</t>
        </is>
      </c>
      <c r="D367" s="239" t="inlineStr">
        <is>
          <t>Jaya Ganasan</t>
        </is>
      </c>
      <c r="E367" s="239" t="inlineStr">
        <is>
          <t>Technology Manager, TDD Refinery</t>
        </is>
      </c>
      <c r="F367" s="239" t="inlineStr">
        <is>
          <t>TDD CFE&amp;I</t>
        </is>
      </c>
      <c r="G367" s="315" t="inlineStr">
        <is>
          <t>Fuel Infrastructure</t>
        </is>
      </c>
      <c r="H367" s="315" t="inlineStr">
        <is>
          <t>Refinery Applications</t>
        </is>
      </c>
      <c r="I367" s="315" t="inlineStr">
        <is>
          <t>Infrastructure</t>
        </is>
      </c>
      <c r="J367" s="315" t="inlineStr">
        <is>
          <t>Manufacturing</t>
        </is>
      </c>
      <c r="K367" s="239" t="inlineStr">
        <is>
          <t>Manuacturing Group Projects</t>
        </is>
      </c>
      <c r="L367" s="315" t="n"/>
      <c r="M367" s="316" t="inlineStr">
        <is>
          <t>Australia</t>
        </is>
      </c>
      <c r="N367" t="inlineStr">
        <is>
          <t>Infrastructure</t>
        </is>
      </c>
      <c r="O367" t="inlineStr">
        <is>
          <t>Manufacturing</t>
        </is>
      </c>
      <c r="P367" t="inlineStr">
        <is>
          <t>Manufacturing &amp; Group Projects</t>
        </is>
      </c>
      <c r="Q367" t="inlineStr">
        <is>
          <t>Squad</t>
        </is>
      </c>
      <c r="R367" t="inlineStr">
        <is>
          <t>Filled</t>
        </is>
      </c>
    </row>
    <row r="368" ht="18" customHeight="1" s="302">
      <c r="A368" s="314" t="n">
        <v>97776</v>
      </c>
      <c r="B368" s="239" t="inlineStr">
        <is>
          <t>Anvitha Kurra</t>
        </is>
      </c>
      <c r="C368" s="239" t="inlineStr">
        <is>
          <t>Senior Systems Analyst</t>
        </is>
      </c>
      <c r="D368" s="239" t="inlineStr">
        <is>
          <t>Karla Orozco Loza</t>
        </is>
      </c>
      <c r="E368" s="239" t="inlineStr">
        <is>
          <t>Technology Manager, Future Infrastructure</t>
        </is>
      </c>
      <c r="F368" s="239" t="inlineStr">
        <is>
          <t>TDD CFE&amp;I</t>
        </is>
      </c>
      <c r="G368" s="315" t="inlineStr">
        <is>
          <t>Fuel Infrastructure</t>
        </is>
      </c>
      <c r="H368" s="315" t="inlineStr">
        <is>
          <t>Technology - Distribution</t>
        </is>
      </c>
      <c r="I368" s="315" t="inlineStr">
        <is>
          <t>Infrastructure</t>
        </is>
      </c>
      <c r="J368" s="239" t="inlineStr">
        <is>
          <t>Distribution</t>
        </is>
      </c>
      <c r="K368" s="239" t="inlineStr">
        <is>
          <t>Distribution, Sales &amp; Services</t>
        </is>
      </c>
      <c r="L368" s="315" t="n"/>
      <c r="M368" s="316" t="inlineStr">
        <is>
          <t>Australia</t>
        </is>
      </c>
      <c r="N368" t="inlineStr">
        <is>
          <t>Infrastructure</t>
        </is>
      </c>
      <c r="O368" t="inlineStr">
        <is>
          <t>Distribution</t>
        </is>
      </c>
      <c r="P368" t="inlineStr">
        <is>
          <t>Distribution, Sales &amp; Services</t>
        </is>
      </c>
      <c r="Q368" t="inlineStr">
        <is>
          <t>Squad</t>
        </is>
      </c>
      <c r="R368" t="inlineStr">
        <is>
          <t>Filled</t>
        </is>
      </c>
    </row>
    <row r="369" ht="18" customHeight="1" s="302">
      <c r="A369" s="314" t="n">
        <v>81395</v>
      </c>
      <c r="B369" s="239" t="inlineStr">
        <is>
          <t>Angus Gibson</t>
        </is>
      </c>
      <c r="C369" s="239" t="inlineStr">
        <is>
          <t>Senior Systems Analyst</t>
        </is>
      </c>
      <c r="D369" s="239" t="inlineStr">
        <is>
          <t>Karla Orozco Loza</t>
        </is>
      </c>
      <c r="E369" s="239" t="inlineStr">
        <is>
          <t>Technology Manager, Future Infrastructure</t>
        </is>
      </c>
      <c r="F369" s="239" t="inlineStr">
        <is>
          <t>TDD CFE&amp;I</t>
        </is>
      </c>
      <c r="G369" s="315" t="inlineStr">
        <is>
          <t>Fuel Infrastructure</t>
        </is>
      </c>
      <c r="H369" s="315" t="inlineStr">
        <is>
          <t>Technology - Distribution</t>
        </is>
      </c>
      <c r="I369" s="315" t="inlineStr">
        <is>
          <t>Infrastructure</t>
        </is>
      </c>
      <c r="J369" s="239" t="inlineStr">
        <is>
          <t>Distribution</t>
        </is>
      </c>
      <c r="K369" s="239" t="inlineStr">
        <is>
          <t>Distribution, Sales &amp; Services</t>
        </is>
      </c>
      <c r="L369" s="315" t="n"/>
      <c r="M369" s="316" t="inlineStr">
        <is>
          <t>Australia</t>
        </is>
      </c>
      <c r="N369" t="inlineStr">
        <is>
          <t>Infrastructure</t>
        </is>
      </c>
      <c r="O369" t="inlineStr">
        <is>
          <t>Distribution</t>
        </is>
      </c>
      <c r="P369" t="inlineStr">
        <is>
          <t>Distribution, Sales &amp; Services</t>
        </is>
      </c>
      <c r="Q369" t="inlineStr">
        <is>
          <t>Squad</t>
        </is>
      </c>
      <c r="R369" t="inlineStr">
        <is>
          <t>Filled</t>
        </is>
      </c>
    </row>
    <row r="370" ht="18" customHeight="1" s="302">
      <c r="A370" s="314" t="n">
        <v>113202</v>
      </c>
      <c r="B370" s="239" t="inlineStr">
        <is>
          <t>Rohan Patel</t>
        </is>
      </c>
      <c r="C370" s="239" t="inlineStr">
        <is>
          <t>Senior Systems Analyst</t>
        </is>
      </c>
      <c r="D370" t="inlineStr">
        <is>
          <t>Karla Orozco Loza</t>
        </is>
      </c>
      <c r="E370" t="inlineStr">
        <is>
          <t>Technology Manager, Future Infrastructure</t>
        </is>
      </c>
      <c r="F370" s="239" t="inlineStr">
        <is>
          <t>TDD CFE&amp;I</t>
        </is>
      </c>
      <c r="G370" s="315" t="inlineStr">
        <is>
          <t>Fuel Infrastructure</t>
        </is>
      </c>
      <c r="H370" s="315" t="inlineStr">
        <is>
          <t>Technology - Distribution</t>
        </is>
      </c>
      <c r="I370" s="315" t="inlineStr">
        <is>
          <t>Infrastructure</t>
        </is>
      </c>
      <c r="J370" s="317" t="inlineStr">
        <is>
          <t>Distribution</t>
        </is>
      </c>
      <c r="K370" s="239" t="inlineStr">
        <is>
          <t>Distribution, Sales &amp; Services</t>
        </is>
      </c>
      <c r="L370" s="315" t="n"/>
      <c r="M370" s="316" t="inlineStr">
        <is>
          <t>Australia</t>
        </is>
      </c>
      <c r="N370" t="inlineStr">
        <is>
          <t>Infrastructure</t>
        </is>
      </c>
      <c r="O370" t="inlineStr">
        <is>
          <t>Distribution</t>
        </is>
      </c>
      <c r="P370" t="inlineStr">
        <is>
          <t>Distribution, Sales &amp; Services</t>
        </is>
      </c>
      <c r="Q370" t="inlineStr">
        <is>
          <t>Squad</t>
        </is>
      </c>
      <c r="R370" t="inlineStr">
        <is>
          <t>Filled</t>
        </is>
      </c>
    </row>
    <row r="371" ht="18" customHeight="1" s="302">
      <c r="A371" s="314" t="n">
        <v>101059</v>
      </c>
      <c r="B371" s="239" t="inlineStr">
        <is>
          <t>Sriramani Deyyala</t>
        </is>
      </c>
      <c r="C371" s="239" t="inlineStr">
        <is>
          <t>Systems Analyst</t>
        </is>
      </c>
      <c r="D371" t="inlineStr">
        <is>
          <t>Karla Orozco Loza</t>
        </is>
      </c>
      <c r="E371" t="inlineStr">
        <is>
          <t>Technology Manager, Future Infrastructure</t>
        </is>
      </c>
      <c r="F371" s="239" t="inlineStr">
        <is>
          <t>TDD CFE&amp;I</t>
        </is>
      </c>
      <c r="G371" s="315" t="inlineStr">
        <is>
          <t>Fuel Infrastructure</t>
        </is>
      </c>
      <c r="H371" s="315" t="inlineStr">
        <is>
          <t>Technology - Distribution</t>
        </is>
      </c>
      <c r="I371" s="315" t="inlineStr">
        <is>
          <t>Infrastructure</t>
        </is>
      </c>
      <c r="J371" s="315" t="inlineStr">
        <is>
          <t>Distribution</t>
        </is>
      </c>
      <c r="K371" s="239" t="inlineStr">
        <is>
          <t>Distribution, Sales &amp; Services</t>
        </is>
      </c>
      <c r="L371" s="315" t="n"/>
      <c r="M371" s="316" t="inlineStr">
        <is>
          <t>Australia</t>
        </is>
      </c>
      <c r="N371" t="inlineStr">
        <is>
          <t>Infrastructure</t>
        </is>
      </c>
      <c r="O371" t="inlineStr">
        <is>
          <t>Distribution</t>
        </is>
      </c>
      <c r="P371" t="inlineStr">
        <is>
          <t>Distribution, Sales &amp; Services</t>
        </is>
      </c>
      <c r="Q371" t="inlineStr">
        <is>
          <t>Squad</t>
        </is>
      </c>
      <c r="R371" t="inlineStr">
        <is>
          <t>Filled</t>
        </is>
      </c>
    </row>
    <row r="372" ht="18" customHeight="1" s="302">
      <c r="A372" s="314" t="n">
        <v>101539</v>
      </c>
      <c r="B372" s="239" t="inlineStr">
        <is>
          <t>Vacant</t>
        </is>
      </c>
      <c r="C372" s="239" t="inlineStr">
        <is>
          <t>Systems Analyst</t>
        </is>
      </c>
      <c r="D372" t="inlineStr">
        <is>
          <t>Karla Orozco Loza</t>
        </is>
      </c>
      <c r="E372" s="239" t="inlineStr">
        <is>
          <t>Technology Manager, Future Infrastructure</t>
        </is>
      </c>
      <c r="F372" s="239" t="inlineStr">
        <is>
          <t>TDD CFE&amp;I</t>
        </is>
      </c>
      <c r="G372" s="315" t="inlineStr">
        <is>
          <t>Fuel Infrastructure</t>
        </is>
      </c>
      <c r="H372" s="315" t="inlineStr">
        <is>
          <t>Fuel Infrastructure</t>
        </is>
      </c>
      <c r="I372" s="315" t="inlineStr">
        <is>
          <t>Infrastructure</t>
        </is>
      </c>
      <c r="J372" s="315" t="inlineStr">
        <is>
          <t>Distribution</t>
        </is>
      </c>
      <c r="K372" s="239" t="inlineStr">
        <is>
          <t>Distribution, Sales &amp; Services</t>
        </is>
      </c>
      <c r="L372" s="315" t="n"/>
      <c r="M372" s="316" t="inlineStr">
        <is>
          <t>Australia</t>
        </is>
      </c>
      <c r="N372" t="inlineStr">
        <is>
          <t>Infrastructure</t>
        </is>
      </c>
      <c r="O372" t="inlineStr">
        <is>
          <t>Distribution</t>
        </is>
      </c>
      <c r="P372" t="inlineStr">
        <is>
          <t>Distribution, Sales &amp; Services</t>
        </is>
      </c>
      <c r="Q372" t="inlineStr">
        <is>
          <t>Squad</t>
        </is>
      </c>
      <c r="R372" t="inlineStr">
        <is>
          <t>Vacant</t>
        </is>
      </c>
    </row>
    <row r="373" ht="18" customHeight="1" s="302">
      <c r="A373" s="314" t="n">
        <v>6748</v>
      </c>
      <c r="B373" s="239" t="inlineStr">
        <is>
          <t>Elle Spencer</t>
        </is>
      </c>
      <c r="C373" s="239" t="inlineStr">
        <is>
          <t>Technology Manager - B2B</t>
        </is>
      </c>
      <c r="D373" s="317" t="inlineStr">
        <is>
          <t>Liesl Tye</t>
        </is>
      </c>
      <c r="E373" s="239" t="inlineStr">
        <is>
          <t>Head of Technology, B2B &amp; Energy Solutions</t>
        </is>
      </c>
      <c r="F373" s="239" t="inlineStr">
        <is>
          <t>TDD CFE&amp;I</t>
        </is>
      </c>
      <c r="G373" s="315" t="inlineStr">
        <is>
          <t>B2B &amp; Energy Solutions</t>
        </is>
      </c>
      <c r="H373" s="315" t="inlineStr">
        <is>
          <t>Technology, B2B</t>
        </is>
      </c>
      <c r="I373" s="315" t="inlineStr">
        <is>
          <t>B2B &amp; Energy Solutions</t>
        </is>
      </c>
      <c r="J373" s="315" t="inlineStr">
        <is>
          <t>Leadership</t>
        </is>
      </c>
      <c r="K373" s="239" t="inlineStr">
        <is>
          <t>Leadership</t>
        </is>
      </c>
      <c r="L373" s="315" t="n"/>
      <c r="M373" s="316" t="inlineStr">
        <is>
          <t>Australia</t>
        </is>
      </c>
      <c r="N373" t="inlineStr">
        <is>
          <t>Energy Solutions &amp; B2B</t>
        </is>
      </c>
      <c r="O373" t="inlineStr">
        <is>
          <t>Leadership</t>
        </is>
      </c>
      <c r="P373" t="inlineStr">
        <is>
          <t>Leadership</t>
        </is>
      </c>
      <c r="Q373" t="inlineStr">
        <is>
          <t>Leadership</t>
        </is>
      </c>
      <c r="R373" t="inlineStr">
        <is>
          <t>Filled</t>
        </is>
      </c>
    </row>
    <row r="374" ht="18" customHeight="1" s="302">
      <c r="A374" s="314" t="n">
        <v>115518</v>
      </c>
      <c r="B374" s="239" t="inlineStr">
        <is>
          <t>Hitesh Patel</t>
        </is>
      </c>
      <c r="C374" s="239" t="inlineStr">
        <is>
          <t>Technology Manager, Energy Solutions</t>
        </is>
      </c>
      <c r="D374" s="315" t="inlineStr">
        <is>
          <t>Liesl Tye</t>
        </is>
      </c>
      <c r="E374" s="239" t="inlineStr">
        <is>
          <t>Head of Technology, B2B &amp; Energy Solutions</t>
        </is>
      </c>
      <c r="F374" s="239" t="inlineStr">
        <is>
          <t>TDD CFE&amp;I</t>
        </is>
      </c>
      <c r="G374" s="315" t="inlineStr">
        <is>
          <t>Loyalty &amp; Martech</t>
        </is>
      </c>
      <c r="H374" s="315" t="inlineStr">
        <is>
          <t>Technology Energy Solutions</t>
        </is>
      </c>
      <c r="I374" s="315" t="n"/>
      <c r="J374" s="358" t="n"/>
      <c r="K374" s="239" t="n"/>
      <c r="L374" s="315" t="n"/>
      <c r="M374" s="316" t="n"/>
      <c r="N374" t="inlineStr">
        <is>
          <t>Customer</t>
        </is>
      </c>
      <c r="O374" t="inlineStr">
        <is>
          <t>Group Customer Platforms</t>
        </is>
      </c>
      <c r="P374" t="inlineStr">
        <is>
          <t>AU CRM &amp; Martech</t>
        </is>
      </c>
      <c r="Q374" t="inlineStr">
        <is>
          <t>Squad</t>
        </is>
      </c>
      <c r="R374" t="inlineStr">
        <is>
          <t>Filled</t>
        </is>
      </c>
    </row>
    <row r="375" ht="18" customHeight="1" s="302">
      <c r="A375" s="314" t="n"/>
      <c r="B375" s="239" t="inlineStr">
        <is>
          <t>Vacant</t>
        </is>
      </c>
      <c r="C375" s="239" t="inlineStr">
        <is>
          <t>Delivery manager</t>
        </is>
      </c>
      <c r="D375" s="315" t="inlineStr">
        <is>
          <t>Liesl Tye</t>
        </is>
      </c>
      <c r="E375" s="239" t="inlineStr">
        <is>
          <t>Head of Technology, B2B &amp; Energy Solutions</t>
        </is>
      </c>
      <c r="F375" s="239" t="inlineStr">
        <is>
          <t>TDD CFE&amp;I</t>
        </is>
      </c>
      <c r="G375" s="315" t="inlineStr">
        <is>
          <t>B2B &amp; Energy Solutions</t>
        </is>
      </c>
      <c r="H375" s="315" t="inlineStr">
        <is>
          <t>Leadership</t>
        </is>
      </c>
      <c r="I375" s="315" t="inlineStr">
        <is>
          <t>B2B &amp; Energy Solutions</t>
        </is>
      </c>
      <c r="J375" s="315" t="inlineStr">
        <is>
          <t>Leadership</t>
        </is>
      </c>
      <c r="K375" s="239" t="inlineStr">
        <is>
          <t>Leadership</t>
        </is>
      </c>
      <c r="L375" s="315" t="n"/>
      <c r="M375" s="316" t="n"/>
      <c r="N375" t="inlineStr">
        <is>
          <t>Energy Solutions &amp; B2B</t>
        </is>
      </c>
      <c r="O375" t="inlineStr">
        <is>
          <t>Leadership</t>
        </is>
      </c>
      <c r="P375" t="inlineStr">
        <is>
          <t>Leadership</t>
        </is>
      </c>
      <c r="Q375" t="inlineStr">
        <is>
          <t>Leadership</t>
        </is>
      </c>
      <c r="R375" t="inlineStr">
        <is>
          <t>Vacant</t>
        </is>
      </c>
    </row>
    <row r="376" ht="18" customHeight="1" s="302">
      <c r="A376" s="314" t="n"/>
      <c r="B376" s="239" t="inlineStr">
        <is>
          <t>Vacant</t>
        </is>
      </c>
      <c r="C376" s="239" t="inlineStr">
        <is>
          <t>Technology Manager, Engineering</t>
        </is>
      </c>
      <c r="D376" s="315" t="inlineStr">
        <is>
          <t>Nakul Bharade</t>
        </is>
      </c>
      <c r="E376" s="239" t="inlineStr">
        <is>
          <t>Head of Technology, Commercial Fuels</t>
        </is>
      </c>
      <c r="F376" s="239" t="inlineStr">
        <is>
          <t>TDD CFE&amp;I</t>
        </is>
      </c>
      <c r="G376" s="315" t="inlineStr">
        <is>
          <t>Loyalty &amp; Martech</t>
        </is>
      </c>
      <c r="H376" s="359" t="inlineStr">
        <is>
          <t>Trading &amp; Shipping</t>
        </is>
      </c>
      <c r="I376" s="315" t="inlineStr">
        <is>
          <t>Commercial Fuels</t>
        </is>
      </c>
      <c r="J376" s="315" t="n"/>
      <c r="K376" s="239" t="n"/>
      <c r="L376" s="315" t="n"/>
      <c r="M376" s="316" t="n"/>
      <c r="N376" t="inlineStr">
        <is>
          <t>Customer</t>
        </is>
      </c>
      <c r="O376" t="inlineStr">
        <is>
          <t>Group Customer Platforms</t>
        </is>
      </c>
      <c r="P376" t="inlineStr">
        <is>
          <t>AU CRM &amp; Martech</t>
        </is>
      </c>
      <c r="Q376" t="inlineStr">
        <is>
          <t>Squad</t>
        </is>
      </c>
      <c r="R376" t="inlineStr">
        <is>
          <t>Vacant</t>
        </is>
      </c>
    </row>
    <row r="377" ht="18" customHeight="1" s="302">
      <c r="A377" s="314" t="n"/>
      <c r="B377" s="239" t="inlineStr">
        <is>
          <t>Vacant</t>
        </is>
      </c>
      <c r="C377" s="239" t="inlineStr">
        <is>
          <t>Delivery Manager</t>
        </is>
      </c>
      <c r="D377" s="315" t="inlineStr">
        <is>
          <t>Nakul Bharade</t>
        </is>
      </c>
      <c r="E377" s="239" t="inlineStr">
        <is>
          <t>Head of Technology, Commercial Fuels</t>
        </is>
      </c>
      <c r="F377" s="239" t="inlineStr">
        <is>
          <t>TDD CFE&amp;I</t>
        </is>
      </c>
      <c r="G377" s="315" t="inlineStr">
        <is>
          <t>Commercial Fuels</t>
        </is>
      </c>
      <c r="H377" s="359" t="inlineStr">
        <is>
          <t>Trading &amp; Shipping</t>
        </is>
      </c>
      <c r="I377" s="315" t="inlineStr">
        <is>
          <t>Commercial Fuels</t>
        </is>
      </c>
      <c r="J377" s="315" t="n"/>
      <c r="K377" s="239" t="n"/>
      <c r="L377" s="315" t="n"/>
      <c r="M377" s="316" t="n"/>
      <c r="N377" t="inlineStr">
        <is>
          <t>Commercial Fuels</t>
        </is>
      </c>
      <c r="O377" t="inlineStr">
        <is>
          <t>-</t>
        </is>
      </c>
      <c r="P377" t="inlineStr">
        <is>
          <t>Commercial Fuels</t>
        </is>
      </c>
      <c r="Q377" t="inlineStr">
        <is>
          <t>Unmapped</t>
        </is>
      </c>
      <c r="R377" t="inlineStr">
        <is>
          <t>Vacant</t>
        </is>
      </c>
    </row>
    <row r="378" ht="18" customHeight="1" s="302">
      <c r="A378" s="314" t="n"/>
      <c r="B378" s="239" t="inlineStr">
        <is>
          <t>Vacant</t>
        </is>
      </c>
      <c r="C378" s="239" t="inlineStr">
        <is>
          <t>Technology Manager, Data</t>
        </is>
      </c>
      <c r="D378" s="315" t="inlineStr">
        <is>
          <t>Nakul Bharade</t>
        </is>
      </c>
      <c r="E378" s="239" t="inlineStr">
        <is>
          <t>Head of Technology, Commercial Fuels</t>
        </is>
      </c>
      <c r="F378" s="239" t="inlineStr">
        <is>
          <t>TDD CFE&amp;I</t>
        </is>
      </c>
      <c r="G378" s="315" t="inlineStr">
        <is>
          <t>Commercial Fuels</t>
        </is>
      </c>
      <c r="H378" s="359" t="inlineStr">
        <is>
          <t>Trading &amp; Shipping</t>
        </is>
      </c>
      <c r="I378" s="315" t="inlineStr">
        <is>
          <t>Commercial Fuels</t>
        </is>
      </c>
      <c r="J378" s="315" t="n"/>
      <c r="K378" s="315" t="n"/>
      <c r="L378" s="315" t="n"/>
      <c r="M378" s="316" t="n"/>
      <c r="N378" t="inlineStr">
        <is>
          <t>Commercial Fuels</t>
        </is>
      </c>
      <c r="O378" t="inlineStr">
        <is>
          <t>-</t>
        </is>
      </c>
      <c r="P378" t="inlineStr">
        <is>
          <t>Commercial Fuels</t>
        </is>
      </c>
      <c r="Q378" t="inlineStr">
        <is>
          <t>Unmapped</t>
        </is>
      </c>
      <c r="R378" t="inlineStr">
        <is>
          <t>Vacant</t>
        </is>
      </c>
    </row>
    <row r="379" ht="18" customHeight="1" s="302">
      <c r="A379" s="314" t="n">
        <v>106404</v>
      </c>
      <c r="B379" s="239" t="inlineStr">
        <is>
          <t>Carl Russo</t>
        </is>
      </c>
      <c r="C379" s="239" t="inlineStr">
        <is>
          <t>Program Manager - CTRM</t>
        </is>
      </c>
      <c r="D379" s="239" t="inlineStr">
        <is>
          <t>Roanne Steele</t>
        </is>
      </c>
      <c r="E379" s="239" t="inlineStr">
        <is>
          <t>GM TDD, CFE&amp;I</t>
        </is>
      </c>
      <c r="F379" s="239" t="inlineStr">
        <is>
          <t>TDD CFE&amp;I</t>
        </is>
      </c>
      <c r="G379" s="315" t="inlineStr">
        <is>
          <t>Leadership</t>
        </is>
      </c>
      <c r="H379" s="315" t="inlineStr">
        <is>
          <t>Leadership</t>
        </is>
      </c>
      <c r="I379" s="315" t="n"/>
      <c r="J379" s="315" t="n"/>
      <c r="K379" s="239" t="n"/>
      <c r="L379" s="315" t="n"/>
      <c r="M379" s="316" t="inlineStr">
        <is>
          <t>Australia</t>
        </is>
      </c>
      <c r="N379" t="inlineStr">
        <is>
          <t>Unmapped</t>
        </is>
      </c>
      <c r="O379" t="inlineStr">
        <is>
          <t>-</t>
        </is>
      </c>
      <c r="P379" t="inlineStr">
        <is>
          <t>Leadership</t>
        </is>
      </c>
      <c r="Q379" t="inlineStr">
        <is>
          <t>Unmapped</t>
        </is>
      </c>
      <c r="R379" t="inlineStr">
        <is>
          <t>Filled</t>
        </is>
      </c>
    </row>
    <row r="380" ht="18" customHeight="1" s="302">
      <c r="A380" s="314" t="n">
        <v>97098</v>
      </c>
      <c r="B380" s="239" t="inlineStr">
        <is>
          <t>Amish Pandit</t>
        </is>
      </c>
      <c r="C380" s="239" t="inlineStr">
        <is>
          <t>Head of Technology, Fuel Infrastructure</t>
        </is>
      </c>
      <c r="D380" t="inlineStr">
        <is>
          <t>Roanne Steele</t>
        </is>
      </c>
      <c r="E380" s="239" t="inlineStr">
        <is>
          <t>GM TDD, CFE&amp;I</t>
        </is>
      </c>
      <c r="F380" s="239" t="inlineStr">
        <is>
          <t>TDD CFE&amp;I</t>
        </is>
      </c>
      <c r="G380" s="315" t="inlineStr">
        <is>
          <t>Fuel Infrastructure</t>
        </is>
      </c>
      <c r="H380" s="315" t="inlineStr">
        <is>
          <t>Leadership</t>
        </is>
      </c>
      <c r="I380" s="315" t="inlineStr">
        <is>
          <t>Infrastructure</t>
        </is>
      </c>
      <c r="J380" s="239" t="inlineStr">
        <is>
          <t xml:space="preserve">Leadership </t>
        </is>
      </c>
      <c r="K380" s="315" t="inlineStr">
        <is>
          <t>Leadership</t>
        </is>
      </c>
      <c r="L380" s="315" t="n"/>
      <c r="M380" s="316" t="inlineStr">
        <is>
          <t>Australia</t>
        </is>
      </c>
      <c r="N380" t="inlineStr">
        <is>
          <t>Infrastructure</t>
        </is>
      </c>
      <c r="O380" t="inlineStr">
        <is>
          <t>Leadership</t>
        </is>
      </c>
      <c r="P380" t="inlineStr">
        <is>
          <t>Leadership</t>
        </is>
      </c>
      <c r="Q380" t="inlineStr">
        <is>
          <t>Leadership</t>
        </is>
      </c>
      <c r="R380" t="inlineStr">
        <is>
          <t>Filled</t>
        </is>
      </c>
    </row>
    <row r="381" ht="18" customHeight="1" s="302">
      <c r="A381" s="314" t="n">
        <v>99999101304</v>
      </c>
      <c r="B381" s="239" t="inlineStr">
        <is>
          <t>Liesl Tye</t>
        </is>
      </c>
      <c r="C381" s="239" t="inlineStr">
        <is>
          <t>Head of Technology, B2B &amp; Energy Solutions</t>
        </is>
      </c>
      <c r="D381" s="239" t="inlineStr">
        <is>
          <t xml:space="preserve">Roanne Steele </t>
        </is>
      </c>
      <c r="E381" s="239" t="inlineStr">
        <is>
          <t>GM TDD, CFE&amp;I</t>
        </is>
      </c>
      <c r="F381" s="239" t="inlineStr">
        <is>
          <t>TDD CFE&amp;I</t>
        </is>
      </c>
      <c r="G381" s="315" t="inlineStr">
        <is>
          <t>B2B &amp; Energy Solutions</t>
        </is>
      </c>
      <c r="H381" s="315" t="inlineStr">
        <is>
          <t>Leadership</t>
        </is>
      </c>
      <c r="I381" s="315" t="inlineStr">
        <is>
          <t>B2B &amp; Energy Solutions</t>
        </is>
      </c>
      <c r="J381" s="315" t="inlineStr">
        <is>
          <t>Leadership</t>
        </is>
      </c>
      <c r="K381" s="239" t="inlineStr">
        <is>
          <t>Leadership</t>
        </is>
      </c>
      <c r="L381" s="315" t="n"/>
      <c r="M381" s="316" t="inlineStr">
        <is>
          <t>NZ</t>
        </is>
      </c>
      <c r="N381" t="inlineStr">
        <is>
          <t>Energy Solutions &amp; B2B</t>
        </is>
      </c>
      <c r="O381" t="inlineStr">
        <is>
          <t>Leadership</t>
        </is>
      </c>
      <c r="P381" t="inlineStr">
        <is>
          <t>Leadership</t>
        </is>
      </c>
      <c r="Q381" t="inlineStr">
        <is>
          <t>Leadership</t>
        </is>
      </c>
      <c r="R381" t="inlineStr">
        <is>
          <t>Filled</t>
        </is>
      </c>
    </row>
    <row r="382" ht="18" customHeight="1" s="302">
      <c r="A382" s="314" t="n">
        <v>99999101224</v>
      </c>
      <c r="B382" s="239" t="inlineStr">
        <is>
          <t>Nakul Bharade</t>
        </is>
      </c>
      <c r="C382" s="239" t="inlineStr">
        <is>
          <t>Head of Technology, Commercial Fuels</t>
        </is>
      </c>
      <c r="D382" t="inlineStr">
        <is>
          <t xml:space="preserve">Roanne Steele </t>
        </is>
      </c>
      <c r="E382" t="inlineStr">
        <is>
          <t>GM TDD, CFE&amp;I</t>
        </is>
      </c>
      <c r="F382" s="239" t="inlineStr">
        <is>
          <t>TDD CFE&amp;I</t>
        </is>
      </c>
      <c r="G382" s="315" t="inlineStr">
        <is>
          <t>Commercial Fuels</t>
        </is>
      </c>
      <c r="H382" s="359" t="n"/>
      <c r="I382" s="315" t="inlineStr">
        <is>
          <t>Commercial Fuels</t>
        </is>
      </c>
      <c r="J382" s="315" t="inlineStr">
        <is>
          <t>Ampol Digital</t>
        </is>
      </c>
      <c r="K382" s="315" t="inlineStr">
        <is>
          <t>Trading &amp; Shipping</t>
        </is>
      </c>
      <c r="L382" s="315" t="n"/>
      <c r="M382" s="316" t="inlineStr">
        <is>
          <t>NZ</t>
        </is>
      </c>
      <c r="N382" t="inlineStr">
        <is>
          <t>Commercial Fuels</t>
        </is>
      </c>
      <c r="O382" t="inlineStr">
        <is>
          <t>Trading &amp; Shipping</t>
        </is>
      </c>
      <c r="P382" t="inlineStr">
        <is>
          <t>Trading &amp; Shipping</t>
        </is>
      </c>
      <c r="Q382" t="inlineStr">
        <is>
          <t>Squad</t>
        </is>
      </c>
      <c r="R382" t="inlineStr">
        <is>
          <t>Filled</t>
        </is>
      </c>
    </row>
    <row r="383" ht="18" customHeight="1" s="302">
      <c r="A383" s="314" t="n">
        <v>14100</v>
      </c>
      <c r="B383" s="239" t="inlineStr">
        <is>
          <t>Belinda Ford</t>
        </is>
      </c>
      <c r="C383" s="239" t="inlineStr">
        <is>
          <t>Quality Assurance</t>
        </is>
      </c>
      <c r="D383" t="inlineStr">
        <is>
          <t>Vacant</t>
        </is>
      </c>
      <c r="E383" t="inlineStr">
        <is>
          <t>Technology Manager, Energy Solutions</t>
        </is>
      </c>
      <c r="F383" s="239" t="inlineStr">
        <is>
          <t>TDD CFE&amp;I</t>
        </is>
      </c>
      <c r="G383" s="315" t="inlineStr">
        <is>
          <t>B2B &amp; Energy Solutions</t>
        </is>
      </c>
      <c r="H383" s="315" t="inlineStr">
        <is>
          <t>Technology, CF Engineering</t>
        </is>
      </c>
      <c r="I383" s="315" t="inlineStr">
        <is>
          <t>B2B &amp; Energy Solutions</t>
        </is>
      </c>
      <c r="J383" s="239" t="inlineStr">
        <is>
          <t>B2B</t>
        </is>
      </c>
      <c r="K383" s="239" t="inlineStr">
        <is>
          <t>B2B</t>
        </is>
      </c>
      <c r="L383" s="315" t="n"/>
      <c r="M383" s="316" t="inlineStr">
        <is>
          <t>Australia</t>
        </is>
      </c>
      <c r="N383" t="inlineStr">
        <is>
          <t>Energy Solutions &amp; B2B</t>
        </is>
      </c>
      <c r="O383" t="inlineStr">
        <is>
          <t>B2B</t>
        </is>
      </c>
      <c r="P383" t="inlineStr">
        <is>
          <t>B2B</t>
        </is>
      </c>
      <c r="Q383" t="inlineStr">
        <is>
          <t>Squad</t>
        </is>
      </c>
      <c r="R383" t="inlineStr">
        <is>
          <t>Filled</t>
        </is>
      </c>
    </row>
    <row r="384" ht="18" customHeight="1" s="302">
      <c r="A384" s="314" t="n"/>
      <c r="B384" s="239" t="inlineStr">
        <is>
          <t>Vacant</t>
        </is>
      </c>
      <c r="C384" s="239" t="inlineStr">
        <is>
          <t>Quality Assurance</t>
        </is>
      </c>
      <c r="D384" s="317" t="inlineStr">
        <is>
          <t>Vacant</t>
        </is>
      </c>
      <c r="E384" t="inlineStr">
        <is>
          <t>Technology Manager, Engineering</t>
        </is>
      </c>
      <c r="F384" s="239" t="inlineStr">
        <is>
          <t>TDD CFE&amp;I</t>
        </is>
      </c>
      <c r="G384" s="315" t="inlineStr">
        <is>
          <t>Commercial Fuels</t>
        </is>
      </c>
      <c r="H384" s="315" t="inlineStr">
        <is>
          <t>Technology, Engineering</t>
        </is>
      </c>
      <c r="I384" s="315" t="inlineStr">
        <is>
          <t>Commercial Fuels</t>
        </is>
      </c>
      <c r="J384" s="315" t="inlineStr">
        <is>
          <t>Trading &amp; Shipping</t>
        </is>
      </c>
      <c r="K384" s="239" t="inlineStr">
        <is>
          <t>Trading &amp; Shipping</t>
        </is>
      </c>
      <c r="L384" s="315" t="n"/>
      <c r="M384" s="316" t="n"/>
      <c r="N384" t="inlineStr">
        <is>
          <t>Commercial Fuels</t>
        </is>
      </c>
      <c r="O384" t="inlineStr">
        <is>
          <t>Trading &amp; Shipping</t>
        </is>
      </c>
      <c r="P384" t="inlineStr">
        <is>
          <t>Trading &amp; Shipping</t>
        </is>
      </c>
      <c r="Q384" t="inlineStr">
        <is>
          <t>Squad</t>
        </is>
      </c>
      <c r="R384" t="inlineStr">
        <is>
          <t>Vacant</t>
        </is>
      </c>
    </row>
    <row r="385" ht="18" customHeight="1" s="302">
      <c r="A385" s="314" t="n">
        <v>116253</v>
      </c>
      <c r="B385" s="239" t="inlineStr">
        <is>
          <t>Siva Chimmani</t>
        </is>
      </c>
      <c r="C385" s="239" t="inlineStr">
        <is>
          <t>Senior Engineer</t>
        </is>
      </c>
      <c r="D385" t="inlineStr">
        <is>
          <t>Vacant</t>
        </is>
      </c>
      <c r="E385" t="inlineStr">
        <is>
          <t>Technology Manager, Future Infrastructure</t>
        </is>
      </c>
      <c r="F385" s="239" t="inlineStr">
        <is>
          <t>TDD CFE&amp;I</t>
        </is>
      </c>
      <c r="G385" s="315" t="inlineStr">
        <is>
          <t>Fuel Infrastructure</t>
        </is>
      </c>
      <c r="H385" s="315" t="inlineStr">
        <is>
          <t>Technology - Distribution</t>
        </is>
      </c>
      <c r="I385" s="315" t="inlineStr">
        <is>
          <t>Infrastructure</t>
        </is>
      </c>
      <c r="J385" s="315" t="inlineStr">
        <is>
          <t>Distribution</t>
        </is>
      </c>
      <c r="K385" s="239" t="inlineStr">
        <is>
          <t>Distribution, Sales &amp; Services</t>
        </is>
      </c>
      <c r="L385" s="315" t="n"/>
      <c r="M385" s="316" t="inlineStr">
        <is>
          <t>Australia</t>
        </is>
      </c>
      <c r="N385" t="inlineStr">
        <is>
          <t>Infrastructure</t>
        </is>
      </c>
      <c r="O385" t="inlineStr">
        <is>
          <t>Distribution</t>
        </is>
      </c>
      <c r="P385" t="inlineStr">
        <is>
          <t>Distribution, Sales &amp; Services</t>
        </is>
      </c>
      <c r="Q385" t="inlineStr">
        <is>
          <t>Squad</t>
        </is>
      </c>
      <c r="R385" t="inlineStr">
        <is>
          <t>Filled</t>
        </is>
      </c>
    </row>
    <row r="386" ht="18" customHeight="1" s="302">
      <c r="A386" s="314" t="n"/>
      <c r="B386" s="239" t="inlineStr">
        <is>
          <t>Vacant</t>
        </is>
      </c>
      <c r="C386" s="239" t="inlineStr">
        <is>
          <t>System Specialist</t>
        </is>
      </c>
      <c r="D386" t="inlineStr">
        <is>
          <t>Vacant</t>
        </is>
      </c>
      <c r="E386" t="inlineStr">
        <is>
          <t>Technology Manager, T&amp;S</t>
        </is>
      </c>
      <c r="F386" s="239" t="inlineStr">
        <is>
          <t>TDD CFE&amp;I</t>
        </is>
      </c>
      <c r="G386" s="315" t="inlineStr">
        <is>
          <t>Commercial Fuels</t>
        </is>
      </c>
      <c r="H386" s="315" t="inlineStr">
        <is>
          <t>Technology, Trading &amp; Shipping</t>
        </is>
      </c>
      <c r="I386" s="315" t="inlineStr">
        <is>
          <t>Commercial Fuels</t>
        </is>
      </c>
      <c r="J386" s="315" t="inlineStr">
        <is>
          <t>Supply</t>
        </is>
      </c>
      <c r="K386" s="239" t="inlineStr">
        <is>
          <t>Supply</t>
        </is>
      </c>
      <c r="L386" s="315" t="n"/>
      <c r="M386" s="316" t="n"/>
      <c r="N386" t="inlineStr">
        <is>
          <t>Commercial Fuels</t>
        </is>
      </c>
      <c r="O386" t="inlineStr">
        <is>
          <t>Supply</t>
        </is>
      </c>
      <c r="P386" t="inlineStr">
        <is>
          <t>Supply</t>
        </is>
      </c>
      <c r="Q386" t="inlineStr">
        <is>
          <t>Squad</t>
        </is>
      </c>
      <c r="R386" t="inlineStr">
        <is>
          <t>Vacant</t>
        </is>
      </c>
    </row>
    <row r="387" ht="18" customHeight="1" s="302">
      <c r="A387" s="314" t="n">
        <v>106791</v>
      </c>
      <c r="B387" s="239" t="inlineStr">
        <is>
          <t>Victor Beuk</t>
        </is>
      </c>
      <c r="C387" s="239" t="inlineStr">
        <is>
          <t>Delivery Lead</t>
        </is>
      </c>
      <c r="D387" s="315" t="inlineStr">
        <is>
          <t>vacant</t>
        </is>
      </c>
      <c r="E387" s="239" t="inlineStr">
        <is>
          <t>Delivery Manager</t>
        </is>
      </c>
      <c r="F387" s="239" t="inlineStr">
        <is>
          <t>TDD CFE&amp;I</t>
        </is>
      </c>
      <c r="G387" s="315" t="inlineStr">
        <is>
          <t>B2B &amp; Energy Solutions</t>
        </is>
      </c>
      <c r="H387" s="315" t="inlineStr">
        <is>
          <t>Delivery</t>
        </is>
      </c>
      <c r="I387" s="315" t="inlineStr">
        <is>
          <t>RETAIL</t>
        </is>
      </c>
      <c r="J387" s="315" t="inlineStr">
        <is>
          <t>AMPOS</t>
        </is>
      </c>
      <c r="K387" s="239" t="inlineStr">
        <is>
          <t>AmPos</t>
        </is>
      </c>
      <c r="L387" s="315" t="n"/>
      <c r="M387" s="316" t="inlineStr">
        <is>
          <t>Australia</t>
        </is>
      </c>
      <c r="N387" t="inlineStr">
        <is>
          <t>Ampol Retail</t>
        </is>
      </c>
      <c r="O387" t="inlineStr">
        <is>
          <t>AmPOS</t>
        </is>
      </c>
      <c r="P387" t="inlineStr">
        <is>
          <t>AmPOS</t>
        </is>
      </c>
      <c r="Q387" t="inlineStr">
        <is>
          <t>Strategic Program</t>
        </is>
      </c>
      <c r="R387" t="inlineStr">
        <is>
          <t>Filled</t>
        </is>
      </c>
    </row>
    <row r="388" ht="18" customHeight="1" s="302">
      <c r="A388" s="314" t="n">
        <v>105532</v>
      </c>
      <c r="B388" s="239" t="inlineStr">
        <is>
          <t>Debbie Gor</t>
        </is>
      </c>
      <c r="C388" s="239" t="inlineStr">
        <is>
          <t>Delivery Lead</t>
        </is>
      </c>
      <c r="D388" s="315" t="inlineStr">
        <is>
          <t>Vacant</t>
        </is>
      </c>
      <c r="E388" s="239" t="inlineStr">
        <is>
          <t>Delivery Manager</t>
        </is>
      </c>
      <c r="F388" s="239" t="inlineStr">
        <is>
          <t>TDD CFE&amp;I</t>
        </is>
      </c>
      <c r="G388" s="315" t="inlineStr">
        <is>
          <t>B2B &amp; Energy Solutions</t>
        </is>
      </c>
      <c r="H388" s="315" t="inlineStr">
        <is>
          <t>Delivery</t>
        </is>
      </c>
      <c r="I388" s="315" t="inlineStr">
        <is>
          <t>B2B &amp; Energy Solutions</t>
        </is>
      </c>
      <c r="J388" s="239" t="inlineStr">
        <is>
          <t>B2B</t>
        </is>
      </c>
      <c r="K388" s="239" t="inlineStr">
        <is>
          <t>B2B</t>
        </is>
      </c>
      <c r="L388" s="315" t="n"/>
      <c r="M388" s="316" t="inlineStr">
        <is>
          <t>Australia</t>
        </is>
      </c>
      <c r="N388" t="inlineStr">
        <is>
          <t>Energy Solutions &amp; B2B</t>
        </is>
      </c>
      <c r="O388" t="inlineStr">
        <is>
          <t>B2B</t>
        </is>
      </c>
      <c r="P388" t="inlineStr">
        <is>
          <t>B2B</t>
        </is>
      </c>
      <c r="Q388" t="inlineStr">
        <is>
          <t>Squad</t>
        </is>
      </c>
      <c r="R388" t="inlineStr">
        <is>
          <t>Filled</t>
        </is>
      </c>
    </row>
    <row r="389" ht="18" customHeight="1" s="302">
      <c r="A389" s="314" t="n"/>
      <c r="B389" s="239" t="inlineStr">
        <is>
          <t>Vacant</t>
        </is>
      </c>
      <c r="C389" s="239" t="inlineStr">
        <is>
          <t>Delivery Lead</t>
        </is>
      </c>
      <c r="D389" s="315" t="inlineStr">
        <is>
          <t>vacant</t>
        </is>
      </c>
      <c r="E389" s="239" t="inlineStr">
        <is>
          <t>Delivery Manager</t>
        </is>
      </c>
      <c r="F389" s="239" t="inlineStr">
        <is>
          <t>TDD CFE&amp;I</t>
        </is>
      </c>
      <c r="G389" s="315" t="inlineStr">
        <is>
          <t>Commercial Fuels</t>
        </is>
      </c>
      <c r="H389" s="315" t="inlineStr">
        <is>
          <t>Trading &amp; Shipping</t>
        </is>
      </c>
      <c r="I389" s="315" t="inlineStr">
        <is>
          <t>Commercial Fuels</t>
        </is>
      </c>
      <c r="J389" s="315" t="inlineStr">
        <is>
          <t>Supply</t>
        </is>
      </c>
      <c r="K389" s="315" t="inlineStr">
        <is>
          <t>Supply</t>
        </is>
      </c>
      <c r="L389" s="239" t="n"/>
      <c r="M389" s="316" t="n"/>
      <c r="N389" t="inlineStr">
        <is>
          <t>Commercial Fuels</t>
        </is>
      </c>
      <c r="O389" t="inlineStr">
        <is>
          <t>Supply</t>
        </is>
      </c>
      <c r="P389" t="inlineStr">
        <is>
          <t>Supply</t>
        </is>
      </c>
      <c r="Q389" t="inlineStr">
        <is>
          <t>Squad</t>
        </is>
      </c>
      <c r="R389" t="inlineStr">
        <is>
          <t>Vacant</t>
        </is>
      </c>
    </row>
    <row r="390" ht="18" customHeight="1" s="302">
      <c r="A390" s="314" t="n">
        <v>107550</v>
      </c>
      <c r="B390" s="239" t="inlineStr">
        <is>
          <t>Gunjan Vasudeva</t>
        </is>
      </c>
      <c r="C390" s="239" t="inlineStr">
        <is>
          <t>Lead Quality Assurance</t>
        </is>
      </c>
      <c r="D390" s="315" t="inlineStr">
        <is>
          <t>vacant</t>
        </is>
      </c>
      <c r="E390" s="239" t="inlineStr">
        <is>
          <t>Technology Manager, Energy Solutions</t>
        </is>
      </c>
      <c r="F390" s="239" t="inlineStr">
        <is>
          <t>TDD CFE&amp;I</t>
        </is>
      </c>
      <c r="G390" s="315" t="inlineStr">
        <is>
          <t>B2B &amp; Energy Solutions</t>
        </is>
      </c>
      <c r="H390" s="315" t="inlineStr">
        <is>
          <t>Technology Energy Solutions</t>
        </is>
      </c>
      <c r="I390" s="315" t="inlineStr">
        <is>
          <t>B2B &amp; Energy Solutions</t>
        </is>
      </c>
      <c r="J390" s="315" t="inlineStr">
        <is>
          <t>Energy Solutions</t>
        </is>
      </c>
      <c r="K390" s="239" t="inlineStr">
        <is>
          <t>Energy</t>
        </is>
      </c>
      <c r="L390" s="315" t="n"/>
      <c r="M390" s="316" t="inlineStr">
        <is>
          <t>Australia</t>
        </is>
      </c>
      <c r="N390" t="inlineStr">
        <is>
          <t>Energy Solutions &amp; B2B</t>
        </is>
      </c>
      <c r="O390" t="inlineStr">
        <is>
          <t>Energy Solutions</t>
        </is>
      </c>
      <c r="P390" t="inlineStr">
        <is>
          <t>Energy</t>
        </is>
      </c>
      <c r="Q390" t="inlineStr">
        <is>
          <t>Squad</t>
        </is>
      </c>
      <c r="R390" t="inlineStr">
        <is>
          <t>Filled</t>
        </is>
      </c>
    </row>
    <row r="391" ht="18" customHeight="1" s="302">
      <c r="A391" s="314" t="n"/>
      <c r="B391" s="239" t="inlineStr">
        <is>
          <t>Vacant</t>
        </is>
      </c>
      <c r="C391" s="239" t="inlineStr">
        <is>
          <t>Engineer Software</t>
        </is>
      </c>
      <c r="D391" s="239" t="inlineStr">
        <is>
          <t>Vacant</t>
        </is>
      </c>
      <c r="E391" s="239" t="inlineStr">
        <is>
          <t>Technology Manager, Energy Solutions</t>
        </is>
      </c>
      <c r="F391" s="239" t="inlineStr">
        <is>
          <t>TDD CFE&amp;I</t>
        </is>
      </c>
      <c r="G391" s="315" t="inlineStr">
        <is>
          <t>Loyalty &amp; Martech</t>
        </is>
      </c>
      <c r="H391" s="315" t="inlineStr">
        <is>
          <t>Technology B2B</t>
        </is>
      </c>
      <c r="I391" s="315" t="inlineStr">
        <is>
          <t>B2B &amp; Energy Solutions</t>
        </is>
      </c>
      <c r="J391" s="239" t="inlineStr">
        <is>
          <t>B2B</t>
        </is>
      </c>
      <c r="K391" s="239" t="inlineStr">
        <is>
          <t>B2B</t>
        </is>
      </c>
      <c r="L391" s="315" t="n"/>
      <c r="M391" s="316" t="n"/>
      <c r="N391" t="inlineStr">
        <is>
          <t>Energy Solutions &amp; B2B</t>
        </is>
      </c>
      <c r="O391" t="inlineStr">
        <is>
          <t>B2B</t>
        </is>
      </c>
      <c r="P391" t="inlineStr">
        <is>
          <t>B2B</t>
        </is>
      </c>
      <c r="Q391" t="inlineStr">
        <is>
          <t>Squad</t>
        </is>
      </c>
      <c r="R391" t="inlineStr">
        <is>
          <t>Vacant</t>
        </is>
      </c>
    </row>
    <row r="392" ht="18" customHeight="1" s="302">
      <c r="A392" s="314" t="n"/>
      <c r="B392" s="239" t="inlineStr">
        <is>
          <t>Vacant</t>
        </is>
      </c>
      <c r="C392" s="239" t="inlineStr">
        <is>
          <t>Engineer Automation - Testing</t>
        </is>
      </c>
      <c r="D392" s="315" t="inlineStr">
        <is>
          <t>Vacant</t>
        </is>
      </c>
      <c r="E392" s="239" t="inlineStr">
        <is>
          <t>Technology Manager, Energy Solutions</t>
        </is>
      </c>
      <c r="F392" s="239" t="inlineStr">
        <is>
          <t>TDD CFE&amp;I</t>
        </is>
      </c>
      <c r="G392" s="315" t="inlineStr">
        <is>
          <t>B2B &amp; Energy Solutions</t>
        </is>
      </c>
      <c r="H392" s="315" t="inlineStr">
        <is>
          <t>Technology Energy Solutions</t>
        </is>
      </c>
      <c r="I392" s="315" t="inlineStr">
        <is>
          <t>B2B &amp; Energy Solutions</t>
        </is>
      </c>
      <c r="J392" s="315" t="inlineStr">
        <is>
          <t>Ampol Digital</t>
        </is>
      </c>
      <c r="K392" s="239" t="inlineStr">
        <is>
          <t>Energy</t>
        </is>
      </c>
      <c r="L392" s="315" t="n"/>
      <c r="M392" s="316" t="n"/>
      <c r="N392" t="inlineStr">
        <is>
          <t>Energy Solutions &amp; B2B</t>
        </is>
      </c>
      <c r="O392" t="inlineStr">
        <is>
          <t>Energy Solutions</t>
        </is>
      </c>
      <c r="P392" t="inlineStr">
        <is>
          <t>Energy</t>
        </is>
      </c>
      <c r="Q392" t="inlineStr">
        <is>
          <t>Squad</t>
        </is>
      </c>
      <c r="R392" t="inlineStr">
        <is>
          <t>Vacant</t>
        </is>
      </c>
    </row>
    <row r="393" ht="18" customHeight="1" s="302">
      <c r="A393" s="314" t="n">
        <v>99999101545</v>
      </c>
      <c r="B393" s="239" t="inlineStr">
        <is>
          <t>Josh Campbell</t>
        </is>
      </c>
      <c r="C393" s="239" t="inlineStr">
        <is>
          <t>Engineer Software</t>
        </is>
      </c>
      <c r="D393" s="315" t="inlineStr">
        <is>
          <t>vacant</t>
        </is>
      </c>
      <c r="E393" s="239" t="inlineStr">
        <is>
          <t>Technology Manager, Energy Solutions</t>
        </is>
      </c>
      <c r="F393" s="239" t="inlineStr">
        <is>
          <t>TDD CFE&amp;I</t>
        </is>
      </c>
      <c r="G393" s="315" t="inlineStr">
        <is>
          <t>B2B &amp; Energy Solutions</t>
        </is>
      </c>
      <c r="H393" s="315" t="inlineStr">
        <is>
          <t>Technology Energy Solutions</t>
        </is>
      </c>
      <c r="I393" s="315" t="inlineStr">
        <is>
          <t>B2B &amp; Energy Solutions</t>
        </is>
      </c>
      <c r="J393" s="315" t="inlineStr">
        <is>
          <t>Energy Solutions</t>
        </is>
      </c>
      <c r="K393" s="239" t="inlineStr">
        <is>
          <t>EVCI</t>
        </is>
      </c>
      <c r="L393" s="315" t="n"/>
      <c r="M393" s="316" t="inlineStr">
        <is>
          <t>NZ</t>
        </is>
      </c>
      <c r="N393" t="inlineStr">
        <is>
          <t>Energy Solutions &amp; B2B</t>
        </is>
      </c>
      <c r="O393" t="inlineStr">
        <is>
          <t>Energy Solutions</t>
        </is>
      </c>
      <c r="P393" t="inlineStr">
        <is>
          <t>EVCI</t>
        </is>
      </c>
      <c r="Q393" t="inlineStr">
        <is>
          <t>Squad</t>
        </is>
      </c>
      <c r="R393" t="inlineStr">
        <is>
          <t>Filled</t>
        </is>
      </c>
    </row>
    <row r="394" ht="18" customHeight="1" s="302">
      <c r="A394" s="314" t="n"/>
      <c r="B394" s="239" t="inlineStr">
        <is>
          <t>Vacant</t>
        </is>
      </c>
      <c r="C394" s="239" t="inlineStr">
        <is>
          <t>Snr Engineer Software</t>
        </is>
      </c>
      <c r="D394" s="315" t="inlineStr">
        <is>
          <t>vacant</t>
        </is>
      </c>
      <c r="E394" s="239" t="inlineStr">
        <is>
          <t>Technology Manager, Energy Solutions</t>
        </is>
      </c>
      <c r="F394" s="239" t="inlineStr">
        <is>
          <t>TDD CFE&amp;I</t>
        </is>
      </c>
      <c r="G394" s="315" t="inlineStr">
        <is>
          <t>B2B &amp; Energy Solutions</t>
        </is>
      </c>
      <c r="H394" s="315" t="inlineStr">
        <is>
          <t>Technology Energy Solutions</t>
        </is>
      </c>
      <c r="I394" s="315" t="inlineStr">
        <is>
          <t>B2B &amp; Energy Solutions</t>
        </is>
      </c>
      <c r="J394" s="315" t="inlineStr">
        <is>
          <t>Energy Solutions</t>
        </is>
      </c>
      <c r="K394" s="239" t="inlineStr">
        <is>
          <t>Energy</t>
        </is>
      </c>
      <c r="L394" s="315" t="n"/>
      <c r="M394" s="316" t="n"/>
      <c r="N394" t="inlineStr">
        <is>
          <t>Energy Solutions &amp; B2B</t>
        </is>
      </c>
      <c r="O394" t="inlineStr">
        <is>
          <t>Energy Solutions</t>
        </is>
      </c>
      <c r="P394" t="inlineStr">
        <is>
          <t>Energy</t>
        </is>
      </c>
      <c r="Q394" t="inlineStr">
        <is>
          <t>Squad</t>
        </is>
      </c>
      <c r="R394" t="inlineStr">
        <is>
          <t>Vacant</t>
        </is>
      </c>
    </row>
    <row r="395" ht="18" customHeight="1" s="302">
      <c r="A395" s="314" t="n"/>
      <c r="B395" s="239" t="inlineStr">
        <is>
          <t>vacant</t>
        </is>
      </c>
      <c r="C395" s="239" t="inlineStr">
        <is>
          <t>Solution Architect</t>
        </is>
      </c>
      <c r="D395" s="239" t="inlineStr">
        <is>
          <t>Vacant</t>
        </is>
      </c>
      <c r="E395" s="239" t="inlineStr">
        <is>
          <t>Technology Manager, Energy Solutions</t>
        </is>
      </c>
      <c r="F395" s="239" t="inlineStr">
        <is>
          <t>TDD CFE&amp;I</t>
        </is>
      </c>
      <c r="G395" s="315" t="inlineStr">
        <is>
          <t>B2B &amp; Energy Solutions</t>
        </is>
      </c>
      <c r="H395" s="315" t="inlineStr">
        <is>
          <t>Technology B2B</t>
        </is>
      </c>
      <c r="I395" s="315" t="inlineStr">
        <is>
          <t>B2B &amp; Energy Solutions</t>
        </is>
      </c>
      <c r="J395" s="239" t="inlineStr">
        <is>
          <t>B2B</t>
        </is>
      </c>
      <c r="K395" s="239" t="inlineStr">
        <is>
          <t>B2B</t>
        </is>
      </c>
      <c r="L395" s="315" t="n"/>
      <c r="M395" s="316" t="n"/>
      <c r="N395" t="inlineStr">
        <is>
          <t>Energy Solutions &amp; B2B</t>
        </is>
      </c>
      <c r="O395" t="inlineStr">
        <is>
          <t>B2B</t>
        </is>
      </c>
      <c r="P395" t="inlineStr">
        <is>
          <t>B2B</t>
        </is>
      </c>
      <c r="Q395" t="inlineStr">
        <is>
          <t>Squad</t>
        </is>
      </c>
      <c r="R395" t="inlineStr">
        <is>
          <t>Vacant</t>
        </is>
      </c>
    </row>
    <row r="396" ht="18" customHeight="1" s="302">
      <c r="A396" s="314" t="n">
        <v>96270</v>
      </c>
      <c r="B396" s="239" t="inlineStr">
        <is>
          <t>Zhan Liu</t>
        </is>
      </c>
      <c r="C396" s="239" t="inlineStr">
        <is>
          <t>Engineer Applications</t>
        </is>
      </c>
      <c r="D396" s="239" t="inlineStr">
        <is>
          <t>Vacant</t>
        </is>
      </c>
      <c r="E396" s="239" t="inlineStr">
        <is>
          <t>Technology Manager, T&amp;S</t>
        </is>
      </c>
      <c r="F396" s="239" t="inlineStr">
        <is>
          <t>TDD CFE&amp;I</t>
        </is>
      </c>
      <c r="G396" s="315" t="inlineStr">
        <is>
          <t>Commercial Fuels</t>
        </is>
      </c>
      <c r="H396" s="315" t="inlineStr">
        <is>
          <t>Trading &amp; Shipping</t>
        </is>
      </c>
      <c r="I396" s="315" t="inlineStr">
        <is>
          <t>Commercial Fuels</t>
        </is>
      </c>
      <c r="J396" s="239" t="inlineStr">
        <is>
          <t>CTRM</t>
        </is>
      </c>
      <c r="K396" s="239" t="inlineStr">
        <is>
          <t>CTRM</t>
        </is>
      </c>
      <c r="L396" s="315" t="n"/>
      <c r="M396" s="316" t="inlineStr">
        <is>
          <t>Australia</t>
        </is>
      </c>
      <c r="N396" t="inlineStr">
        <is>
          <t>Commercial Fuels</t>
        </is>
      </c>
      <c r="O396" t="inlineStr">
        <is>
          <t>CTRM</t>
        </is>
      </c>
      <c r="P396" t="inlineStr">
        <is>
          <t>CTRM</t>
        </is>
      </c>
      <c r="Q396" t="inlineStr">
        <is>
          <t>Strategic Program</t>
        </is>
      </c>
      <c r="R396" t="inlineStr">
        <is>
          <t>Filled</t>
        </is>
      </c>
    </row>
    <row r="397" ht="18" customHeight="1" s="302">
      <c r="A397" s="314" t="n">
        <v>107463</v>
      </c>
      <c r="B397" s="239" t="inlineStr">
        <is>
          <t>Deepa Kaur</t>
        </is>
      </c>
      <c r="C397" s="239" t="inlineStr">
        <is>
          <t>Senior Engineer Automation Testing</t>
        </is>
      </c>
      <c r="D397" s="315" t="inlineStr">
        <is>
          <t>Vacant</t>
        </is>
      </c>
      <c r="E397" s="239" t="inlineStr">
        <is>
          <t>Technology Manager, Engineering</t>
        </is>
      </c>
      <c r="F397" s="239" t="inlineStr">
        <is>
          <t>TDD CFE&amp;I</t>
        </is>
      </c>
      <c r="G397" s="315" t="inlineStr">
        <is>
          <t>Commercial Fuels</t>
        </is>
      </c>
      <c r="H397" s="315" t="inlineStr">
        <is>
          <t>Trading &amp; Shipping</t>
        </is>
      </c>
      <c r="I397" s="315" t="inlineStr">
        <is>
          <t>Commercial Fuels</t>
        </is>
      </c>
      <c r="J397" s="239" t="inlineStr">
        <is>
          <t>CTRM</t>
        </is>
      </c>
      <c r="K397" s="239" t="inlineStr">
        <is>
          <t>CTRM</t>
        </is>
      </c>
      <c r="L397" s="315" t="n"/>
      <c r="M397" s="316" t="inlineStr">
        <is>
          <t>Australia</t>
        </is>
      </c>
      <c r="N397" t="inlineStr">
        <is>
          <t>Commercial Fuels</t>
        </is>
      </c>
      <c r="O397" t="inlineStr">
        <is>
          <t>CTRM</t>
        </is>
      </c>
      <c r="P397" t="inlineStr">
        <is>
          <t>CTRM</t>
        </is>
      </c>
      <c r="Q397" t="inlineStr">
        <is>
          <t>Strategic Program</t>
        </is>
      </c>
      <c r="R397" t="inlineStr">
        <is>
          <t>Filled</t>
        </is>
      </c>
    </row>
    <row r="398" ht="18" customHeight="1" s="302">
      <c r="A398" s="314" t="n">
        <v>99999101325</v>
      </c>
      <c r="B398" s="239" t="inlineStr">
        <is>
          <t>Laura Roberts</t>
        </is>
      </c>
      <c r="C398" s="239" t="inlineStr">
        <is>
          <t>Senior Engineer Software</t>
        </is>
      </c>
      <c r="D398" s="315" t="inlineStr">
        <is>
          <t>Vacant</t>
        </is>
      </c>
      <c r="E398" s="239" t="inlineStr">
        <is>
          <t>Technology Manager, Engineering</t>
        </is>
      </c>
      <c r="F398" s="239" t="inlineStr">
        <is>
          <t>TDD CFE&amp;I</t>
        </is>
      </c>
      <c r="G398" s="315" t="inlineStr">
        <is>
          <t>Commercial Fuels</t>
        </is>
      </c>
      <c r="H398" s="315" t="inlineStr">
        <is>
          <t>Delivery, Commercial Fuels</t>
        </is>
      </c>
      <c r="I398" s="315" t="inlineStr">
        <is>
          <t>Commercial Fuels</t>
        </is>
      </c>
      <c r="J398" s="239" t="inlineStr">
        <is>
          <t>CTRM</t>
        </is>
      </c>
      <c r="K398" s="239" t="inlineStr">
        <is>
          <t>CTRM</t>
        </is>
      </c>
      <c r="L398" s="315" t="n"/>
      <c r="M398" s="316" t="inlineStr">
        <is>
          <t>NZ</t>
        </is>
      </c>
      <c r="N398" t="inlineStr">
        <is>
          <t>Commercial Fuels</t>
        </is>
      </c>
      <c r="O398" t="inlineStr">
        <is>
          <t>CTRM</t>
        </is>
      </c>
      <c r="P398" t="inlineStr">
        <is>
          <t>CTRM</t>
        </is>
      </c>
      <c r="Q398" t="inlineStr">
        <is>
          <t>Strategic Program</t>
        </is>
      </c>
      <c r="R398" t="inlineStr">
        <is>
          <t>Filled</t>
        </is>
      </c>
    </row>
    <row r="399" ht="18" customHeight="1" s="302">
      <c r="A399" s="314" t="n"/>
      <c r="B399" s="239" t="inlineStr">
        <is>
          <t>Vacant (anaplan)</t>
        </is>
      </c>
      <c r="C399" s="239" t="inlineStr">
        <is>
          <t>System Specialist</t>
        </is>
      </c>
      <c r="D399" s="239" t="inlineStr">
        <is>
          <t>Vacant</t>
        </is>
      </c>
      <c r="E399" s="239" t="inlineStr">
        <is>
          <t>Technology Manager, T&amp;S</t>
        </is>
      </c>
      <c r="F399" s="239" t="inlineStr">
        <is>
          <t>TDD CFE&amp;I</t>
        </is>
      </c>
      <c r="G399" s="315" t="inlineStr">
        <is>
          <t>Commercial Fuels</t>
        </is>
      </c>
      <c r="H399" s="315" t="inlineStr">
        <is>
          <t>Technology, Trading &amp; Shipping</t>
        </is>
      </c>
      <c r="I399" s="315" t="inlineStr">
        <is>
          <t>Commercial Fuels</t>
        </is>
      </c>
      <c r="J399" s="315" t="inlineStr">
        <is>
          <t>Supply</t>
        </is>
      </c>
      <c r="K399" s="239" t="inlineStr">
        <is>
          <t>Supply</t>
        </is>
      </c>
      <c r="L399" s="315" t="n"/>
      <c r="M399" s="316" t="n"/>
      <c r="N399" t="inlineStr">
        <is>
          <t>Commercial Fuels</t>
        </is>
      </c>
      <c r="O399" t="inlineStr">
        <is>
          <t>Supply</t>
        </is>
      </c>
      <c r="P399" t="inlineStr">
        <is>
          <t>Supply</t>
        </is>
      </c>
      <c r="Q399" t="inlineStr">
        <is>
          <t>Squad</t>
        </is>
      </c>
      <c r="R399" t="inlineStr">
        <is>
          <t>Filled</t>
        </is>
      </c>
    </row>
    <row r="400" ht="18" customHeight="1" s="302">
      <c r="A400" s="314" t="n">
        <v>99999101752</v>
      </c>
      <c r="B400" s="239" t="inlineStr">
        <is>
          <t>Amanda Turnbull</t>
        </is>
      </c>
      <c r="C400" s="239" t="inlineStr">
        <is>
          <t>Engineer Software</t>
        </is>
      </c>
      <c r="D400" s="315" t="inlineStr">
        <is>
          <t>Vacant</t>
        </is>
      </c>
      <c r="E400" s="239" t="inlineStr">
        <is>
          <t>Technology Manager, Engineering</t>
        </is>
      </c>
      <c r="F400" s="239" t="inlineStr">
        <is>
          <t>TDD CFE&amp;I</t>
        </is>
      </c>
      <c r="G400" s="315" t="inlineStr">
        <is>
          <t>Commercial Fuels</t>
        </is>
      </c>
      <c r="H400" s="315" t="inlineStr">
        <is>
          <t>Trading &amp; Shipping</t>
        </is>
      </c>
      <c r="I400" s="315" t="inlineStr">
        <is>
          <t>Commercial Fuels</t>
        </is>
      </c>
      <c r="J400" s="239" t="inlineStr">
        <is>
          <t>CTRM</t>
        </is>
      </c>
      <c r="K400" s="239" t="inlineStr">
        <is>
          <t>CTRM</t>
        </is>
      </c>
      <c r="L400" s="315" t="n"/>
      <c r="M400" s="316" t="inlineStr">
        <is>
          <t>NZ</t>
        </is>
      </c>
      <c r="N400" t="inlineStr">
        <is>
          <t>Commercial Fuels</t>
        </is>
      </c>
      <c r="O400" t="inlineStr">
        <is>
          <t>CTRM</t>
        </is>
      </c>
      <c r="P400" t="inlineStr">
        <is>
          <t>CTRM</t>
        </is>
      </c>
      <c r="Q400" t="inlineStr">
        <is>
          <t>Strategic Program</t>
        </is>
      </c>
      <c r="R400" t="inlineStr">
        <is>
          <t>Filled</t>
        </is>
      </c>
    </row>
    <row r="401" ht="18" customHeight="1" s="302">
      <c r="A401" s="314" t="n">
        <v>97284</v>
      </c>
      <c r="B401" s="239" t="inlineStr">
        <is>
          <t>Byron Leung</t>
        </is>
      </c>
      <c r="C401" s="239" t="inlineStr">
        <is>
          <t>Solution Architect</t>
        </is>
      </c>
      <c r="D401" s="315" t="inlineStr">
        <is>
          <t>Vacant</t>
        </is>
      </c>
      <c r="E401" s="239" t="inlineStr">
        <is>
          <t>Technology Manager, Engineering</t>
        </is>
      </c>
      <c r="F401" s="239" t="inlineStr">
        <is>
          <t>TDD CFE&amp;I</t>
        </is>
      </c>
      <c r="G401" s="315" t="inlineStr">
        <is>
          <t>Commercial Fuels</t>
        </is>
      </c>
      <c r="H401" s="315" t="inlineStr">
        <is>
          <t>Trading &amp; Shipping</t>
        </is>
      </c>
      <c r="I401" s="315" t="inlineStr">
        <is>
          <t>Commercial Fuels</t>
        </is>
      </c>
      <c r="J401" s="239" t="inlineStr">
        <is>
          <t>CTRM</t>
        </is>
      </c>
      <c r="K401" s="239" t="inlineStr">
        <is>
          <t>CTRM</t>
        </is>
      </c>
      <c r="L401" s="315" t="n"/>
      <c r="M401" s="316" t="inlineStr">
        <is>
          <t>Australia</t>
        </is>
      </c>
      <c r="N401" t="inlineStr">
        <is>
          <t>Commercial Fuels</t>
        </is>
      </c>
      <c r="O401" t="inlineStr">
        <is>
          <t>CTRM</t>
        </is>
      </c>
      <c r="P401" t="inlineStr">
        <is>
          <t>CTRM</t>
        </is>
      </c>
      <c r="Q401" t="inlineStr">
        <is>
          <t>Strategic Program</t>
        </is>
      </c>
      <c r="R401" t="inlineStr">
        <is>
          <t>Filled</t>
        </is>
      </c>
    </row>
    <row r="402" ht="18" customHeight="1" s="302">
      <c r="A402" s="314" t="n">
        <v>99999101568</v>
      </c>
      <c r="B402" s="239" t="inlineStr">
        <is>
          <t>Anie Camerino</t>
        </is>
      </c>
      <c r="C402" s="239" t="inlineStr">
        <is>
          <t>Snr Quality Assurance</t>
        </is>
      </c>
      <c r="D402" s="315" t="inlineStr">
        <is>
          <t>Vacant</t>
        </is>
      </c>
      <c r="E402" s="239" t="inlineStr">
        <is>
          <t>Technology Manager, Energy Solutions</t>
        </is>
      </c>
      <c r="F402" s="239" t="inlineStr">
        <is>
          <t>TDD CFE&amp;I</t>
        </is>
      </c>
      <c r="G402" s="315" t="inlineStr">
        <is>
          <t>B2B &amp; Energy Solutions</t>
        </is>
      </c>
      <c r="H402" s="315" t="inlineStr">
        <is>
          <t>Technology Energy Solutions</t>
        </is>
      </c>
      <c r="I402" s="315" t="inlineStr">
        <is>
          <t>B2B &amp; Energy Solutions</t>
        </is>
      </c>
      <c r="J402" s="315" t="inlineStr">
        <is>
          <t>Energy Solutions</t>
        </is>
      </c>
      <c r="K402" s="239" t="inlineStr">
        <is>
          <t>EVCI</t>
        </is>
      </c>
      <c r="L402" s="315" t="n"/>
      <c r="M402" s="316" t="inlineStr">
        <is>
          <t>NZ</t>
        </is>
      </c>
      <c r="N402" t="inlineStr">
        <is>
          <t>Energy Solutions &amp; B2B</t>
        </is>
      </c>
      <c r="O402" t="inlineStr">
        <is>
          <t>Energy Solutions</t>
        </is>
      </c>
      <c r="P402" t="inlineStr">
        <is>
          <t>EVCI</t>
        </is>
      </c>
      <c r="Q402" t="inlineStr">
        <is>
          <t>Squad</t>
        </is>
      </c>
      <c r="R402" t="inlineStr">
        <is>
          <t>Filled</t>
        </is>
      </c>
    </row>
    <row r="403" ht="18" customHeight="1" s="302">
      <c r="A403" s="314" t="n">
        <v>113333</v>
      </c>
      <c r="B403" s="239" t="inlineStr">
        <is>
          <t>Tom Moore</t>
        </is>
      </c>
      <c r="C403" s="239" t="inlineStr">
        <is>
          <t>Technology Support Engineer - Infrastructure</t>
        </is>
      </c>
      <c r="D403" s="239" t="inlineStr">
        <is>
          <t>Vacant</t>
        </is>
      </c>
      <c r="E403" s="239" t="inlineStr">
        <is>
          <t>Lead Support, Infrastructure</t>
        </is>
      </c>
      <c r="F403" s="239" t="inlineStr">
        <is>
          <t>TDD CFE&amp;I</t>
        </is>
      </c>
      <c r="G403" s="315" t="inlineStr">
        <is>
          <t>Fuel Infrastructure</t>
        </is>
      </c>
      <c r="H403" s="315" t="inlineStr">
        <is>
          <t>Refinery Applications</t>
        </is>
      </c>
      <c r="I403" s="315" t="inlineStr">
        <is>
          <t>Infrastructure</t>
        </is>
      </c>
      <c r="J403" s="315" t="inlineStr">
        <is>
          <t>Fuel Infrastructure</t>
        </is>
      </c>
      <c r="K403" s="239" t="inlineStr">
        <is>
          <t>Technology Suport</t>
        </is>
      </c>
      <c r="L403" s="315" t="n"/>
      <c r="M403" s="316" t="inlineStr">
        <is>
          <t>Australia</t>
        </is>
      </c>
      <c r="N403" t="inlineStr">
        <is>
          <t>Infrastructure</t>
        </is>
      </c>
      <c r="O403" t="inlineStr">
        <is>
          <t>Manufacturing</t>
        </is>
      </c>
      <c r="P403" t="inlineStr">
        <is>
          <t>Technology Support</t>
        </is>
      </c>
      <c r="Q403" t="inlineStr">
        <is>
          <t>Squad</t>
        </is>
      </c>
      <c r="R403" t="inlineStr">
        <is>
          <t>Filled</t>
        </is>
      </c>
    </row>
    <row r="404" ht="18" customHeight="1" s="302">
      <c r="A404" s="314" t="n">
        <v>85491</v>
      </c>
      <c r="B404" s="239" t="inlineStr">
        <is>
          <t>Mick DaSilva</t>
        </is>
      </c>
      <c r="C404" s="239" t="inlineStr">
        <is>
          <t>Senior Business Analyst</t>
        </is>
      </c>
      <c r="D404" s="315" t="inlineStr">
        <is>
          <t>Vacant</t>
        </is>
      </c>
      <c r="E404" s="239" t="inlineStr">
        <is>
          <t>Delivery Manager</t>
        </is>
      </c>
      <c r="F404" s="239" t="inlineStr">
        <is>
          <t>TDD CFE&amp;I</t>
        </is>
      </c>
      <c r="G404" s="315" t="inlineStr">
        <is>
          <t>B2B &amp; Energy Solutions</t>
        </is>
      </c>
      <c r="H404" s="315" t="inlineStr">
        <is>
          <t>Delivery</t>
        </is>
      </c>
      <c r="I404" s="315" t="inlineStr">
        <is>
          <t>B2B &amp; Energy Solutions</t>
        </is>
      </c>
      <c r="J404" s="239" t="inlineStr">
        <is>
          <t>B2B</t>
        </is>
      </c>
      <c r="K404" s="239" t="inlineStr">
        <is>
          <t>B2B</t>
        </is>
      </c>
      <c r="L404" s="315" t="n"/>
      <c r="M404" s="316" t="inlineStr">
        <is>
          <t>Australia</t>
        </is>
      </c>
      <c r="N404" t="inlineStr">
        <is>
          <t>Energy Solutions &amp; B2B</t>
        </is>
      </c>
      <c r="O404" t="inlineStr">
        <is>
          <t>B2B</t>
        </is>
      </c>
      <c r="P404" t="inlineStr">
        <is>
          <t>B2B</t>
        </is>
      </c>
      <c r="Q404" t="inlineStr">
        <is>
          <t>Squad</t>
        </is>
      </c>
      <c r="R404" t="inlineStr">
        <is>
          <t>Filled</t>
        </is>
      </c>
    </row>
    <row r="405" ht="18" customHeight="1" s="302">
      <c r="A405" s="314" t="n">
        <v>106555</v>
      </c>
      <c r="B405" s="239" t="inlineStr">
        <is>
          <t>Karla Orozco Loza</t>
        </is>
      </c>
      <c r="C405" s="239" t="inlineStr">
        <is>
          <t xml:space="preserve">Technology Manager, Future Infrastructure </t>
        </is>
      </c>
      <c r="D405" s="239" t="inlineStr">
        <is>
          <t>Vacant</t>
        </is>
      </c>
      <c r="E405" s="239" t="inlineStr">
        <is>
          <t>Head of Technology, Fuel Infrastructure</t>
        </is>
      </c>
      <c r="F405" s="239" t="inlineStr">
        <is>
          <t>TDD CFE&amp;I</t>
        </is>
      </c>
      <c r="G405" s="315" t="inlineStr">
        <is>
          <t>Fuel Infrastructure</t>
        </is>
      </c>
      <c r="H405" s="315" t="inlineStr">
        <is>
          <t>Technology - Distribution</t>
        </is>
      </c>
      <c r="I405" s="315" t="inlineStr">
        <is>
          <t>Infrastructure</t>
        </is>
      </c>
      <c r="J405" s="315" t="inlineStr">
        <is>
          <t>Distribution</t>
        </is>
      </c>
      <c r="K405" s="239" t="inlineStr">
        <is>
          <t>Leadership</t>
        </is>
      </c>
      <c r="L405" s="315" t="n"/>
      <c r="M405" s="316" t="inlineStr">
        <is>
          <t>Australia</t>
        </is>
      </c>
      <c r="N405" t="inlineStr">
        <is>
          <t>Infrastructure</t>
        </is>
      </c>
      <c r="O405" t="inlineStr">
        <is>
          <t>Leadership</t>
        </is>
      </c>
      <c r="P405" t="inlineStr">
        <is>
          <t>Leadership</t>
        </is>
      </c>
      <c r="Q405" t="inlineStr">
        <is>
          <t>Leadership</t>
        </is>
      </c>
      <c r="R405" t="inlineStr">
        <is>
          <t>Filled</t>
        </is>
      </c>
    </row>
    <row r="406" ht="18" customHeight="1" s="302">
      <c r="A406" s="314" t="n">
        <v>103651</v>
      </c>
      <c r="B406" s="239" t="inlineStr">
        <is>
          <t>Hari Maneti</t>
        </is>
      </c>
      <c r="C406" s="239" t="inlineStr">
        <is>
          <t>Systems Analyst</t>
        </is>
      </c>
      <c r="D406" s="239" t="inlineStr">
        <is>
          <t>Vacant</t>
        </is>
      </c>
      <c r="E406" s="239" t="inlineStr">
        <is>
          <t>Technology Manager, T&amp;S</t>
        </is>
      </c>
      <c r="F406" s="239" t="inlineStr">
        <is>
          <t>TDD CFE&amp;I</t>
        </is>
      </c>
      <c r="G406" s="315" t="inlineStr">
        <is>
          <t>Commercial Fuels</t>
        </is>
      </c>
      <c r="H406" s="359" t="inlineStr">
        <is>
          <t>Technology, Trading &amp; Shipping</t>
        </is>
      </c>
      <c r="I406" s="315" t="inlineStr">
        <is>
          <t>Commercial Fuels</t>
        </is>
      </c>
      <c r="J406" s="315" t="inlineStr">
        <is>
          <t>Trading &amp; Shipping</t>
        </is>
      </c>
      <c r="K406" s="239" t="inlineStr">
        <is>
          <t>Trading &amp; Shipping</t>
        </is>
      </c>
      <c r="L406" s="315" t="n"/>
      <c r="M406" s="316" t="inlineStr">
        <is>
          <t>Singapore</t>
        </is>
      </c>
      <c r="N406" t="inlineStr">
        <is>
          <t>Commercial Fuels</t>
        </is>
      </c>
      <c r="O406" t="inlineStr">
        <is>
          <t>Trading &amp; Shipping</t>
        </is>
      </c>
      <c r="P406" t="inlineStr">
        <is>
          <t>Trading &amp; Shipping</t>
        </is>
      </c>
      <c r="Q406" t="inlineStr">
        <is>
          <t>Squad</t>
        </is>
      </c>
      <c r="R406" t="inlineStr">
        <is>
          <t>Filled</t>
        </is>
      </c>
    </row>
    <row r="407" ht="18" customHeight="1" s="302">
      <c r="A407" s="314" t="n">
        <v>13925</v>
      </c>
      <c r="B407" s="239" t="inlineStr">
        <is>
          <t>Allan Francia</t>
        </is>
      </c>
      <c r="C407" s="239" t="inlineStr">
        <is>
          <t>Technology Manager - T&amp;S</t>
        </is>
      </c>
      <c r="D407" s="315" t="inlineStr">
        <is>
          <t>Vacant</t>
        </is>
      </c>
      <c r="E407" s="239" t="inlineStr">
        <is>
          <t>Head of Technology, Commercial Fuels</t>
        </is>
      </c>
      <c r="F407" s="239" t="inlineStr">
        <is>
          <t>TDD CFE&amp;I</t>
        </is>
      </c>
      <c r="G407" s="315" t="inlineStr">
        <is>
          <t>Commercial Fuels</t>
        </is>
      </c>
      <c r="H407" s="359" t="inlineStr">
        <is>
          <t>Trading &amp; Shipping</t>
        </is>
      </c>
      <c r="I407" s="315" t="inlineStr">
        <is>
          <t>Commercial Fuels</t>
        </is>
      </c>
      <c r="J407" s="315" t="inlineStr">
        <is>
          <t>Trading &amp; Shipping</t>
        </is>
      </c>
      <c r="K407" s="315" t="inlineStr">
        <is>
          <t>Trading &amp; Shipping</t>
        </is>
      </c>
      <c r="L407" s="315" t="n"/>
      <c r="M407" s="316" t="inlineStr">
        <is>
          <t>Australia</t>
        </is>
      </c>
      <c r="N407" t="inlineStr">
        <is>
          <t>Commercial Fuels</t>
        </is>
      </c>
      <c r="O407" t="inlineStr">
        <is>
          <t>Trading &amp; Shipping</t>
        </is>
      </c>
      <c r="P407" t="inlineStr">
        <is>
          <t>Trading &amp; Shipping</t>
        </is>
      </c>
      <c r="Q407" t="inlineStr">
        <is>
          <t>Squad</t>
        </is>
      </c>
      <c r="R407" t="inlineStr">
        <is>
          <t>Filled</t>
        </is>
      </c>
    </row>
    <row r="408" ht="18" customHeight="1" s="302">
      <c r="A408" s="314" t="n">
        <v>99999101908</v>
      </c>
      <c r="B408" s="239" t="inlineStr">
        <is>
          <t>Oliver Shanks</t>
        </is>
      </c>
      <c r="C408" s="239" t="inlineStr">
        <is>
          <t>Associate Engineer Software</t>
        </is>
      </c>
      <c r="D408" s="315" t="inlineStr">
        <is>
          <t>Vacant</t>
        </is>
      </c>
      <c r="E408" s="239" t="inlineStr">
        <is>
          <t>Technology Manager, Engineering</t>
        </is>
      </c>
      <c r="F408" s="239" t="inlineStr">
        <is>
          <t>TDD CFE&amp;I</t>
        </is>
      </c>
      <c r="G408" s="315" t="inlineStr">
        <is>
          <t>Commercial Fuels</t>
        </is>
      </c>
      <c r="H408" s="315" t="inlineStr">
        <is>
          <t>Trading &amp; Shipping</t>
        </is>
      </c>
      <c r="I408" s="315" t="inlineStr">
        <is>
          <t>Commercial Fuels</t>
        </is>
      </c>
      <c r="J408" s="239" t="inlineStr">
        <is>
          <t>CTRM</t>
        </is>
      </c>
      <c r="K408" s="239" t="inlineStr">
        <is>
          <t>CTRM</t>
        </is>
      </c>
      <c r="L408" s="315" t="n"/>
      <c r="M408" s="316" t="inlineStr">
        <is>
          <t>NZ</t>
        </is>
      </c>
      <c r="N408" t="inlineStr">
        <is>
          <t>Commercial Fuels</t>
        </is>
      </c>
      <c r="O408" t="inlineStr">
        <is>
          <t>CTRM</t>
        </is>
      </c>
      <c r="P408" t="inlineStr">
        <is>
          <t>CTRM</t>
        </is>
      </c>
      <c r="Q408" t="inlineStr">
        <is>
          <t>Strategic Program</t>
        </is>
      </c>
      <c r="R408" t="inlineStr">
        <is>
          <t>Filled</t>
        </is>
      </c>
    </row>
    <row r="409" ht="18" customHeight="1" s="302">
      <c r="A409" s="314" t="n">
        <v>99999100769</v>
      </c>
      <c r="B409" s="239" t="inlineStr">
        <is>
          <t>Gokila Mylsamy</t>
        </is>
      </c>
      <c r="C409" s="239" t="inlineStr">
        <is>
          <t>Lead Engineer Software</t>
        </is>
      </c>
      <c r="D409" s="315" t="inlineStr">
        <is>
          <t>Vacant</t>
        </is>
      </c>
      <c r="E409" s="239" t="inlineStr">
        <is>
          <t>Technology Manager, Energy Solutions</t>
        </is>
      </c>
      <c r="F409" s="239" t="inlineStr">
        <is>
          <t>TDD CFE&amp;I</t>
        </is>
      </c>
      <c r="G409" s="315" t="inlineStr">
        <is>
          <t>B2B &amp; Energy Solutions</t>
        </is>
      </c>
      <c r="H409" s="315" t="inlineStr">
        <is>
          <t>Technology Energy Solutions</t>
        </is>
      </c>
      <c r="I409" s="315" t="inlineStr">
        <is>
          <t>B2B &amp; Energy Solutions</t>
        </is>
      </c>
      <c r="J409" s="315" t="inlineStr">
        <is>
          <t>Energy Solutions</t>
        </is>
      </c>
      <c r="K409" s="239" t="inlineStr">
        <is>
          <t>EVCI</t>
        </is>
      </c>
      <c r="L409" s="315" t="n"/>
      <c r="M409" s="316" t="inlineStr">
        <is>
          <t>NZ</t>
        </is>
      </c>
      <c r="N409" t="inlineStr">
        <is>
          <t>Energy Solutions &amp; B2B</t>
        </is>
      </c>
      <c r="O409" t="inlineStr">
        <is>
          <t>Energy Solutions</t>
        </is>
      </c>
      <c r="P409" t="inlineStr">
        <is>
          <t>EVCI</t>
        </is>
      </c>
      <c r="Q409" t="inlineStr">
        <is>
          <t>Squad</t>
        </is>
      </c>
      <c r="R409" t="inlineStr">
        <is>
          <t>Filled</t>
        </is>
      </c>
    </row>
    <row r="410" ht="18" customHeight="1" s="302">
      <c r="A410" s="314" t="n">
        <v>114717</v>
      </c>
      <c r="B410" s="239" t="inlineStr">
        <is>
          <t>Fransiscus Setiawan</t>
        </is>
      </c>
      <c r="C410" s="239" t="inlineStr">
        <is>
          <t xml:space="preserve">Integration Architect   </t>
        </is>
      </c>
      <c r="D410" s="315" t="inlineStr">
        <is>
          <t>Vacant</t>
        </is>
      </c>
      <c r="E410" s="239" t="inlineStr">
        <is>
          <t>Technology Manager, Engineering</t>
        </is>
      </c>
      <c r="F410" s="239" t="inlineStr">
        <is>
          <t>TDD CFE&amp;I</t>
        </is>
      </c>
      <c r="G410" s="315" t="inlineStr">
        <is>
          <t>Commercial Fuels</t>
        </is>
      </c>
      <c r="H410" s="315" t="inlineStr">
        <is>
          <t>Trading &amp; Shipping</t>
        </is>
      </c>
      <c r="I410" s="315" t="inlineStr">
        <is>
          <t>Commercial Fuels</t>
        </is>
      </c>
      <c r="J410" s="239" t="inlineStr">
        <is>
          <t>CTRM</t>
        </is>
      </c>
      <c r="K410" s="239" t="inlineStr">
        <is>
          <t>CTRM</t>
        </is>
      </c>
      <c r="L410" s="315" t="n"/>
      <c r="M410" s="316" t="inlineStr">
        <is>
          <t>Australia</t>
        </is>
      </c>
      <c r="N410" t="inlineStr">
        <is>
          <t>Commercial Fuels</t>
        </is>
      </c>
      <c r="O410" t="inlineStr">
        <is>
          <t>CTRM</t>
        </is>
      </c>
      <c r="P410" t="inlineStr">
        <is>
          <t>CTRM</t>
        </is>
      </c>
      <c r="Q410" t="inlineStr">
        <is>
          <t>Strategic Program</t>
        </is>
      </c>
      <c r="R410" t="inlineStr">
        <is>
          <t>Filled</t>
        </is>
      </c>
    </row>
    <row r="411" ht="18" customHeight="1" s="302">
      <c r="A411" s="314" t="n">
        <v>10572</v>
      </c>
      <c r="B411" s="239" t="inlineStr">
        <is>
          <t>Stevani Kho</t>
        </is>
      </c>
      <c r="C411" s="239" t="inlineStr">
        <is>
          <t>Delivery Lead</t>
        </is>
      </c>
      <c r="D411" s="239" t="inlineStr">
        <is>
          <t>vacant</t>
        </is>
      </c>
      <c r="E411" s="239" t="inlineStr">
        <is>
          <t>Technology Manger, Data</t>
        </is>
      </c>
      <c r="F411" s="239" t="inlineStr">
        <is>
          <t>TDD CFE&amp;I</t>
        </is>
      </c>
      <c r="G411" s="315" t="inlineStr">
        <is>
          <t>Fuel Infrastructure</t>
        </is>
      </c>
      <c r="H411" s="315" t="inlineStr">
        <is>
          <t>Technology, Trading &amp; Shipping</t>
        </is>
      </c>
      <c r="I411" s="315" t="inlineStr">
        <is>
          <t>Infrastructure</t>
        </is>
      </c>
      <c r="J411" s="239" t="inlineStr">
        <is>
          <t xml:space="preserve">Data &amp; Insights </t>
        </is>
      </c>
      <c r="K411" s="239" t="inlineStr">
        <is>
          <t xml:space="preserve">Data &amp; Insights </t>
        </is>
      </c>
      <c r="L411" s="315" t="n"/>
      <c r="M411" s="316" t="inlineStr">
        <is>
          <t>Australia</t>
        </is>
      </c>
      <c r="N411" t="inlineStr">
        <is>
          <t>Infrastructure</t>
        </is>
      </c>
      <c r="O411" t="inlineStr">
        <is>
          <t>Data &amp; Insights</t>
        </is>
      </c>
      <c r="P411" t="inlineStr">
        <is>
          <t>Data &amp; Insights</t>
        </is>
      </c>
      <c r="Q411" t="inlineStr">
        <is>
          <t>Squad</t>
        </is>
      </c>
      <c r="R411" t="inlineStr">
        <is>
          <t>Filled</t>
        </is>
      </c>
    </row>
    <row r="412" ht="18" customHeight="1" s="302">
      <c r="A412" s="314" t="n"/>
      <c r="B412" s="239" t="inlineStr">
        <is>
          <t>vacant</t>
        </is>
      </c>
      <c r="C412" s="239" t="inlineStr">
        <is>
          <t>Senior Engineer Data</t>
        </is>
      </c>
      <c r="D412" s="239" t="inlineStr">
        <is>
          <t>Vacant</t>
        </is>
      </c>
      <c r="E412" s="239" t="inlineStr">
        <is>
          <t>Technology Manger, Data</t>
        </is>
      </c>
      <c r="F412" s="239" t="inlineStr">
        <is>
          <t>TDD CFE&amp;I</t>
        </is>
      </c>
      <c r="G412" s="315" t="inlineStr">
        <is>
          <t>Fuel Infrastructure</t>
        </is>
      </c>
      <c r="H412" s="315" t="inlineStr">
        <is>
          <t>Technology, CF Engineering</t>
        </is>
      </c>
      <c r="I412" s="315" t="inlineStr">
        <is>
          <t>Infrastructure</t>
        </is>
      </c>
      <c r="J412" s="239" t="inlineStr">
        <is>
          <t xml:space="preserve">Data &amp; Insights </t>
        </is>
      </c>
      <c r="K412" s="239" t="inlineStr">
        <is>
          <t xml:space="preserve">Data &amp; Insights </t>
        </is>
      </c>
      <c r="L412" s="315" t="n"/>
      <c r="M412" s="316" t="n"/>
      <c r="N412" t="inlineStr">
        <is>
          <t>Infrastructure</t>
        </is>
      </c>
      <c r="O412" t="inlineStr">
        <is>
          <t>Data &amp; Insights</t>
        </is>
      </c>
      <c r="P412" t="inlineStr">
        <is>
          <t>Data &amp; Insights</t>
        </is>
      </c>
      <c r="Q412" t="inlineStr">
        <is>
          <t>Squad</t>
        </is>
      </c>
      <c r="R412" t="inlineStr">
        <is>
          <t>Vacant</t>
        </is>
      </c>
    </row>
    <row r="413" ht="18" customHeight="1" s="302">
      <c r="A413" s="314" t="n">
        <v>6851</v>
      </c>
      <c r="B413" s="239" t="inlineStr">
        <is>
          <t>Ann Aquino</t>
        </is>
      </c>
      <c r="C413" s="239" t="inlineStr">
        <is>
          <t>Senior Business Analyst</t>
        </is>
      </c>
      <c r="D413" s="315" t="inlineStr">
        <is>
          <t>vacant</t>
        </is>
      </c>
      <c r="E413" s="239" t="inlineStr">
        <is>
          <t>Delivery Manager</t>
        </is>
      </c>
      <c r="F413" s="239" t="inlineStr">
        <is>
          <t>TDD CFE&amp;I</t>
        </is>
      </c>
      <c r="G413" s="315" t="inlineStr">
        <is>
          <t>Commercial Fuels</t>
        </is>
      </c>
      <c r="H413" s="359" t="inlineStr">
        <is>
          <t>Trading &amp; Shipping</t>
        </is>
      </c>
      <c r="I413" s="315" t="inlineStr">
        <is>
          <t>Commercial Fuels</t>
        </is>
      </c>
      <c r="J413" s="315" t="inlineStr">
        <is>
          <t>Supply</t>
        </is>
      </c>
      <c r="K413" s="315" t="inlineStr">
        <is>
          <t>Supply</t>
        </is>
      </c>
      <c r="L413" s="239" t="n"/>
      <c r="M413" s="316" t="inlineStr">
        <is>
          <t>Australia</t>
        </is>
      </c>
      <c r="N413" t="inlineStr">
        <is>
          <t>Commercial Fuels</t>
        </is>
      </c>
      <c r="O413" t="inlineStr">
        <is>
          <t>Supply</t>
        </is>
      </c>
      <c r="P413" t="inlineStr">
        <is>
          <t>Supply</t>
        </is>
      </c>
      <c r="Q413" t="inlineStr">
        <is>
          <t>Squad</t>
        </is>
      </c>
      <c r="R413" t="inlineStr">
        <is>
          <t>Filled</t>
        </is>
      </c>
    </row>
    <row r="414" ht="18" customHeight="1" s="302">
      <c r="A414" s="314" t="n">
        <v>0</v>
      </c>
      <c r="B414" s="239" t="inlineStr">
        <is>
          <t>Simrat Singh</t>
        </is>
      </c>
      <c r="C414" s="239" t="inlineStr">
        <is>
          <t>Reporting Analyst (Contractor)</t>
        </is>
      </c>
      <c r="D414" s="239" t="inlineStr">
        <is>
          <t>Vacant</t>
        </is>
      </c>
      <c r="E414" s="239" t="inlineStr">
        <is>
          <t>Technology Manager, TDD Refinery</t>
        </is>
      </c>
      <c r="F414" s="239" t="inlineStr">
        <is>
          <t>TDD CFE&amp;I</t>
        </is>
      </c>
      <c r="G414" s="315" t="inlineStr">
        <is>
          <t>Fuel Infrastructure</t>
        </is>
      </c>
      <c r="H414" s="315" t="inlineStr">
        <is>
          <t>Refinery Applications</t>
        </is>
      </c>
      <c r="I414" s="315" t="inlineStr">
        <is>
          <t>Infrastructure</t>
        </is>
      </c>
      <c r="J414" s="239" t="inlineStr">
        <is>
          <t xml:space="preserve">Data &amp; Insights </t>
        </is>
      </c>
      <c r="K414" t="inlineStr">
        <is>
          <t xml:space="preserve">Data &amp; Insights </t>
        </is>
      </c>
      <c r="L414" s="315" t="n"/>
      <c r="M414" s="316" t="n">
        <v>0</v>
      </c>
      <c r="N414" t="inlineStr">
        <is>
          <t>Infrastructure</t>
        </is>
      </c>
      <c r="O414" t="inlineStr">
        <is>
          <t>Data &amp; Insights</t>
        </is>
      </c>
      <c r="P414" t="inlineStr">
        <is>
          <t>Data &amp; Insights</t>
        </is>
      </c>
      <c r="Q414" t="inlineStr">
        <is>
          <t>Squad</t>
        </is>
      </c>
      <c r="R414" t="inlineStr">
        <is>
          <t>Filled</t>
        </is>
      </c>
    </row>
    <row r="415" ht="18" customHeight="1" s="302">
      <c r="A415" s="314" t="n">
        <v>102576</v>
      </c>
      <c r="B415" s="239" t="inlineStr">
        <is>
          <t>Glenn Earl</t>
        </is>
      </c>
      <c r="C415" s="239" t="inlineStr">
        <is>
          <t>Lead Technology Support - Infrastructure</t>
        </is>
      </c>
      <c r="D415" s="239" t="inlineStr">
        <is>
          <t>Vacant</t>
        </is>
      </c>
      <c r="E415" s="239" t="inlineStr">
        <is>
          <t>Technology Manager, TDD Refinery</t>
        </is>
      </c>
      <c r="F415" s="239" t="inlineStr">
        <is>
          <t>TDD CFE&amp;I</t>
        </is>
      </c>
      <c r="G415" s="315" t="inlineStr">
        <is>
          <t>Fuel Infrastructure</t>
        </is>
      </c>
      <c r="H415" s="315" t="inlineStr">
        <is>
          <t>Refinery Applications</t>
        </is>
      </c>
      <c r="I415" s="315" t="inlineStr">
        <is>
          <t>Infrastructure</t>
        </is>
      </c>
      <c r="J415" s="315" t="inlineStr">
        <is>
          <t>Fuel Infrastructure</t>
        </is>
      </c>
      <c r="K415" t="inlineStr">
        <is>
          <t>Technology Suport</t>
        </is>
      </c>
      <c r="L415" s="315" t="n"/>
      <c r="M415" s="316" t="inlineStr">
        <is>
          <t>Australia</t>
        </is>
      </c>
      <c r="N415" t="inlineStr">
        <is>
          <t>Infrastructure</t>
        </is>
      </c>
      <c r="O415" t="inlineStr">
        <is>
          <t>Manufacturing</t>
        </is>
      </c>
      <c r="P415" t="inlineStr">
        <is>
          <t>Technology Support</t>
        </is>
      </c>
      <c r="Q415" t="inlineStr">
        <is>
          <t>Squad</t>
        </is>
      </c>
      <c r="R415" t="inlineStr">
        <is>
          <t>Filled</t>
        </is>
      </c>
    </row>
    <row r="416" ht="18" customHeight="1" s="302">
      <c r="A416" s="314" t="n"/>
      <c r="B416" s="239" t="inlineStr">
        <is>
          <t>Vacant</t>
        </is>
      </c>
      <c r="C416" s="239" t="inlineStr">
        <is>
          <t>Lead Data Analyst</t>
        </is>
      </c>
      <c r="D416" s="239" t="inlineStr">
        <is>
          <t>Vacant</t>
        </is>
      </c>
      <c r="E416" s="239" t="inlineStr">
        <is>
          <t>Technology Manger, Data</t>
        </is>
      </c>
      <c r="F416" s="239" t="inlineStr">
        <is>
          <t>TDD CFE&amp;I</t>
        </is>
      </c>
      <c r="G416" s="315" t="inlineStr">
        <is>
          <t>Fuel Infrastructure</t>
        </is>
      </c>
      <c r="H416" s="315" t="inlineStr">
        <is>
          <t>Fuel Infrastructure, Data</t>
        </is>
      </c>
      <c r="I416" s="315" t="inlineStr">
        <is>
          <t>Infrastructure</t>
        </is>
      </c>
      <c r="J416" s="239" t="inlineStr">
        <is>
          <t xml:space="preserve">Data &amp; Insights </t>
        </is>
      </c>
      <c r="K416" s="239" t="inlineStr">
        <is>
          <t xml:space="preserve">Data &amp; Insights </t>
        </is>
      </c>
      <c r="L416" s="315" t="n"/>
      <c r="M416" s="316" t="n"/>
      <c r="N416" t="inlineStr">
        <is>
          <t>Infrastructure</t>
        </is>
      </c>
      <c r="O416" t="inlineStr">
        <is>
          <t>Data &amp; Insights</t>
        </is>
      </c>
      <c r="P416" t="inlineStr">
        <is>
          <t>Data &amp; Insights</t>
        </is>
      </c>
      <c r="Q416" t="inlineStr">
        <is>
          <t>Squad</t>
        </is>
      </c>
      <c r="R416" t="inlineStr">
        <is>
          <t>Vacant</t>
        </is>
      </c>
    </row>
    <row r="417" ht="18" customHeight="1" s="302">
      <c r="A417" s="314" t="n">
        <v>115935</v>
      </c>
      <c r="B417" s="239" t="inlineStr">
        <is>
          <t>Rick Abainza</t>
        </is>
      </c>
      <c r="C417" s="239" t="inlineStr">
        <is>
          <t>Lead Business Analyst</t>
        </is>
      </c>
      <c r="D417" s="315" t="inlineStr">
        <is>
          <t>vacant</t>
        </is>
      </c>
      <c r="E417" s="239" t="inlineStr">
        <is>
          <t>Delivery Manager</t>
        </is>
      </c>
      <c r="F417" s="239" t="inlineStr">
        <is>
          <t>TDD CFE&amp;I</t>
        </is>
      </c>
      <c r="G417" s="315" t="inlineStr">
        <is>
          <t>Commercial Fuels</t>
        </is>
      </c>
      <c r="H417" s="315" t="inlineStr">
        <is>
          <t>Delivery</t>
        </is>
      </c>
      <c r="I417" s="315" t="inlineStr">
        <is>
          <t>Commercial Fuels</t>
        </is>
      </c>
      <c r="J417" s="315" t="inlineStr">
        <is>
          <t>CTRM</t>
        </is>
      </c>
      <c r="K417" s="315" t="inlineStr">
        <is>
          <t>CTRM</t>
        </is>
      </c>
      <c r="L417" s="239" t="n"/>
      <c r="M417" s="316" t="inlineStr">
        <is>
          <t>Singapore</t>
        </is>
      </c>
      <c r="N417" t="inlineStr">
        <is>
          <t>Commercial Fuels</t>
        </is>
      </c>
      <c r="O417" t="inlineStr">
        <is>
          <t>CTRM</t>
        </is>
      </c>
      <c r="P417" t="inlineStr">
        <is>
          <t>CTRM</t>
        </is>
      </c>
      <c r="Q417" t="inlineStr">
        <is>
          <t>Strategic Program</t>
        </is>
      </c>
      <c r="R417" t="inlineStr">
        <is>
          <t>Filled</t>
        </is>
      </c>
    </row>
    <row r="418" ht="18" customHeight="1" s="302">
      <c r="A418" s="314" t="n"/>
      <c r="B418" s="239" t="inlineStr">
        <is>
          <t>vacant</t>
        </is>
      </c>
      <c r="C418" s="239" t="inlineStr">
        <is>
          <t>Delivery manager</t>
        </is>
      </c>
      <c r="D418" s="315" t="inlineStr">
        <is>
          <t>Vacant</t>
        </is>
      </c>
      <c r="E418" s="239" t="inlineStr">
        <is>
          <t>Head of Technology, B2B &amp; Energy Solutions</t>
        </is>
      </c>
      <c r="F418" s="239" t="inlineStr">
        <is>
          <t>TDD CFE&amp;I</t>
        </is>
      </c>
      <c r="G418" s="315" t="inlineStr">
        <is>
          <t>B2B &amp; Energy Solutions</t>
        </is>
      </c>
      <c r="H418" s="315" t="inlineStr">
        <is>
          <t>Leadership</t>
        </is>
      </c>
      <c r="I418" s="315" t="n"/>
      <c r="J418" s="315" t="n"/>
      <c r="K418" s="239" t="n"/>
      <c r="L418" s="315" t="n"/>
      <c r="M418" s="316" t="n"/>
      <c r="N418" t="inlineStr">
        <is>
          <t>Unmapped</t>
        </is>
      </c>
      <c r="O418" t="inlineStr">
        <is>
          <t>-</t>
        </is>
      </c>
      <c r="P418" t="inlineStr">
        <is>
          <t>B2B &amp; Energy Solutions</t>
        </is>
      </c>
      <c r="Q418" t="inlineStr">
        <is>
          <t>Unmapped</t>
        </is>
      </c>
      <c r="R418" t="inlineStr">
        <is>
          <t>Vacant</t>
        </is>
      </c>
    </row>
    <row r="419" ht="18" customHeight="1" s="302">
      <c r="A419" s="314" t="n">
        <v>110185</v>
      </c>
      <c r="B419" s="239" t="inlineStr">
        <is>
          <t>Soumya Choudhury</t>
        </is>
      </c>
      <c r="C419" s="239" t="inlineStr">
        <is>
          <t xml:space="preserve">Data Application Specialist </t>
        </is>
      </c>
      <c r="D419" s="315" t="inlineStr">
        <is>
          <t>Vacant</t>
        </is>
      </c>
      <c r="E419" s="239" t="inlineStr">
        <is>
          <t>Technology Manager, Data</t>
        </is>
      </c>
      <c r="F419" s="239" t="inlineStr">
        <is>
          <t>TDD CFE&amp;I</t>
        </is>
      </c>
      <c r="G419" s="315" t="inlineStr">
        <is>
          <t>Commercial Fuels</t>
        </is>
      </c>
      <c r="H419" s="315" t="inlineStr">
        <is>
          <t>Technology, T&amp;S Data</t>
        </is>
      </c>
      <c r="I419" s="315" t="inlineStr">
        <is>
          <t>Commercial Fuels</t>
        </is>
      </c>
      <c r="J419" s="315" t="inlineStr">
        <is>
          <t>Trading &amp; Shipping</t>
        </is>
      </c>
      <c r="K419" s="315" t="inlineStr">
        <is>
          <t>Trading &amp; Shipping Data</t>
        </is>
      </c>
      <c r="L419" s="315" t="n"/>
      <c r="M419" s="316" t="inlineStr">
        <is>
          <t>Singapore</t>
        </is>
      </c>
      <c r="N419" t="inlineStr">
        <is>
          <t>Commercial Fuels</t>
        </is>
      </c>
      <c r="O419" t="inlineStr">
        <is>
          <t>Trading &amp; Shipping</t>
        </is>
      </c>
      <c r="P419" t="inlineStr">
        <is>
          <t>Trading &amp; Shipping Data</t>
        </is>
      </c>
      <c r="Q419" t="inlineStr">
        <is>
          <t>Squad</t>
        </is>
      </c>
      <c r="R419" t="inlineStr">
        <is>
          <t>Filled</t>
        </is>
      </c>
    </row>
    <row r="420" ht="18" customHeight="1" s="302">
      <c r="A420" s="314" t="n">
        <v>113039</v>
      </c>
      <c r="B420" s="239" t="inlineStr">
        <is>
          <t>Anusha Viswanatha</t>
        </is>
      </c>
      <c r="C420" s="239" t="inlineStr">
        <is>
          <t>Delivery Lead</t>
        </is>
      </c>
      <c r="D420" s="315" t="inlineStr">
        <is>
          <t>Vacant</t>
        </is>
      </c>
      <c r="E420" s="239" t="inlineStr">
        <is>
          <t>Technology Manager, Data</t>
        </is>
      </c>
      <c r="F420" s="239" t="inlineStr">
        <is>
          <t>TDD CFE&amp;I</t>
        </is>
      </c>
      <c r="G420" s="315" t="inlineStr">
        <is>
          <t>Commercial Fuels</t>
        </is>
      </c>
      <c r="H420" s="315" t="inlineStr">
        <is>
          <t>Technology, T&amp;S Data</t>
        </is>
      </c>
      <c r="I420" s="315" t="inlineStr">
        <is>
          <t>Commercial Fuels</t>
        </is>
      </c>
      <c r="J420" s="315" t="inlineStr">
        <is>
          <t>Trading &amp; Shipping</t>
        </is>
      </c>
      <c r="K420" s="315" t="inlineStr">
        <is>
          <t>Trading &amp; Shipping Data</t>
        </is>
      </c>
      <c r="L420" s="315" t="n"/>
      <c r="M420" s="316" t="inlineStr">
        <is>
          <t>Singapore</t>
        </is>
      </c>
      <c r="N420" t="inlineStr">
        <is>
          <t>Commercial Fuels</t>
        </is>
      </c>
      <c r="O420" t="inlineStr">
        <is>
          <t>Trading &amp; Shipping</t>
        </is>
      </c>
      <c r="P420" t="inlineStr">
        <is>
          <t>Trading &amp; Shipping Data</t>
        </is>
      </c>
      <c r="Q420" t="inlineStr">
        <is>
          <t>Squad</t>
        </is>
      </c>
      <c r="R420" t="inlineStr">
        <is>
          <t>Filled</t>
        </is>
      </c>
    </row>
    <row r="421" ht="18" customHeight="1" s="302">
      <c r="A421" s="314" t="n">
        <v>106907</v>
      </c>
      <c r="B421" s="239" t="inlineStr">
        <is>
          <t>Oz Shaaban</t>
        </is>
      </c>
      <c r="C421" s="239" t="inlineStr">
        <is>
          <t>Delivery Lead</t>
        </is>
      </c>
      <c r="D421" s="315" t="inlineStr">
        <is>
          <t>Vacant</t>
        </is>
      </c>
      <c r="E421" s="239" t="inlineStr">
        <is>
          <t>Delivery Manager</t>
        </is>
      </c>
      <c r="F421" s="239" t="inlineStr">
        <is>
          <t>TDD CFE&amp;I</t>
        </is>
      </c>
      <c r="G421" s="315" t="inlineStr">
        <is>
          <t>Commercial Fuels</t>
        </is>
      </c>
      <c r="H421" s="315" t="inlineStr">
        <is>
          <t>Delivery</t>
        </is>
      </c>
      <c r="I421" s="315" t="inlineStr">
        <is>
          <t>Commercial Fuels</t>
        </is>
      </c>
      <c r="J421" s="315" t="inlineStr">
        <is>
          <t>CTRM</t>
        </is>
      </c>
      <c r="K421" s="315" t="inlineStr">
        <is>
          <t>CTRM</t>
        </is>
      </c>
      <c r="L421" s="239" t="n"/>
      <c r="M421" s="316" t="inlineStr">
        <is>
          <t>Australia</t>
        </is>
      </c>
      <c r="N421" t="inlineStr">
        <is>
          <t>Commercial Fuels</t>
        </is>
      </c>
      <c r="O421" t="inlineStr">
        <is>
          <t>CTRM</t>
        </is>
      </c>
      <c r="P421" t="inlineStr">
        <is>
          <t>CTRM</t>
        </is>
      </c>
      <c r="Q421" t="inlineStr">
        <is>
          <t>Strategic Program</t>
        </is>
      </c>
      <c r="R421" t="inlineStr">
        <is>
          <t>Filled</t>
        </is>
      </c>
    </row>
    <row r="422" ht="18" customHeight="1" s="302">
      <c r="A422" s="314" t="n">
        <v>113599</v>
      </c>
      <c r="B422" s="239" t="inlineStr">
        <is>
          <t>Nico Lender</t>
        </is>
      </c>
      <c r="C422" s="239" t="inlineStr">
        <is>
          <t>Solution Architect</t>
        </is>
      </c>
      <c r="D422" s="317" t="inlineStr">
        <is>
          <t>vacant</t>
        </is>
      </c>
      <c r="E422" s="239" t="inlineStr">
        <is>
          <t>Technology Manager, Energy Solutions</t>
        </is>
      </c>
      <c r="F422" s="239" t="inlineStr">
        <is>
          <t>TDD CFE&amp;I</t>
        </is>
      </c>
      <c r="G422" s="315" t="inlineStr">
        <is>
          <t>B2B &amp; Energy Solutions</t>
        </is>
      </c>
      <c r="H422" s="315" t="inlineStr">
        <is>
          <t>Technology Energy Solutions</t>
        </is>
      </c>
      <c r="I422" s="315" t="inlineStr">
        <is>
          <t>B2B &amp; Energy Solutions</t>
        </is>
      </c>
      <c r="J422" s="315" t="inlineStr">
        <is>
          <t>Energy Solutions</t>
        </is>
      </c>
      <c r="K422" s="239" t="inlineStr">
        <is>
          <t>Energy</t>
        </is>
      </c>
      <c r="L422" s="315" t="n"/>
      <c r="M422" s="316" t="n"/>
      <c r="N422" t="inlineStr">
        <is>
          <t>Energy Solutions &amp; B2B</t>
        </is>
      </c>
      <c r="O422" t="inlineStr">
        <is>
          <t>Energy Solutions</t>
        </is>
      </c>
      <c r="P422" t="inlineStr">
        <is>
          <t>Energy</t>
        </is>
      </c>
      <c r="Q422" t="inlineStr">
        <is>
          <t>Squad</t>
        </is>
      </c>
      <c r="R422" t="inlineStr">
        <is>
          <t>Filled</t>
        </is>
      </c>
    </row>
    <row r="423" ht="18" customHeight="1" s="302">
      <c r="A423" s="314" t="n">
        <v>115847</v>
      </c>
      <c r="B423" s="239" t="inlineStr">
        <is>
          <t>Jonathan Wong</t>
        </is>
      </c>
      <c r="C423" s="239" t="inlineStr">
        <is>
          <t>Senior Business Analyst</t>
        </is>
      </c>
      <c r="D423" s="317" t="inlineStr">
        <is>
          <t>Vacant</t>
        </is>
      </c>
      <c r="E423" s="239" t="inlineStr">
        <is>
          <t>Technology Manager, Data</t>
        </is>
      </c>
      <c r="F423" s="239" t="inlineStr">
        <is>
          <t>TDD CFE&amp;I</t>
        </is>
      </c>
      <c r="G423" s="315" t="inlineStr">
        <is>
          <t>Commercial Fuels</t>
        </is>
      </c>
      <c r="H423" s="315" t="inlineStr">
        <is>
          <t>Technology, T&amp;S Data</t>
        </is>
      </c>
      <c r="I423" s="315" t="inlineStr">
        <is>
          <t>Commercial Fuels</t>
        </is>
      </c>
      <c r="J423" s="315" t="inlineStr">
        <is>
          <t>Trading &amp; Shipping</t>
        </is>
      </c>
      <c r="K423" s="315" t="inlineStr">
        <is>
          <t>Trading &amp; Shipping Data</t>
        </is>
      </c>
      <c r="L423" s="315" t="n"/>
      <c r="M423" s="316" t="inlineStr">
        <is>
          <t>Singapore</t>
        </is>
      </c>
      <c r="N423" t="inlineStr">
        <is>
          <t>Commercial Fuels</t>
        </is>
      </c>
      <c r="O423" t="inlineStr">
        <is>
          <t>Trading &amp; Shipping</t>
        </is>
      </c>
      <c r="P423" t="inlineStr">
        <is>
          <t>Trading &amp; Shipping Data</t>
        </is>
      </c>
      <c r="Q423" t="inlineStr">
        <is>
          <t>Squad</t>
        </is>
      </c>
      <c r="R423" t="inlineStr">
        <is>
          <t>Filled</t>
        </is>
      </c>
    </row>
    <row r="424" ht="18" customHeight="1" s="302">
      <c r="A424" s="314" t="n"/>
      <c r="B424" s="239" t="inlineStr">
        <is>
          <t xml:space="preserve">Vacant </t>
        </is>
      </c>
      <c r="C424" s="239" t="inlineStr">
        <is>
          <t>Engineer Software</t>
        </is>
      </c>
      <c r="D424" s="317" t="inlineStr">
        <is>
          <t>Vacant</t>
        </is>
      </c>
      <c r="E424" s="239" t="inlineStr">
        <is>
          <t>Technology Manager, Engineering</t>
        </is>
      </c>
      <c r="F424" s="239" t="inlineStr">
        <is>
          <t>TDD CFE&amp;I</t>
        </is>
      </c>
      <c r="G424" s="315" t="inlineStr">
        <is>
          <t>Commercial Fuels</t>
        </is>
      </c>
      <c r="H424" s="315" t="inlineStr">
        <is>
          <t>Technology, Engineering</t>
        </is>
      </c>
      <c r="I424" s="315" t="inlineStr">
        <is>
          <t>Commercial Fuels</t>
        </is>
      </c>
      <c r="J424" s="315" t="inlineStr">
        <is>
          <t>Supply</t>
        </is>
      </c>
      <c r="K424" s="239" t="inlineStr">
        <is>
          <t>Supply</t>
        </is>
      </c>
      <c r="L424" s="315" t="n"/>
      <c r="M424" s="316" t="n"/>
      <c r="N424" t="inlineStr">
        <is>
          <t>Commercial Fuels</t>
        </is>
      </c>
      <c r="O424" t="inlineStr">
        <is>
          <t>Supply</t>
        </is>
      </c>
      <c r="P424" t="inlineStr">
        <is>
          <t>Supply</t>
        </is>
      </c>
      <c r="Q424" t="inlineStr">
        <is>
          <t>Squad</t>
        </is>
      </c>
      <c r="R424" t="inlineStr">
        <is>
          <t>Vacant</t>
        </is>
      </c>
    </row>
    <row r="425" ht="18" customHeight="1" s="302">
      <c r="A425" s="314" t="n">
        <v>102187</v>
      </c>
      <c r="B425" s="239" t="inlineStr">
        <is>
          <t>Sijin Zhu</t>
        </is>
      </c>
      <c r="C425" s="239" t="inlineStr">
        <is>
          <t>Business Analyst</t>
        </is>
      </c>
      <c r="D425" s="317" t="inlineStr">
        <is>
          <t>vacant</t>
        </is>
      </c>
      <c r="E425" s="239" t="inlineStr">
        <is>
          <t>Delivery Manager</t>
        </is>
      </c>
      <c r="F425" s="239" t="inlineStr">
        <is>
          <t>TDD CFE&amp;I</t>
        </is>
      </c>
      <c r="G425" s="315" t="inlineStr">
        <is>
          <t>Commercial Fuels</t>
        </is>
      </c>
      <c r="H425" s="315" t="inlineStr">
        <is>
          <t>Delivery</t>
        </is>
      </c>
      <c r="I425" s="315" t="inlineStr">
        <is>
          <t>Commercial Fuels</t>
        </is>
      </c>
      <c r="J425" s="315" t="inlineStr">
        <is>
          <t>CTRM</t>
        </is>
      </c>
      <c r="K425" s="315" t="inlineStr">
        <is>
          <t>CTRM</t>
        </is>
      </c>
      <c r="L425" s="239" t="n"/>
      <c r="M425" s="316" t="inlineStr">
        <is>
          <t>Singapore</t>
        </is>
      </c>
      <c r="N425" t="inlineStr">
        <is>
          <t>Commercial Fuels</t>
        </is>
      </c>
      <c r="O425" t="inlineStr">
        <is>
          <t>CTRM</t>
        </is>
      </c>
      <c r="P425" t="inlineStr">
        <is>
          <t>CTRM</t>
        </is>
      </c>
      <c r="Q425" t="inlineStr">
        <is>
          <t>Strategic Program</t>
        </is>
      </c>
      <c r="R425" t="inlineStr">
        <is>
          <t>Filled</t>
        </is>
      </c>
    </row>
    <row r="426" ht="18" customHeight="1" s="302">
      <c r="A426" s="314" t="n">
        <v>8367</v>
      </c>
      <c r="B426" s="239" t="inlineStr">
        <is>
          <t>Marcela Gonzalez</t>
        </is>
      </c>
      <c r="C426" s="239" t="inlineStr">
        <is>
          <t>Energy Platforms Lead</t>
        </is>
      </c>
      <c r="D426" s="317" t="inlineStr">
        <is>
          <t>vacant</t>
        </is>
      </c>
      <c r="E426" s="239" t="inlineStr">
        <is>
          <t>Technology Manager, Energy Solutions</t>
        </is>
      </c>
      <c r="F426" s="239" t="inlineStr">
        <is>
          <t>TDD CFE&amp;I</t>
        </is>
      </c>
      <c r="G426" s="315" t="inlineStr">
        <is>
          <t>B2B &amp; Energy Solutions</t>
        </is>
      </c>
      <c r="H426" s="315" t="inlineStr">
        <is>
          <t>Technology Energy Solutions</t>
        </is>
      </c>
      <c r="I426" s="315" t="inlineStr">
        <is>
          <t>B2B &amp; Energy Solutions</t>
        </is>
      </c>
      <c r="J426" s="315" t="inlineStr">
        <is>
          <t>Ampol Digital</t>
        </is>
      </c>
      <c r="K426" s="239" t="inlineStr">
        <is>
          <t>Ampol App</t>
        </is>
      </c>
      <c r="L426" s="315" t="n"/>
      <c r="M426" s="316" t="inlineStr">
        <is>
          <t>Australia</t>
        </is>
      </c>
      <c r="N426" t="inlineStr">
        <is>
          <t>Customer</t>
        </is>
      </c>
      <c r="O426" t="inlineStr">
        <is>
          <t>Ampol Digital</t>
        </is>
      </c>
      <c r="P426" t="inlineStr">
        <is>
          <t>Ampol App</t>
        </is>
      </c>
      <c r="Q426" t="inlineStr">
        <is>
          <t>Squad</t>
        </is>
      </c>
      <c r="R426" t="inlineStr">
        <is>
          <t>Filled</t>
        </is>
      </c>
    </row>
    <row r="427" ht="18" customHeight="1" s="302">
      <c r="A427" s="314" t="n"/>
      <c r="B427" s="239" t="inlineStr">
        <is>
          <t>Vacant</t>
        </is>
      </c>
      <c r="C427" s="239" t="inlineStr">
        <is>
          <t>Reporting Analyst</t>
        </is>
      </c>
      <c r="D427" t="inlineStr">
        <is>
          <t>vacant</t>
        </is>
      </c>
      <c r="E427" s="239" t="inlineStr">
        <is>
          <t>Technology Manger, Data</t>
        </is>
      </c>
      <c r="F427" s="239" t="inlineStr">
        <is>
          <t>TDD CFE&amp;I</t>
        </is>
      </c>
      <c r="G427" s="315" t="inlineStr">
        <is>
          <t>Fuel Infrastructure</t>
        </is>
      </c>
      <c r="H427" s="315" t="inlineStr">
        <is>
          <t>Fuel Infrastructure, Data</t>
        </is>
      </c>
      <c r="I427" s="315" t="inlineStr">
        <is>
          <t>Infrastructure</t>
        </is>
      </c>
      <c r="J427" s="239" t="inlineStr">
        <is>
          <t xml:space="preserve">Data &amp; Insights </t>
        </is>
      </c>
      <c r="K427" s="239" t="inlineStr">
        <is>
          <t xml:space="preserve">Data &amp; Insights </t>
        </is>
      </c>
      <c r="L427" s="315" t="n"/>
      <c r="M427" s="316" t="n"/>
      <c r="N427" t="inlineStr">
        <is>
          <t>Infrastructure</t>
        </is>
      </c>
      <c r="O427" t="inlineStr">
        <is>
          <t>Data &amp; Insights</t>
        </is>
      </c>
      <c r="P427" t="inlineStr">
        <is>
          <t>Data &amp; Insights</t>
        </is>
      </c>
      <c r="Q427" t="inlineStr">
        <is>
          <t>Squad</t>
        </is>
      </c>
      <c r="R427" t="inlineStr">
        <is>
          <t>Vacant</t>
        </is>
      </c>
    </row>
    <row r="428" ht="18" customHeight="1" s="302">
      <c r="A428" s="314" t="n">
        <v>99999101013</v>
      </c>
      <c r="B428" s="239" t="inlineStr">
        <is>
          <t>Chantal Lynch</t>
        </is>
      </c>
      <c r="C428" s="239" t="inlineStr">
        <is>
          <t>Lead Quality Assurance</t>
        </is>
      </c>
      <c r="D428" s="317" t="inlineStr">
        <is>
          <t>Vacant</t>
        </is>
      </c>
      <c r="E428" s="239" t="inlineStr">
        <is>
          <t>Technology Manager, Engineering</t>
        </is>
      </c>
      <c r="F428" s="239" t="inlineStr">
        <is>
          <t>TDD CFE&amp;I</t>
        </is>
      </c>
      <c r="G428" s="315" t="inlineStr">
        <is>
          <t>Commercial Fuels</t>
        </is>
      </c>
      <c r="H428" s="315" t="inlineStr">
        <is>
          <t>Trading &amp; Shipping</t>
        </is>
      </c>
      <c r="I428" s="315" t="inlineStr">
        <is>
          <t>Commercial Fuels</t>
        </is>
      </c>
      <c r="J428" s="239" t="inlineStr">
        <is>
          <t>CTRM</t>
        </is>
      </c>
      <c r="K428" s="239" t="inlineStr">
        <is>
          <t>CTRM</t>
        </is>
      </c>
      <c r="L428" s="315" t="n"/>
      <c r="M428" s="316" t="inlineStr">
        <is>
          <t>NZ</t>
        </is>
      </c>
      <c r="N428" t="inlineStr">
        <is>
          <t>Commercial Fuels</t>
        </is>
      </c>
      <c r="O428" t="inlineStr">
        <is>
          <t>CTRM</t>
        </is>
      </c>
      <c r="P428" t="inlineStr">
        <is>
          <t>CTRM</t>
        </is>
      </c>
      <c r="Q428" t="inlineStr">
        <is>
          <t>Strategic Program</t>
        </is>
      </c>
      <c r="R428" t="inlineStr">
        <is>
          <t>Filled</t>
        </is>
      </c>
    </row>
    <row r="429" ht="18" customHeight="1" s="302">
      <c r="A429" s="314" t="n"/>
      <c r="B429" s="239" t="inlineStr">
        <is>
          <t xml:space="preserve">Vacant </t>
        </is>
      </c>
      <c r="C429" s="239" t="inlineStr">
        <is>
          <t>Business Analyst</t>
        </is>
      </c>
      <c r="D429" s="317" t="inlineStr">
        <is>
          <t>Vacant</t>
        </is>
      </c>
      <c r="E429" s="239" t="inlineStr">
        <is>
          <t>Delivery Manager</t>
        </is>
      </c>
      <c r="F429" s="239" t="inlineStr">
        <is>
          <t>TDD CFE&amp;I</t>
        </is>
      </c>
      <c r="G429" s="315" t="inlineStr">
        <is>
          <t>B2B &amp; Energy Solutions</t>
        </is>
      </c>
      <c r="H429" s="315" t="inlineStr">
        <is>
          <t>Delivery</t>
        </is>
      </c>
      <c r="I429" s="315" t="inlineStr">
        <is>
          <t>B2B &amp; Energy Solutions</t>
        </is>
      </c>
      <c r="J429" s="315" t="inlineStr">
        <is>
          <t>Energy Solutions</t>
        </is>
      </c>
      <c r="K429" s="239" t="inlineStr">
        <is>
          <t>Energy</t>
        </is>
      </c>
      <c r="L429" s="315" t="n"/>
      <c r="M429" s="316" t="n"/>
      <c r="N429" t="inlineStr">
        <is>
          <t>Energy Solutions &amp; B2B</t>
        </is>
      </c>
      <c r="O429" t="inlineStr">
        <is>
          <t>Energy Solutions</t>
        </is>
      </c>
      <c r="P429" t="inlineStr">
        <is>
          <t>Energy</t>
        </is>
      </c>
      <c r="Q429" t="inlineStr">
        <is>
          <t>Squad</t>
        </is>
      </c>
      <c r="R429" t="inlineStr">
        <is>
          <t>Vacant</t>
        </is>
      </c>
    </row>
    <row r="430" ht="18" customHeight="1" s="302">
      <c r="A430" s="314" t="n">
        <v>101157</v>
      </c>
      <c r="B430" s="239" t="inlineStr">
        <is>
          <t>Jessica Calla</t>
        </is>
      </c>
      <c r="C430" s="239" t="inlineStr">
        <is>
          <t>System Analyst Card</t>
        </is>
      </c>
      <c r="D430" t="inlineStr">
        <is>
          <t>Vacant</t>
        </is>
      </c>
      <c r="E430" s="239" t="inlineStr">
        <is>
          <t>Technology Manager, Energy Solutions</t>
        </is>
      </c>
      <c r="F430" s="239" t="inlineStr">
        <is>
          <t>TDD CFE&amp;I</t>
        </is>
      </c>
      <c r="G430" s="315" t="inlineStr">
        <is>
          <t>B2B &amp; Energy Solutions</t>
        </is>
      </c>
      <c r="H430" s="315" t="inlineStr">
        <is>
          <t>Technology B2B</t>
        </is>
      </c>
      <c r="I430" s="315" t="inlineStr">
        <is>
          <t>B2B &amp; Energy Solutions</t>
        </is>
      </c>
      <c r="J430" s="239" t="inlineStr">
        <is>
          <t>B2B</t>
        </is>
      </c>
      <c r="K430" s="239" t="inlineStr">
        <is>
          <t>B2B</t>
        </is>
      </c>
      <c r="L430" s="315" t="n"/>
      <c r="M430" s="316" t="inlineStr">
        <is>
          <t>Australia</t>
        </is>
      </c>
      <c r="N430" t="inlineStr">
        <is>
          <t>Energy Solutions &amp; B2B</t>
        </is>
      </c>
      <c r="O430" t="inlineStr">
        <is>
          <t>B2B</t>
        </is>
      </c>
      <c r="P430" t="inlineStr">
        <is>
          <t>B2B</t>
        </is>
      </c>
      <c r="Q430" t="inlineStr">
        <is>
          <t>Squad</t>
        </is>
      </c>
      <c r="R430" t="inlineStr">
        <is>
          <t>Filled</t>
        </is>
      </c>
    </row>
    <row r="431" ht="18" customHeight="1" s="302">
      <c r="A431" s="314" t="n"/>
      <c r="B431" s="239" t="inlineStr">
        <is>
          <t>Vacant</t>
        </is>
      </c>
      <c r="C431" s="239" t="inlineStr">
        <is>
          <t>Quality Assurance</t>
        </is>
      </c>
      <c r="D431" s="239" t="inlineStr">
        <is>
          <t>Vacant</t>
        </is>
      </c>
      <c r="E431" s="239" t="inlineStr">
        <is>
          <t>Technology Manager, Future Infrastructure</t>
        </is>
      </c>
      <c r="F431" s="239" t="inlineStr">
        <is>
          <t>TDD CFE&amp;I</t>
        </is>
      </c>
      <c r="G431" s="315" t="inlineStr">
        <is>
          <t>Fuel Infrastructure</t>
        </is>
      </c>
      <c r="H431" s="315" t="inlineStr">
        <is>
          <t>Technology - Distribution</t>
        </is>
      </c>
      <c r="I431" s="315" t="inlineStr">
        <is>
          <t>Infrastructure</t>
        </is>
      </c>
      <c r="J431" s="315" t="inlineStr">
        <is>
          <t>Distribution</t>
        </is>
      </c>
      <c r="K431" s="239" t="inlineStr">
        <is>
          <t>Distribution, Sales &amp; Services</t>
        </is>
      </c>
      <c r="L431" s="315" t="n"/>
      <c r="M431" s="316" t="n"/>
      <c r="N431" t="inlineStr">
        <is>
          <t>Infrastructure</t>
        </is>
      </c>
      <c r="O431" t="inlineStr">
        <is>
          <t>Distribution</t>
        </is>
      </c>
      <c r="P431" t="inlineStr">
        <is>
          <t>Distribution, Sales &amp; Services</t>
        </is>
      </c>
      <c r="Q431" t="inlineStr">
        <is>
          <t>Squad</t>
        </is>
      </c>
      <c r="R431" t="inlineStr">
        <is>
          <t>Vacant</t>
        </is>
      </c>
    </row>
    <row r="432" ht="18" customHeight="1" s="302">
      <c r="A432" s="314" t="n"/>
      <c r="B432" s="239" t="inlineStr">
        <is>
          <t>Zijie Zhang</t>
        </is>
      </c>
      <c r="C432" s="239" t="inlineStr">
        <is>
          <t>Senior Data Analyst</t>
        </is>
      </c>
      <c r="D432" s="315" t="inlineStr">
        <is>
          <t>Vacant</t>
        </is>
      </c>
      <c r="E432" s="239" t="inlineStr">
        <is>
          <t>Technology Manager, Data</t>
        </is>
      </c>
      <c r="F432" s="239" t="inlineStr">
        <is>
          <t>TDD CFE&amp;I</t>
        </is>
      </c>
      <c r="G432" s="315" t="inlineStr">
        <is>
          <t>Commercial Fuels</t>
        </is>
      </c>
      <c r="H432" s="359" t="inlineStr">
        <is>
          <t>Trading &amp; Shipping</t>
        </is>
      </c>
      <c r="I432" s="315" t="inlineStr">
        <is>
          <t>Commercial Fuels</t>
        </is>
      </c>
      <c r="J432" s="315" t="inlineStr">
        <is>
          <t>Trading &amp; Shipping</t>
        </is>
      </c>
      <c r="K432" s="315" t="inlineStr">
        <is>
          <t>Trading &amp; Shipping Data</t>
        </is>
      </c>
      <c r="L432" s="315" t="n"/>
      <c r="M432" s="316" t="n"/>
      <c r="N432" t="inlineStr">
        <is>
          <t>Commercial Fuels</t>
        </is>
      </c>
      <c r="O432" t="inlineStr">
        <is>
          <t>Trading &amp; Shipping</t>
        </is>
      </c>
      <c r="P432" t="inlineStr">
        <is>
          <t>Trading &amp; Shipping Data</t>
        </is>
      </c>
      <c r="Q432" t="inlineStr">
        <is>
          <t>Squad</t>
        </is>
      </c>
      <c r="R432" t="inlineStr">
        <is>
          <t>Filled</t>
        </is>
      </c>
    </row>
    <row r="433" ht="18" customHeight="1" s="302">
      <c r="A433" s="314" t="n">
        <v>115723</v>
      </c>
      <c r="B433" s="239" t="inlineStr">
        <is>
          <t>Kumar Siva</t>
        </is>
      </c>
      <c r="C433" s="239" t="inlineStr">
        <is>
          <t>Lead engineer Data</t>
        </is>
      </c>
      <c r="D433" s="315" t="inlineStr">
        <is>
          <t>Vacant</t>
        </is>
      </c>
      <c r="E433" t="inlineStr">
        <is>
          <t>Technology Manager, Data</t>
        </is>
      </c>
      <c r="F433" s="239" t="inlineStr">
        <is>
          <t>TDD CFE&amp;I</t>
        </is>
      </c>
      <c r="G433" s="315" t="inlineStr">
        <is>
          <t>Commercial Fuels</t>
        </is>
      </c>
      <c r="H433" s="315" t="inlineStr">
        <is>
          <t>Technology, T&amp;S Data</t>
        </is>
      </c>
      <c r="I433" s="315" t="inlineStr">
        <is>
          <t>Commercial Fuels</t>
        </is>
      </c>
      <c r="J433" s="315" t="inlineStr">
        <is>
          <t>Trading &amp; Shipping</t>
        </is>
      </c>
      <c r="K433" s="315" t="inlineStr">
        <is>
          <t>Trading &amp; Shipping Data</t>
        </is>
      </c>
      <c r="L433" s="315" t="n"/>
      <c r="M433" s="316" t="inlineStr">
        <is>
          <t>Singapore</t>
        </is>
      </c>
      <c r="N433" t="inlineStr">
        <is>
          <t>Commercial Fuels</t>
        </is>
      </c>
      <c r="O433" t="inlineStr">
        <is>
          <t>Trading &amp; Shipping</t>
        </is>
      </c>
      <c r="P433" t="inlineStr">
        <is>
          <t>Trading &amp; Shipping Data</t>
        </is>
      </c>
      <c r="Q433" t="inlineStr">
        <is>
          <t>Squad</t>
        </is>
      </c>
      <c r="R433" t="inlineStr">
        <is>
          <t>Filled</t>
        </is>
      </c>
    </row>
    <row r="434" ht="18" customHeight="1" s="302">
      <c r="A434" s="314" t="n"/>
      <c r="B434" s="239" t="inlineStr">
        <is>
          <t xml:space="preserve">Vacant </t>
        </is>
      </c>
      <c r="C434" s="239" t="inlineStr">
        <is>
          <t>Business Analyst</t>
        </is>
      </c>
      <c r="D434" s="315" t="inlineStr">
        <is>
          <t>Vacant</t>
        </is>
      </c>
      <c r="E434" s="239" t="inlineStr">
        <is>
          <t>Delivery Manager</t>
        </is>
      </c>
      <c r="F434" s="239" t="inlineStr">
        <is>
          <t>TDD CFE&amp;I</t>
        </is>
      </c>
      <c r="G434" s="315" t="inlineStr">
        <is>
          <t>B2B &amp; Energy Solutions</t>
        </is>
      </c>
      <c r="H434" s="315" t="inlineStr">
        <is>
          <t>Delivery</t>
        </is>
      </c>
      <c r="I434" s="315" t="inlineStr">
        <is>
          <t>B2B &amp; Energy Solutions</t>
        </is>
      </c>
      <c r="J434" s="239" t="inlineStr">
        <is>
          <t>B2B</t>
        </is>
      </c>
      <c r="K434" s="239" t="inlineStr">
        <is>
          <t>B2B</t>
        </is>
      </c>
      <c r="L434" s="315" t="n"/>
      <c r="M434" s="316" t="n"/>
      <c r="N434" t="inlineStr">
        <is>
          <t>Energy Solutions &amp; B2B</t>
        </is>
      </c>
      <c r="O434" t="inlineStr">
        <is>
          <t>B2B</t>
        </is>
      </c>
      <c r="P434" t="inlineStr">
        <is>
          <t>B2B</t>
        </is>
      </c>
      <c r="Q434" t="inlineStr">
        <is>
          <t>Squad</t>
        </is>
      </c>
      <c r="R434" t="inlineStr">
        <is>
          <t>Vacant</t>
        </is>
      </c>
    </row>
    <row r="435" ht="18" customHeight="1" s="302">
      <c r="A435" s="314" t="n">
        <v>110044</v>
      </c>
      <c r="B435" s="239" t="inlineStr">
        <is>
          <t>Kevin Nelson</t>
        </is>
      </c>
      <c r="C435" s="239" t="inlineStr">
        <is>
          <t>Delivery Lead</t>
        </is>
      </c>
      <c r="D435" s="315" t="inlineStr">
        <is>
          <t>Vacant</t>
        </is>
      </c>
      <c r="E435" s="239" t="inlineStr">
        <is>
          <t>Delivery Manager</t>
        </is>
      </c>
      <c r="F435" s="239" t="inlineStr">
        <is>
          <t>TDD CFE&amp;I</t>
        </is>
      </c>
      <c r="G435" s="315" t="inlineStr">
        <is>
          <t>Fuel Infrastructure</t>
        </is>
      </c>
      <c r="H435" s="315" t="inlineStr">
        <is>
          <t>Fuel Infrastructure, Delivery</t>
        </is>
      </c>
      <c r="I435" s="315" t="inlineStr">
        <is>
          <t>RETAIL</t>
        </is>
      </c>
      <c r="J435" s="315" t="inlineStr">
        <is>
          <t>AMPOS</t>
        </is>
      </c>
      <c r="K435" s="239" t="inlineStr">
        <is>
          <t>AmPos</t>
        </is>
      </c>
      <c r="L435" s="315" t="n"/>
      <c r="M435" s="316" t="inlineStr">
        <is>
          <t>Australia</t>
        </is>
      </c>
      <c r="N435" t="inlineStr">
        <is>
          <t>Ampol Retail</t>
        </is>
      </c>
      <c r="O435" t="inlineStr">
        <is>
          <t>AmPOS</t>
        </is>
      </c>
      <c r="P435" t="inlineStr">
        <is>
          <t>AmPOS</t>
        </is>
      </c>
      <c r="Q435" t="inlineStr">
        <is>
          <t>Strategic Program</t>
        </is>
      </c>
      <c r="R435" t="inlineStr">
        <is>
          <t>Filled</t>
        </is>
      </c>
    </row>
    <row r="436" ht="18" customHeight="1" s="302">
      <c r="A436" s="314" t="n"/>
      <c r="B436" s="239" t="inlineStr">
        <is>
          <t>Vacant</t>
        </is>
      </c>
      <c r="C436" s="239" t="inlineStr">
        <is>
          <t>Quality Assurance</t>
        </is>
      </c>
      <c r="D436" s="239" t="inlineStr">
        <is>
          <t>Vacant</t>
        </is>
      </c>
      <c r="E436" s="239" t="inlineStr">
        <is>
          <t>Technology Manager, TDD Refinery</t>
        </is>
      </c>
      <c r="F436" s="239" t="inlineStr">
        <is>
          <t>TDD CFE&amp;I</t>
        </is>
      </c>
      <c r="G436" s="315" t="inlineStr">
        <is>
          <t>Fuel Infrastructure</t>
        </is>
      </c>
      <c r="H436" s="315" t="inlineStr">
        <is>
          <t>Refinery Applications</t>
        </is>
      </c>
      <c r="I436" s="315" t="inlineStr">
        <is>
          <t>Infrastructure</t>
        </is>
      </c>
      <c r="J436" s="315" t="inlineStr">
        <is>
          <t>Manufacturing</t>
        </is>
      </c>
      <c r="K436" s="239" t="inlineStr">
        <is>
          <t>Manufacturing Group Projects</t>
        </is>
      </c>
      <c r="L436" s="315" t="n"/>
      <c r="M436" s="316" t="n"/>
      <c r="N436" t="inlineStr">
        <is>
          <t>Infrastructure</t>
        </is>
      </c>
      <c r="O436" t="inlineStr">
        <is>
          <t>Manufacturing</t>
        </is>
      </c>
      <c r="P436" t="inlineStr">
        <is>
          <t>Manufacturing &amp; Group Projects</t>
        </is>
      </c>
      <c r="Q436" t="inlineStr">
        <is>
          <t>Squad</t>
        </is>
      </c>
      <c r="R436" t="inlineStr">
        <is>
          <t>Vacant</t>
        </is>
      </c>
    </row>
    <row r="437" ht="18" customHeight="1" s="302">
      <c r="A437" s="314" t="n">
        <v>105531</v>
      </c>
      <c r="B437" s="239" t="inlineStr">
        <is>
          <t>Jodi Higgins</t>
        </is>
      </c>
      <c r="C437" s="239" t="inlineStr">
        <is>
          <t>Delivery Lead</t>
        </is>
      </c>
      <c r="D437" s="315" t="inlineStr">
        <is>
          <t>Vacant</t>
        </is>
      </c>
      <c r="E437" s="239" t="inlineStr">
        <is>
          <t>Delivery Manager</t>
        </is>
      </c>
      <c r="F437" s="239" t="inlineStr">
        <is>
          <t>TDD CFE&amp;I</t>
        </is>
      </c>
      <c r="G437" s="315" t="inlineStr">
        <is>
          <t>Fuel Infrastructure</t>
        </is>
      </c>
      <c r="H437" s="315" t="inlineStr">
        <is>
          <t>Fuel Infrastructure, Delivery</t>
        </is>
      </c>
      <c r="I437" s="315" t="inlineStr">
        <is>
          <t>Infrastructure</t>
        </is>
      </c>
      <c r="J437" s="315" t="inlineStr">
        <is>
          <t>Distribution</t>
        </is>
      </c>
      <c r="K437" s="239" t="inlineStr">
        <is>
          <t>Distribution, Sales &amp; Services</t>
        </is>
      </c>
      <c r="L437" s="315" t="n"/>
      <c r="M437" s="316" t="inlineStr">
        <is>
          <t>Australia</t>
        </is>
      </c>
      <c r="N437" t="inlineStr">
        <is>
          <t>Infrastructure</t>
        </is>
      </c>
      <c r="O437" t="inlineStr">
        <is>
          <t>Distribution</t>
        </is>
      </c>
      <c r="P437" t="inlineStr">
        <is>
          <t>Distribution, Sales &amp; Services</t>
        </is>
      </c>
      <c r="Q437" t="inlineStr">
        <is>
          <t>Squad</t>
        </is>
      </c>
      <c r="R437" t="inlineStr">
        <is>
          <t>Filled</t>
        </is>
      </c>
    </row>
    <row r="438" ht="18" customHeight="1" s="302">
      <c r="A438" s="314" t="n">
        <v>99999100072</v>
      </c>
      <c r="B438" s="239" t="inlineStr">
        <is>
          <t>Angela Ross</t>
        </is>
      </c>
      <c r="C438" s="239" t="inlineStr">
        <is>
          <t>Delivery Lead</t>
        </is>
      </c>
      <c r="D438" s="315" t="inlineStr">
        <is>
          <t>Vacant</t>
        </is>
      </c>
      <c r="E438" s="239" t="inlineStr">
        <is>
          <t>Delivery Manager</t>
        </is>
      </c>
      <c r="F438" s="239" t="inlineStr">
        <is>
          <t>TDD CFE&amp;I</t>
        </is>
      </c>
      <c r="G438" s="315" t="inlineStr">
        <is>
          <t>B2B &amp; Energy Solutions</t>
        </is>
      </c>
      <c r="H438" s="315" t="inlineStr">
        <is>
          <t>Delivery</t>
        </is>
      </c>
      <c r="I438" s="315" t="inlineStr">
        <is>
          <t>B2B &amp; Energy Solutions</t>
        </is>
      </c>
      <c r="J438" s="315" t="inlineStr">
        <is>
          <t>Energy Solutions</t>
        </is>
      </c>
      <c r="K438" s="239" t="inlineStr">
        <is>
          <t>EVCI</t>
        </is>
      </c>
      <c r="L438" s="315" t="n"/>
      <c r="M438" s="316" t="inlineStr">
        <is>
          <t>NZ</t>
        </is>
      </c>
      <c r="N438" t="inlineStr">
        <is>
          <t>Energy Solutions &amp; B2B</t>
        </is>
      </c>
      <c r="O438" t="inlineStr">
        <is>
          <t>Energy Solutions</t>
        </is>
      </c>
      <c r="P438" t="inlineStr">
        <is>
          <t>EVCI</t>
        </is>
      </c>
      <c r="Q438" t="inlineStr">
        <is>
          <t>Squad</t>
        </is>
      </c>
      <c r="R438" t="inlineStr">
        <is>
          <t>Filled</t>
        </is>
      </c>
    </row>
    <row r="439" ht="18" customHeight="1" s="302">
      <c r="A439" s="314" t="n">
        <v>114723</v>
      </c>
      <c r="B439" s="239" t="inlineStr">
        <is>
          <t>Ming Shao</t>
        </is>
      </c>
      <c r="C439" s="239" t="inlineStr">
        <is>
          <t>Senior Systems Analyst Card</t>
        </is>
      </c>
      <c r="D439" s="239" t="inlineStr">
        <is>
          <t>Vacant</t>
        </is>
      </c>
      <c r="E439" s="239" t="inlineStr">
        <is>
          <t>Technology Manager, Energy Solutions</t>
        </is>
      </c>
      <c r="F439" s="239" t="inlineStr">
        <is>
          <t>TDD CFE&amp;I</t>
        </is>
      </c>
      <c r="G439" s="315" t="inlineStr">
        <is>
          <t>B2B &amp; Energy Solutions</t>
        </is>
      </c>
      <c r="H439" s="315" t="inlineStr">
        <is>
          <t>Technology B2B</t>
        </is>
      </c>
      <c r="I439" s="315" t="inlineStr">
        <is>
          <t>B2B &amp; Energy Solutions</t>
        </is>
      </c>
      <c r="J439" s="239" t="inlineStr">
        <is>
          <t>B2B</t>
        </is>
      </c>
      <c r="K439" s="239" t="inlineStr">
        <is>
          <t>B2B</t>
        </is>
      </c>
      <c r="L439" s="315" t="n"/>
      <c r="M439" s="316" t="inlineStr">
        <is>
          <t>Australia</t>
        </is>
      </c>
      <c r="N439" t="inlineStr">
        <is>
          <t>Energy Solutions &amp; B2B</t>
        </is>
      </c>
      <c r="O439" t="inlineStr">
        <is>
          <t>B2B</t>
        </is>
      </c>
      <c r="P439" t="inlineStr">
        <is>
          <t>B2B</t>
        </is>
      </c>
      <c r="Q439" t="inlineStr">
        <is>
          <t>Squad</t>
        </is>
      </c>
      <c r="R439" t="inlineStr">
        <is>
          <t>Filled</t>
        </is>
      </c>
    </row>
    <row r="440" ht="18" customHeight="1" s="302">
      <c r="A440" s="314" t="n">
        <v>99999101505</v>
      </c>
      <c r="B440" s="239" t="inlineStr">
        <is>
          <t>Vacant</t>
        </is>
      </c>
      <c r="C440" s="239" t="inlineStr">
        <is>
          <t>Snr Engineer Software</t>
        </is>
      </c>
      <c r="D440" s="315" t="inlineStr">
        <is>
          <t>Vacant</t>
        </is>
      </c>
      <c r="E440" s="239" t="inlineStr">
        <is>
          <t>Technology Manager, Energy Solutions</t>
        </is>
      </c>
      <c r="F440" s="239" t="inlineStr">
        <is>
          <t>TDD CFE&amp;I</t>
        </is>
      </c>
      <c r="G440" s="315" t="inlineStr">
        <is>
          <t>B2B &amp; Energy Solutions</t>
        </is>
      </c>
      <c r="H440" s="315" t="inlineStr">
        <is>
          <t>Technology Energy Solutions</t>
        </is>
      </c>
      <c r="I440" s="315" t="inlineStr">
        <is>
          <t>B2B &amp; Energy Solutions</t>
        </is>
      </c>
      <c r="J440" s="315" t="inlineStr">
        <is>
          <t>Energy Solutions</t>
        </is>
      </c>
      <c r="K440" s="239" t="inlineStr">
        <is>
          <t>EVCI</t>
        </is>
      </c>
      <c r="L440" s="315" t="n"/>
      <c r="M440" s="316" t="inlineStr">
        <is>
          <t>NZ</t>
        </is>
      </c>
      <c r="N440" t="inlineStr">
        <is>
          <t>Energy Solutions &amp; B2B</t>
        </is>
      </c>
      <c r="O440" t="inlineStr">
        <is>
          <t>Energy Solutions</t>
        </is>
      </c>
      <c r="P440" t="inlineStr">
        <is>
          <t>EVCI</t>
        </is>
      </c>
      <c r="Q440" t="inlineStr">
        <is>
          <t>Squad</t>
        </is>
      </c>
      <c r="R440" t="inlineStr">
        <is>
          <t>Vacant</t>
        </is>
      </c>
    </row>
    <row r="441" ht="18" customHeight="1" s="302">
      <c r="A441" s="314" t="n">
        <v>97973</v>
      </c>
      <c r="B441" s="239" t="inlineStr">
        <is>
          <t>Vacant</t>
        </is>
      </c>
      <c r="C441" s="239" t="inlineStr">
        <is>
          <t>System Specialist</t>
        </is>
      </c>
      <c r="D441" s="315" t="inlineStr">
        <is>
          <t>Vacant</t>
        </is>
      </c>
      <c r="E441" s="239" t="inlineStr">
        <is>
          <t>Technology Manager, Energy Solutions</t>
        </is>
      </c>
      <c r="F441" s="239" t="inlineStr">
        <is>
          <t>TDD CFE&amp;I</t>
        </is>
      </c>
      <c r="G441" s="315" t="inlineStr">
        <is>
          <t>Loyalty &amp; Martech</t>
        </is>
      </c>
      <c r="H441" s="315" t="inlineStr">
        <is>
          <t>Technology Energy Solutions</t>
        </is>
      </c>
      <c r="I441" s="315" t="inlineStr">
        <is>
          <t>B2B &amp; Energy Solutions</t>
        </is>
      </c>
      <c r="J441" s="315" t="inlineStr">
        <is>
          <t>Energy Solutions</t>
        </is>
      </c>
      <c r="K441" s="239" t="inlineStr">
        <is>
          <t>Energy</t>
        </is>
      </c>
      <c r="L441" s="315" t="n"/>
      <c r="M441" s="316" t="inlineStr">
        <is>
          <t>Australia</t>
        </is>
      </c>
      <c r="N441" t="inlineStr">
        <is>
          <t>Energy Solutions &amp; B2B</t>
        </is>
      </c>
      <c r="O441" t="inlineStr">
        <is>
          <t>Energy Solutions</t>
        </is>
      </c>
      <c r="P441" t="inlineStr">
        <is>
          <t>Energy</t>
        </is>
      </c>
      <c r="Q441" t="inlineStr">
        <is>
          <t>Squad</t>
        </is>
      </c>
      <c r="R441" t="inlineStr">
        <is>
          <t>Vacant</t>
        </is>
      </c>
    </row>
    <row r="442" ht="18" customHeight="1" s="302">
      <c r="A442" s="314" t="n">
        <v>111319</v>
      </c>
      <c r="B442" s="239" t="inlineStr">
        <is>
          <t>Arun Prakash Jayaprakasam</t>
        </is>
      </c>
      <c r="C442" s="239" t="inlineStr">
        <is>
          <t>Data Engineer Analyst</t>
        </is>
      </c>
      <c r="D442" s="315" t="inlineStr">
        <is>
          <t>Vacant</t>
        </is>
      </c>
      <c r="E442" s="239" t="inlineStr">
        <is>
          <t>Technology Manager, Data</t>
        </is>
      </c>
      <c r="F442" s="239" t="inlineStr">
        <is>
          <t>TDD CFE&amp;I</t>
        </is>
      </c>
      <c r="G442" s="315" t="inlineStr">
        <is>
          <t>Commercial Fuels</t>
        </is>
      </c>
      <c r="H442" s="315" t="inlineStr">
        <is>
          <t>Technology, T&amp;S Data</t>
        </is>
      </c>
      <c r="I442" s="315" t="inlineStr">
        <is>
          <t>Commercial Fuels</t>
        </is>
      </c>
      <c r="J442" s="315" t="inlineStr">
        <is>
          <t>Trading &amp; Shipping</t>
        </is>
      </c>
      <c r="K442" s="315" t="inlineStr">
        <is>
          <t>Trading &amp; Shipping Data</t>
        </is>
      </c>
      <c r="L442" s="315" t="n"/>
      <c r="M442" s="316" t="inlineStr">
        <is>
          <t>Singapore</t>
        </is>
      </c>
      <c r="N442" t="inlineStr">
        <is>
          <t>Commercial Fuels</t>
        </is>
      </c>
      <c r="O442" t="inlineStr">
        <is>
          <t>Trading &amp; Shipping</t>
        </is>
      </c>
      <c r="P442" t="inlineStr">
        <is>
          <t>Trading &amp; Shipping Data</t>
        </is>
      </c>
      <c r="Q442" t="inlineStr">
        <is>
          <t>Squad</t>
        </is>
      </c>
      <c r="R442" t="inlineStr">
        <is>
          <t>Filled</t>
        </is>
      </c>
    </row>
    <row r="443" ht="18" customHeight="1" s="302">
      <c r="A443" s="314" t="n">
        <v>105488</v>
      </c>
      <c r="B443" s="239" t="inlineStr">
        <is>
          <t>Louis Ballington</t>
        </is>
      </c>
      <c r="C443" s="239" t="inlineStr">
        <is>
          <t>Delivery Lead</t>
        </is>
      </c>
      <c r="D443" s="315" t="inlineStr">
        <is>
          <t>Vacant</t>
        </is>
      </c>
      <c r="E443" s="239" t="inlineStr">
        <is>
          <t>Delivery Manager</t>
        </is>
      </c>
      <c r="F443" s="239" t="inlineStr">
        <is>
          <t>TDD CFE&amp;I</t>
        </is>
      </c>
      <c r="G443" s="315" t="inlineStr">
        <is>
          <t>Fuel Infrastructure</t>
        </is>
      </c>
      <c r="H443" s="315" t="inlineStr">
        <is>
          <t>Technology, CF Engineering</t>
        </is>
      </c>
      <c r="I443" s="315" t="inlineStr">
        <is>
          <t>Infrastructure</t>
        </is>
      </c>
      <c r="J443" s="315" t="inlineStr">
        <is>
          <t>Manufacturing</t>
        </is>
      </c>
      <c r="K443" s="239" t="inlineStr">
        <is>
          <t>Manuacturing Group Projects</t>
        </is>
      </c>
      <c r="L443" s="315" t="n"/>
      <c r="M443" s="316" t="inlineStr">
        <is>
          <t>Australia</t>
        </is>
      </c>
      <c r="N443" t="inlineStr">
        <is>
          <t>Infrastructure</t>
        </is>
      </c>
      <c r="O443" t="inlineStr">
        <is>
          <t>Manufacturing</t>
        </is>
      </c>
      <c r="P443" t="inlineStr">
        <is>
          <t>Manufacturing &amp; Group Projects</t>
        </is>
      </c>
      <c r="Q443" t="inlineStr">
        <is>
          <t>Squad</t>
        </is>
      </c>
      <c r="R443" t="inlineStr">
        <is>
          <t>Filled</t>
        </is>
      </c>
    </row>
    <row r="444" ht="18" customHeight="1" s="302">
      <c r="A444" s="314" t="n">
        <v>99999101143</v>
      </c>
      <c r="B444" s="239" t="inlineStr">
        <is>
          <t>Hayden Corney</t>
        </is>
      </c>
      <c r="C444" s="239" t="inlineStr">
        <is>
          <t>Lead Engineer Software</t>
        </is>
      </c>
      <c r="D444" s="315" t="inlineStr">
        <is>
          <t>Vacant</t>
        </is>
      </c>
      <c r="E444" s="239" t="inlineStr">
        <is>
          <t>Technology Manager, Engineering</t>
        </is>
      </c>
      <c r="F444" s="239" t="inlineStr">
        <is>
          <t>TDD CFE&amp;I</t>
        </is>
      </c>
      <c r="G444" s="315" t="inlineStr">
        <is>
          <t>Commercial Fuels</t>
        </is>
      </c>
      <c r="H444" s="315" t="inlineStr">
        <is>
          <t>Trading &amp; Shipping</t>
        </is>
      </c>
      <c r="I444" s="315" t="inlineStr">
        <is>
          <t>Commercial Fuels</t>
        </is>
      </c>
      <c r="J444" s="239" t="inlineStr">
        <is>
          <t>CTRM</t>
        </is>
      </c>
      <c r="K444" s="239" t="inlineStr">
        <is>
          <t>CTRM</t>
        </is>
      </c>
      <c r="L444" s="315" t="n"/>
      <c r="M444" s="316" t="inlineStr">
        <is>
          <t>NZ</t>
        </is>
      </c>
      <c r="N444" t="inlineStr">
        <is>
          <t>Commercial Fuels</t>
        </is>
      </c>
      <c r="O444" t="inlineStr">
        <is>
          <t>CTRM</t>
        </is>
      </c>
      <c r="P444" t="inlineStr">
        <is>
          <t>CTRM</t>
        </is>
      </c>
      <c r="Q444" t="inlineStr">
        <is>
          <t>Strategic Program</t>
        </is>
      </c>
      <c r="R444" t="inlineStr">
        <is>
          <t>Filled</t>
        </is>
      </c>
    </row>
    <row r="445" ht="18" customHeight="1" s="302">
      <c r="A445" s="314" t="n">
        <v>104159</v>
      </c>
      <c r="B445" s="239" t="inlineStr">
        <is>
          <t>Vacant</t>
        </is>
      </c>
      <c r="C445" s="239" t="inlineStr">
        <is>
          <t>System Specialist</t>
        </is>
      </c>
      <c r="D445" s="315" t="inlineStr">
        <is>
          <t>vacant</t>
        </is>
      </c>
      <c r="E445" s="239" t="inlineStr">
        <is>
          <t>Technology Manager, Energy Solutions</t>
        </is>
      </c>
      <c r="F445" s="239" t="inlineStr">
        <is>
          <t>TDD CFE&amp;I</t>
        </is>
      </c>
      <c r="G445" s="315" t="inlineStr">
        <is>
          <t>Loyalty &amp; Martech</t>
        </is>
      </c>
      <c r="H445" s="315" t="inlineStr">
        <is>
          <t>Technology Energy Solutions</t>
        </is>
      </c>
      <c r="I445" s="315" t="inlineStr">
        <is>
          <t>B2B &amp; Energy Solutions</t>
        </is>
      </c>
      <c r="J445" s="315" t="inlineStr">
        <is>
          <t>Energy Solutions</t>
        </is>
      </c>
      <c r="K445" s="239" t="inlineStr">
        <is>
          <t>Energy</t>
        </is>
      </c>
      <c r="L445" s="315" t="n"/>
      <c r="M445" s="316" t="inlineStr">
        <is>
          <t>Australia</t>
        </is>
      </c>
      <c r="N445" t="inlineStr">
        <is>
          <t>Energy Solutions &amp; B2B</t>
        </is>
      </c>
      <c r="O445" t="inlineStr">
        <is>
          <t>Energy Solutions</t>
        </is>
      </c>
      <c r="P445" t="inlineStr">
        <is>
          <t>Energy</t>
        </is>
      </c>
      <c r="Q445" t="inlineStr">
        <is>
          <t>Squad</t>
        </is>
      </c>
      <c r="R445" t="inlineStr">
        <is>
          <t>Vacant</t>
        </is>
      </c>
    </row>
    <row r="446" ht="18" customHeight="1" s="302">
      <c r="A446" s="314" t="n"/>
      <c r="B446" s="239" t="inlineStr">
        <is>
          <t>Vacant</t>
        </is>
      </c>
      <c r="C446" s="239" t="inlineStr">
        <is>
          <t>Data Analyst</t>
        </is>
      </c>
      <c r="D446" s="239" t="inlineStr">
        <is>
          <t>vacant</t>
        </is>
      </c>
      <c r="E446" s="239" t="inlineStr">
        <is>
          <t>Technology Manger, Data</t>
        </is>
      </c>
      <c r="F446" s="239" t="inlineStr">
        <is>
          <t>TDD CFE&amp;I</t>
        </is>
      </c>
      <c r="G446" s="315" t="inlineStr">
        <is>
          <t>Fuel Infrastructure</t>
        </is>
      </c>
      <c r="H446" s="315" t="inlineStr">
        <is>
          <t>Fuel Infrastructure, Data</t>
        </is>
      </c>
      <c r="I446" s="315" t="inlineStr">
        <is>
          <t>Infrastructure</t>
        </is>
      </c>
      <c r="J446" s="239" t="inlineStr">
        <is>
          <t xml:space="preserve">Data &amp; Insights </t>
        </is>
      </c>
      <c r="K446" s="239" t="inlineStr">
        <is>
          <t xml:space="preserve">Data &amp; Insights </t>
        </is>
      </c>
      <c r="L446" s="315" t="n"/>
      <c r="M446" s="316" t="n"/>
      <c r="N446" t="inlineStr">
        <is>
          <t>Infrastructure</t>
        </is>
      </c>
      <c r="O446" t="inlineStr">
        <is>
          <t>Data &amp; Insights</t>
        </is>
      </c>
      <c r="P446" t="inlineStr">
        <is>
          <t>Data &amp; Insights</t>
        </is>
      </c>
      <c r="Q446" t="inlineStr">
        <is>
          <t>Squad</t>
        </is>
      </c>
      <c r="R446" t="inlineStr">
        <is>
          <t>Vacant</t>
        </is>
      </c>
    </row>
    <row r="447" ht="18" customHeight="1" s="302">
      <c r="A447" s="314" t="n">
        <v>97884</v>
      </c>
      <c r="B447" s="239" t="inlineStr">
        <is>
          <t>Vacant</t>
        </is>
      </c>
      <c r="C447" s="239" t="inlineStr">
        <is>
          <t>Snr Business Analyst</t>
        </is>
      </c>
      <c r="D447" s="315" t="inlineStr">
        <is>
          <t>Vacant</t>
        </is>
      </c>
      <c r="E447" s="239" t="inlineStr">
        <is>
          <t>Delivery Manager</t>
        </is>
      </c>
      <c r="F447" s="239" t="inlineStr">
        <is>
          <t>TDD CFE&amp;I</t>
        </is>
      </c>
      <c r="G447" s="359" t="inlineStr">
        <is>
          <t>Fuel Infrastructure</t>
        </is>
      </c>
      <c r="H447" s="315" t="inlineStr">
        <is>
          <t>Ampol Retail, Store Platforms</t>
        </is>
      </c>
      <c r="I447" s="315" t="inlineStr">
        <is>
          <t>Infrastructure</t>
        </is>
      </c>
      <c r="J447" s="239" t="inlineStr">
        <is>
          <t>Distribution</t>
        </is>
      </c>
      <c r="K447" s="239" t="inlineStr">
        <is>
          <t>Distribution, Sales &amp; Services</t>
        </is>
      </c>
      <c r="L447" s="315" t="n"/>
      <c r="M447" s="316" t="inlineStr">
        <is>
          <t>Australia</t>
        </is>
      </c>
      <c r="N447" t="inlineStr">
        <is>
          <t>Infrastructure</t>
        </is>
      </c>
      <c r="O447" t="inlineStr">
        <is>
          <t>Distribution</t>
        </is>
      </c>
      <c r="P447" t="inlineStr">
        <is>
          <t>Distribution, Sales &amp; Services</t>
        </is>
      </c>
      <c r="Q447" t="inlineStr">
        <is>
          <t>Squad</t>
        </is>
      </c>
      <c r="R447" t="inlineStr">
        <is>
          <t>Vacant</t>
        </is>
      </c>
    </row>
    <row r="448" ht="18" customHeight="1" s="302">
      <c r="A448" s="314" t="n">
        <v>107588</v>
      </c>
      <c r="B448" s="239" t="inlineStr">
        <is>
          <t>Vacant</t>
        </is>
      </c>
      <c r="C448" s="239" t="inlineStr">
        <is>
          <t>Snr Business Analyst</t>
        </is>
      </c>
      <c r="D448" s="315" t="inlineStr">
        <is>
          <t>Vacant</t>
        </is>
      </c>
      <c r="E448" s="239" t="inlineStr">
        <is>
          <t>Delivery Manager</t>
        </is>
      </c>
      <c r="F448" s="239" t="inlineStr">
        <is>
          <t>TDD CFE&amp;I</t>
        </is>
      </c>
      <c r="G448" s="359" t="inlineStr">
        <is>
          <t>Fuel Infrastructure</t>
        </is>
      </c>
      <c r="H448" s="315" t="inlineStr">
        <is>
          <t>Ampol Retail, Store Platforms</t>
        </is>
      </c>
      <c r="I448" s="315" t="inlineStr">
        <is>
          <t>Infrastructure</t>
        </is>
      </c>
      <c r="J448" s="315" t="inlineStr">
        <is>
          <t>Manufacturing</t>
        </is>
      </c>
      <c r="K448" s="239" t="inlineStr">
        <is>
          <t>Manufacturing Group Projects</t>
        </is>
      </c>
      <c r="L448" s="315" t="n"/>
      <c r="M448" s="316" t="inlineStr">
        <is>
          <t>Australia</t>
        </is>
      </c>
      <c r="N448" t="inlineStr">
        <is>
          <t>Infrastructure</t>
        </is>
      </c>
      <c r="O448" t="inlineStr">
        <is>
          <t>Manufacturing</t>
        </is>
      </c>
      <c r="P448" t="inlineStr">
        <is>
          <t>Manufacturing &amp; Group Projects</t>
        </is>
      </c>
      <c r="Q448" t="inlineStr">
        <is>
          <t>Squad</t>
        </is>
      </c>
      <c r="R448" t="inlineStr">
        <is>
          <t>Vacant</t>
        </is>
      </c>
    </row>
    <row r="449" ht="18" customHeight="1" s="302">
      <c r="A449" s="314" t="n">
        <v>99999101895</v>
      </c>
      <c r="B449" s="239" t="inlineStr">
        <is>
          <t>Caitlin Naylor</t>
        </is>
      </c>
      <c r="C449" s="239" t="inlineStr">
        <is>
          <t>Associate Engineer- Software</t>
        </is>
      </c>
      <c r="D449" s="315" t="inlineStr">
        <is>
          <t>vacant</t>
        </is>
      </c>
      <c r="E449" s="239" t="inlineStr">
        <is>
          <t>Technology Manager, Energy Solutions</t>
        </is>
      </c>
      <c r="F449" s="239" t="inlineStr">
        <is>
          <t>TDD CFE&amp;I</t>
        </is>
      </c>
      <c r="G449" s="315" t="inlineStr">
        <is>
          <t>B2B &amp; Energy Solutions</t>
        </is>
      </c>
      <c r="H449" s="315" t="inlineStr">
        <is>
          <t>Technology Energy Solutions</t>
        </is>
      </c>
      <c r="I449" s="315" t="inlineStr">
        <is>
          <t>B2B &amp; Energy Solutions</t>
        </is>
      </c>
      <c r="J449" s="315" t="inlineStr">
        <is>
          <t>Energy Solutions</t>
        </is>
      </c>
      <c r="K449" s="239" t="inlineStr">
        <is>
          <t>Energy</t>
        </is>
      </c>
      <c r="L449" s="315" t="n"/>
      <c r="M449" s="316" t="inlineStr">
        <is>
          <t>NZ</t>
        </is>
      </c>
      <c r="N449" t="inlineStr">
        <is>
          <t>Energy Solutions &amp; B2B</t>
        </is>
      </c>
      <c r="O449" t="inlineStr">
        <is>
          <t>Energy Solutions</t>
        </is>
      </c>
      <c r="P449" t="inlineStr">
        <is>
          <t>Energy</t>
        </is>
      </c>
      <c r="Q449" t="inlineStr">
        <is>
          <t>Squad</t>
        </is>
      </c>
      <c r="R449" t="inlineStr">
        <is>
          <t>Filled</t>
        </is>
      </c>
    </row>
    <row r="450" ht="18" customHeight="1" s="302">
      <c r="A450" s="314" t="n"/>
      <c r="B450" s="239" t="inlineStr">
        <is>
          <t>Vacant</t>
        </is>
      </c>
      <c r="C450" s="239" t="inlineStr">
        <is>
          <t>Engineer Data</t>
        </is>
      </c>
      <c r="D450" s="239" t="inlineStr">
        <is>
          <t>vacant</t>
        </is>
      </c>
      <c r="E450" s="239" t="inlineStr">
        <is>
          <t>Technology Manger, Data</t>
        </is>
      </c>
      <c r="F450" s="239" t="inlineStr">
        <is>
          <t>TDD CFE&amp;I</t>
        </is>
      </c>
      <c r="G450" s="315" t="inlineStr">
        <is>
          <t>Fuel Infrastructure</t>
        </is>
      </c>
      <c r="H450" s="315" t="inlineStr">
        <is>
          <t>Fuel Infrastructure, Data</t>
        </is>
      </c>
      <c r="I450" s="315" t="inlineStr">
        <is>
          <t>Infrastructure</t>
        </is>
      </c>
      <c r="J450" s="239" t="inlineStr">
        <is>
          <t xml:space="preserve">Data &amp; Insights </t>
        </is>
      </c>
      <c r="K450" s="239" t="inlineStr">
        <is>
          <t xml:space="preserve">Data &amp; Insights </t>
        </is>
      </c>
      <c r="L450" s="315" t="n"/>
      <c r="M450" s="316" t="n"/>
      <c r="N450" t="inlineStr">
        <is>
          <t>Infrastructure</t>
        </is>
      </c>
      <c r="O450" t="inlineStr">
        <is>
          <t>Data &amp; Insights</t>
        </is>
      </c>
      <c r="P450" t="inlineStr">
        <is>
          <t>Data &amp; Insights</t>
        </is>
      </c>
      <c r="Q450" t="inlineStr">
        <is>
          <t>Squad</t>
        </is>
      </c>
      <c r="R450" t="inlineStr">
        <is>
          <t>Vacant</t>
        </is>
      </c>
    </row>
    <row r="451" ht="18" customHeight="1" s="302">
      <c r="A451" s="314" t="n">
        <v>108033</v>
      </c>
      <c r="B451" s="239" t="inlineStr">
        <is>
          <t>Ayushi Agarwal</t>
        </is>
      </c>
      <c r="C451" s="239" t="inlineStr">
        <is>
          <t>Engineer Data</t>
        </is>
      </c>
      <c r="D451" s="315" t="inlineStr">
        <is>
          <t>Vacant</t>
        </is>
      </c>
      <c r="E451" s="239" t="inlineStr">
        <is>
          <t>Technology Manager, Data</t>
        </is>
      </c>
      <c r="F451" s="239" t="inlineStr">
        <is>
          <t>TDD CFE&amp;I</t>
        </is>
      </c>
      <c r="G451" s="315" t="inlineStr">
        <is>
          <t>Commercial Fuels</t>
        </is>
      </c>
      <c r="H451" s="315" t="inlineStr">
        <is>
          <t>Technology, T&amp;S Data</t>
        </is>
      </c>
      <c r="I451" s="315" t="inlineStr">
        <is>
          <t>Commercial Fuels</t>
        </is>
      </c>
      <c r="J451" s="315" t="inlineStr">
        <is>
          <t>Trading &amp; Shipping</t>
        </is>
      </c>
      <c r="K451" s="315" t="inlineStr">
        <is>
          <t>Trading &amp; Shipping Data</t>
        </is>
      </c>
      <c r="L451" s="315" t="n"/>
      <c r="M451" s="316" t="inlineStr">
        <is>
          <t>Singapore</t>
        </is>
      </c>
      <c r="N451" t="inlineStr">
        <is>
          <t>Commercial Fuels</t>
        </is>
      </c>
      <c r="O451" t="inlineStr">
        <is>
          <t>Trading &amp; Shipping</t>
        </is>
      </c>
      <c r="P451" t="inlineStr">
        <is>
          <t>Trading &amp; Shipping Data</t>
        </is>
      </c>
      <c r="Q451" t="inlineStr">
        <is>
          <t>Squad</t>
        </is>
      </c>
      <c r="R451" t="inlineStr">
        <is>
          <t>Filled</t>
        </is>
      </c>
    </row>
    <row r="452" ht="18" customHeight="1" s="302">
      <c r="A452" s="314" t="n"/>
      <c r="B452" s="239" t="inlineStr">
        <is>
          <t>Vacant</t>
        </is>
      </c>
      <c r="C452" s="239" t="inlineStr">
        <is>
          <t>Business Analyst</t>
        </is>
      </c>
      <c r="D452" s="315" t="inlineStr">
        <is>
          <t>Vacant</t>
        </is>
      </c>
      <c r="E452" s="239" t="inlineStr">
        <is>
          <t>Delivery Manager</t>
        </is>
      </c>
      <c r="F452" s="239" t="inlineStr">
        <is>
          <t>TDD CFE&amp;I</t>
        </is>
      </c>
      <c r="G452" s="315" t="inlineStr">
        <is>
          <t>Fuel Infrastructure</t>
        </is>
      </c>
      <c r="H452" s="315" t="inlineStr">
        <is>
          <t>Fuel Infrastructure, Delivery</t>
        </is>
      </c>
      <c r="I452" s="315" t="inlineStr">
        <is>
          <t>Infrastructure</t>
        </is>
      </c>
      <c r="J452" s="315" t="inlineStr">
        <is>
          <t>Distribution</t>
        </is>
      </c>
      <c r="K452" s="239" t="inlineStr">
        <is>
          <t>Distribution, Sales &amp; Services</t>
        </is>
      </c>
      <c r="L452" s="315" t="n"/>
      <c r="M452" s="316" t="inlineStr">
        <is>
          <t>Australia</t>
        </is>
      </c>
      <c r="N452" t="inlineStr">
        <is>
          <t>Infrastructure</t>
        </is>
      </c>
      <c r="O452" t="inlineStr">
        <is>
          <t>Distribution</t>
        </is>
      </c>
      <c r="P452" t="inlineStr">
        <is>
          <t>Distribution, Sales &amp; Services</t>
        </is>
      </c>
      <c r="Q452" t="inlineStr">
        <is>
          <t>Squad</t>
        </is>
      </c>
      <c r="R452" t="inlineStr">
        <is>
          <t>Vacant</t>
        </is>
      </c>
    </row>
    <row r="453" ht="18" customHeight="1" s="302">
      <c r="A453" s="314" t="n">
        <v>106221</v>
      </c>
      <c r="B453" s="239" t="inlineStr">
        <is>
          <t>Vacant</t>
        </is>
      </c>
      <c r="C453" s="239" t="inlineStr">
        <is>
          <t>Senior Business Analyst</t>
        </is>
      </c>
      <c r="D453" s="315" t="inlineStr">
        <is>
          <t>Vacant</t>
        </is>
      </c>
      <c r="E453" s="239" t="inlineStr">
        <is>
          <t>Delivery Manager</t>
        </is>
      </c>
      <c r="F453" s="239" t="inlineStr">
        <is>
          <t>TDD CFE&amp;I</t>
        </is>
      </c>
      <c r="G453" s="315" t="inlineStr">
        <is>
          <t>Commercial Fuels</t>
        </is>
      </c>
      <c r="H453" s="359" t="inlineStr">
        <is>
          <t>Delivery</t>
        </is>
      </c>
      <c r="I453" s="315" t="inlineStr">
        <is>
          <t>Commercial Fuels</t>
        </is>
      </c>
      <c r="J453" s="315" t="inlineStr">
        <is>
          <t>Trading &amp; Shipping</t>
        </is>
      </c>
      <c r="K453" s="315" t="inlineStr">
        <is>
          <t>Trading &amp; Shipping</t>
        </is>
      </c>
      <c r="L453" s="239" t="n"/>
      <c r="M453" s="316" t="inlineStr">
        <is>
          <t>Singapore</t>
        </is>
      </c>
      <c r="N453" t="inlineStr">
        <is>
          <t>Commercial Fuels</t>
        </is>
      </c>
      <c r="O453" t="inlineStr">
        <is>
          <t>Trading &amp; Shipping</t>
        </is>
      </c>
      <c r="P453" t="inlineStr">
        <is>
          <t>Trading &amp; Shipping</t>
        </is>
      </c>
      <c r="Q453" t="inlineStr">
        <is>
          <t>Squad</t>
        </is>
      </c>
      <c r="R453" t="inlineStr">
        <is>
          <t>Vacant</t>
        </is>
      </c>
    </row>
    <row r="454" ht="18" customHeight="1" s="302">
      <c r="A454" s="314" t="n">
        <v>99999101421</v>
      </c>
      <c r="B454" s="239" t="inlineStr">
        <is>
          <t>Lana Wagner</t>
        </is>
      </c>
      <c r="C454" s="239" t="inlineStr">
        <is>
          <t>Senior Business Analyst</t>
        </is>
      </c>
      <c r="D454" s="315" t="inlineStr">
        <is>
          <t>Vacant</t>
        </is>
      </c>
      <c r="E454" s="239" t="inlineStr">
        <is>
          <t>Delivery Manager</t>
        </is>
      </c>
      <c r="F454" s="239" t="inlineStr">
        <is>
          <t>TDD CFE&amp;I</t>
        </is>
      </c>
      <c r="G454" s="315" t="inlineStr">
        <is>
          <t>B2B &amp; Energy Solutions</t>
        </is>
      </c>
      <c r="H454" s="315" t="inlineStr">
        <is>
          <t>Delivery</t>
        </is>
      </c>
      <c r="I454" s="315" t="inlineStr">
        <is>
          <t>B2B &amp; Energy Solutions</t>
        </is>
      </c>
      <c r="J454" s="315" t="inlineStr">
        <is>
          <t>Energy Solutions</t>
        </is>
      </c>
      <c r="K454" s="239" t="inlineStr">
        <is>
          <t>EVCI</t>
        </is>
      </c>
      <c r="L454" s="315" t="n"/>
      <c r="M454" s="316" t="inlineStr">
        <is>
          <t>NZ</t>
        </is>
      </c>
      <c r="N454" t="inlineStr">
        <is>
          <t>Energy Solutions &amp; B2B</t>
        </is>
      </c>
      <c r="O454" t="inlineStr">
        <is>
          <t>Energy Solutions</t>
        </is>
      </c>
      <c r="P454" t="inlineStr">
        <is>
          <t>EVCI</t>
        </is>
      </c>
      <c r="Q454" t="inlineStr">
        <is>
          <t>Squad</t>
        </is>
      </c>
      <c r="R454" t="inlineStr">
        <is>
          <t>Filled</t>
        </is>
      </c>
    </row>
    <row r="455" ht="18" customHeight="1" s="302">
      <c r="A455" s="314" t="n">
        <v>108075</v>
      </c>
      <c r="B455" s="239" t="inlineStr">
        <is>
          <t>Vacant</t>
        </is>
      </c>
      <c r="C455" s="239" t="inlineStr">
        <is>
          <t>Senior Business Analyst</t>
        </is>
      </c>
      <c r="D455" s="315" t="inlineStr">
        <is>
          <t>vacant</t>
        </is>
      </c>
      <c r="E455" s="239" t="inlineStr">
        <is>
          <t>Delivery Manager</t>
        </is>
      </c>
      <c r="F455" s="239" t="inlineStr">
        <is>
          <t>TDD CFE&amp;I</t>
        </is>
      </c>
      <c r="G455" s="315" t="inlineStr">
        <is>
          <t>Commercial Fuels</t>
        </is>
      </c>
      <c r="H455" s="315" t="inlineStr">
        <is>
          <t>Trading &amp; Shipping</t>
        </is>
      </c>
      <c r="I455" s="315" t="inlineStr">
        <is>
          <t>Commercial Fuels</t>
        </is>
      </c>
      <c r="J455" s="315" t="inlineStr">
        <is>
          <t>Trading &amp; Shipping</t>
        </is>
      </c>
      <c r="K455" s="315" t="inlineStr">
        <is>
          <t>Trading &amp; Shipping</t>
        </is>
      </c>
      <c r="L455" s="239" t="n"/>
      <c r="M455" s="316" t="inlineStr">
        <is>
          <t>Australia</t>
        </is>
      </c>
      <c r="N455" t="inlineStr">
        <is>
          <t>Commercial Fuels</t>
        </is>
      </c>
      <c r="O455" t="inlineStr">
        <is>
          <t>Trading &amp; Shipping</t>
        </is>
      </c>
      <c r="P455" t="inlineStr">
        <is>
          <t>Trading &amp; Shipping</t>
        </is>
      </c>
      <c r="Q455" t="inlineStr">
        <is>
          <t>Squad</t>
        </is>
      </c>
      <c r="R455" t="inlineStr">
        <is>
          <t>Vacant</t>
        </is>
      </c>
    </row>
    <row r="456" ht="18" customHeight="1" s="302">
      <c r="A456" s="314" t="n"/>
      <c r="B456" s="239" t="inlineStr">
        <is>
          <t>Vacant</t>
        </is>
      </c>
      <c r="C456" s="239" t="inlineStr">
        <is>
          <t>Delivery Lead</t>
        </is>
      </c>
      <c r="D456" s="315" t="inlineStr">
        <is>
          <t>vacant</t>
        </is>
      </c>
      <c r="E456" s="239" t="inlineStr">
        <is>
          <t>Delivery Manager</t>
        </is>
      </c>
      <c r="F456" s="239" t="inlineStr">
        <is>
          <t>TDD CFE&amp;I</t>
        </is>
      </c>
      <c r="G456" s="315" t="inlineStr">
        <is>
          <t>Commercial Fuels</t>
        </is>
      </c>
      <c r="H456" s="359" t="inlineStr">
        <is>
          <t>Trading &amp; Shipping</t>
        </is>
      </c>
      <c r="I456" s="315" t="inlineStr">
        <is>
          <t>Commercial Fuels</t>
        </is>
      </c>
      <c r="J456" s="315" t="inlineStr">
        <is>
          <t>Trading &amp; Shipping</t>
        </is>
      </c>
      <c r="K456" s="315" t="inlineStr">
        <is>
          <t>Trading &amp; Shipping</t>
        </is>
      </c>
      <c r="L456" s="239" t="n"/>
      <c r="M456" s="316" t="n"/>
      <c r="N456" t="inlineStr">
        <is>
          <t>Commercial Fuels</t>
        </is>
      </c>
      <c r="O456" t="inlineStr">
        <is>
          <t>Trading &amp; Shipping</t>
        </is>
      </c>
      <c r="P456" t="inlineStr">
        <is>
          <t>Trading &amp; Shipping</t>
        </is>
      </c>
      <c r="Q456" t="inlineStr">
        <is>
          <t>Squad</t>
        </is>
      </c>
      <c r="R456" t="inlineStr">
        <is>
          <t>Vacant</t>
        </is>
      </c>
    </row>
    <row r="457" ht="18" customHeight="1" s="302">
      <c r="A457" s="314" t="n">
        <v>105823</v>
      </c>
      <c r="B457" s="326" t="inlineStr">
        <is>
          <t>Hardik Trivedi</t>
        </is>
      </c>
      <c r="C457" s="326" t="inlineStr">
        <is>
          <t>Snr Business Analyst</t>
        </is>
      </c>
      <c r="D457" s="315" t="inlineStr">
        <is>
          <t>vacant</t>
        </is>
      </c>
      <c r="E457" s="326" t="inlineStr">
        <is>
          <t xml:space="preserve">Delivery Manager </t>
        </is>
      </c>
      <c r="F457" s="239" t="inlineStr">
        <is>
          <t>TDD Group Functions</t>
        </is>
      </c>
      <c r="G457" s="315" t="inlineStr">
        <is>
          <t>TDD &amp; Engineering</t>
        </is>
      </c>
      <c r="H457" s="239" t="inlineStr">
        <is>
          <t>Delivery, TDD &amp; Engineering</t>
        </is>
      </c>
      <c r="I457" s="239" t="inlineStr">
        <is>
          <t>Retail</t>
        </is>
      </c>
      <c r="J457" s="315" t="inlineStr">
        <is>
          <t>AmPOS</t>
        </is>
      </c>
      <c r="K457" s="315" t="inlineStr">
        <is>
          <t>AmPOS</t>
        </is>
      </c>
      <c r="L457" s="315" t="n"/>
      <c r="M457" s="316" t="inlineStr">
        <is>
          <t>Australia</t>
        </is>
      </c>
      <c r="N457" t="inlineStr">
        <is>
          <t>Ampol Retail</t>
        </is>
      </c>
      <c r="O457" t="inlineStr">
        <is>
          <t>AmPOS</t>
        </is>
      </c>
      <c r="P457" t="inlineStr">
        <is>
          <t>AmPOS</t>
        </is>
      </c>
      <c r="Q457" t="inlineStr">
        <is>
          <t>Strategic Program</t>
        </is>
      </c>
      <c r="R457" t="inlineStr">
        <is>
          <t>Filled</t>
        </is>
      </c>
    </row>
    <row r="458" ht="18" customHeight="1" s="302">
      <c r="A458" s="314" t="n">
        <v>106829</v>
      </c>
      <c r="B458" s="239" t="inlineStr">
        <is>
          <t>C K Lau</t>
        </is>
      </c>
      <c r="C458" s="239" t="inlineStr">
        <is>
          <t>Delivery Lead (Cloud &amp; Network)</t>
        </is>
      </c>
      <c r="D458" s="239" t="inlineStr">
        <is>
          <t>Vacant</t>
        </is>
      </c>
      <c r="E458" s="239" t="inlineStr">
        <is>
          <t>Delivery Manager</t>
        </is>
      </c>
      <c r="F458" s="239" t="inlineStr">
        <is>
          <t>TDD Group Functions</t>
        </is>
      </c>
      <c r="G458" s="315" t="inlineStr">
        <is>
          <t xml:space="preserve">TDD &amp; Engineering </t>
        </is>
      </c>
      <c r="H458" s="239" t="inlineStr">
        <is>
          <t>Delivery, TDD &amp; Engineering</t>
        </is>
      </c>
      <c r="I458" s="239" t="inlineStr">
        <is>
          <t>TDD</t>
        </is>
      </c>
      <c r="J458" s="315" t="inlineStr">
        <is>
          <t>TDD</t>
        </is>
      </c>
      <c r="K458" s="315" t="inlineStr">
        <is>
          <t>Cloud Network &amp; Infra Ops</t>
        </is>
      </c>
      <c r="L458" s="315" t="n"/>
      <c r="M458" s="316" t="inlineStr">
        <is>
          <t>Australia</t>
        </is>
      </c>
      <c r="N458" t="inlineStr">
        <is>
          <t>TDD Group Functions</t>
        </is>
      </c>
      <c r="O458" t="inlineStr">
        <is>
          <t>TDD Group Functions</t>
        </is>
      </c>
      <c r="P458" t="inlineStr">
        <is>
          <t>Network &amp; Infrastructure</t>
        </is>
      </c>
      <c r="Q458" t="inlineStr">
        <is>
          <t>Squad</t>
        </is>
      </c>
      <c r="R458" t="inlineStr">
        <is>
          <t>Filled</t>
        </is>
      </c>
      <c r="BV458" s="318" t="n"/>
      <c r="BW458" s="319" t="n"/>
      <c r="BX458" s="320" t="n"/>
    </row>
    <row r="459" ht="18" customHeight="1" s="302">
      <c r="A459" s="314" t="n">
        <v>99999101516</v>
      </c>
      <c r="B459" s="239" t="inlineStr">
        <is>
          <t>Fan Zhang</t>
        </is>
      </c>
      <c r="C459" s="239" t="inlineStr">
        <is>
          <t>Infrastructure Engineer</t>
        </is>
      </c>
      <c r="D459" s="315" t="inlineStr">
        <is>
          <t>John McCormack</t>
        </is>
      </c>
      <c r="E459" s="326" t="inlineStr">
        <is>
          <t>Manager - Infrastructure Operations</t>
        </is>
      </c>
      <c r="F459" s="239" t="inlineStr">
        <is>
          <t>TDD Group Functions</t>
        </is>
      </c>
      <c r="G459" s="315" t="inlineStr">
        <is>
          <t>TDD &amp; Engineering</t>
        </is>
      </c>
      <c r="H459" s="315" t="inlineStr">
        <is>
          <t>Cloud, Network &amp; Infra</t>
        </is>
      </c>
      <c r="I459" s="239" t="inlineStr">
        <is>
          <t>TDD</t>
        </is>
      </c>
      <c r="J459" s="315" t="inlineStr">
        <is>
          <t>TDD</t>
        </is>
      </c>
      <c r="K459" s="315" t="inlineStr">
        <is>
          <t>Cloud, Network &amp; Infra Ops</t>
        </is>
      </c>
      <c r="L459" s="315" t="n"/>
      <c r="M459" s="316" t="inlineStr">
        <is>
          <t>NZ</t>
        </is>
      </c>
      <c r="N459" t="inlineStr">
        <is>
          <t>TDD Group Functions</t>
        </is>
      </c>
      <c r="O459" t="inlineStr">
        <is>
          <t>TDD Group Functions</t>
        </is>
      </c>
      <c r="P459" t="inlineStr">
        <is>
          <t>Network &amp; Infrastructure</t>
        </is>
      </c>
      <c r="Q459" t="inlineStr">
        <is>
          <t>Squad</t>
        </is>
      </c>
      <c r="R459" t="inlineStr">
        <is>
          <t>Filled</t>
        </is>
      </c>
      <c r="BV459" s="321" t="n"/>
      <c r="BW459" s="322" t="n"/>
      <c r="BX459" s="323" t="n"/>
    </row>
    <row r="460" ht="18" customHeight="1" s="302">
      <c r="A460" s="314" t="n"/>
      <c r="B460" s="341" t="inlineStr">
        <is>
          <t>Vacant</t>
        </is>
      </c>
      <c r="C460" s="326" t="inlineStr">
        <is>
          <t>Infrastructure Operations Lead</t>
        </is>
      </c>
      <c r="D460" s="315" t="inlineStr">
        <is>
          <t>John McCormack</t>
        </is>
      </c>
      <c r="E460" s="326" t="inlineStr">
        <is>
          <t>Manager - Infrastructure Operations</t>
        </is>
      </c>
      <c r="F460" s="239" t="inlineStr">
        <is>
          <t>TDD Group Functions</t>
        </is>
      </c>
      <c r="G460" s="315" t="inlineStr">
        <is>
          <t>TDD &amp; Engineering</t>
        </is>
      </c>
      <c r="H460" s="315" t="inlineStr">
        <is>
          <t>Cloud, Network &amp; Infra</t>
        </is>
      </c>
      <c r="I460" s="239" t="inlineStr">
        <is>
          <t>TDD</t>
        </is>
      </c>
      <c r="J460" s="315" t="inlineStr">
        <is>
          <t>TDD</t>
        </is>
      </c>
      <c r="K460" s="315" t="inlineStr">
        <is>
          <t>Cloud, Network &amp; Infra Ops</t>
        </is>
      </c>
      <c r="L460" s="315" t="n"/>
      <c r="M460" s="316" t="n"/>
      <c r="N460" t="inlineStr">
        <is>
          <t>TDD Group Functions</t>
        </is>
      </c>
      <c r="O460" t="inlineStr">
        <is>
          <t>TDD Group Functions</t>
        </is>
      </c>
      <c r="P460" t="inlineStr">
        <is>
          <t>Network &amp; Infrastructure</t>
        </is>
      </c>
      <c r="Q460" t="inlineStr">
        <is>
          <t>Squad</t>
        </is>
      </c>
      <c r="R460" t="inlineStr">
        <is>
          <t>Vacant</t>
        </is>
      </c>
      <c r="BV460" s="321" t="n"/>
      <c r="BW460" s="322" t="n"/>
      <c r="BX460" s="323" t="n"/>
    </row>
    <row r="461" ht="18" customHeight="1" s="302">
      <c r="A461" s="314" t="n">
        <v>96568</v>
      </c>
      <c r="B461" s="341" t="inlineStr">
        <is>
          <t>Johnny Li</t>
        </is>
      </c>
      <c r="C461" s="326" t="inlineStr">
        <is>
          <t>Cloud Solutions Architect</t>
        </is>
      </c>
      <c r="D461" s="315" t="inlineStr">
        <is>
          <t>Vacant</t>
        </is>
      </c>
      <c r="E461" s="326" t="inlineStr">
        <is>
          <t>Technology Manager - Cloud, Network &amp; Infrastructure Operations</t>
        </is>
      </c>
      <c r="F461" s="239" t="inlineStr">
        <is>
          <t>TDD Group Functions</t>
        </is>
      </c>
      <c r="G461" s="315" t="inlineStr">
        <is>
          <t>TDD &amp; Engineering</t>
        </is>
      </c>
      <c r="H461" s="315" t="inlineStr">
        <is>
          <t>Cloud, Network &amp; Infra</t>
        </is>
      </c>
      <c r="I461" s="239" t="inlineStr">
        <is>
          <t>TDD</t>
        </is>
      </c>
      <c r="J461" s="315" t="inlineStr">
        <is>
          <t>TDD</t>
        </is>
      </c>
      <c r="K461" s="315" t="inlineStr">
        <is>
          <t>Cloud, Network &amp; Infra Ops</t>
        </is>
      </c>
      <c r="L461" s="315" t="n"/>
      <c r="M461" s="316" t="n"/>
      <c r="N461" t="inlineStr">
        <is>
          <t>TDD Group Functions</t>
        </is>
      </c>
      <c r="O461" t="inlineStr">
        <is>
          <t>TDD Group Functions</t>
        </is>
      </c>
      <c r="P461" t="inlineStr">
        <is>
          <t>Network &amp; Infrastructure</t>
        </is>
      </c>
      <c r="Q461" t="inlineStr">
        <is>
          <t>Squad</t>
        </is>
      </c>
      <c r="R461" t="inlineStr">
        <is>
          <t>Filled</t>
        </is>
      </c>
      <c r="BV461" s="321" t="n"/>
      <c r="BW461" s="322" t="n"/>
      <c r="BX461" s="323" t="n"/>
    </row>
    <row r="462" ht="18" customHeight="1" s="302">
      <c r="A462" s="314" t="n">
        <v>6591</v>
      </c>
      <c r="B462" s="239" t="inlineStr">
        <is>
          <t>Steven Yong</t>
        </is>
      </c>
      <c r="C462" s="239" t="inlineStr">
        <is>
          <t>Nework Architect</t>
        </is>
      </c>
      <c r="D462" s="315" t="inlineStr">
        <is>
          <t>Vacant</t>
        </is>
      </c>
      <c r="E462" s="326" t="inlineStr">
        <is>
          <t>Technology Manager - Cloud, Network &amp; Infrastructure Operations</t>
        </is>
      </c>
      <c r="F462" s="239" t="inlineStr">
        <is>
          <t>TDD Group Functions</t>
        </is>
      </c>
      <c r="G462" s="315" t="inlineStr">
        <is>
          <t>TDD &amp; Engineering</t>
        </is>
      </c>
      <c r="H462" s="315" t="inlineStr">
        <is>
          <t>Cloud, Network &amp; Infra</t>
        </is>
      </c>
      <c r="I462" s="239" t="inlineStr">
        <is>
          <t>TDD</t>
        </is>
      </c>
      <c r="J462" s="315" t="inlineStr">
        <is>
          <t>TDD</t>
        </is>
      </c>
      <c r="K462" s="315" t="inlineStr">
        <is>
          <t>Cloud, Network &amp; Infra Ops</t>
        </is>
      </c>
      <c r="L462" s="315" t="n"/>
      <c r="M462" s="316" t="inlineStr">
        <is>
          <t>Australia</t>
        </is>
      </c>
      <c r="N462" t="inlineStr">
        <is>
          <t>TDD Group Functions</t>
        </is>
      </c>
      <c r="O462" t="inlineStr">
        <is>
          <t>TDD Group Functions</t>
        </is>
      </c>
      <c r="P462" t="inlineStr">
        <is>
          <t>Network &amp; Infrastructure</t>
        </is>
      </c>
      <c r="Q462" t="inlineStr">
        <is>
          <t>Squad</t>
        </is>
      </c>
      <c r="R462" t="inlineStr">
        <is>
          <t>Filled</t>
        </is>
      </c>
      <c r="BV462" s="321" t="n"/>
      <c r="BW462" s="322" t="n"/>
      <c r="BX462" s="323" t="n"/>
    </row>
    <row r="463" ht="18" customHeight="1" s="302">
      <c r="A463" s="314" t="n">
        <v>97625</v>
      </c>
      <c r="B463" s="239" t="inlineStr">
        <is>
          <t>Satish Chowdhary</t>
        </is>
      </c>
      <c r="C463" s="239" t="inlineStr">
        <is>
          <t>Nework Architect</t>
        </is>
      </c>
      <c r="D463" s="315" t="inlineStr">
        <is>
          <t>Vacant</t>
        </is>
      </c>
      <c r="E463" s="326" t="inlineStr">
        <is>
          <t>Technology Manager - Cloud, Network &amp; Infrastructure Operations</t>
        </is>
      </c>
      <c r="F463" s="239" t="inlineStr">
        <is>
          <t>TDD Group Functions</t>
        </is>
      </c>
      <c r="G463" s="315" t="inlineStr">
        <is>
          <t>TDD &amp; Engineering</t>
        </is>
      </c>
      <c r="H463" s="315" t="inlineStr">
        <is>
          <t>Cloud, Network &amp; Infra</t>
        </is>
      </c>
      <c r="I463" s="239" t="inlineStr">
        <is>
          <t>TDD</t>
        </is>
      </c>
      <c r="J463" s="315" t="inlineStr">
        <is>
          <t>TDD</t>
        </is>
      </c>
      <c r="K463" s="315" t="inlineStr">
        <is>
          <t>Cloud, Network &amp; Infra Ops</t>
        </is>
      </c>
      <c r="L463" s="315" t="n"/>
      <c r="M463" s="316" t="inlineStr">
        <is>
          <t>Australia</t>
        </is>
      </c>
      <c r="N463" t="inlineStr">
        <is>
          <t>TDD Group Functions</t>
        </is>
      </c>
      <c r="O463" t="inlineStr">
        <is>
          <t>TDD Group Functions</t>
        </is>
      </c>
      <c r="P463" t="inlineStr">
        <is>
          <t>Network &amp; Infrastructure</t>
        </is>
      </c>
      <c r="Q463" t="inlineStr">
        <is>
          <t>Squad</t>
        </is>
      </c>
      <c r="R463" t="inlineStr">
        <is>
          <t>Filled</t>
        </is>
      </c>
      <c r="BV463" s="321" t="n"/>
      <c r="BW463" s="322" t="n"/>
      <c r="BX463" s="323" t="n"/>
    </row>
    <row r="464" ht="18" customHeight="1" s="302">
      <c r="A464" s="314" t="n">
        <v>106117</v>
      </c>
      <c r="B464" s="239" t="inlineStr">
        <is>
          <t>Muhammad Abubaker</t>
        </is>
      </c>
      <c r="C464" s="239" t="inlineStr">
        <is>
          <t>Network Operations Engineer</t>
        </is>
      </c>
      <c r="D464" s="315" t="inlineStr">
        <is>
          <t>Vacant</t>
        </is>
      </c>
      <c r="E464" s="326" t="inlineStr">
        <is>
          <t>Manager - Infrastructure Operations</t>
        </is>
      </c>
      <c r="F464" s="239" t="inlineStr">
        <is>
          <t>TDD Group Functions</t>
        </is>
      </c>
      <c r="G464" s="315" t="inlineStr">
        <is>
          <t>Loyalty &amp; Martech</t>
        </is>
      </c>
      <c r="H464" s="315" t="inlineStr">
        <is>
          <t>Cloud, Network &amp; Infra</t>
        </is>
      </c>
      <c r="I464" s="239" t="inlineStr">
        <is>
          <t>TDD</t>
        </is>
      </c>
      <c r="J464" s="315" t="inlineStr">
        <is>
          <t>TDD</t>
        </is>
      </c>
      <c r="K464" s="315" t="inlineStr">
        <is>
          <t>Cloud, Network &amp; Infra Ops</t>
        </is>
      </c>
      <c r="L464" s="315" t="n"/>
      <c r="M464" s="316" t="inlineStr">
        <is>
          <t>Australia</t>
        </is>
      </c>
      <c r="N464" t="inlineStr">
        <is>
          <t>TDD Group Functions</t>
        </is>
      </c>
      <c r="O464" t="inlineStr">
        <is>
          <t>TDD Group Functions</t>
        </is>
      </c>
      <c r="P464" t="inlineStr">
        <is>
          <t>Network &amp; Infrastructure</t>
        </is>
      </c>
      <c r="Q464" t="inlineStr">
        <is>
          <t>Squad</t>
        </is>
      </c>
      <c r="R464" t="inlineStr">
        <is>
          <t>Filled</t>
        </is>
      </c>
      <c r="BV464" s="321" t="n"/>
      <c r="BW464" s="322" t="n"/>
      <c r="BX464" s="323" t="n"/>
    </row>
    <row r="465" ht="18" customHeight="1" s="302">
      <c r="A465" s="314" t="n">
        <v>113517</v>
      </c>
      <c r="B465" s="341" t="inlineStr">
        <is>
          <t>Axel Soh</t>
        </is>
      </c>
      <c r="C465" s="326" t="inlineStr">
        <is>
          <t>Cloud Solutions Architect</t>
        </is>
      </c>
      <c r="D465" s="315" t="inlineStr">
        <is>
          <t>Vacant</t>
        </is>
      </c>
      <c r="E465" s="326" t="inlineStr">
        <is>
          <t>Technology Manager - Cloud, Network &amp; Infrastructure Operations</t>
        </is>
      </c>
      <c r="F465" s="239" t="inlineStr">
        <is>
          <t>TDD Group Functions</t>
        </is>
      </c>
      <c r="G465" s="315" t="inlineStr">
        <is>
          <t>TDD &amp; Engineering</t>
        </is>
      </c>
      <c r="H465" s="315" t="inlineStr">
        <is>
          <t>Cloud, Network &amp; Infra</t>
        </is>
      </c>
      <c r="I465" s="239" t="inlineStr">
        <is>
          <t>TDD</t>
        </is>
      </c>
      <c r="J465" s="315" t="inlineStr">
        <is>
          <t>TDD</t>
        </is>
      </c>
      <c r="K465" s="315" t="inlineStr">
        <is>
          <t>Cloud, Network &amp; Infra Ops</t>
        </is>
      </c>
      <c r="L465" s="315" t="n"/>
      <c r="M465" s="316" t="n"/>
      <c r="N465" t="inlineStr">
        <is>
          <t>TDD Group Functions</t>
        </is>
      </c>
      <c r="O465" t="inlineStr">
        <is>
          <t>TDD Group Functions</t>
        </is>
      </c>
      <c r="P465" t="inlineStr">
        <is>
          <t>Network &amp; Infrastructure</t>
        </is>
      </c>
      <c r="Q465" t="inlineStr">
        <is>
          <t>Squad</t>
        </is>
      </c>
      <c r="R465" t="inlineStr">
        <is>
          <t>Filled</t>
        </is>
      </c>
      <c r="BV465" s="321" t="n"/>
      <c r="BW465" s="322" t="n"/>
      <c r="BX465" s="323" t="n"/>
    </row>
    <row r="466" ht="18" customHeight="1" s="302">
      <c r="A466" s="314" t="n">
        <v>97800</v>
      </c>
      <c r="B466" s="239" t="inlineStr">
        <is>
          <t>John McCormack</t>
        </is>
      </c>
      <c r="C466" s="239" t="inlineStr">
        <is>
          <t>Manager - Infrastructure Operations</t>
        </is>
      </c>
      <c r="D466" s="315" t="inlineStr">
        <is>
          <t>Vacant</t>
        </is>
      </c>
      <c r="E466" s="326" t="inlineStr">
        <is>
          <t>Technology Manager - Cloud, Network &amp; Infrastructure Operations</t>
        </is>
      </c>
      <c r="F466" s="239" t="inlineStr">
        <is>
          <t>TDD Group Functions</t>
        </is>
      </c>
      <c r="G466" s="315" t="inlineStr">
        <is>
          <t>TDD &amp; Engineering</t>
        </is>
      </c>
      <c r="H466" s="315" t="inlineStr">
        <is>
          <t>Cloud, Network &amp; Infra</t>
        </is>
      </c>
      <c r="I466" s="239" t="inlineStr">
        <is>
          <t>TDD</t>
        </is>
      </c>
      <c r="J466" s="315" t="inlineStr">
        <is>
          <t>TDD</t>
        </is>
      </c>
      <c r="K466" s="315" t="inlineStr">
        <is>
          <t>Cloud, Network &amp; Infra Ops</t>
        </is>
      </c>
      <c r="L466" s="315" t="n"/>
      <c r="M466" s="316" t="inlineStr">
        <is>
          <t>Australia</t>
        </is>
      </c>
      <c r="N466" t="inlineStr">
        <is>
          <t>TDD Group Functions</t>
        </is>
      </c>
      <c r="O466" t="inlineStr">
        <is>
          <t>TDD Group Functions</t>
        </is>
      </c>
      <c r="P466" t="inlineStr">
        <is>
          <t>Network &amp; Infrastructure</t>
        </is>
      </c>
      <c r="Q466" t="inlineStr">
        <is>
          <t>Squad</t>
        </is>
      </c>
      <c r="R466" t="inlineStr">
        <is>
          <t>Filled</t>
        </is>
      </c>
      <c r="BV466" s="321" t="n"/>
      <c r="BW466" s="322" t="n"/>
      <c r="BX466" s="323" t="n"/>
    </row>
    <row r="467" ht="18" customHeight="1" s="302">
      <c r="A467" s="314" t="n">
        <v>92821</v>
      </c>
      <c r="B467" s="341" t="inlineStr">
        <is>
          <t>Pierre Spee</t>
        </is>
      </c>
      <c r="C467" s="326" t="inlineStr">
        <is>
          <t>Cloud Solutions Architect</t>
        </is>
      </c>
      <c r="D467" s="315" t="inlineStr">
        <is>
          <t>Vacant</t>
        </is>
      </c>
      <c r="E467" s="326" t="inlineStr">
        <is>
          <t>Technology Manager - Cloud, Network &amp; Infrastructure Operations</t>
        </is>
      </c>
      <c r="F467" s="239" t="inlineStr">
        <is>
          <t>TDD Group Functions</t>
        </is>
      </c>
      <c r="G467" s="315" t="inlineStr">
        <is>
          <t>TDD &amp; Engineering</t>
        </is>
      </c>
      <c r="H467" s="315" t="inlineStr">
        <is>
          <t>Cloud, Network &amp; Infra</t>
        </is>
      </c>
      <c r="I467" s="239" t="inlineStr">
        <is>
          <t>TDD</t>
        </is>
      </c>
      <c r="J467" s="315" t="inlineStr">
        <is>
          <t>TDD</t>
        </is>
      </c>
      <c r="K467" s="315" t="inlineStr">
        <is>
          <t>Cloud, Network &amp; Infra Ops</t>
        </is>
      </c>
      <c r="L467" s="315" t="n"/>
      <c r="M467" s="316" t="n"/>
      <c r="N467" t="inlineStr">
        <is>
          <t>TDD Group Functions</t>
        </is>
      </c>
      <c r="O467" t="inlineStr">
        <is>
          <t>TDD Group Functions</t>
        </is>
      </c>
      <c r="P467" t="inlineStr">
        <is>
          <t>Network &amp; Infrastructure</t>
        </is>
      </c>
      <c r="Q467" t="inlineStr">
        <is>
          <t>Squad</t>
        </is>
      </c>
      <c r="R467" t="inlineStr">
        <is>
          <t>Filled</t>
        </is>
      </c>
      <c r="BV467" s="321" t="n"/>
      <c r="BW467" s="322" t="n"/>
      <c r="BX467" s="323" t="n"/>
    </row>
    <row r="468" ht="18" customHeight="1" s="302">
      <c r="A468" s="314" t="n">
        <v>8005</v>
      </c>
      <c r="B468" s="341" t="inlineStr">
        <is>
          <t>John Badia</t>
        </is>
      </c>
      <c r="C468" s="326" t="inlineStr">
        <is>
          <t>Cloud Solutions Architect</t>
        </is>
      </c>
      <c r="D468" s="315" t="inlineStr">
        <is>
          <t>Vacant</t>
        </is>
      </c>
      <c r="E468" s="326" t="inlineStr">
        <is>
          <t>Technology Manager - Cloud, Network &amp; Infrastructure Operations</t>
        </is>
      </c>
      <c r="F468" s="239" t="inlineStr">
        <is>
          <t>TDD Group Functions</t>
        </is>
      </c>
      <c r="G468" s="315" t="inlineStr">
        <is>
          <t>TDD &amp; Engineering</t>
        </is>
      </c>
      <c r="H468" s="315" t="inlineStr">
        <is>
          <t>Cloud, Network &amp; Infra</t>
        </is>
      </c>
      <c r="I468" s="239" t="inlineStr">
        <is>
          <t>TDD</t>
        </is>
      </c>
      <c r="J468" s="315" t="inlineStr">
        <is>
          <t>TDD</t>
        </is>
      </c>
      <c r="K468" s="315" t="inlineStr">
        <is>
          <t>Cloud, Network &amp; Infra Ops</t>
        </is>
      </c>
      <c r="L468" s="315" t="n"/>
      <c r="M468" s="316" t="n"/>
      <c r="N468" t="inlineStr">
        <is>
          <t>TDD Group Functions</t>
        </is>
      </c>
      <c r="O468" t="inlineStr">
        <is>
          <t>TDD Group Functions</t>
        </is>
      </c>
      <c r="P468" t="inlineStr">
        <is>
          <t>Network &amp; Infrastructure</t>
        </is>
      </c>
      <c r="Q468" t="inlineStr">
        <is>
          <t>Squad</t>
        </is>
      </c>
      <c r="R468" t="inlineStr">
        <is>
          <t>Filled</t>
        </is>
      </c>
      <c r="BV468" s="321" t="n"/>
      <c r="BW468" s="322" t="n"/>
      <c r="BX468" s="323" t="n"/>
    </row>
    <row r="469" ht="18" customHeight="1" s="302">
      <c r="A469" s="314" t="n"/>
      <c r="B469" s="341" t="inlineStr">
        <is>
          <t>vacant</t>
        </is>
      </c>
      <c r="C469" s="326" t="inlineStr">
        <is>
          <t>Lead Engineer Software</t>
        </is>
      </c>
      <c r="D469" s="341" t="inlineStr">
        <is>
          <t>Vacant</t>
        </is>
      </c>
      <c r="E469" s="326" t="inlineStr">
        <is>
          <t>Technology Manager – DevOps and Quality Engineering</t>
        </is>
      </c>
      <c r="F469" s="315" t="inlineStr">
        <is>
          <t>TDD Group Functions</t>
        </is>
      </c>
      <c r="G469" s="315" t="inlineStr">
        <is>
          <t>TDD &amp; Engineering</t>
        </is>
      </c>
      <c r="H469" s="315" t="inlineStr">
        <is>
          <t>DevOps &amp; QE</t>
        </is>
      </c>
      <c r="I469" s="239" t="inlineStr">
        <is>
          <t>TDD</t>
        </is>
      </c>
      <c r="J469" s="315" t="inlineStr">
        <is>
          <t>TDD</t>
        </is>
      </c>
      <c r="K469" s="315" t="inlineStr">
        <is>
          <t>DevOps &amp; QE</t>
        </is>
      </c>
      <c r="L469" s="315" t="n"/>
      <c r="M469" s="316" t="n"/>
      <c r="N469" t="inlineStr">
        <is>
          <t>TDD Group Functions</t>
        </is>
      </c>
      <c r="O469" t="inlineStr">
        <is>
          <t>TDD Group Functions</t>
        </is>
      </c>
      <c r="P469" t="inlineStr">
        <is>
          <t>DevOps &amp; Engineering</t>
        </is>
      </c>
      <c r="Q469" t="inlineStr">
        <is>
          <t>Squad</t>
        </is>
      </c>
      <c r="R469" t="inlineStr">
        <is>
          <t>Vacant</t>
        </is>
      </c>
      <c r="BV469" s="321" t="n"/>
      <c r="BW469" s="322" t="n"/>
      <c r="BX469" s="323" t="n"/>
    </row>
    <row r="470" ht="18" customHeight="1" s="302">
      <c r="A470" s="314" t="n"/>
      <c r="B470" s="341" t="inlineStr">
        <is>
          <t>Vacant</t>
        </is>
      </c>
      <c r="C470" s="326" t="inlineStr">
        <is>
          <t>Senior Engineer (Automation Test)</t>
        </is>
      </c>
      <c r="D470" s="341" t="inlineStr">
        <is>
          <t>Vacant</t>
        </is>
      </c>
      <c r="E470" s="326" t="inlineStr">
        <is>
          <t>Lead Engineer (Automation Test)</t>
        </is>
      </c>
      <c r="F470" s="315" t="inlineStr">
        <is>
          <t>TDD Group Functions</t>
        </is>
      </c>
      <c r="G470" s="315" t="inlineStr">
        <is>
          <t>TDD &amp; Engineering</t>
        </is>
      </c>
      <c r="H470" s="315" t="inlineStr">
        <is>
          <t>DevOps &amp; QE</t>
        </is>
      </c>
      <c r="I470" s="239" t="inlineStr">
        <is>
          <t>TDD</t>
        </is>
      </c>
      <c r="J470" s="315" t="inlineStr">
        <is>
          <t>TDD</t>
        </is>
      </c>
      <c r="K470" s="315" t="inlineStr">
        <is>
          <t>DevOps &amp; QE</t>
        </is>
      </c>
      <c r="L470" s="315" t="n"/>
      <c r="M470" s="316" t="n"/>
      <c r="N470" t="inlineStr">
        <is>
          <t>TDD Group Functions</t>
        </is>
      </c>
      <c r="O470" t="inlineStr">
        <is>
          <t>TDD Group Functions</t>
        </is>
      </c>
      <c r="P470" t="inlineStr">
        <is>
          <t>DevOps &amp; Engineering</t>
        </is>
      </c>
      <c r="Q470" t="inlineStr">
        <is>
          <t>Squad</t>
        </is>
      </c>
      <c r="R470" t="inlineStr">
        <is>
          <t>Vacant</t>
        </is>
      </c>
      <c r="BV470" s="321" t="n"/>
      <c r="BW470" s="322" t="n"/>
      <c r="BX470" s="323" t="n"/>
    </row>
    <row r="471" ht="18" customHeight="1" s="302">
      <c r="A471" s="314" t="n"/>
      <c r="B471" s="341" t="inlineStr">
        <is>
          <t>Vacant</t>
        </is>
      </c>
      <c r="C471" s="326" t="inlineStr">
        <is>
          <t>Lead Engineer (Automation Test)</t>
        </is>
      </c>
      <c r="D471" s="341" t="inlineStr">
        <is>
          <t>Vacant</t>
        </is>
      </c>
      <c r="E471" s="326" t="inlineStr">
        <is>
          <t>Technology Manager – DevOps and Quality Engineering</t>
        </is>
      </c>
      <c r="F471" s="315" t="inlineStr">
        <is>
          <t>TDD Group Functions</t>
        </is>
      </c>
      <c r="G471" s="315" t="inlineStr">
        <is>
          <t>TDD &amp; Engineering</t>
        </is>
      </c>
      <c r="H471" s="315" t="inlineStr">
        <is>
          <t>Technology, CF Engineering</t>
        </is>
      </c>
      <c r="I471" s="239" t="inlineStr">
        <is>
          <t>TDD</t>
        </is>
      </c>
      <c r="J471" s="315" t="inlineStr">
        <is>
          <t>TDD</t>
        </is>
      </c>
      <c r="K471" s="315" t="inlineStr">
        <is>
          <t>DevOps &amp; QE</t>
        </is>
      </c>
      <c r="L471" s="315" t="n"/>
      <c r="M471" s="316" t="n"/>
      <c r="N471" t="inlineStr">
        <is>
          <t>TDD Group Functions</t>
        </is>
      </c>
      <c r="O471" t="inlineStr">
        <is>
          <t>TDD Group Functions</t>
        </is>
      </c>
      <c r="P471" t="inlineStr">
        <is>
          <t>DevOps &amp; Engineering</t>
        </is>
      </c>
      <c r="Q471" t="inlineStr">
        <is>
          <t>Squad</t>
        </is>
      </c>
      <c r="R471" t="inlineStr">
        <is>
          <t>Vacant</t>
        </is>
      </c>
      <c r="BV471" s="321" t="n"/>
      <c r="BW471" s="322" t="n"/>
      <c r="BX471" s="323" t="n"/>
    </row>
    <row r="472" ht="18" customHeight="1" s="302">
      <c r="A472" s="314" t="n">
        <v>99999101441</v>
      </c>
      <c r="B472" s="239" t="inlineStr">
        <is>
          <t>Luke Hamer</t>
        </is>
      </c>
      <c r="C472" s="239" t="inlineStr">
        <is>
          <t>Lead Engineer - Devops</t>
        </is>
      </c>
      <c r="D472" s="341" t="inlineStr">
        <is>
          <t>Vacant</t>
        </is>
      </c>
      <c r="E472" s="326" t="inlineStr">
        <is>
          <t>Technology Manager – DevOps and Quality Engineering</t>
        </is>
      </c>
      <c r="F472" s="315" t="inlineStr">
        <is>
          <t>TDD Group Functions</t>
        </is>
      </c>
      <c r="G472" s="315" t="inlineStr">
        <is>
          <t>TDD &amp; Engineering</t>
        </is>
      </c>
      <c r="H472" s="315" t="inlineStr">
        <is>
          <t>Technology, CF Engineering</t>
        </is>
      </c>
      <c r="I472" s="239" t="inlineStr">
        <is>
          <t>TDD</t>
        </is>
      </c>
      <c r="J472" s="315" t="inlineStr">
        <is>
          <t>TDD</t>
        </is>
      </c>
      <c r="K472" s="315" t="inlineStr">
        <is>
          <t>DevOps &amp; QE</t>
        </is>
      </c>
      <c r="L472" s="315" t="n"/>
      <c r="M472" s="316" t="inlineStr">
        <is>
          <t>NZ</t>
        </is>
      </c>
      <c r="N472" t="inlineStr">
        <is>
          <t>TDD Group Functions</t>
        </is>
      </c>
      <c r="O472" t="inlineStr">
        <is>
          <t>TDD Group Functions</t>
        </is>
      </c>
      <c r="P472" t="inlineStr">
        <is>
          <t>DevOps &amp; Engineering</t>
        </is>
      </c>
      <c r="Q472" t="inlineStr">
        <is>
          <t>Squad</t>
        </is>
      </c>
      <c r="R472" t="inlineStr">
        <is>
          <t>Filled</t>
        </is>
      </c>
      <c r="BV472" s="321" t="n"/>
      <c r="BW472" s="322" t="n"/>
      <c r="BX472" s="323" t="n"/>
    </row>
    <row r="473" ht="18" customHeight="1" s="302">
      <c r="A473" s="314" t="n">
        <v>116057</v>
      </c>
      <c r="B473" s="326" t="inlineStr">
        <is>
          <t>Lucas Wang</t>
        </is>
      </c>
      <c r="C473" s="326" t="inlineStr">
        <is>
          <t>Senior Engineer (Automation Test)</t>
        </is>
      </c>
      <c r="D473" s="341" t="inlineStr">
        <is>
          <t>Vacant</t>
        </is>
      </c>
      <c r="E473" s="326" t="inlineStr">
        <is>
          <t>Lead Engineer (Automation Test)</t>
        </is>
      </c>
      <c r="F473" s="315" t="inlineStr">
        <is>
          <t>TDD Group Functions</t>
        </is>
      </c>
      <c r="G473" s="315" t="inlineStr">
        <is>
          <t>TDD &amp; Engineering</t>
        </is>
      </c>
      <c r="H473" s="315" t="inlineStr">
        <is>
          <t>DevOps &amp; QE</t>
        </is>
      </c>
      <c r="I473" s="239" t="inlineStr">
        <is>
          <t>TDD</t>
        </is>
      </c>
      <c r="J473" s="315" t="inlineStr">
        <is>
          <t>TDD</t>
        </is>
      </c>
      <c r="K473" s="315" t="inlineStr">
        <is>
          <t>DevOps &amp; QE</t>
        </is>
      </c>
      <c r="L473" s="315" t="n"/>
      <c r="M473" s="316" t="inlineStr">
        <is>
          <t>Australia</t>
        </is>
      </c>
      <c r="N473" t="inlineStr">
        <is>
          <t>TDD Group Functions</t>
        </is>
      </c>
      <c r="O473" t="inlineStr">
        <is>
          <t>TDD Group Functions</t>
        </is>
      </c>
      <c r="P473" t="inlineStr">
        <is>
          <t>DevOps &amp; Engineering</t>
        </is>
      </c>
      <c r="Q473" t="inlineStr">
        <is>
          <t>Squad</t>
        </is>
      </c>
      <c r="R473" t="inlineStr">
        <is>
          <t>Filled</t>
        </is>
      </c>
      <c r="BV473" s="321" t="n"/>
      <c r="BW473" s="322" t="n"/>
      <c r="BX473" s="323" t="n"/>
    </row>
    <row r="474" ht="18" customHeight="1" s="302">
      <c r="A474" s="314" t="n"/>
      <c r="B474" s="341" t="inlineStr">
        <is>
          <t>vacant</t>
        </is>
      </c>
      <c r="C474" s="326" t="inlineStr">
        <is>
          <t>Environments and Test Data Manager</t>
        </is>
      </c>
      <c r="D474" s="341" t="inlineStr">
        <is>
          <t>Vacant</t>
        </is>
      </c>
      <c r="E474" s="326" t="inlineStr">
        <is>
          <t>Technology Manager – DevOps and Quality Engineering</t>
        </is>
      </c>
      <c r="F474" s="315" t="inlineStr">
        <is>
          <t>TDD Group Functions</t>
        </is>
      </c>
      <c r="G474" s="315" t="inlineStr">
        <is>
          <t>TDD &amp; Engineering</t>
        </is>
      </c>
      <c r="H474" s="315" t="inlineStr">
        <is>
          <t>DevOps &amp; QE</t>
        </is>
      </c>
      <c r="I474" s="239" t="inlineStr">
        <is>
          <t>TDD</t>
        </is>
      </c>
      <c r="J474" s="315" t="inlineStr">
        <is>
          <t>TDD</t>
        </is>
      </c>
      <c r="K474" s="315" t="inlineStr">
        <is>
          <t>DevOps &amp; QE</t>
        </is>
      </c>
      <c r="L474" s="315" t="n"/>
      <c r="M474" s="316" t="n"/>
      <c r="N474" t="inlineStr">
        <is>
          <t>TDD Group Functions</t>
        </is>
      </c>
      <c r="O474" t="inlineStr">
        <is>
          <t>TDD Group Functions</t>
        </is>
      </c>
      <c r="P474" t="inlineStr">
        <is>
          <t>DevOps &amp; Engineering</t>
        </is>
      </c>
      <c r="Q474" t="inlineStr">
        <is>
          <t>Squad</t>
        </is>
      </c>
      <c r="R474" t="inlineStr">
        <is>
          <t>Vacant</t>
        </is>
      </c>
      <c r="BV474" s="321" t="n"/>
      <c r="BW474" s="322" t="n"/>
      <c r="BX474" s="323" t="n"/>
    </row>
    <row r="475" ht="18" customHeight="1" s="302">
      <c r="A475" s="314" t="n">
        <v>99999101958</v>
      </c>
      <c r="B475" s="239" t="inlineStr">
        <is>
          <t>Mike Lealamanu</t>
        </is>
      </c>
      <c r="C475" s="239" t="inlineStr">
        <is>
          <t>Quality Assurance</t>
        </is>
      </c>
      <c r="D475" s="341" t="inlineStr">
        <is>
          <t>Vacant</t>
        </is>
      </c>
      <c r="E475" s="326" t="inlineStr">
        <is>
          <t>Technology Manager – DevOps and Quality Engineering</t>
        </is>
      </c>
      <c r="F475" s="315" t="inlineStr">
        <is>
          <t>TDD Group Functions</t>
        </is>
      </c>
      <c r="G475" s="315" t="inlineStr">
        <is>
          <t>TDD &amp; Engineering</t>
        </is>
      </c>
      <c r="H475" s="315" t="inlineStr">
        <is>
          <t>DevOps &amp; QE</t>
        </is>
      </c>
      <c r="I475" s="239" t="inlineStr">
        <is>
          <t>TDD</t>
        </is>
      </c>
      <c r="J475" s="315" t="inlineStr">
        <is>
          <t>TDD</t>
        </is>
      </c>
      <c r="K475" s="315" t="inlineStr">
        <is>
          <t>DevOps &amp; QE</t>
        </is>
      </c>
      <c r="L475" s="315" t="n"/>
      <c r="M475" s="316" t="inlineStr">
        <is>
          <t>NZ</t>
        </is>
      </c>
      <c r="N475" t="inlineStr">
        <is>
          <t>TDD Group Functions</t>
        </is>
      </c>
      <c r="O475" t="inlineStr">
        <is>
          <t>TDD Group Functions</t>
        </is>
      </c>
      <c r="P475" t="inlineStr">
        <is>
          <t>DevOps &amp; Engineering</t>
        </is>
      </c>
      <c r="Q475" t="inlineStr">
        <is>
          <t>Squad</t>
        </is>
      </c>
      <c r="R475" t="inlineStr">
        <is>
          <t>Filled</t>
        </is>
      </c>
      <c r="BV475" s="328" t="n"/>
      <c r="BW475" s="329" t="n"/>
      <c r="BX475" s="330" t="n"/>
    </row>
    <row r="476" ht="18" customHeight="1" s="302">
      <c r="A476" s="314" t="n">
        <v>99999102120</v>
      </c>
      <c r="B476" s="239" t="inlineStr">
        <is>
          <t>Sunny Arya</t>
        </is>
      </c>
      <c r="C476" s="239" t="inlineStr">
        <is>
          <t>Lead Engineer, Devops</t>
        </is>
      </c>
      <c r="D476" s="341" t="inlineStr">
        <is>
          <t>Vacant</t>
        </is>
      </c>
      <c r="E476" s="326" t="inlineStr">
        <is>
          <t>Technology Manager – DevOps and Quality Engineering</t>
        </is>
      </c>
      <c r="F476" s="315" t="inlineStr">
        <is>
          <t>TDD Group Functions</t>
        </is>
      </c>
      <c r="G476" s="315" t="inlineStr">
        <is>
          <t>TDD &amp; Engineering</t>
        </is>
      </c>
      <c r="H476" s="315" t="inlineStr">
        <is>
          <t>DevOps &amp; QE</t>
        </is>
      </c>
      <c r="I476" s="239" t="inlineStr">
        <is>
          <t>TDD</t>
        </is>
      </c>
      <c r="J476" s="315" t="inlineStr">
        <is>
          <t>TDD</t>
        </is>
      </c>
      <c r="K476" s="315" t="inlineStr">
        <is>
          <t>DevOps &amp; QE</t>
        </is>
      </c>
      <c r="L476" s="315" t="n"/>
      <c r="M476" s="316" t="inlineStr">
        <is>
          <t>NZ</t>
        </is>
      </c>
      <c r="N476" t="inlineStr">
        <is>
          <t>TDD Group Functions</t>
        </is>
      </c>
      <c r="O476" t="inlineStr">
        <is>
          <t>TDD Group Functions</t>
        </is>
      </c>
      <c r="P476" t="inlineStr">
        <is>
          <t>DevOps &amp; Engineering</t>
        </is>
      </c>
      <c r="Q476" t="inlineStr">
        <is>
          <t>Squad</t>
        </is>
      </c>
      <c r="R476" t="inlineStr">
        <is>
          <t>Filled</t>
        </is>
      </c>
    </row>
    <row r="477" ht="18" customHeight="1" s="302">
      <c r="A477" s="314" t="n">
        <v>14148</v>
      </c>
      <c r="B477" s="326" t="inlineStr">
        <is>
          <t>Ee Lynn Yap</t>
        </is>
      </c>
      <c r="C477" s="326" t="inlineStr">
        <is>
          <t>SAP ERP Application Lead</t>
        </is>
      </c>
      <c r="D477" s="315" t="inlineStr">
        <is>
          <t>Shane Ker</t>
        </is>
      </c>
      <c r="E477" s="326" t="inlineStr">
        <is>
          <t>Technology Manager Finance Platforms</t>
        </is>
      </c>
      <c r="F477" s="239" t="inlineStr">
        <is>
          <t>TDD Group Functions</t>
        </is>
      </c>
      <c r="G477" s="326" t="inlineStr">
        <is>
          <t>P&amp;C, Finance &amp; Legal</t>
        </is>
      </c>
      <c r="H477" s="315" t="inlineStr">
        <is>
          <t>Tech, Finance Platforms</t>
        </is>
      </c>
      <c r="I477" s="315" t="inlineStr">
        <is>
          <t>EGI</t>
        </is>
      </c>
      <c r="J477" s="315" t="inlineStr">
        <is>
          <t>EGI</t>
        </is>
      </c>
      <c r="K477" s="315" t="inlineStr">
        <is>
          <t>EGI Finance</t>
        </is>
      </c>
      <c r="L477" s="315" t="n"/>
      <c r="M477" s="316" t="inlineStr">
        <is>
          <t>Australia</t>
        </is>
      </c>
      <c r="N477" t="inlineStr">
        <is>
          <t>Finance</t>
        </is>
      </c>
      <c r="O477" t="inlineStr">
        <is>
          <t>EGI Finance</t>
        </is>
      </c>
      <c r="P477" t="inlineStr">
        <is>
          <t>EGI Finance</t>
        </is>
      </c>
      <c r="Q477" t="inlineStr">
        <is>
          <t>Strategic Program</t>
        </is>
      </c>
      <c r="R477" t="inlineStr">
        <is>
          <t>Filled</t>
        </is>
      </c>
    </row>
    <row r="478" ht="18" customHeight="1" s="302">
      <c r="A478" s="314" t="n">
        <v>113067</v>
      </c>
      <c r="B478" s="360" t="inlineStr">
        <is>
          <t>Vikram Chhahira</t>
        </is>
      </c>
      <c r="C478" s="326" t="inlineStr">
        <is>
          <t>Delivery Lead, EGI</t>
        </is>
      </c>
      <c r="D478" s="315" t="inlineStr">
        <is>
          <t>Vacant</t>
        </is>
      </c>
      <c r="E478" s="326" t="inlineStr">
        <is>
          <t>Delivery Manager, P&amp;C, Finance &amp; Legal</t>
        </is>
      </c>
      <c r="F478" s="239" t="inlineStr">
        <is>
          <t>TDD Group Functions</t>
        </is>
      </c>
      <c r="G478" s="315" t="inlineStr">
        <is>
          <t>EGI</t>
        </is>
      </c>
      <c r="H478" s="315" t="n"/>
      <c r="I478" s="315" t="inlineStr">
        <is>
          <t>EGI</t>
        </is>
      </c>
      <c r="J478" s="315" t="inlineStr">
        <is>
          <t>EGI</t>
        </is>
      </c>
      <c r="K478" s="315" t="inlineStr">
        <is>
          <t>EGI P&amp;C</t>
        </is>
      </c>
      <c r="L478" s="315" t="n"/>
      <c r="M478" s="316" t="inlineStr">
        <is>
          <t>Australia</t>
        </is>
      </c>
      <c r="N478" t="inlineStr">
        <is>
          <t>P&amp;C</t>
        </is>
      </c>
      <c r="O478" t="inlineStr">
        <is>
          <t>EGI P&amp;C</t>
        </is>
      </c>
      <c r="P478" t="inlineStr">
        <is>
          <t>EGI P&amp;C</t>
        </is>
      </c>
      <c r="Q478" t="inlineStr">
        <is>
          <t>Strategic Program</t>
        </is>
      </c>
      <c r="R478" t="inlineStr">
        <is>
          <t>Filled</t>
        </is>
      </c>
    </row>
    <row r="479" ht="18" customHeight="1" s="302">
      <c r="A479" s="314" t="n">
        <v>0</v>
      </c>
      <c r="B479" s="341" t="inlineStr">
        <is>
          <t>Arun Tahlan</t>
        </is>
      </c>
      <c r="C479" s="326" t="inlineStr">
        <is>
          <t>Integration Architect (C) - Boomi</t>
        </is>
      </c>
      <c r="D479" s="239" t="inlineStr">
        <is>
          <t>Mike Seales</t>
        </is>
      </c>
      <c r="E479" s="239" t="inlineStr">
        <is>
          <t>Technology Manager Integration &amp; Process Managemetn</t>
        </is>
      </c>
      <c r="F479" s="239" t="inlineStr">
        <is>
          <t>TDD Group Functions</t>
        </is>
      </c>
      <c r="G479" s="315" t="inlineStr">
        <is>
          <t xml:space="preserve">TDD &amp; Engineering </t>
        </is>
      </c>
      <c r="H479" s="239" t="inlineStr">
        <is>
          <t>Technology, Trading &amp; Shipping</t>
        </is>
      </c>
      <c r="I479" s="239" t="inlineStr">
        <is>
          <t>EGI</t>
        </is>
      </c>
      <c r="J479" s="315" t="inlineStr">
        <is>
          <t>EGI</t>
        </is>
      </c>
      <c r="K479" s="315" t="inlineStr">
        <is>
          <t>EGI TDD</t>
        </is>
      </c>
      <c r="L479" s="315" t="n"/>
      <c r="M479" s="316" t="n">
        <v>0</v>
      </c>
      <c r="N479" t="inlineStr">
        <is>
          <t>TDD Group Functions</t>
        </is>
      </c>
      <c r="O479" t="inlineStr">
        <is>
          <t>EGI TDD</t>
        </is>
      </c>
      <c r="P479" t="inlineStr">
        <is>
          <t>EGI TDD</t>
        </is>
      </c>
      <c r="Q479" t="inlineStr">
        <is>
          <t>Strategic Program</t>
        </is>
      </c>
      <c r="R479" t="inlineStr">
        <is>
          <t>Filled</t>
        </is>
      </c>
    </row>
    <row r="480" ht="18" customHeight="1" s="302">
      <c r="A480" s="314" t="n">
        <v>99999102153</v>
      </c>
      <c r="B480" s="341" t="inlineStr">
        <is>
          <t>Kris Thornley</t>
        </is>
      </c>
      <c r="C480" s="326" t="inlineStr">
        <is>
          <t>Integration Architect (C)</t>
        </is>
      </c>
      <c r="D480" s="239" t="inlineStr">
        <is>
          <t>Mike Seales</t>
        </is>
      </c>
      <c r="E480" s="239" t="inlineStr">
        <is>
          <t>Technology Manager Integration &amp; Process Managemetn</t>
        </is>
      </c>
      <c r="F480" s="239" t="inlineStr">
        <is>
          <t>TDD Group Functions</t>
        </is>
      </c>
      <c r="G480" s="315" t="inlineStr">
        <is>
          <t xml:space="preserve">TDD &amp; Engineering </t>
        </is>
      </c>
      <c r="H480" s="239" t="inlineStr">
        <is>
          <t>Integration &amp; Process Management</t>
        </is>
      </c>
      <c r="I480" s="239" t="inlineStr">
        <is>
          <t>EGI</t>
        </is>
      </c>
      <c r="J480" s="315" t="inlineStr">
        <is>
          <t xml:space="preserve">EGI </t>
        </is>
      </c>
      <c r="K480" s="315" t="inlineStr">
        <is>
          <t>EGI TDD</t>
        </is>
      </c>
      <c r="L480" s="315" t="n"/>
      <c r="M480" s="316" t="inlineStr">
        <is>
          <t>NZ</t>
        </is>
      </c>
      <c r="N480" t="inlineStr">
        <is>
          <t>TDD Group Functions</t>
        </is>
      </c>
      <c r="O480" t="inlineStr">
        <is>
          <t>EGI TDD</t>
        </is>
      </c>
      <c r="P480" t="inlineStr">
        <is>
          <t>EGI TDD</t>
        </is>
      </c>
      <c r="Q480" t="inlineStr">
        <is>
          <t>Strategic Program</t>
        </is>
      </c>
      <c r="R480" t="inlineStr">
        <is>
          <t>Filled</t>
        </is>
      </c>
    </row>
    <row r="481" ht="18" customHeight="1" s="302">
      <c r="A481" s="314" t="n">
        <v>99999101466</v>
      </c>
      <c r="B481" s="239" t="inlineStr">
        <is>
          <t>Shobhit Mittal</t>
        </is>
      </c>
      <c r="C481" s="239" t="inlineStr">
        <is>
          <t>Lead Engineer - Automation Test</t>
        </is>
      </c>
      <c r="D481" s="341" t="inlineStr">
        <is>
          <t>Vacant</t>
        </is>
      </c>
      <c r="E481" s="326" t="inlineStr">
        <is>
          <t>Technology Manager – DevOps and Quality Engineering</t>
        </is>
      </c>
      <c r="F481" s="315" t="inlineStr">
        <is>
          <t>TDD Group Functions</t>
        </is>
      </c>
      <c r="G481" s="315" t="inlineStr">
        <is>
          <t>Loyalty &amp; Martech</t>
        </is>
      </c>
      <c r="H481" s="315" t="inlineStr">
        <is>
          <t>Dev Ops  &amp; QE</t>
        </is>
      </c>
      <c r="I481" s="315" t="inlineStr">
        <is>
          <t>EGI</t>
        </is>
      </c>
      <c r="J481" s="315" t="inlineStr">
        <is>
          <t>EGI</t>
        </is>
      </c>
      <c r="K481" s="315" t="inlineStr">
        <is>
          <t>EGI TDD</t>
        </is>
      </c>
      <c r="L481" s="315" t="n"/>
      <c r="M481" s="316" t="inlineStr">
        <is>
          <t>NZ</t>
        </is>
      </c>
      <c r="N481" t="inlineStr">
        <is>
          <t>TDD Group Functions</t>
        </is>
      </c>
      <c r="O481" t="inlineStr">
        <is>
          <t>EGI TDD</t>
        </is>
      </c>
      <c r="P481" t="inlineStr">
        <is>
          <t>EGI TDD</t>
        </is>
      </c>
      <c r="Q481" t="inlineStr">
        <is>
          <t>Strategic Program</t>
        </is>
      </c>
      <c r="R481" t="inlineStr">
        <is>
          <t>Filled</t>
        </is>
      </c>
    </row>
    <row r="482" ht="18" customHeight="1" s="302">
      <c r="A482" s="314" t="n">
        <v>109092</v>
      </c>
      <c r="B482" s="239" t="inlineStr">
        <is>
          <t>Anjali Patra</t>
        </is>
      </c>
      <c r="C482" s="239" t="inlineStr">
        <is>
          <t>Delivery Lead - EGI</t>
        </is>
      </c>
      <c r="D482" s="315" t="inlineStr">
        <is>
          <t>vacant</t>
        </is>
      </c>
      <c r="E482" s="326" t="inlineStr">
        <is>
          <t xml:space="preserve">Delivery Manager </t>
        </is>
      </c>
      <c r="F482" s="239" t="inlineStr">
        <is>
          <t>TDD Group Functions</t>
        </is>
      </c>
      <c r="G482" s="315" t="inlineStr">
        <is>
          <t>TDD &amp; Engineering</t>
        </is>
      </c>
      <c r="H482" s="239" t="inlineStr">
        <is>
          <t>Delivery, TDD &amp; Engineering</t>
        </is>
      </c>
      <c r="I482" s="239" t="inlineStr">
        <is>
          <t>EGI</t>
        </is>
      </c>
      <c r="J482" s="315" t="inlineStr">
        <is>
          <t>EGI</t>
        </is>
      </c>
      <c r="K482" s="315" t="inlineStr">
        <is>
          <t>EGI TDD</t>
        </is>
      </c>
      <c r="L482" s="315" t="n"/>
      <c r="M482" s="316" t="inlineStr">
        <is>
          <t>Australia</t>
        </is>
      </c>
      <c r="N482" t="inlineStr">
        <is>
          <t>TDD Group Functions</t>
        </is>
      </c>
      <c r="O482" t="inlineStr">
        <is>
          <t>EGI TDD</t>
        </is>
      </c>
      <c r="P482" t="inlineStr">
        <is>
          <t>EGI TDD</t>
        </is>
      </c>
      <c r="Q482" t="inlineStr">
        <is>
          <t>Strategic Program</t>
        </is>
      </c>
      <c r="R482" t="inlineStr">
        <is>
          <t>Filled</t>
        </is>
      </c>
    </row>
    <row r="483" ht="18" customHeight="1" s="302">
      <c r="A483" s="314" t="n">
        <v>110830</v>
      </c>
      <c r="B483" s="239" t="inlineStr">
        <is>
          <t>Jason Satoso</t>
        </is>
      </c>
      <c r="C483" s="239" t="inlineStr">
        <is>
          <t>Cloud Operations Engineer</t>
        </is>
      </c>
      <c r="D483" s="315" t="inlineStr">
        <is>
          <t>Vacant</t>
        </is>
      </c>
      <c r="E483" s="326" t="inlineStr">
        <is>
          <t>Manager - Infrastructure Operations</t>
        </is>
      </c>
      <c r="F483" s="239" t="inlineStr">
        <is>
          <t>TDD Group Functions</t>
        </is>
      </c>
      <c r="G483" s="315" t="inlineStr">
        <is>
          <t>TDD &amp; Engineering</t>
        </is>
      </c>
      <c r="H483" s="315" t="inlineStr">
        <is>
          <t>Cloud, Network &amp; Infra</t>
        </is>
      </c>
      <c r="I483" s="239" t="inlineStr">
        <is>
          <t>TDD</t>
        </is>
      </c>
      <c r="J483" s="315" t="inlineStr">
        <is>
          <t>Energy Solutions</t>
        </is>
      </c>
      <c r="K483" s="315" t="inlineStr">
        <is>
          <t>Energy</t>
        </is>
      </c>
      <c r="L483" s="315" t="n"/>
      <c r="M483" s="316" t="inlineStr">
        <is>
          <t>Australia</t>
        </is>
      </c>
      <c r="N483" t="inlineStr">
        <is>
          <t>Energy Solutions &amp; B2B</t>
        </is>
      </c>
      <c r="O483" t="inlineStr">
        <is>
          <t>Energy Solutions</t>
        </is>
      </c>
      <c r="P483" t="inlineStr">
        <is>
          <t>Energy</t>
        </is>
      </c>
      <c r="Q483" t="inlineStr">
        <is>
          <t>Squad</t>
        </is>
      </c>
      <c r="R483" t="inlineStr">
        <is>
          <t>Filled</t>
        </is>
      </c>
    </row>
    <row r="484" ht="18" customHeight="1" s="302">
      <c r="A484" s="314" t="n">
        <v>91635</v>
      </c>
      <c r="B484" s="239" t="inlineStr">
        <is>
          <t>Bala Thiruvadi</t>
        </is>
      </c>
      <c r="C484" s="239" t="inlineStr">
        <is>
          <t>Integration Architect - Boomi</t>
        </is>
      </c>
      <c r="D484" s="239" t="inlineStr">
        <is>
          <t>Mike Seales</t>
        </is>
      </c>
      <c r="E484" s="239" t="inlineStr">
        <is>
          <t>Technology Manager Integration &amp; Process Managemetn</t>
        </is>
      </c>
      <c r="F484" s="239" t="inlineStr">
        <is>
          <t>TDD Group Functions</t>
        </is>
      </c>
      <c r="G484" s="315" t="inlineStr">
        <is>
          <t xml:space="preserve">TDD &amp; Engineering </t>
        </is>
      </c>
      <c r="H484" s="239" t="inlineStr">
        <is>
          <t>Integration &amp; Process Management</t>
        </is>
      </c>
      <c r="I484" s="239" t="inlineStr">
        <is>
          <t>TDD</t>
        </is>
      </c>
      <c r="J484" s="315" t="inlineStr">
        <is>
          <t>TDD</t>
        </is>
      </c>
      <c r="K484" s="315" t="inlineStr">
        <is>
          <t>Integration &amp; Process automation</t>
        </is>
      </c>
      <c r="L484" s="315" t="n"/>
      <c r="M484" s="316" t="inlineStr">
        <is>
          <t>Australia</t>
        </is>
      </c>
      <c r="N484" t="inlineStr">
        <is>
          <t>TDD Group Functions</t>
        </is>
      </c>
      <c r="O484" t="inlineStr">
        <is>
          <t>TDD Group Functions</t>
        </is>
      </c>
      <c r="P484" t="inlineStr">
        <is>
          <t>Integration</t>
        </is>
      </c>
      <c r="Q484" t="inlineStr">
        <is>
          <t>Squad</t>
        </is>
      </c>
      <c r="R484" t="inlineStr">
        <is>
          <t>Filled</t>
        </is>
      </c>
    </row>
    <row r="485" ht="18" customHeight="1" s="302">
      <c r="A485" s="314" t="n"/>
      <c r="B485" s="341" t="inlineStr">
        <is>
          <t>Vacant</t>
        </is>
      </c>
      <c r="C485" s="326" t="inlineStr">
        <is>
          <t>RPA Lead</t>
        </is>
      </c>
      <c r="D485" s="239" t="inlineStr">
        <is>
          <t>Mike Seales</t>
        </is>
      </c>
      <c r="E485" s="239" t="inlineStr">
        <is>
          <t>Technology Manager Integration &amp; Process Managemetn</t>
        </is>
      </c>
      <c r="F485" s="239" t="inlineStr">
        <is>
          <t>TDD Group Functions</t>
        </is>
      </c>
      <c r="G485" s="315" t="inlineStr">
        <is>
          <t xml:space="preserve">TDD &amp; Engineering </t>
        </is>
      </c>
      <c r="H485" s="239" t="inlineStr">
        <is>
          <t>Integration &amp; Process Management</t>
        </is>
      </c>
      <c r="I485" s="239" t="inlineStr">
        <is>
          <t>TDD</t>
        </is>
      </c>
      <c r="J485" s="315" t="inlineStr">
        <is>
          <t>TDD</t>
        </is>
      </c>
      <c r="K485" s="315" t="inlineStr">
        <is>
          <t>Integration &amp; Process automation</t>
        </is>
      </c>
      <c r="L485" s="315" t="n"/>
      <c r="M485" s="316" t="n"/>
      <c r="N485" t="inlineStr">
        <is>
          <t>TDD Group Functions</t>
        </is>
      </c>
      <c r="O485" t="inlineStr">
        <is>
          <t>TDD Group Functions</t>
        </is>
      </c>
      <c r="P485" t="inlineStr">
        <is>
          <t>Integration</t>
        </is>
      </c>
      <c r="Q485" t="inlineStr">
        <is>
          <t>Squad</t>
        </is>
      </c>
      <c r="R485" t="inlineStr">
        <is>
          <t>Vacant</t>
        </is>
      </c>
    </row>
    <row r="486" ht="18" customHeight="1" s="302">
      <c r="A486" s="314" t="n">
        <v>99999101879</v>
      </c>
      <c r="B486" s="326" t="inlineStr">
        <is>
          <t>Lisa Rademakers</t>
        </is>
      </c>
      <c r="C486" s="326" t="inlineStr">
        <is>
          <t>Delivery Lead (Integrations)</t>
        </is>
      </c>
      <c r="D486" s="239" t="inlineStr">
        <is>
          <t>Vacant</t>
        </is>
      </c>
      <c r="E486" s="239" t="inlineStr">
        <is>
          <t>Delivery Manager</t>
        </is>
      </c>
      <c r="F486" s="239" t="inlineStr">
        <is>
          <t>TDD Group Functions</t>
        </is>
      </c>
      <c r="G486" s="315" t="inlineStr">
        <is>
          <t xml:space="preserve">TDD &amp; Engineering </t>
        </is>
      </c>
      <c r="H486" s="239" t="inlineStr">
        <is>
          <t>Delivery, TDD &amp; Engineering</t>
        </is>
      </c>
      <c r="I486" s="239" t="inlineStr">
        <is>
          <t>TDD</t>
        </is>
      </c>
      <c r="J486" s="315" t="inlineStr">
        <is>
          <t>TDD</t>
        </is>
      </c>
      <c r="K486" s="315" t="inlineStr">
        <is>
          <t>Integration &amp; Process Automation</t>
        </is>
      </c>
      <c r="L486" s="315" t="n"/>
      <c r="M486" s="316" t="inlineStr">
        <is>
          <t>NZ</t>
        </is>
      </c>
      <c r="N486" t="inlineStr">
        <is>
          <t>TDD Group Functions</t>
        </is>
      </c>
      <c r="O486" t="inlineStr">
        <is>
          <t>TDD Group Functions</t>
        </is>
      </c>
      <c r="P486" t="inlineStr">
        <is>
          <t>Integration</t>
        </is>
      </c>
      <c r="Q486" t="inlineStr">
        <is>
          <t>Squad</t>
        </is>
      </c>
      <c r="R486" t="inlineStr">
        <is>
          <t>Filled</t>
        </is>
      </c>
    </row>
    <row r="487" ht="18" customHeight="1" s="302">
      <c r="A487" s="314" t="n">
        <v>99999101273</v>
      </c>
      <c r="B487" s="239" t="inlineStr">
        <is>
          <t>Michael Weng</t>
        </is>
      </c>
      <c r="C487" s="239" t="inlineStr">
        <is>
          <t>Solution Architect</t>
        </is>
      </c>
      <c r="D487" s="239" t="inlineStr">
        <is>
          <t>Vacant</t>
        </is>
      </c>
      <c r="E487" s="239" t="inlineStr">
        <is>
          <t>Technology Manager Integration &amp; Process Managemetn</t>
        </is>
      </c>
      <c r="F487" s="239" t="inlineStr">
        <is>
          <t>TDD Group Functions</t>
        </is>
      </c>
      <c r="G487" s="315" t="inlineStr">
        <is>
          <t xml:space="preserve">TDD &amp; Engineering </t>
        </is>
      </c>
      <c r="H487" s="239" t="inlineStr">
        <is>
          <t>Integration &amp; Process Management</t>
        </is>
      </c>
      <c r="I487" s="239" t="inlineStr">
        <is>
          <t>TDD</t>
        </is>
      </c>
      <c r="J487" s="315" t="inlineStr">
        <is>
          <t>TDD</t>
        </is>
      </c>
      <c r="K487" s="315" t="inlineStr">
        <is>
          <t>Integration &amp; Process automation</t>
        </is>
      </c>
      <c r="L487" s="315" t="n"/>
      <c r="M487" s="316" t="inlineStr">
        <is>
          <t>NZ</t>
        </is>
      </c>
      <c r="N487" t="inlineStr">
        <is>
          <t>TDD Group Functions</t>
        </is>
      </c>
      <c r="O487" t="inlineStr">
        <is>
          <t>TDD Group Functions</t>
        </is>
      </c>
      <c r="P487" t="inlineStr">
        <is>
          <t>Integration</t>
        </is>
      </c>
      <c r="Q487" t="inlineStr">
        <is>
          <t>Squad</t>
        </is>
      </c>
      <c r="R487" t="inlineStr">
        <is>
          <t>Filled</t>
        </is>
      </c>
    </row>
    <row r="488" ht="18" customHeight="1" s="302">
      <c r="A488" s="314" t="n">
        <v>114367</v>
      </c>
      <c r="B488" s="326" t="inlineStr">
        <is>
          <t>Thandava Krishna Kakarala</t>
        </is>
      </c>
      <c r="C488" s="326" t="inlineStr">
        <is>
          <t>Snr Engineer - Boomi</t>
        </is>
      </c>
      <c r="D488" s="239" t="inlineStr">
        <is>
          <t>Vacant</t>
        </is>
      </c>
      <c r="E488" t="inlineStr">
        <is>
          <t>Technology Manager Integration &amp; Process Managemetn</t>
        </is>
      </c>
      <c r="F488" s="239" t="inlineStr">
        <is>
          <t>TDD Group Functions</t>
        </is>
      </c>
      <c r="G488" s="315" t="inlineStr">
        <is>
          <t xml:space="preserve">TDD &amp; Engineering </t>
        </is>
      </c>
      <c r="H488" s="239" t="inlineStr">
        <is>
          <t>Integration &amp; Process Management</t>
        </is>
      </c>
      <c r="I488" s="239" t="inlineStr">
        <is>
          <t>TDD</t>
        </is>
      </c>
      <c r="J488" s="315" t="inlineStr">
        <is>
          <t>TDD</t>
        </is>
      </c>
      <c r="K488" s="315" t="inlineStr">
        <is>
          <t>Integration &amp; Process automation</t>
        </is>
      </c>
      <c r="L488" s="315" t="n"/>
      <c r="M488" s="316" t="inlineStr">
        <is>
          <t>Australia</t>
        </is>
      </c>
      <c r="N488" t="inlineStr">
        <is>
          <t>TDD Group Functions</t>
        </is>
      </c>
      <c r="O488" t="inlineStr">
        <is>
          <t>TDD Group Functions</t>
        </is>
      </c>
      <c r="P488" t="inlineStr">
        <is>
          <t>Integration</t>
        </is>
      </c>
      <c r="Q488" t="inlineStr">
        <is>
          <t>Squad</t>
        </is>
      </c>
      <c r="R488" t="inlineStr">
        <is>
          <t>Filled</t>
        </is>
      </c>
    </row>
    <row r="489" ht="18" customHeight="1" s="302">
      <c r="A489" s="314" t="n"/>
      <c r="B489" s="341" t="inlineStr">
        <is>
          <t>Vacant</t>
        </is>
      </c>
      <c r="C489" s="326" t="inlineStr">
        <is>
          <t>Business Analyst (Integrations)</t>
        </is>
      </c>
      <c r="D489" s="239" t="inlineStr">
        <is>
          <t>Vacant</t>
        </is>
      </c>
      <c r="E489" s="239" t="inlineStr">
        <is>
          <t>Delivery Manager</t>
        </is>
      </c>
      <c r="F489" s="239" t="inlineStr">
        <is>
          <t>TDD Group Functions</t>
        </is>
      </c>
      <c r="G489" s="315" t="inlineStr">
        <is>
          <t xml:space="preserve">TDD &amp; Engineering </t>
        </is>
      </c>
      <c r="H489" s="239" t="inlineStr">
        <is>
          <t>Delivery, TDD &amp; Engineering</t>
        </is>
      </c>
      <c r="I489" s="239" t="inlineStr">
        <is>
          <t>TDD</t>
        </is>
      </c>
      <c r="J489" s="315" t="inlineStr">
        <is>
          <t>TDD</t>
        </is>
      </c>
      <c r="K489" s="315" t="inlineStr">
        <is>
          <t>Integration &amp; Process Automation</t>
        </is>
      </c>
      <c r="L489" s="315" t="n"/>
      <c r="M489" s="316" t="n"/>
      <c r="N489" t="inlineStr">
        <is>
          <t>TDD Group Functions</t>
        </is>
      </c>
      <c r="O489" t="inlineStr">
        <is>
          <t>TDD Group Functions</t>
        </is>
      </c>
      <c r="P489" t="inlineStr">
        <is>
          <t>Integration</t>
        </is>
      </c>
      <c r="Q489" t="inlineStr">
        <is>
          <t>Squad</t>
        </is>
      </c>
      <c r="R489" t="inlineStr">
        <is>
          <t>Vacant</t>
        </is>
      </c>
    </row>
    <row r="490" ht="18" customHeight="1" s="302">
      <c r="A490" s="314" t="n">
        <v>99999101058</v>
      </c>
      <c r="B490" s="239" t="inlineStr">
        <is>
          <t>Mike Seales</t>
        </is>
      </c>
      <c r="C490" s="239" t="inlineStr">
        <is>
          <t>Technology Manager, Integration &amp; Process Automation</t>
        </is>
      </c>
      <c r="D490" s="315" t="inlineStr">
        <is>
          <t>Vacant</t>
        </is>
      </c>
      <c r="E490" s="239" t="inlineStr">
        <is>
          <t>Head of Technology - TDD &amp; Engineering Capability Lead</t>
        </is>
      </c>
      <c r="F490" s="239" t="inlineStr">
        <is>
          <t>TDD Group Functions</t>
        </is>
      </c>
      <c r="G490" s="315" t="inlineStr">
        <is>
          <t xml:space="preserve">TDD &amp; Engineering </t>
        </is>
      </c>
      <c r="H490" s="239" t="inlineStr">
        <is>
          <t>Integration &amp; Process Management</t>
        </is>
      </c>
      <c r="I490" s="239" t="inlineStr">
        <is>
          <t>TDD</t>
        </is>
      </c>
      <c r="J490" s="315" t="inlineStr">
        <is>
          <t>TDD</t>
        </is>
      </c>
      <c r="K490" s="315" t="inlineStr">
        <is>
          <t>Integration &amp; Process automation</t>
        </is>
      </c>
      <c r="L490" s="315" t="n"/>
      <c r="M490" s="316" t="inlineStr">
        <is>
          <t>NZ</t>
        </is>
      </c>
      <c r="N490" t="inlineStr">
        <is>
          <t>TDD Group Functions</t>
        </is>
      </c>
      <c r="O490" t="inlineStr">
        <is>
          <t>TDD Group Functions</t>
        </is>
      </c>
      <c r="P490" t="inlineStr">
        <is>
          <t>Integration</t>
        </is>
      </c>
      <c r="Q490" t="inlineStr">
        <is>
          <t>Squad</t>
        </is>
      </c>
      <c r="R490" t="inlineStr">
        <is>
          <t>Filled</t>
        </is>
      </c>
    </row>
    <row r="491" ht="18" customHeight="1" s="302">
      <c r="A491" s="314" t="n">
        <v>99999101879</v>
      </c>
      <c r="B491" s="239" t="inlineStr">
        <is>
          <t>Lisa Rademakers</t>
        </is>
      </c>
      <c r="C491" s="239" t="inlineStr">
        <is>
          <t>Delivery Lead- Integrations</t>
        </is>
      </c>
      <c r="D491" s="315" t="n"/>
      <c r="E491" t="inlineStr">
        <is>
          <t>Delivery Manager</t>
        </is>
      </c>
      <c r="F491" s="239" t="inlineStr">
        <is>
          <t>TDD Group Functions</t>
        </is>
      </c>
      <c r="G491" s="326" t="inlineStr">
        <is>
          <t>TDD &amp; Engineering</t>
        </is>
      </c>
      <c r="H491" s="239" t="inlineStr">
        <is>
          <t>Delivery, TDD &amp; Engineering</t>
        </is>
      </c>
      <c r="I491" s="239" t="inlineStr">
        <is>
          <t>TDD</t>
        </is>
      </c>
      <c r="J491" s="315" t="inlineStr">
        <is>
          <t>TDD</t>
        </is>
      </c>
      <c r="K491" s="315" t="inlineStr">
        <is>
          <t>Integration &amp; Process automation</t>
        </is>
      </c>
      <c r="L491" s="315" t="n"/>
      <c r="M491" s="316" t="inlineStr">
        <is>
          <t>NZ</t>
        </is>
      </c>
      <c r="N491" t="inlineStr">
        <is>
          <t>TDD Group Functions</t>
        </is>
      </c>
      <c r="O491" t="inlineStr">
        <is>
          <t>TDD Group Functions</t>
        </is>
      </c>
      <c r="P491" t="inlineStr">
        <is>
          <t>Integration</t>
        </is>
      </c>
      <c r="Q491" t="inlineStr">
        <is>
          <t>Squad</t>
        </is>
      </c>
      <c r="R491" t="inlineStr">
        <is>
          <t>Filled</t>
        </is>
      </c>
    </row>
    <row r="492" ht="18" customHeight="1" s="302">
      <c r="A492" s="314" t="n">
        <v>99999101069</v>
      </c>
      <c r="B492" s="326" t="inlineStr">
        <is>
          <t>Vacant</t>
        </is>
      </c>
      <c r="C492" s="326" t="inlineStr">
        <is>
          <t>Snr Engineer</t>
        </is>
      </c>
      <c r="D492" s="315" t="inlineStr">
        <is>
          <t>vacant</t>
        </is>
      </c>
      <c r="E492" s="326" t="inlineStr">
        <is>
          <t>RPA Lead</t>
        </is>
      </c>
      <c r="F492" s="239" t="inlineStr">
        <is>
          <t>TDD Group Functions</t>
        </is>
      </c>
      <c r="G492" s="315" t="inlineStr">
        <is>
          <t xml:space="preserve">TDD &amp; Engineering </t>
        </is>
      </c>
      <c r="H492" s="315" t="inlineStr">
        <is>
          <t>Integration &amp; Process automation</t>
        </is>
      </c>
      <c r="I492" s="315" t="inlineStr">
        <is>
          <t>B2B &amp; Energy Solutions</t>
        </is>
      </c>
      <c r="J492" s="315" t="inlineStr">
        <is>
          <t>Leadership</t>
        </is>
      </c>
      <c r="K492" s="315" t="inlineStr">
        <is>
          <t>Leadership</t>
        </is>
      </c>
      <c r="L492" s="315" t="n"/>
      <c r="M492" s="316" t="inlineStr">
        <is>
          <t>NZ</t>
        </is>
      </c>
      <c r="N492" t="inlineStr">
        <is>
          <t>Energy Solutions &amp; B2B</t>
        </is>
      </c>
      <c r="O492" t="inlineStr">
        <is>
          <t>Leadership</t>
        </is>
      </c>
      <c r="P492" t="inlineStr">
        <is>
          <t>Leadership</t>
        </is>
      </c>
      <c r="Q492" t="inlineStr">
        <is>
          <t>Leadership</t>
        </is>
      </c>
      <c r="R492" t="inlineStr">
        <is>
          <t>Vacant</t>
        </is>
      </c>
    </row>
    <row r="493" ht="18" customHeight="1" s="302">
      <c r="A493" s="314" t="n">
        <v>109863</v>
      </c>
      <c r="B493" s="239" t="inlineStr">
        <is>
          <t>Shane Ker</t>
        </is>
      </c>
      <c r="C493" s="239" t="inlineStr">
        <is>
          <t>Technology Manger - Finance Platfoms</t>
        </is>
      </c>
      <c r="D493" s="239" t="inlineStr">
        <is>
          <t>Vaso Vukovic</t>
        </is>
      </c>
      <c r="E493" s="239" t="inlineStr">
        <is>
          <t>Head of Technology - P&amp;C, Finance &amp; Legal</t>
        </is>
      </c>
      <c r="F493" s="239" t="inlineStr">
        <is>
          <t>TDD Group Functions</t>
        </is>
      </c>
      <c r="G493" s="326" t="inlineStr">
        <is>
          <t>P&amp;C, Finance &amp; Legal</t>
        </is>
      </c>
      <c r="H493" s="315" t="inlineStr">
        <is>
          <t>Tech, Finance Platforms</t>
        </is>
      </c>
      <c r="I493" s="315" t="inlineStr">
        <is>
          <t>Finance</t>
        </is>
      </c>
      <c r="J493" s="315" t="inlineStr">
        <is>
          <t>Finance</t>
        </is>
      </c>
      <c r="K493" s="315" t="inlineStr">
        <is>
          <t>Leadership</t>
        </is>
      </c>
      <c r="L493" s="315" t="n"/>
      <c r="M493" s="316" t="inlineStr">
        <is>
          <t>Australia</t>
        </is>
      </c>
      <c r="N493" t="inlineStr">
        <is>
          <t>Finance</t>
        </is>
      </c>
      <c r="O493" t="inlineStr">
        <is>
          <t>Leadership</t>
        </is>
      </c>
      <c r="P493" t="inlineStr">
        <is>
          <t>Leadership</t>
        </is>
      </c>
      <c r="Q493" t="inlineStr">
        <is>
          <t>Leadership</t>
        </is>
      </c>
      <c r="R493" t="inlineStr">
        <is>
          <t>Filled</t>
        </is>
      </c>
    </row>
    <row r="494" ht="18" customHeight="1" s="302">
      <c r="A494" s="314" t="n">
        <v>106350</v>
      </c>
      <c r="B494" s="341" t="inlineStr">
        <is>
          <t>Dave O'Keefe</t>
        </is>
      </c>
      <c r="C494" s="326" t="inlineStr">
        <is>
          <t>Technology Manager – P&amp;C Platforms</t>
        </is>
      </c>
      <c r="D494" s="315" t="inlineStr">
        <is>
          <t>Vacant</t>
        </is>
      </c>
      <c r="E494" s="326" t="inlineStr">
        <is>
          <t>Head of Technology - P&amp;C, Finance &amp; Legal</t>
        </is>
      </c>
      <c r="F494" s="239" t="inlineStr">
        <is>
          <t>TDD Group Functions</t>
        </is>
      </c>
      <c r="G494" s="326" t="inlineStr">
        <is>
          <t>P&amp;C, Finance &amp; Legal</t>
        </is>
      </c>
      <c r="H494" s="315" t="inlineStr">
        <is>
          <t>Tech, P&amp;C Platforms</t>
        </is>
      </c>
      <c r="I494" s="315" t="inlineStr">
        <is>
          <t>P&amp;C</t>
        </is>
      </c>
      <c r="J494" s="315" t="inlineStr">
        <is>
          <t>P&amp;C</t>
        </is>
      </c>
      <c r="K494" s="315" t="inlineStr">
        <is>
          <t>Leadership</t>
        </is>
      </c>
      <c r="L494" s="315" t="n"/>
      <c r="M494" s="316" t="n"/>
      <c r="N494" t="inlineStr">
        <is>
          <t>P&amp;C</t>
        </is>
      </c>
      <c r="O494" t="inlineStr">
        <is>
          <t>Leadership</t>
        </is>
      </c>
      <c r="P494" t="inlineStr">
        <is>
          <t>Leadership</t>
        </is>
      </c>
      <c r="Q494" t="inlineStr">
        <is>
          <t>Leadership</t>
        </is>
      </c>
      <c r="R494" t="inlineStr">
        <is>
          <t>Filled</t>
        </is>
      </c>
    </row>
    <row r="495" ht="18" customHeight="1" s="302">
      <c r="A495" s="314" t="n">
        <v>4818</v>
      </c>
      <c r="B495" s="239" t="inlineStr">
        <is>
          <t>Vaso Vukovic</t>
        </is>
      </c>
      <c r="C495" s="239" t="inlineStr">
        <is>
          <t>Head of Technology - P&amp;C, Finance &amp; Legal</t>
        </is>
      </c>
      <c r="D495" s="326" t="inlineStr">
        <is>
          <t>Emily Mogic</t>
        </is>
      </c>
      <c r="E495" s="239" t="inlineStr">
        <is>
          <t>GM TDD, Group Function</t>
        </is>
      </c>
      <c r="F495" s="239" t="inlineStr">
        <is>
          <t>TDD Group Functions</t>
        </is>
      </c>
      <c r="G495" s="326" t="inlineStr">
        <is>
          <t>P&amp;C, Finance &amp; Legal</t>
        </is>
      </c>
      <c r="H495" s="315" t="inlineStr">
        <is>
          <t>Technology, CF Engineering</t>
        </is>
      </c>
      <c r="I495" s="315" t="inlineStr">
        <is>
          <t>P&amp;C, Finance &amp; Legal</t>
        </is>
      </c>
      <c r="J495" s="315" t="inlineStr">
        <is>
          <t>P&amp;C, Finance &amp; Legal</t>
        </is>
      </c>
      <c r="K495" s="315" t="inlineStr">
        <is>
          <t>Leadership</t>
        </is>
      </c>
      <c r="L495" s="315" t="n"/>
      <c r="M495" s="316" t="inlineStr">
        <is>
          <t>Australia</t>
        </is>
      </c>
      <c r="N495" t="inlineStr">
        <is>
          <t>P&amp;C</t>
        </is>
      </c>
      <c r="O495" t="inlineStr">
        <is>
          <t>Leadership</t>
        </is>
      </c>
      <c r="P495" t="inlineStr">
        <is>
          <t>Leadership</t>
        </is>
      </c>
      <c r="Q495" t="inlineStr">
        <is>
          <t>Leadership</t>
        </is>
      </c>
      <c r="R495" t="inlineStr">
        <is>
          <t>Filled</t>
        </is>
      </c>
    </row>
    <row r="496" ht="18" customHeight="1" s="302">
      <c r="A496" s="314" t="n"/>
      <c r="B496" s="341" t="inlineStr">
        <is>
          <t>Vacant</t>
        </is>
      </c>
      <c r="C496" s="326" t="inlineStr">
        <is>
          <t>Delivery Manager</t>
        </is>
      </c>
      <c r="D496" s="315" t="inlineStr">
        <is>
          <t>Vacant</t>
        </is>
      </c>
      <c r="E496" s="350" t="inlineStr">
        <is>
          <t>Head of Technology - P&amp;C, Finance &amp; Legal</t>
        </is>
      </c>
      <c r="F496" s="239" t="inlineStr">
        <is>
          <t>TDD Group Functions</t>
        </is>
      </c>
      <c r="G496" s="326" t="inlineStr">
        <is>
          <t>P&amp;C, Finance &amp; Legal</t>
        </is>
      </c>
      <c r="H496" s="315" t="inlineStr">
        <is>
          <t>Delivery, Commercial Fuels</t>
        </is>
      </c>
      <c r="I496" s="315" t="inlineStr">
        <is>
          <t>P&amp;C, Finance &amp; Legal</t>
        </is>
      </c>
      <c r="J496" s="315" t="inlineStr">
        <is>
          <t>P&amp;C, Finance &amp; Legal</t>
        </is>
      </c>
      <c r="K496" s="315" t="inlineStr">
        <is>
          <t>Leadership</t>
        </is>
      </c>
      <c r="L496" s="315" t="n"/>
      <c r="M496" s="316" t="n"/>
      <c r="N496" t="inlineStr">
        <is>
          <t>P&amp;C</t>
        </is>
      </c>
      <c r="O496" t="inlineStr">
        <is>
          <t>Leadership</t>
        </is>
      </c>
      <c r="P496" t="inlineStr">
        <is>
          <t>Leadership</t>
        </is>
      </c>
      <c r="Q496" t="inlineStr">
        <is>
          <t>Leadership</t>
        </is>
      </c>
      <c r="R496" t="inlineStr">
        <is>
          <t>Vacant</t>
        </is>
      </c>
    </row>
    <row r="497" ht="18" customHeight="1" s="302">
      <c r="A497" s="314" t="n"/>
      <c r="B497" s="239" t="inlineStr">
        <is>
          <t>Vacant</t>
        </is>
      </c>
      <c r="C497" s="239" t="inlineStr">
        <is>
          <t>Head of Technology - TDD &amp; Engineering Capability Lead</t>
        </is>
      </c>
      <c r="D497" s="326" t="inlineStr">
        <is>
          <t>Emily Mogic</t>
        </is>
      </c>
      <c r="E497" s="239" t="inlineStr">
        <is>
          <t>GM TDD, Group Function</t>
        </is>
      </c>
      <c r="F497" s="239" t="inlineStr">
        <is>
          <t>TDD Group Functions</t>
        </is>
      </c>
      <c r="G497" s="315" t="inlineStr">
        <is>
          <t xml:space="preserve">TDD &amp; Engineering </t>
        </is>
      </c>
      <c r="H497" s="315" t="inlineStr">
        <is>
          <t>na</t>
        </is>
      </c>
      <c r="I497" s="315" t="inlineStr">
        <is>
          <t>TDD</t>
        </is>
      </c>
      <c r="J497" s="315" t="inlineStr">
        <is>
          <t>TDD</t>
        </is>
      </c>
      <c r="K497" s="315" t="inlineStr">
        <is>
          <t>Leadership</t>
        </is>
      </c>
      <c r="L497" s="315" t="n"/>
      <c r="M497" s="316" t="n"/>
      <c r="N497" t="inlineStr">
        <is>
          <t>TDD Group Functions</t>
        </is>
      </c>
      <c r="O497" t="inlineStr">
        <is>
          <t>Leadership</t>
        </is>
      </c>
      <c r="P497" t="inlineStr">
        <is>
          <t>Leadership</t>
        </is>
      </c>
      <c r="Q497" t="inlineStr">
        <is>
          <t>Leadership</t>
        </is>
      </c>
      <c r="R497" t="inlineStr">
        <is>
          <t>Vacant</t>
        </is>
      </c>
    </row>
    <row r="498" ht="18" customHeight="1" s="302">
      <c r="A498" s="314" t="n">
        <v>99999100381</v>
      </c>
      <c r="B498" s="239" t="inlineStr">
        <is>
          <t>Nakul Bharade</t>
        </is>
      </c>
      <c r="C498" s="239" t="inlineStr">
        <is>
          <t>Lead Engineer Software</t>
        </is>
      </c>
      <c r="D498" s="239" t="inlineStr">
        <is>
          <t>Mike Seales</t>
        </is>
      </c>
      <c r="E498" s="239" t="inlineStr">
        <is>
          <t>Technology Manager Integration &amp; Process Managemetn</t>
        </is>
      </c>
      <c r="F498" s="239" t="inlineStr">
        <is>
          <t>TDD Group Functions</t>
        </is>
      </c>
      <c r="G498" s="315" t="inlineStr">
        <is>
          <t xml:space="preserve">TDD &amp; Engineering </t>
        </is>
      </c>
      <c r="H498" s="239" t="inlineStr">
        <is>
          <t>Leadership</t>
        </is>
      </c>
      <c r="I498" s="239" t="inlineStr">
        <is>
          <t>TDD</t>
        </is>
      </c>
      <c r="J498" s="315" t="inlineStr">
        <is>
          <t>Leadership</t>
        </is>
      </c>
      <c r="K498" s="315" t="inlineStr">
        <is>
          <t>Leadership</t>
        </is>
      </c>
      <c r="L498" s="315" t="n"/>
      <c r="M498" s="316" t="inlineStr">
        <is>
          <t>NZ</t>
        </is>
      </c>
      <c r="N498" t="inlineStr">
        <is>
          <t>TDD Group Functions</t>
        </is>
      </c>
      <c r="O498" t="inlineStr">
        <is>
          <t>Leadership</t>
        </is>
      </c>
      <c r="P498" t="inlineStr">
        <is>
          <t>Leadership</t>
        </is>
      </c>
      <c r="Q498" t="inlineStr">
        <is>
          <t>Leadership</t>
        </is>
      </c>
      <c r="R498" t="inlineStr">
        <is>
          <t>Filled</t>
        </is>
      </c>
    </row>
    <row r="499" ht="18" customHeight="1" s="302">
      <c r="A499" s="314" t="n">
        <v>113017</v>
      </c>
      <c r="B499" s="341" t="inlineStr">
        <is>
          <t>Murray Mitchell</t>
        </is>
      </c>
      <c r="C499" s="326" t="inlineStr">
        <is>
          <t>Technology Manager, Workplace and Enterprise Tooling</t>
        </is>
      </c>
      <c r="D499" s="315" t="inlineStr">
        <is>
          <t>Vacant</t>
        </is>
      </c>
      <c r="E499" s="326" t="inlineStr">
        <is>
          <t>Head of Technology - TDD &amp; Engineering Capability Lead</t>
        </is>
      </c>
      <c r="F499" s="239" t="inlineStr">
        <is>
          <t>TDD Group Functions</t>
        </is>
      </c>
      <c r="G499" s="315" t="inlineStr">
        <is>
          <t xml:space="preserve">TDD &amp; Engineering </t>
        </is>
      </c>
      <c r="H499" s="315" t="n"/>
      <c r="I499" s="315" t="inlineStr">
        <is>
          <t>TDD</t>
        </is>
      </c>
      <c r="J499" s="315" t="inlineStr">
        <is>
          <t>TDD</t>
        </is>
      </c>
      <c r="K499" s="315" t="inlineStr">
        <is>
          <t>Leadership</t>
        </is>
      </c>
      <c r="L499" s="315" t="n"/>
      <c r="M499" s="316" t="n"/>
      <c r="N499" t="inlineStr">
        <is>
          <t>TDD Group Functions</t>
        </is>
      </c>
      <c r="O499" t="inlineStr">
        <is>
          <t>Leadership</t>
        </is>
      </c>
      <c r="P499" t="inlineStr">
        <is>
          <t>Leadership</t>
        </is>
      </c>
      <c r="Q499" t="inlineStr">
        <is>
          <t>Leadership</t>
        </is>
      </c>
      <c r="R499" t="inlineStr">
        <is>
          <t>Filled</t>
        </is>
      </c>
    </row>
    <row r="500" ht="18" customHeight="1" s="302">
      <c r="A500" s="314" t="n"/>
      <c r="B500" s="341" t="inlineStr">
        <is>
          <t>Vacant</t>
        </is>
      </c>
      <c r="C500" s="326" t="inlineStr">
        <is>
          <t>Technology Manager – DevOps and Quality Engineering</t>
        </is>
      </c>
      <c r="D500" s="326" t="inlineStr">
        <is>
          <t>vacant</t>
        </is>
      </c>
      <c r="E500" s="317" t="inlineStr">
        <is>
          <t>Head of Technology- TDD &amp; Engineering Capability</t>
        </is>
      </c>
      <c r="F500" s="239" t="inlineStr">
        <is>
          <t>TDD Group Functions</t>
        </is>
      </c>
      <c r="G500" s="315" t="inlineStr">
        <is>
          <t>TDD &amp; Engineering</t>
        </is>
      </c>
      <c r="H500" s="315" t="n"/>
      <c r="I500" s="315" t="inlineStr">
        <is>
          <t>TDD</t>
        </is>
      </c>
      <c r="J500" s="315" t="inlineStr">
        <is>
          <t>TDD</t>
        </is>
      </c>
      <c r="K500" s="315" t="inlineStr">
        <is>
          <t>Leadership</t>
        </is>
      </c>
      <c r="L500" s="315" t="n"/>
      <c r="M500" s="316" t="n"/>
      <c r="N500" t="inlineStr">
        <is>
          <t>TDD Group Functions</t>
        </is>
      </c>
      <c r="O500" t="inlineStr">
        <is>
          <t>Leadership</t>
        </is>
      </c>
      <c r="P500" t="inlineStr">
        <is>
          <t>Leadership</t>
        </is>
      </c>
      <c r="Q500" t="inlineStr">
        <is>
          <t>Leadership</t>
        </is>
      </c>
      <c r="R500" t="inlineStr">
        <is>
          <t>Vacant</t>
        </is>
      </c>
    </row>
    <row r="501" ht="18" customHeight="1" s="302">
      <c r="A501" s="314" t="n"/>
      <c r="B501" s="341" t="inlineStr">
        <is>
          <t>Vacant</t>
        </is>
      </c>
      <c r="C501" s="326" t="inlineStr">
        <is>
          <t>Delivery Manager</t>
        </is>
      </c>
      <c r="D501" s="315" t="inlineStr">
        <is>
          <t>vacant</t>
        </is>
      </c>
      <c r="E501" s="326" t="inlineStr">
        <is>
          <t>Head of Technology - TDD &amp; Engineering Capability Lead</t>
        </is>
      </c>
      <c r="F501" s="239" t="inlineStr">
        <is>
          <t>TDD Group Functions</t>
        </is>
      </c>
      <c r="G501" s="315" t="inlineStr">
        <is>
          <t xml:space="preserve">TDD &amp; Engineering </t>
        </is>
      </c>
      <c r="H501" s="315" t="n"/>
      <c r="I501" s="315" t="inlineStr">
        <is>
          <t>TDD</t>
        </is>
      </c>
      <c r="J501" s="315" t="inlineStr">
        <is>
          <t>TDD</t>
        </is>
      </c>
      <c r="K501" s="315" t="inlineStr">
        <is>
          <t>Leadership</t>
        </is>
      </c>
      <c r="L501" s="315" t="n"/>
      <c r="M501" s="316" t="n"/>
      <c r="N501" t="inlineStr">
        <is>
          <t>TDD Group Functions</t>
        </is>
      </c>
      <c r="O501" t="inlineStr">
        <is>
          <t>Leadership</t>
        </is>
      </c>
      <c r="P501" t="inlineStr">
        <is>
          <t>Leadership</t>
        </is>
      </c>
      <c r="Q501" t="inlineStr">
        <is>
          <t>Leadership</t>
        </is>
      </c>
      <c r="R501" t="inlineStr">
        <is>
          <t>Vacant</t>
        </is>
      </c>
    </row>
    <row r="502" ht="18" customHeight="1" s="302">
      <c r="A502" s="314" t="n"/>
      <c r="B502" s="341" t="inlineStr">
        <is>
          <t>Vacant</t>
        </is>
      </c>
      <c r="C502" s="326" t="inlineStr">
        <is>
          <t>Technology Manager – Cloud, Network and Infrastructure Operations</t>
        </is>
      </c>
      <c r="D502" s="326" t="inlineStr">
        <is>
          <t>vacant</t>
        </is>
      </c>
      <c r="E502" s="315" t="inlineStr">
        <is>
          <t>Head of Technology - TDD &amp; Engineering Capability Lead</t>
        </is>
      </c>
      <c r="F502" s="239" t="inlineStr">
        <is>
          <t>TDD Group Functions</t>
        </is>
      </c>
      <c r="G502" s="315" t="inlineStr">
        <is>
          <t>TDD &amp; Engineering</t>
        </is>
      </c>
      <c r="H502" s="315" t="inlineStr">
        <is>
          <t>Cloud Network &amp; Infra Ops</t>
        </is>
      </c>
      <c r="I502" s="315" t="inlineStr">
        <is>
          <t>TDD</t>
        </is>
      </c>
      <c r="J502" s="315" t="inlineStr">
        <is>
          <t>TDD</t>
        </is>
      </c>
      <c r="K502" s="315" t="inlineStr">
        <is>
          <t>Leadership</t>
        </is>
      </c>
      <c r="L502" s="315" t="n"/>
      <c r="M502" s="316" t="n"/>
      <c r="N502" t="inlineStr">
        <is>
          <t>TDD Group Functions</t>
        </is>
      </c>
      <c r="O502" t="inlineStr">
        <is>
          <t>Leadership</t>
        </is>
      </c>
      <c r="P502" t="inlineStr">
        <is>
          <t>Leadership</t>
        </is>
      </c>
      <c r="Q502" t="inlineStr">
        <is>
          <t>Leadership</t>
        </is>
      </c>
      <c r="R502" t="inlineStr">
        <is>
          <t>Vacant</t>
        </is>
      </c>
    </row>
    <row r="503" ht="18" customHeight="1" s="302">
      <c r="A503" s="314" t="n">
        <v>114573</v>
      </c>
      <c r="B503" s="326" t="inlineStr">
        <is>
          <t>Vacant</t>
        </is>
      </c>
      <c r="C503" s="326" t="inlineStr">
        <is>
          <t>Snr Engineer</t>
        </is>
      </c>
      <c r="D503" s="315" t="inlineStr">
        <is>
          <t>vacant</t>
        </is>
      </c>
      <c r="E503" s="326" t="inlineStr">
        <is>
          <t>RPA Lead</t>
        </is>
      </c>
      <c r="F503" s="239" t="inlineStr">
        <is>
          <t>TDD Group Functions</t>
        </is>
      </c>
      <c r="G503" s="315" t="inlineStr">
        <is>
          <t xml:space="preserve">TDD &amp; Engineering </t>
        </is>
      </c>
      <c r="H503" s="315" t="inlineStr">
        <is>
          <t>Technology, T&amp;S Data</t>
        </is>
      </c>
      <c r="I503" s="239" t="inlineStr">
        <is>
          <t>TDD</t>
        </is>
      </c>
      <c r="J503" s="315" t="inlineStr">
        <is>
          <t>Leadership</t>
        </is>
      </c>
      <c r="K503" s="315" t="inlineStr">
        <is>
          <t>Leadership</t>
        </is>
      </c>
      <c r="L503" s="315" t="n"/>
      <c r="M503" s="316" t="inlineStr">
        <is>
          <t>Australia</t>
        </is>
      </c>
      <c r="N503" t="inlineStr">
        <is>
          <t>TDD Group Functions</t>
        </is>
      </c>
      <c r="O503" t="inlineStr">
        <is>
          <t>Leadership</t>
        </is>
      </c>
      <c r="P503" t="inlineStr">
        <is>
          <t>Leadership</t>
        </is>
      </c>
      <c r="Q503" t="inlineStr">
        <is>
          <t>Leadership</t>
        </is>
      </c>
      <c r="R503" t="inlineStr">
        <is>
          <t>Vacant</t>
        </is>
      </c>
    </row>
    <row r="504" ht="18" customHeight="1" s="302">
      <c r="A504" s="314" t="n">
        <v>99999170438</v>
      </c>
      <c r="B504" s="341" t="inlineStr">
        <is>
          <t>Leilanie Avilla</t>
        </is>
      </c>
      <c r="C504" s="326" t="inlineStr">
        <is>
          <t>JDE Systems Specialist</t>
        </is>
      </c>
      <c r="D504" s="315" t="inlineStr">
        <is>
          <t>Lydia Pritchard</t>
        </is>
      </c>
      <c r="E504" s="326" t="inlineStr">
        <is>
          <t>Lead JDE System Specialist</t>
        </is>
      </c>
      <c r="F504" s="239" t="inlineStr">
        <is>
          <t>TDD Group Functions</t>
        </is>
      </c>
      <c r="G504" s="326" t="inlineStr">
        <is>
          <t>P&amp;C, Finance &amp; Legal</t>
        </is>
      </c>
      <c r="H504" s="315" t="inlineStr">
        <is>
          <t>Tech, Finance Platforms</t>
        </is>
      </c>
      <c r="I504" s="315" t="inlineStr">
        <is>
          <t>Finance</t>
        </is>
      </c>
      <c r="J504" s="315" t="inlineStr">
        <is>
          <t>NZ Finance</t>
        </is>
      </c>
      <c r="K504" s="315" t="inlineStr">
        <is>
          <t>NZ Finance</t>
        </is>
      </c>
      <c r="L504" s="315" t="n"/>
      <c r="M504" s="316" t="inlineStr">
        <is>
          <t>NZ</t>
        </is>
      </c>
      <c r="N504" t="inlineStr">
        <is>
          <t>Finance</t>
        </is>
      </c>
      <c r="O504" t="inlineStr">
        <is>
          <t>NZ Finance</t>
        </is>
      </c>
      <c r="P504" t="inlineStr">
        <is>
          <t>NZ Finance</t>
        </is>
      </c>
      <c r="Q504" t="inlineStr">
        <is>
          <t>Squad</t>
        </is>
      </c>
      <c r="R504" t="inlineStr">
        <is>
          <t>Filled</t>
        </is>
      </c>
    </row>
    <row r="505" ht="18" customHeight="1" s="302">
      <c r="A505" s="314" t="n">
        <v>113562</v>
      </c>
      <c r="B505" s="341" t="inlineStr">
        <is>
          <t>Kamal Patel</t>
        </is>
      </c>
      <c r="C505" s="326" t="inlineStr">
        <is>
          <t>JDE Senior Systems Specialist</t>
        </is>
      </c>
      <c r="D505" s="315" t="inlineStr">
        <is>
          <t>Lydia Pritchard</t>
        </is>
      </c>
      <c r="E505" s="326" t="inlineStr">
        <is>
          <t>Lead JDE System Specialist</t>
        </is>
      </c>
      <c r="F505" s="239" t="inlineStr">
        <is>
          <t>TDD Group Functions</t>
        </is>
      </c>
      <c r="G505" s="326" t="inlineStr">
        <is>
          <t>P&amp;C, Finance &amp; Legal</t>
        </is>
      </c>
      <c r="H505" s="315" t="inlineStr">
        <is>
          <t>Tech, Finance Platforms</t>
        </is>
      </c>
      <c r="I505" s="315" t="inlineStr">
        <is>
          <t>Finance</t>
        </is>
      </c>
      <c r="J505" s="315" t="inlineStr">
        <is>
          <t>NZ Finance</t>
        </is>
      </c>
      <c r="K505" s="315" t="inlineStr">
        <is>
          <t>NZ Finance</t>
        </is>
      </c>
      <c r="L505" s="315" t="n"/>
      <c r="M505" s="316" t="n"/>
      <c r="N505" t="inlineStr">
        <is>
          <t>Finance</t>
        </is>
      </c>
      <c r="O505" t="inlineStr">
        <is>
          <t>NZ Finance</t>
        </is>
      </c>
      <c r="P505" t="inlineStr">
        <is>
          <t>NZ Finance</t>
        </is>
      </c>
      <c r="Q505" t="inlineStr">
        <is>
          <t>Squad</t>
        </is>
      </c>
      <c r="R505" t="inlineStr">
        <is>
          <t>Filled</t>
        </is>
      </c>
    </row>
    <row r="506" ht="18" customHeight="1" s="302">
      <c r="A506" s="314" t="n">
        <v>113587</v>
      </c>
      <c r="B506" s="341" t="inlineStr">
        <is>
          <t>Martyn Rudduck</t>
        </is>
      </c>
      <c r="C506" s="326" t="inlineStr">
        <is>
          <t>JDE Senior Systems Specialist</t>
        </is>
      </c>
      <c r="D506" s="315" t="inlineStr">
        <is>
          <t>Lydia Pritchard</t>
        </is>
      </c>
      <c r="E506" s="326" t="inlineStr">
        <is>
          <t>Lead JDE System Specialist</t>
        </is>
      </c>
      <c r="F506" s="239" t="inlineStr">
        <is>
          <t>TDD Group Functions</t>
        </is>
      </c>
      <c r="G506" s="326" t="inlineStr">
        <is>
          <t>P&amp;C, Finance &amp; Legal</t>
        </is>
      </c>
      <c r="H506" s="315" t="inlineStr">
        <is>
          <t>Tech, Finance Platforms</t>
        </is>
      </c>
      <c r="I506" s="315" t="inlineStr">
        <is>
          <t>Finance</t>
        </is>
      </c>
      <c r="J506" s="315" t="inlineStr">
        <is>
          <t>NZ Finance</t>
        </is>
      </c>
      <c r="K506" s="315" t="inlineStr">
        <is>
          <t>NZ Finance</t>
        </is>
      </c>
      <c r="L506" s="315" t="n"/>
      <c r="M506" s="316" t="n"/>
      <c r="N506" t="inlineStr">
        <is>
          <t>Finance</t>
        </is>
      </c>
      <c r="O506" t="inlineStr">
        <is>
          <t>NZ Finance</t>
        </is>
      </c>
      <c r="P506" t="inlineStr">
        <is>
          <t>NZ Finance</t>
        </is>
      </c>
      <c r="Q506" t="inlineStr">
        <is>
          <t>Squad</t>
        </is>
      </c>
      <c r="R506" t="inlineStr">
        <is>
          <t>Filled</t>
        </is>
      </c>
    </row>
    <row r="507" ht="18" customHeight="1" s="302">
      <c r="A507" s="314" t="n">
        <v>99999100336</v>
      </c>
      <c r="B507" s="239" t="inlineStr">
        <is>
          <t>Lydia Pritchard</t>
        </is>
      </c>
      <c r="C507" s="239" t="inlineStr">
        <is>
          <t>Lead JDE Systems Specialist</t>
        </is>
      </c>
      <c r="D507" s="239" t="inlineStr">
        <is>
          <t>Shane Ker</t>
        </is>
      </c>
      <c r="E507" s="239" t="inlineStr">
        <is>
          <t>Technology Manager Finance Platforms</t>
        </is>
      </c>
      <c r="F507" s="239" t="inlineStr">
        <is>
          <t>TDD Group Functions</t>
        </is>
      </c>
      <c r="G507" s="326" t="inlineStr">
        <is>
          <t>P&amp;C, Finance &amp; Legal</t>
        </is>
      </c>
      <c r="H507" s="315" t="inlineStr">
        <is>
          <t>Tech, Finance Platforms</t>
        </is>
      </c>
      <c r="I507" s="315" t="inlineStr">
        <is>
          <t>Finance</t>
        </is>
      </c>
      <c r="J507" s="315" t="inlineStr">
        <is>
          <t>NZ Finance</t>
        </is>
      </c>
      <c r="K507" s="315" t="inlineStr">
        <is>
          <t>NZ Finance</t>
        </is>
      </c>
      <c r="L507" s="315" t="n"/>
      <c r="M507" s="316" t="inlineStr">
        <is>
          <t>NZ</t>
        </is>
      </c>
      <c r="N507" t="inlineStr">
        <is>
          <t>Finance</t>
        </is>
      </c>
      <c r="O507" t="inlineStr">
        <is>
          <t>NZ Finance</t>
        </is>
      </c>
      <c r="P507" t="inlineStr">
        <is>
          <t>NZ Finance</t>
        </is>
      </c>
      <c r="Q507" t="inlineStr">
        <is>
          <t>Squad</t>
        </is>
      </c>
      <c r="R507" t="inlineStr">
        <is>
          <t>Filled</t>
        </is>
      </c>
    </row>
    <row r="508" ht="18" customHeight="1" s="302">
      <c r="A508" s="314" t="n"/>
      <c r="B508" s="341" t="inlineStr">
        <is>
          <t>Vacant</t>
        </is>
      </c>
      <c r="C508" s="326" t="inlineStr">
        <is>
          <t>Delivery Lead (JDE)</t>
        </is>
      </c>
      <c r="D508" s="315" t="inlineStr">
        <is>
          <t>Vacant</t>
        </is>
      </c>
      <c r="E508" s="326" t="inlineStr">
        <is>
          <t>Delivery Manager, P&amp;C, Finance &amp; Legal</t>
        </is>
      </c>
      <c r="F508" s="239" t="inlineStr">
        <is>
          <t>TDD Group Functions</t>
        </is>
      </c>
      <c r="G508" s="326" t="inlineStr">
        <is>
          <t>P&amp;C, Finance &amp; Legal</t>
        </is>
      </c>
      <c r="H508" s="315" t="inlineStr">
        <is>
          <t>Delivery, P&amp;C, Finance &amp; Legal</t>
        </is>
      </c>
      <c r="I508" s="315" t="inlineStr">
        <is>
          <t>Finance</t>
        </is>
      </c>
      <c r="J508" s="315" t="inlineStr">
        <is>
          <t>NZ Finance</t>
        </is>
      </c>
      <c r="K508" s="315" t="inlineStr">
        <is>
          <t>NZ Finance</t>
        </is>
      </c>
      <c r="L508" s="315" t="n"/>
      <c r="M508" s="316" t="n"/>
      <c r="N508" t="inlineStr">
        <is>
          <t>Finance</t>
        </is>
      </c>
      <c r="O508" t="inlineStr">
        <is>
          <t>NZ Finance</t>
        </is>
      </c>
      <c r="P508" t="inlineStr">
        <is>
          <t>NZ Finance</t>
        </is>
      </c>
      <c r="Q508" t="inlineStr">
        <is>
          <t>Squad</t>
        </is>
      </c>
      <c r="R508" t="inlineStr">
        <is>
          <t>Vacant</t>
        </is>
      </c>
    </row>
    <row r="509" ht="18" customHeight="1" s="302">
      <c r="A509" s="314" t="n">
        <v>83003</v>
      </c>
      <c r="B509" s="239" t="inlineStr">
        <is>
          <t>Grace Hadiwijaya</t>
        </is>
      </c>
      <c r="C509" s="239" t="inlineStr">
        <is>
          <t>Lead P&amp;C Platforms</t>
        </is>
      </c>
      <c r="D509" s="315" t="inlineStr">
        <is>
          <t>Vacant</t>
        </is>
      </c>
      <c r="E509" s="239" t="inlineStr">
        <is>
          <t>Technology Manager P&amp;C Platforms</t>
        </is>
      </c>
      <c r="F509" s="239" t="inlineStr">
        <is>
          <t>TDD Group Functions</t>
        </is>
      </c>
      <c r="G509" s="326" t="inlineStr">
        <is>
          <t>Loyalty &amp; Martech</t>
        </is>
      </c>
      <c r="H509" s="315" t="inlineStr">
        <is>
          <t>Tech, P&amp;C Platforms</t>
        </is>
      </c>
      <c r="I509" s="315" t="inlineStr">
        <is>
          <t>P&amp;C</t>
        </is>
      </c>
      <c r="J509" s="315" t="inlineStr">
        <is>
          <t>P&amp;C</t>
        </is>
      </c>
      <c r="K509" s="315" t="inlineStr">
        <is>
          <t>P&amp;C</t>
        </is>
      </c>
      <c r="L509" s="315" t="n"/>
      <c r="M509" s="316" t="inlineStr">
        <is>
          <t>Australia</t>
        </is>
      </c>
      <c r="N509" t="inlineStr">
        <is>
          <t>P&amp;C</t>
        </is>
      </c>
      <c r="O509" t="inlineStr">
        <is>
          <t>P&amp;C</t>
        </is>
      </c>
      <c r="P509" t="inlineStr">
        <is>
          <t>P&amp;C</t>
        </is>
      </c>
      <c r="Q509" t="inlineStr">
        <is>
          <t>Squad</t>
        </is>
      </c>
      <c r="R509" t="inlineStr">
        <is>
          <t>Filled</t>
        </is>
      </c>
    </row>
    <row r="510" ht="18" customHeight="1" s="302">
      <c r="A510" s="314" t="n"/>
      <c r="B510" s="341" t="inlineStr">
        <is>
          <t>Vacant</t>
        </is>
      </c>
      <c r="C510" s="326" t="inlineStr">
        <is>
          <t>Quality Assurance</t>
        </is>
      </c>
      <c r="D510" s="315" t="inlineStr">
        <is>
          <t>Vacant</t>
        </is>
      </c>
      <c r="E510" s="239" t="inlineStr">
        <is>
          <t>Technology Manager P&amp;C Platforms</t>
        </is>
      </c>
      <c r="F510" s="239" t="inlineStr">
        <is>
          <t>TDD Group Functions</t>
        </is>
      </c>
      <c r="G510" s="326" t="inlineStr">
        <is>
          <t>P&amp;C, Finance &amp; Legal</t>
        </is>
      </c>
      <c r="H510" s="315" t="inlineStr">
        <is>
          <t>Tech, P&amp;C Platforms</t>
        </is>
      </c>
      <c r="I510" s="315" t="inlineStr">
        <is>
          <t>P&amp;C</t>
        </is>
      </c>
      <c r="J510" s="315" t="inlineStr">
        <is>
          <t>P&amp;C</t>
        </is>
      </c>
      <c r="K510" s="315" t="inlineStr">
        <is>
          <t>P&amp;C</t>
        </is>
      </c>
      <c r="L510" s="315" t="n"/>
      <c r="M510" s="316" t="n"/>
      <c r="N510" t="inlineStr">
        <is>
          <t>P&amp;C</t>
        </is>
      </c>
      <c r="O510" t="inlineStr">
        <is>
          <t>P&amp;C</t>
        </is>
      </c>
      <c r="P510" t="inlineStr">
        <is>
          <t>P&amp;C</t>
        </is>
      </c>
      <c r="Q510" t="inlineStr">
        <is>
          <t>Squad</t>
        </is>
      </c>
      <c r="R510" t="inlineStr">
        <is>
          <t>Vacant</t>
        </is>
      </c>
    </row>
    <row r="511" ht="18" customHeight="1" s="302">
      <c r="A511" s="314" t="n">
        <v>93476</v>
      </c>
      <c r="B511" s="239" t="inlineStr">
        <is>
          <t>Prerna Sharma</t>
        </is>
      </c>
      <c r="C511" s="239" t="inlineStr">
        <is>
          <t>SAP HR Specialist</t>
        </is>
      </c>
      <c r="D511" s="315" t="inlineStr">
        <is>
          <t>Vacant</t>
        </is>
      </c>
      <c r="E511" s="239" t="inlineStr">
        <is>
          <t>Technology Manager P&amp;C Platforms</t>
        </is>
      </c>
      <c r="F511" s="239" t="inlineStr">
        <is>
          <t>TDD Group Functions</t>
        </is>
      </c>
      <c r="G511" s="326" t="inlineStr">
        <is>
          <t>P&amp;C, Finance &amp; Legal</t>
        </is>
      </c>
      <c r="H511" s="315" t="inlineStr">
        <is>
          <t>Tech, P&amp;C Platforms</t>
        </is>
      </c>
      <c r="I511" s="315" t="inlineStr">
        <is>
          <t>P&amp;C</t>
        </is>
      </c>
      <c r="J511" s="315" t="inlineStr">
        <is>
          <t>P&amp;C</t>
        </is>
      </c>
      <c r="K511" s="315" t="inlineStr">
        <is>
          <t>P&amp;C</t>
        </is>
      </c>
      <c r="L511" s="315" t="n"/>
      <c r="M511" s="316" t="inlineStr">
        <is>
          <t>Australia</t>
        </is>
      </c>
      <c r="N511" t="inlineStr">
        <is>
          <t>P&amp;C</t>
        </is>
      </c>
      <c r="O511" t="inlineStr">
        <is>
          <t>P&amp;C</t>
        </is>
      </c>
      <c r="P511" t="inlineStr">
        <is>
          <t>P&amp;C</t>
        </is>
      </c>
      <c r="Q511" t="inlineStr">
        <is>
          <t>Squad</t>
        </is>
      </c>
      <c r="R511" t="inlineStr">
        <is>
          <t>Filled</t>
        </is>
      </c>
    </row>
    <row r="512" ht="18" customHeight="1" s="302">
      <c r="A512" s="314" t="n"/>
      <c r="B512" s="341" t="inlineStr">
        <is>
          <t>Vacant</t>
        </is>
      </c>
      <c r="C512" s="326" t="inlineStr">
        <is>
          <t>Engineer</t>
        </is>
      </c>
      <c r="D512" s="315" t="inlineStr">
        <is>
          <t>vacant</t>
        </is>
      </c>
      <c r="E512" s="239" t="inlineStr">
        <is>
          <t>Technology Manager P&amp;C Platforms</t>
        </is>
      </c>
      <c r="F512" s="239" t="inlineStr">
        <is>
          <t>TDD Group Functions</t>
        </is>
      </c>
      <c r="G512" s="326" t="inlineStr">
        <is>
          <t>P&amp;C, Finance &amp; Legal</t>
        </is>
      </c>
      <c r="H512" s="315" t="inlineStr">
        <is>
          <t>Tech, P&amp;C Platforms</t>
        </is>
      </c>
      <c r="I512" s="315" t="inlineStr">
        <is>
          <t>P&amp;C</t>
        </is>
      </c>
      <c r="J512" s="315" t="inlineStr">
        <is>
          <t>P&amp;C</t>
        </is>
      </c>
      <c r="K512" s="315" t="inlineStr">
        <is>
          <t>P&amp;C</t>
        </is>
      </c>
      <c r="L512" s="315" t="n"/>
      <c r="M512" s="316" t="n"/>
      <c r="N512" t="inlineStr">
        <is>
          <t>P&amp;C</t>
        </is>
      </c>
      <c r="O512" t="inlineStr">
        <is>
          <t>P&amp;C</t>
        </is>
      </c>
      <c r="P512" t="inlineStr">
        <is>
          <t>P&amp;C</t>
        </is>
      </c>
      <c r="Q512" t="inlineStr">
        <is>
          <t>Squad</t>
        </is>
      </c>
      <c r="R512" t="inlineStr">
        <is>
          <t>Vacant</t>
        </is>
      </c>
    </row>
    <row r="513" ht="18" customHeight="1" s="302">
      <c r="A513" s="314" t="n">
        <v>108123</v>
      </c>
      <c r="B513" s="239" t="inlineStr">
        <is>
          <t>Maadhu Suresh</t>
        </is>
      </c>
      <c r="C513" s="239" t="inlineStr">
        <is>
          <t>Solution Architect</t>
        </is>
      </c>
      <c r="D513" s="315" t="inlineStr">
        <is>
          <t>Vacant</t>
        </is>
      </c>
      <c r="E513" s="239" t="inlineStr">
        <is>
          <t>Technology Manager P&amp;C Platforms</t>
        </is>
      </c>
      <c r="F513" s="239" t="inlineStr">
        <is>
          <t>TDD Group Functions</t>
        </is>
      </c>
      <c r="G513" s="326" t="inlineStr">
        <is>
          <t>P&amp;C, Finance &amp; Legal</t>
        </is>
      </c>
      <c r="H513" s="315" t="inlineStr">
        <is>
          <t>Tech, P&amp;C Platforms</t>
        </is>
      </c>
      <c r="I513" s="315" t="inlineStr">
        <is>
          <t>P&amp;C</t>
        </is>
      </c>
      <c r="J513" s="315" t="inlineStr">
        <is>
          <t>P&amp;C</t>
        </is>
      </c>
      <c r="K513" s="315" t="inlineStr">
        <is>
          <t>P&amp;C</t>
        </is>
      </c>
      <c r="L513" s="315" t="n"/>
      <c r="M513" s="316" t="inlineStr">
        <is>
          <t>Australia</t>
        </is>
      </c>
      <c r="N513" t="inlineStr">
        <is>
          <t>P&amp;C</t>
        </is>
      </c>
      <c r="O513" t="inlineStr">
        <is>
          <t>P&amp;C</t>
        </is>
      </c>
      <c r="P513" t="inlineStr">
        <is>
          <t>P&amp;C</t>
        </is>
      </c>
      <c r="Q513" t="inlineStr">
        <is>
          <t>Squad</t>
        </is>
      </c>
      <c r="R513" t="inlineStr">
        <is>
          <t>Filled</t>
        </is>
      </c>
    </row>
    <row r="514" ht="18" customHeight="1" s="302">
      <c r="A514" s="314" t="n">
        <v>99999101403</v>
      </c>
      <c r="B514" s="239" t="inlineStr">
        <is>
          <t>Michael Pollock</t>
        </is>
      </c>
      <c r="C514" s="239" t="inlineStr">
        <is>
          <t>Lead Business Analyst</t>
        </is>
      </c>
      <c r="D514" s="315" t="inlineStr">
        <is>
          <t>Vacant</t>
        </is>
      </c>
      <c r="E514" s="326" t="inlineStr">
        <is>
          <t>Delivery Manager, P&amp;C, Finance &amp; Legal</t>
        </is>
      </c>
      <c r="F514" s="239" t="inlineStr">
        <is>
          <t>TDD Group Functions</t>
        </is>
      </c>
      <c r="G514" s="326" t="inlineStr">
        <is>
          <t>Loyalty &amp; Martech</t>
        </is>
      </c>
      <c r="H514" s="315" t="inlineStr">
        <is>
          <t>Delivery, P&amp;C, Finance &amp; Legal</t>
        </is>
      </c>
      <c r="I514" s="315" t="inlineStr">
        <is>
          <t>P&amp;C</t>
        </is>
      </c>
      <c r="J514" s="315" t="inlineStr">
        <is>
          <t>P&amp;C</t>
        </is>
      </c>
      <c r="K514" s="315" t="inlineStr">
        <is>
          <t>P&amp;C</t>
        </is>
      </c>
      <c r="L514" s="315" t="n"/>
      <c r="M514" s="316" t="inlineStr">
        <is>
          <t>NZ</t>
        </is>
      </c>
      <c r="N514" t="inlineStr">
        <is>
          <t>P&amp;C</t>
        </is>
      </c>
      <c r="O514" t="inlineStr">
        <is>
          <t>P&amp;C</t>
        </is>
      </c>
      <c r="P514" t="inlineStr">
        <is>
          <t>P&amp;C</t>
        </is>
      </c>
      <c r="Q514" t="inlineStr">
        <is>
          <t>Squad</t>
        </is>
      </c>
      <c r="R514" t="inlineStr">
        <is>
          <t>Filled</t>
        </is>
      </c>
    </row>
    <row r="515" ht="18" customHeight="1" s="302">
      <c r="A515" s="314" t="n"/>
      <c r="B515" s="341" t="inlineStr">
        <is>
          <t>Vacant</t>
        </is>
      </c>
      <c r="C515" s="326" t="inlineStr">
        <is>
          <t>Engineer</t>
        </is>
      </c>
      <c r="D515" s="315" t="inlineStr">
        <is>
          <t>vacant</t>
        </is>
      </c>
      <c r="E515" s="239" t="inlineStr">
        <is>
          <t>Technology Manager P&amp;C Platforms</t>
        </is>
      </c>
      <c r="F515" s="239" t="inlineStr">
        <is>
          <t>TDD Group Functions</t>
        </is>
      </c>
      <c r="G515" s="326" t="inlineStr">
        <is>
          <t>P&amp;C, Finance &amp; Legal</t>
        </is>
      </c>
      <c r="H515" s="315" t="inlineStr">
        <is>
          <t>Tech, P&amp;C Platforms</t>
        </is>
      </c>
      <c r="I515" s="315" t="inlineStr">
        <is>
          <t>P&amp;C</t>
        </is>
      </c>
      <c r="J515" s="315" t="inlineStr">
        <is>
          <t>P&amp;C</t>
        </is>
      </c>
      <c r="K515" s="315" t="inlineStr">
        <is>
          <t>P&amp;C</t>
        </is>
      </c>
      <c r="L515" s="315" t="n"/>
      <c r="M515" s="316" t="n"/>
      <c r="N515" t="inlineStr">
        <is>
          <t>P&amp;C</t>
        </is>
      </c>
      <c r="O515" t="inlineStr">
        <is>
          <t>P&amp;C</t>
        </is>
      </c>
      <c r="P515" t="inlineStr">
        <is>
          <t>P&amp;C</t>
        </is>
      </c>
      <c r="Q515" t="inlineStr">
        <is>
          <t>Squad</t>
        </is>
      </c>
      <c r="R515" t="inlineStr">
        <is>
          <t>Vacant</t>
        </is>
      </c>
    </row>
    <row r="516" ht="18" customHeight="1" s="302">
      <c r="A516" s="314" t="n">
        <v>99876</v>
      </c>
      <c r="B516" s="326" t="inlineStr">
        <is>
          <t>Thai Pung</t>
        </is>
      </c>
      <c r="C516" s="326" t="inlineStr">
        <is>
          <t>Delivery Lead - (P&amp;C)</t>
        </is>
      </c>
      <c r="D516" s="326" t="inlineStr">
        <is>
          <t>vacant</t>
        </is>
      </c>
      <c r="E516" s="326" t="inlineStr">
        <is>
          <t>Delivery Manager, P&amp;C, Finance &amp; Legal</t>
        </is>
      </c>
      <c r="F516" s="239" t="inlineStr">
        <is>
          <t>TDD Group Functions</t>
        </is>
      </c>
      <c r="G516" s="326" t="inlineStr">
        <is>
          <t>P&amp;C, Finance &amp; Legal</t>
        </is>
      </c>
      <c r="H516" s="315" t="inlineStr">
        <is>
          <t>Delivery, P&amp;C, Finance &amp; Legal</t>
        </is>
      </c>
      <c r="I516" s="315" t="inlineStr">
        <is>
          <t>P&amp;C</t>
        </is>
      </c>
      <c r="J516" s="315" t="inlineStr">
        <is>
          <t>P&amp;C</t>
        </is>
      </c>
      <c r="K516" s="315" t="inlineStr">
        <is>
          <t>P&amp;C</t>
        </is>
      </c>
      <c r="L516" s="315" t="n"/>
      <c r="M516" s="316" t="inlineStr">
        <is>
          <t>Australia</t>
        </is>
      </c>
      <c r="N516" t="inlineStr">
        <is>
          <t>P&amp;C</t>
        </is>
      </c>
      <c r="O516" t="inlineStr">
        <is>
          <t>P&amp;C</t>
        </is>
      </c>
      <c r="P516" t="inlineStr">
        <is>
          <t>P&amp;C</t>
        </is>
      </c>
      <c r="Q516" t="inlineStr">
        <is>
          <t>Squad</t>
        </is>
      </c>
      <c r="R516" t="inlineStr">
        <is>
          <t>Filled</t>
        </is>
      </c>
    </row>
    <row r="517" ht="18" customHeight="1" s="302">
      <c r="A517" s="314" t="n"/>
      <c r="B517" s="341" t="inlineStr">
        <is>
          <t>Vacant</t>
        </is>
      </c>
      <c r="C517" s="326" t="inlineStr">
        <is>
          <t>Systems Specialist</t>
        </is>
      </c>
      <c r="D517" s="315" t="inlineStr">
        <is>
          <t>Vacant</t>
        </is>
      </c>
      <c r="E517" s="239" t="inlineStr">
        <is>
          <t>Technology Manager P&amp;C Platforms</t>
        </is>
      </c>
      <c r="F517" s="239" t="inlineStr">
        <is>
          <t>TDD Group Functions</t>
        </is>
      </c>
      <c r="G517" s="326" t="inlineStr">
        <is>
          <t>P&amp;C, Finance &amp; Legal</t>
        </is>
      </c>
      <c r="H517" s="315" t="inlineStr">
        <is>
          <t>Tech, P&amp;C Platforms</t>
        </is>
      </c>
      <c r="I517" s="315" t="inlineStr">
        <is>
          <t>P&amp;C</t>
        </is>
      </c>
      <c r="J517" s="315" t="inlineStr">
        <is>
          <t>P&amp;C</t>
        </is>
      </c>
      <c r="K517" s="315" t="inlineStr">
        <is>
          <t>P&amp;C RTA</t>
        </is>
      </c>
      <c r="L517" s="315" t="n"/>
      <c r="M517" s="316" t="n"/>
      <c r="N517" t="inlineStr">
        <is>
          <t>P&amp;C</t>
        </is>
      </c>
      <c r="O517" t="inlineStr">
        <is>
          <t>P&amp;C</t>
        </is>
      </c>
      <c r="P517" t="inlineStr">
        <is>
          <t>P&amp;C - RTA</t>
        </is>
      </c>
      <c r="Q517" t="inlineStr">
        <is>
          <t>Squad</t>
        </is>
      </c>
      <c r="R517" t="inlineStr">
        <is>
          <t>Vacant</t>
        </is>
      </c>
    </row>
    <row r="518" ht="18" customHeight="1" s="302">
      <c r="A518" s="314" t="n">
        <v>0</v>
      </c>
      <c r="B518" s="239" t="inlineStr">
        <is>
          <t>Kurniaty Widjaya</t>
        </is>
      </c>
      <c r="C518" s="239" t="inlineStr">
        <is>
          <t>ERP HR Pay Functional Lead</t>
        </is>
      </c>
      <c r="D518" s="315" t="inlineStr">
        <is>
          <t>Vacant</t>
        </is>
      </c>
      <c r="E518" s="239" t="inlineStr">
        <is>
          <t>Technology Manager P&amp;C Platforms</t>
        </is>
      </c>
      <c r="F518" s="239" t="inlineStr">
        <is>
          <t>TDD Group Functions</t>
        </is>
      </c>
      <c r="G518" s="326" t="inlineStr">
        <is>
          <t>P&amp;C, Finance &amp; Legal</t>
        </is>
      </c>
      <c r="H518" s="315" t="inlineStr">
        <is>
          <t>Tech, P&amp;C Platforms</t>
        </is>
      </c>
      <c r="I518" s="317" t="inlineStr">
        <is>
          <t>P&amp;C</t>
        </is>
      </c>
      <c r="J518" s="315" t="inlineStr">
        <is>
          <t>P&amp;C</t>
        </is>
      </c>
      <c r="K518" s="315" t="inlineStr">
        <is>
          <t>P&amp;C RTA</t>
        </is>
      </c>
      <c r="L518" s="315" t="n"/>
      <c r="M518" s="316" t="n">
        <v>0</v>
      </c>
      <c r="N518" t="inlineStr">
        <is>
          <t>P&amp;C</t>
        </is>
      </c>
      <c r="O518" t="inlineStr">
        <is>
          <t>P&amp;C</t>
        </is>
      </c>
      <c r="P518" t="inlineStr">
        <is>
          <t>P&amp;C - RTA</t>
        </is>
      </c>
      <c r="Q518" t="inlineStr">
        <is>
          <t>Squad</t>
        </is>
      </c>
      <c r="R518" t="inlineStr">
        <is>
          <t>Filled</t>
        </is>
      </c>
    </row>
    <row r="519" ht="18" customHeight="1" s="302">
      <c r="A519" s="314" t="n"/>
      <c r="B519" s="341" t="inlineStr">
        <is>
          <t>Vacant</t>
        </is>
      </c>
      <c r="C519" s="326" t="inlineStr">
        <is>
          <t>Delivery Lead (RTA)</t>
        </is>
      </c>
      <c r="D519" s="315" t="inlineStr">
        <is>
          <t>Vacant</t>
        </is>
      </c>
      <c r="E519" s="326" t="inlineStr">
        <is>
          <t>Delivery Manager, P&amp;C, Finance &amp; Legal</t>
        </is>
      </c>
      <c r="F519" s="239" t="inlineStr">
        <is>
          <t>TDD Group Functions</t>
        </is>
      </c>
      <c r="G519" s="326" t="inlineStr">
        <is>
          <t>P&amp;C, Finance &amp; Legal</t>
        </is>
      </c>
      <c r="H519" s="317" t="inlineStr">
        <is>
          <t>Delivery, P&amp;C, Finance &amp; Legal</t>
        </is>
      </c>
      <c r="I519" s="315" t="inlineStr">
        <is>
          <t>P&amp;C</t>
        </is>
      </c>
      <c r="J519" s="315" t="inlineStr">
        <is>
          <t>P&amp;C</t>
        </is>
      </c>
      <c r="K519" s="317" t="inlineStr">
        <is>
          <t>P&amp;C RTA</t>
        </is>
      </c>
      <c r="L519" s="315" t="n"/>
      <c r="M519" s="316" t="n"/>
      <c r="N519" t="inlineStr">
        <is>
          <t>P&amp;C</t>
        </is>
      </c>
      <c r="O519" t="inlineStr">
        <is>
          <t>P&amp;C</t>
        </is>
      </c>
      <c r="P519" t="inlineStr">
        <is>
          <t>P&amp;C - RTA</t>
        </is>
      </c>
      <c r="Q519" t="inlineStr">
        <is>
          <t>Squad</t>
        </is>
      </c>
      <c r="R519" t="inlineStr">
        <is>
          <t>Vacant</t>
        </is>
      </c>
    </row>
    <row r="520" ht="18" customHeight="1" s="302">
      <c r="A520" s="314" t="n"/>
      <c r="B520" s="341" t="inlineStr">
        <is>
          <t>Vacant</t>
        </is>
      </c>
      <c r="C520" s="326" t="inlineStr">
        <is>
          <t>Engineer</t>
        </is>
      </c>
      <c r="D520" s="315" t="inlineStr">
        <is>
          <t>vacant</t>
        </is>
      </c>
      <c r="E520" s="239" t="inlineStr">
        <is>
          <t>Technology Manager P&amp;C Platforms</t>
        </is>
      </c>
      <c r="F520" s="239" t="inlineStr">
        <is>
          <t>TDD Group Functions</t>
        </is>
      </c>
      <c r="G520" s="326" t="inlineStr">
        <is>
          <t>P&amp;C, Finance &amp; Legal</t>
        </is>
      </c>
      <c r="H520" s="315" t="inlineStr">
        <is>
          <t>Tech, P&amp;C Platforms</t>
        </is>
      </c>
      <c r="I520" s="315" t="inlineStr">
        <is>
          <t>P&amp;C</t>
        </is>
      </c>
      <c r="J520" s="315" t="inlineStr">
        <is>
          <t>P&amp;C</t>
        </is>
      </c>
      <c r="K520" s="315" t="inlineStr">
        <is>
          <t>P&amp;C RTA</t>
        </is>
      </c>
      <c r="L520" s="315" t="n"/>
      <c r="M520" s="316" t="n"/>
      <c r="N520" t="inlineStr">
        <is>
          <t>P&amp;C</t>
        </is>
      </c>
      <c r="O520" t="inlineStr">
        <is>
          <t>P&amp;C</t>
        </is>
      </c>
      <c r="P520" t="inlineStr">
        <is>
          <t>P&amp;C - RTA</t>
        </is>
      </c>
      <c r="Q520" t="inlineStr">
        <is>
          <t>Squad</t>
        </is>
      </c>
      <c r="R520" t="inlineStr">
        <is>
          <t>Vacant</t>
        </is>
      </c>
    </row>
    <row r="521" ht="18" customHeight="1" s="302">
      <c r="A521" s="314" t="n"/>
      <c r="B521" s="341" t="inlineStr">
        <is>
          <t>Vacant</t>
        </is>
      </c>
      <c r="C521" s="326" t="inlineStr">
        <is>
          <t>Quality Assurance</t>
        </is>
      </c>
      <c r="D521" s="315" t="inlineStr">
        <is>
          <t>vacant</t>
        </is>
      </c>
      <c r="E521" s="239" t="inlineStr">
        <is>
          <t>Technology Manager P&amp;C Platforms</t>
        </is>
      </c>
      <c r="F521" s="239" t="inlineStr">
        <is>
          <t>TDD Group Functions</t>
        </is>
      </c>
      <c r="G521" s="326" t="inlineStr">
        <is>
          <t>P&amp;C, Finance &amp; Legal</t>
        </is>
      </c>
      <c r="H521" s="315" t="inlineStr">
        <is>
          <t>Tech, P&amp;C Platforms</t>
        </is>
      </c>
      <c r="I521" s="315" t="inlineStr">
        <is>
          <t>P&amp;C</t>
        </is>
      </c>
      <c r="J521" s="315" t="inlineStr">
        <is>
          <t>P&amp;C</t>
        </is>
      </c>
      <c r="K521" s="315" t="inlineStr">
        <is>
          <t>P&amp;C RTA</t>
        </is>
      </c>
      <c r="L521" s="315" t="n"/>
      <c r="M521" s="316" t="n"/>
      <c r="N521" t="inlineStr">
        <is>
          <t>P&amp;C</t>
        </is>
      </c>
      <c r="O521" t="inlineStr">
        <is>
          <t>P&amp;C</t>
        </is>
      </c>
      <c r="P521" t="inlineStr">
        <is>
          <t>P&amp;C - RTA</t>
        </is>
      </c>
      <c r="Q521" t="inlineStr">
        <is>
          <t>Squad</t>
        </is>
      </c>
      <c r="R521" t="inlineStr">
        <is>
          <t>Vacant</t>
        </is>
      </c>
    </row>
    <row r="522" ht="18" customHeight="1" s="302">
      <c r="A522" s="314" t="n"/>
      <c r="B522" s="341" t="inlineStr">
        <is>
          <t>Vacant</t>
        </is>
      </c>
      <c r="C522" s="326" t="inlineStr">
        <is>
          <t>Business Analyst (P&amp;C RTA)</t>
        </is>
      </c>
      <c r="D522" s="315" t="inlineStr">
        <is>
          <t>Vacant</t>
        </is>
      </c>
      <c r="E522" s="326" t="inlineStr">
        <is>
          <t>Delivery Manager, P&amp;C, Finance &amp; Legal</t>
        </is>
      </c>
      <c r="F522" s="239" t="inlineStr">
        <is>
          <t>TDD Group Functions</t>
        </is>
      </c>
      <c r="G522" s="326" t="inlineStr">
        <is>
          <t>P&amp;C, Finance &amp; Legal</t>
        </is>
      </c>
      <c r="H522" s="315" t="inlineStr">
        <is>
          <t>Technology B2B</t>
        </is>
      </c>
      <c r="I522" s="315" t="inlineStr">
        <is>
          <t>P&amp;C</t>
        </is>
      </c>
      <c r="J522" s="315" t="inlineStr">
        <is>
          <t>P&amp;C</t>
        </is>
      </c>
      <c r="K522" s="315" t="inlineStr">
        <is>
          <t>P&amp;C RTA</t>
        </is>
      </c>
      <c r="L522" s="315" t="n"/>
      <c r="M522" s="316" t="n"/>
      <c r="N522" t="inlineStr">
        <is>
          <t>P&amp;C</t>
        </is>
      </c>
      <c r="O522" t="inlineStr">
        <is>
          <t>P&amp;C</t>
        </is>
      </c>
      <c r="P522" t="inlineStr">
        <is>
          <t>P&amp;C - RTA</t>
        </is>
      </c>
      <c r="Q522" t="inlineStr">
        <is>
          <t>Squad</t>
        </is>
      </c>
      <c r="R522" t="inlineStr">
        <is>
          <t>Vacant</t>
        </is>
      </c>
    </row>
    <row r="523" ht="18" customHeight="1" s="302">
      <c r="A523" s="314" t="n"/>
      <c r="B523" s="341" t="inlineStr">
        <is>
          <t>Vacant</t>
        </is>
      </c>
      <c r="C523" s="326" t="inlineStr">
        <is>
          <t>SAP Functional Specialist</t>
        </is>
      </c>
      <c r="D523" s="315" t="inlineStr">
        <is>
          <t>EE Lynn Yap</t>
        </is>
      </c>
      <c r="E523" s="326" t="inlineStr">
        <is>
          <t>SAP ERP Application Lead</t>
        </is>
      </c>
      <c r="F523" s="239" t="inlineStr">
        <is>
          <t>TDD Group Functions</t>
        </is>
      </c>
      <c r="G523" s="326" t="inlineStr">
        <is>
          <t>P&amp;C, Finance &amp; Legal</t>
        </is>
      </c>
      <c r="H523" s="315" t="inlineStr">
        <is>
          <t>Tech, Finance Platforms</t>
        </is>
      </c>
      <c r="I523" s="315" t="inlineStr">
        <is>
          <t>Finance</t>
        </is>
      </c>
      <c r="J523" s="315" t="inlineStr">
        <is>
          <t>AU Finance</t>
        </is>
      </c>
      <c r="K523" s="315" t="inlineStr">
        <is>
          <t>SAP ERP</t>
        </is>
      </c>
      <c r="L523" s="315" t="n"/>
      <c r="M523" s="316" t="n"/>
      <c r="N523" t="inlineStr">
        <is>
          <t>Finance</t>
        </is>
      </c>
      <c r="O523" t="inlineStr">
        <is>
          <t>AU Finance</t>
        </is>
      </c>
      <c r="P523" t="inlineStr">
        <is>
          <t>AU Finance</t>
        </is>
      </c>
      <c r="Q523" t="inlineStr">
        <is>
          <t>Squad</t>
        </is>
      </c>
      <c r="R523" t="inlineStr">
        <is>
          <t>Vacant</t>
        </is>
      </c>
    </row>
    <row r="524" ht="18" customHeight="1" s="302">
      <c r="A524" s="314" t="n"/>
      <c r="B524" s="341" t="inlineStr">
        <is>
          <t>Vacant</t>
        </is>
      </c>
      <c r="C524" s="326" t="inlineStr">
        <is>
          <t>SAP Functional Specialist</t>
        </is>
      </c>
      <c r="D524" s="315" t="inlineStr">
        <is>
          <t>Julma Bhagwani</t>
        </is>
      </c>
      <c r="E524" s="326" t="inlineStr">
        <is>
          <t>SAP ERP Application Lead</t>
        </is>
      </c>
      <c r="F524" s="239" t="inlineStr">
        <is>
          <t>TDD Group Functions</t>
        </is>
      </c>
      <c r="G524" s="326" t="inlineStr">
        <is>
          <t>P&amp;C, Finance &amp; Legal</t>
        </is>
      </c>
      <c r="H524" s="315" t="inlineStr">
        <is>
          <t>Tech, Finance Platforms</t>
        </is>
      </c>
      <c r="I524" s="315" t="inlineStr">
        <is>
          <t>Finance</t>
        </is>
      </c>
      <c r="J524" s="315" t="inlineStr">
        <is>
          <t>AU Finance</t>
        </is>
      </c>
      <c r="K524" s="315" t="inlineStr">
        <is>
          <t>SAP ERP</t>
        </is>
      </c>
      <c r="L524" s="315" t="n"/>
      <c r="M524" s="316" t="n"/>
      <c r="N524" t="inlineStr">
        <is>
          <t>Finance</t>
        </is>
      </c>
      <c r="O524" t="inlineStr">
        <is>
          <t>AU Finance</t>
        </is>
      </c>
      <c r="P524" t="inlineStr">
        <is>
          <t>AU Finance</t>
        </is>
      </c>
      <c r="Q524" t="inlineStr">
        <is>
          <t>Squad</t>
        </is>
      </c>
      <c r="R524" t="inlineStr">
        <is>
          <t>Vacant</t>
        </is>
      </c>
    </row>
    <row r="525" ht="18" customHeight="1" s="302">
      <c r="A525" s="314" t="n"/>
      <c r="B525" s="341" t="inlineStr">
        <is>
          <t>Vacant</t>
        </is>
      </c>
      <c r="C525" s="326" t="inlineStr">
        <is>
          <t>SAP Functional Specialist</t>
        </is>
      </c>
      <c r="D525" s="315" t="inlineStr">
        <is>
          <t>Maudud Chaudhury</t>
        </is>
      </c>
      <c r="E525" s="326" t="inlineStr">
        <is>
          <t>SAP ERP Application Lead</t>
        </is>
      </c>
      <c r="F525" s="239" t="inlineStr">
        <is>
          <t>TDD Group Functions</t>
        </is>
      </c>
      <c r="G525" s="326" t="inlineStr">
        <is>
          <t>P&amp;C, Finance &amp; Legal</t>
        </is>
      </c>
      <c r="H525" s="315" t="inlineStr">
        <is>
          <t>Tech, Finance Platforms</t>
        </is>
      </c>
      <c r="I525" s="315" t="inlineStr">
        <is>
          <t>Finance</t>
        </is>
      </c>
      <c r="J525" s="315" t="inlineStr">
        <is>
          <t>AU Finance</t>
        </is>
      </c>
      <c r="K525" s="315" t="inlineStr">
        <is>
          <t>SAP ERP</t>
        </is>
      </c>
      <c r="L525" s="315" t="n"/>
      <c r="M525" s="316" t="n"/>
      <c r="N525" t="inlineStr">
        <is>
          <t>Finance</t>
        </is>
      </c>
      <c r="O525" t="inlineStr">
        <is>
          <t>AU Finance</t>
        </is>
      </c>
      <c r="P525" t="inlineStr">
        <is>
          <t>AU Finance</t>
        </is>
      </c>
      <c r="Q525" t="inlineStr">
        <is>
          <t>Squad</t>
        </is>
      </c>
      <c r="R525" t="inlineStr">
        <is>
          <t>Vacant</t>
        </is>
      </c>
    </row>
    <row r="526" ht="18" customHeight="1" s="302">
      <c r="A526" s="314" t="n">
        <v>4251</v>
      </c>
      <c r="B526" s="326" t="inlineStr">
        <is>
          <t>Maudud Chaudhury</t>
        </is>
      </c>
      <c r="C526" s="326" t="inlineStr">
        <is>
          <t>SAP ERP Application Lead</t>
        </is>
      </c>
      <c r="D526" s="315" t="inlineStr">
        <is>
          <t>Shane Ker</t>
        </is>
      </c>
      <c r="E526" s="326" t="inlineStr">
        <is>
          <t>Technology Manager Finance Platforms</t>
        </is>
      </c>
      <c r="F526" s="239" t="inlineStr">
        <is>
          <t>TDD Group Functions</t>
        </is>
      </c>
      <c r="G526" s="326" t="inlineStr">
        <is>
          <t>P&amp;C, Finance &amp; Legal</t>
        </is>
      </c>
      <c r="H526" s="315" t="inlineStr">
        <is>
          <t>Tech, Finance Platforms</t>
        </is>
      </c>
      <c r="I526" s="315" t="inlineStr">
        <is>
          <t>Finance</t>
        </is>
      </c>
      <c r="J526" s="315" t="inlineStr">
        <is>
          <t>AU Finance</t>
        </is>
      </c>
      <c r="K526" s="315" t="inlineStr">
        <is>
          <t>SAP ERP</t>
        </is>
      </c>
      <c r="L526" s="315" t="n"/>
      <c r="M526" s="316" t="inlineStr">
        <is>
          <t>Australia</t>
        </is>
      </c>
      <c r="N526" t="inlineStr">
        <is>
          <t>Finance</t>
        </is>
      </c>
      <c r="O526" t="inlineStr">
        <is>
          <t>AU Finance</t>
        </is>
      </c>
      <c r="P526" t="inlineStr">
        <is>
          <t>AU Finance</t>
        </is>
      </c>
      <c r="Q526" t="inlineStr">
        <is>
          <t>Squad</t>
        </is>
      </c>
      <c r="R526" t="inlineStr">
        <is>
          <t>Filled</t>
        </is>
      </c>
    </row>
    <row r="527" ht="18" customHeight="1" s="302">
      <c r="A527" s="314" t="n"/>
      <c r="B527" s="341" t="inlineStr">
        <is>
          <t>Vacant</t>
        </is>
      </c>
      <c r="C527" s="326" t="inlineStr">
        <is>
          <t>Solution Architect - Finance</t>
        </is>
      </c>
      <c r="D527" s="315" t="inlineStr">
        <is>
          <t>Shane Ker</t>
        </is>
      </c>
      <c r="E527" s="326" t="inlineStr">
        <is>
          <t>Technology Manager Finance Platforms</t>
        </is>
      </c>
      <c r="F527" s="239" t="inlineStr">
        <is>
          <t>TDD Group Functions</t>
        </is>
      </c>
      <c r="G527" s="326" t="inlineStr">
        <is>
          <t>P&amp;C, Finance &amp; Legal</t>
        </is>
      </c>
      <c r="H527" s="315" t="inlineStr">
        <is>
          <t>Tech, Finance Platforms</t>
        </is>
      </c>
      <c r="I527" s="315" t="inlineStr">
        <is>
          <t>Finance</t>
        </is>
      </c>
      <c r="J527" s="315" t="inlineStr">
        <is>
          <t>AU Finance</t>
        </is>
      </c>
      <c r="K527" s="315" t="inlineStr">
        <is>
          <t>SAP ERP</t>
        </is>
      </c>
      <c r="L527" s="315" t="n"/>
      <c r="M527" s="316" t="n"/>
      <c r="N527" t="inlineStr">
        <is>
          <t>Finance</t>
        </is>
      </c>
      <c r="O527" t="inlineStr">
        <is>
          <t>AU Finance</t>
        </is>
      </c>
      <c r="P527" t="inlineStr">
        <is>
          <t>AU Finance</t>
        </is>
      </c>
      <c r="Q527" t="inlineStr">
        <is>
          <t>Squad</t>
        </is>
      </c>
      <c r="R527" t="inlineStr">
        <is>
          <t>Vacant</t>
        </is>
      </c>
    </row>
    <row r="528" ht="18" customHeight="1" s="302">
      <c r="A528" s="314" t="n">
        <v>11241</v>
      </c>
      <c r="B528" s="326" t="inlineStr">
        <is>
          <t>Julma Bhagwani</t>
        </is>
      </c>
      <c r="C528" s="326" t="inlineStr">
        <is>
          <t>SAP ERP Application Lead</t>
        </is>
      </c>
      <c r="D528" s="315" t="inlineStr">
        <is>
          <t>Shane Ker</t>
        </is>
      </c>
      <c r="E528" s="326" t="inlineStr">
        <is>
          <t>Technology Manager Finance Platforms</t>
        </is>
      </c>
      <c r="F528" s="239" t="inlineStr">
        <is>
          <t>TDD Group Functions</t>
        </is>
      </c>
      <c r="G528" s="326" t="inlineStr">
        <is>
          <t>P&amp;C, Finance &amp; Legal</t>
        </is>
      </c>
      <c r="H528" s="315" t="inlineStr">
        <is>
          <t>Tech, Finance Platforms</t>
        </is>
      </c>
      <c r="I528" s="315" t="inlineStr">
        <is>
          <t>Finance</t>
        </is>
      </c>
      <c r="J528" s="315" t="inlineStr">
        <is>
          <t>AU Finance</t>
        </is>
      </c>
      <c r="K528" s="315" t="inlineStr">
        <is>
          <t>SAP ERP</t>
        </is>
      </c>
      <c r="L528" s="315" t="n"/>
      <c r="M528" s="316" t="inlineStr">
        <is>
          <t>Australia</t>
        </is>
      </c>
      <c r="N528" t="inlineStr">
        <is>
          <t>Finance</t>
        </is>
      </c>
      <c r="O528" t="inlineStr">
        <is>
          <t>AU Finance</t>
        </is>
      </c>
      <c r="P528" t="inlineStr">
        <is>
          <t>AU Finance</t>
        </is>
      </c>
      <c r="Q528" t="inlineStr">
        <is>
          <t>Squad</t>
        </is>
      </c>
      <c r="R528" t="inlineStr">
        <is>
          <t>Filled</t>
        </is>
      </c>
    </row>
    <row r="529" ht="18" customHeight="1" s="302">
      <c r="A529" s="314" t="n"/>
      <c r="B529" s="341" t="inlineStr">
        <is>
          <t xml:space="preserve">Vacant </t>
        </is>
      </c>
      <c r="C529" s="326" t="inlineStr">
        <is>
          <t>Integration Specialist (ASAPIO CTRM)</t>
        </is>
      </c>
      <c r="D529" s="315" t="inlineStr">
        <is>
          <t>Vacant</t>
        </is>
      </c>
      <c r="E529" s="326" t="inlineStr">
        <is>
          <t>Technology Manager Finance Platforms</t>
        </is>
      </c>
      <c r="F529" s="239" t="inlineStr">
        <is>
          <t>TDD Group Functions</t>
        </is>
      </c>
      <c r="G529" s="326" t="inlineStr">
        <is>
          <t>P&amp;C, Finance &amp; Legal</t>
        </is>
      </c>
      <c r="H529" s="315" t="inlineStr">
        <is>
          <t>Tech, Finance Platforms</t>
        </is>
      </c>
      <c r="I529" s="315" t="inlineStr">
        <is>
          <t>Finance</t>
        </is>
      </c>
      <c r="J529" s="315" t="inlineStr">
        <is>
          <t>AU Finance</t>
        </is>
      </c>
      <c r="K529" s="315" t="inlineStr">
        <is>
          <t>SAP ERP</t>
        </is>
      </c>
      <c r="L529" s="315" t="n"/>
      <c r="M529" s="316" t="n"/>
      <c r="N529" t="inlineStr">
        <is>
          <t>Finance</t>
        </is>
      </c>
      <c r="O529" t="inlineStr">
        <is>
          <t>AU Finance</t>
        </is>
      </c>
      <c r="P529" t="inlineStr">
        <is>
          <t>AU Finance</t>
        </is>
      </c>
      <c r="Q529" t="inlineStr">
        <is>
          <t>Squad</t>
        </is>
      </c>
      <c r="R529" t="inlineStr">
        <is>
          <t>Vacant</t>
        </is>
      </c>
    </row>
    <row r="530" ht="18" customHeight="1" s="302">
      <c r="A530" s="314" t="n"/>
      <c r="B530" s="341" t="inlineStr">
        <is>
          <t>Vacant</t>
        </is>
      </c>
      <c r="C530" s="326" t="inlineStr">
        <is>
          <t>SAP Functional Specialist</t>
        </is>
      </c>
      <c r="D530" s="315" t="inlineStr">
        <is>
          <t>Vacant</t>
        </is>
      </c>
      <c r="E530" s="326" t="inlineStr">
        <is>
          <t>Technology Manager Finance Platforms</t>
        </is>
      </c>
      <c r="F530" s="239" t="inlineStr">
        <is>
          <t>TDD Group Functions</t>
        </is>
      </c>
      <c r="G530" s="326" t="inlineStr">
        <is>
          <t>P&amp;C, Finance &amp; Legal</t>
        </is>
      </c>
      <c r="H530" s="315" t="inlineStr">
        <is>
          <t>Tech, Finance Platforms</t>
        </is>
      </c>
      <c r="I530" s="315" t="inlineStr">
        <is>
          <t>Finance</t>
        </is>
      </c>
      <c r="J530" s="315" t="inlineStr">
        <is>
          <t>AU Finance</t>
        </is>
      </c>
      <c r="K530" s="315" t="inlineStr">
        <is>
          <t>SAP ERP</t>
        </is>
      </c>
      <c r="L530" s="315" t="n"/>
      <c r="M530" s="316" t="n"/>
      <c r="N530" t="inlineStr">
        <is>
          <t>Finance</t>
        </is>
      </c>
      <c r="O530" t="inlineStr">
        <is>
          <t>AU Finance</t>
        </is>
      </c>
      <c r="P530" t="inlineStr">
        <is>
          <t>AU Finance</t>
        </is>
      </c>
      <c r="Q530" t="inlineStr">
        <is>
          <t>Squad</t>
        </is>
      </c>
      <c r="R530" t="inlineStr">
        <is>
          <t>Vacant</t>
        </is>
      </c>
    </row>
    <row r="531" ht="18" customHeight="1" s="302">
      <c r="A531" s="314" t="n"/>
      <c r="B531" s="341" t="inlineStr">
        <is>
          <t>Vacant</t>
        </is>
      </c>
      <c r="C531" s="326" t="inlineStr">
        <is>
          <t>Delivery Lead (SAP)</t>
        </is>
      </c>
      <c r="D531" s="315" t="inlineStr">
        <is>
          <t>Vacant</t>
        </is>
      </c>
      <c r="E531" s="326" t="inlineStr">
        <is>
          <t>Delivery Manager, P&amp;C, Finance &amp; Legal</t>
        </is>
      </c>
      <c r="F531" s="239" t="inlineStr">
        <is>
          <t>TDD Group Functions</t>
        </is>
      </c>
      <c r="G531" s="326" t="inlineStr">
        <is>
          <t>P&amp;C, Finance &amp; Legal</t>
        </is>
      </c>
      <c r="H531" s="315" t="inlineStr">
        <is>
          <t>Delivery, P&amp;C, Finance &amp; Legal</t>
        </is>
      </c>
      <c r="I531" s="315" t="inlineStr">
        <is>
          <t>Finance</t>
        </is>
      </c>
      <c r="J531" s="315" t="inlineStr">
        <is>
          <t>AU Finance</t>
        </is>
      </c>
      <c r="K531" s="315" t="inlineStr">
        <is>
          <t>SAP ERP</t>
        </is>
      </c>
      <c r="L531" s="315" t="n"/>
      <c r="M531" s="316" t="n"/>
      <c r="N531" t="inlineStr">
        <is>
          <t>Finance</t>
        </is>
      </c>
      <c r="O531" t="inlineStr">
        <is>
          <t>AU Finance</t>
        </is>
      </c>
      <c r="P531" t="inlineStr">
        <is>
          <t>AU Finance</t>
        </is>
      </c>
      <c r="Q531" t="inlineStr">
        <is>
          <t>Squad</t>
        </is>
      </c>
      <c r="R531" t="inlineStr">
        <is>
          <t>Vacant</t>
        </is>
      </c>
    </row>
    <row r="532" ht="18" customHeight="1" s="302">
      <c r="A532" s="314" t="n">
        <v>99999101446</v>
      </c>
      <c r="B532" s="239" t="inlineStr">
        <is>
          <t>Rob Struthers</t>
        </is>
      </c>
      <c r="C532" s="239" t="inlineStr">
        <is>
          <t>Engineer - Modern Workplaces</t>
        </is>
      </c>
      <c r="D532" s="315" t="inlineStr">
        <is>
          <t>Vacant</t>
        </is>
      </c>
      <c r="E532" s="239" t="inlineStr">
        <is>
          <t>Technology Manager, Enterprise Tooling</t>
        </is>
      </c>
      <c r="F532" s="239" t="inlineStr">
        <is>
          <t>TDD Group Functions</t>
        </is>
      </c>
      <c r="G532" s="315" t="inlineStr">
        <is>
          <t xml:space="preserve">TDD &amp; Engineering </t>
        </is>
      </c>
      <c r="H532" s="239" t="inlineStr">
        <is>
          <t>Workplace &amp; Enterprise Tooling</t>
        </is>
      </c>
      <c r="I532" s="239" t="inlineStr">
        <is>
          <t>TDD</t>
        </is>
      </c>
      <c r="J532" s="315" t="inlineStr">
        <is>
          <t>TDD</t>
        </is>
      </c>
      <c r="K532" s="315" t="inlineStr">
        <is>
          <t>Workplace &amp; Enterprise Tooling</t>
        </is>
      </c>
      <c r="L532" s="315" t="n"/>
      <c r="M532" s="316" t="inlineStr">
        <is>
          <t>NZ</t>
        </is>
      </c>
      <c r="N532" t="inlineStr">
        <is>
          <t>TDD Group Functions</t>
        </is>
      </c>
      <c r="O532" t="inlineStr">
        <is>
          <t>TDD Group Functions</t>
        </is>
      </c>
      <c r="P532" t="inlineStr">
        <is>
          <t>Workplace &amp; Enterprise Tooling</t>
        </is>
      </c>
      <c r="Q532" t="inlineStr">
        <is>
          <t>Squad</t>
        </is>
      </c>
      <c r="R532" t="inlineStr">
        <is>
          <t>Filled</t>
        </is>
      </c>
    </row>
    <row r="533" ht="18" customHeight="1" s="302">
      <c r="A533" s="314" t="n">
        <v>99999101229</v>
      </c>
      <c r="B533" s="239" t="inlineStr">
        <is>
          <t>Billie Connolly</t>
        </is>
      </c>
      <c r="C533" s="239" t="inlineStr">
        <is>
          <t>Engineer - Modern Workplaces</t>
        </is>
      </c>
      <c r="D533" s="315" t="inlineStr">
        <is>
          <t>Vacant</t>
        </is>
      </c>
      <c r="E533" s="239" t="inlineStr">
        <is>
          <t>Technology Manager, Workplace and Enterprise Tooling</t>
        </is>
      </c>
      <c r="F533" s="239" t="inlineStr">
        <is>
          <t>TDD Group Functions</t>
        </is>
      </c>
      <c r="G533" s="315" t="inlineStr">
        <is>
          <t xml:space="preserve">TDD &amp; Engineering </t>
        </is>
      </c>
      <c r="H533" s="239" t="inlineStr">
        <is>
          <t>Workplace &amp; Enterprise Tooling</t>
        </is>
      </c>
      <c r="I533" s="239" t="inlineStr">
        <is>
          <t>TDD</t>
        </is>
      </c>
      <c r="J533" s="315" t="inlineStr">
        <is>
          <t>TDD</t>
        </is>
      </c>
      <c r="K533" s="315" t="inlineStr">
        <is>
          <t>Workplace &amp; Enterprise Tooling</t>
        </is>
      </c>
      <c r="L533" s="315" t="n"/>
      <c r="M533" s="316" t="inlineStr">
        <is>
          <t>NZ</t>
        </is>
      </c>
      <c r="N533" t="inlineStr">
        <is>
          <t>TDD Group Functions</t>
        </is>
      </c>
      <c r="O533" t="inlineStr">
        <is>
          <t>TDD Group Functions</t>
        </is>
      </c>
      <c r="P533" t="inlineStr">
        <is>
          <t>Workplace &amp; Enterprise Tooling</t>
        </is>
      </c>
      <c r="Q533" t="inlineStr">
        <is>
          <t>Squad</t>
        </is>
      </c>
      <c r="R533" t="inlineStr">
        <is>
          <t>Filled</t>
        </is>
      </c>
    </row>
    <row r="534" ht="18" customHeight="1" s="302">
      <c r="A534" s="314" t="n"/>
      <c r="B534" s="341" t="inlineStr">
        <is>
          <t>Vacant</t>
        </is>
      </c>
      <c r="C534" s="326" t="inlineStr">
        <is>
          <t>Business Analyst (Workplace &amp; Enterprise Tooling)</t>
        </is>
      </c>
      <c r="D534" s="315" t="inlineStr">
        <is>
          <t>vacant</t>
        </is>
      </c>
      <c r="E534" s="326" t="inlineStr">
        <is>
          <t xml:space="preserve">Delivery Manager </t>
        </is>
      </c>
      <c r="F534" s="239" t="inlineStr">
        <is>
          <t>TDD Group Functions</t>
        </is>
      </c>
      <c r="G534" s="315" t="inlineStr">
        <is>
          <t>TDD &amp; Engineering</t>
        </is>
      </c>
      <c r="H534" s="239" t="inlineStr">
        <is>
          <t>Delivery, TDD &amp; Engineering</t>
        </is>
      </c>
      <c r="I534" s="239" t="inlineStr">
        <is>
          <t>TDD</t>
        </is>
      </c>
      <c r="J534" s="315" t="inlineStr">
        <is>
          <t>TDD</t>
        </is>
      </c>
      <c r="K534" s="315" t="inlineStr">
        <is>
          <t>Workplace &amp; Enterprise Tooling</t>
        </is>
      </c>
      <c r="L534" s="315" t="n"/>
      <c r="M534" s="316" t="n"/>
      <c r="N534" t="inlineStr">
        <is>
          <t>TDD Group Functions</t>
        </is>
      </c>
      <c r="O534" t="inlineStr">
        <is>
          <t>TDD Group Functions</t>
        </is>
      </c>
      <c r="P534" t="inlineStr">
        <is>
          <t>Workplace &amp; Enterprise Tooling</t>
        </is>
      </c>
      <c r="Q534" t="inlineStr">
        <is>
          <t>Squad</t>
        </is>
      </c>
      <c r="R534" t="inlineStr">
        <is>
          <t>Vacant</t>
        </is>
      </c>
    </row>
    <row r="535" ht="18" customHeight="1" s="302">
      <c r="A535" s="314" t="n">
        <v>95018</v>
      </c>
      <c r="B535" s="239" t="inlineStr">
        <is>
          <t>Ken Thomson</t>
        </is>
      </c>
      <c r="C535" s="239" t="inlineStr">
        <is>
          <t>Servicenow Platform Specialist</t>
        </is>
      </c>
      <c r="D535" s="315" t="inlineStr">
        <is>
          <t>Vacant</t>
        </is>
      </c>
      <c r="E535" s="239" t="inlineStr">
        <is>
          <t>Technology Manager, Workplace and Enterprise Tooling</t>
        </is>
      </c>
      <c r="F535" s="239" t="inlineStr">
        <is>
          <t>TDD Group Functions</t>
        </is>
      </c>
      <c r="G535" s="315" t="inlineStr">
        <is>
          <t xml:space="preserve">TDD &amp; Engineering </t>
        </is>
      </c>
      <c r="H535" s="239" t="inlineStr">
        <is>
          <t>Workplace &amp; Enterprise Tooling</t>
        </is>
      </c>
      <c r="I535" s="239" t="inlineStr">
        <is>
          <t>TDD</t>
        </is>
      </c>
      <c r="J535" s="315" t="inlineStr">
        <is>
          <t>TDD</t>
        </is>
      </c>
      <c r="K535" s="315" t="inlineStr">
        <is>
          <t>Workplace &amp; Enterprise Tooling</t>
        </is>
      </c>
      <c r="L535" s="315" t="n"/>
      <c r="M535" s="316" t="inlineStr">
        <is>
          <t>Australia</t>
        </is>
      </c>
      <c r="N535" t="inlineStr">
        <is>
          <t>TDD Group Functions</t>
        </is>
      </c>
      <c r="O535" t="inlineStr">
        <is>
          <t>TDD Group Functions</t>
        </is>
      </c>
      <c r="P535" t="inlineStr">
        <is>
          <t>Workplace &amp; Enterprise Tooling</t>
        </is>
      </c>
      <c r="Q535" t="inlineStr">
        <is>
          <t>Squad</t>
        </is>
      </c>
      <c r="R535" t="inlineStr">
        <is>
          <t>Filled</t>
        </is>
      </c>
    </row>
    <row r="536" ht="18" customHeight="1" s="302">
      <c r="A536" s="314" t="n">
        <v>106024</v>
      </c>
      <c r="B536" s="239" t="inlineStr">
        <is>
          <t>Nicholas McKay</t>
        </is>
      </c>
      <c r="C536" s="239" t="inlineStr">
        <is>
          <t>Workplace Tooling Specialist</t>
        </is>
      </c>
      <c r="D536" s="315" t="inlineStr">
        <is>
          <t>Vacant</t>
        </is>
      </c>
      <c r="E536" s="239" t="inlineStr">
        <is>
          <t>Technology Manager, Workplace and Enterprise Tooling</t>
        </is>
      </c>
      <c r="F536" s="239" t="inlineStr">
        <is>
          <t>TDD Group Functions</t>
        </is>
      </c>
      <c r="G536" s="315" t="inlineStr">
        <is>
          <t xml:space="preserve">TDD &amp; Engineering </t>
        </is>
      </c>
      <c r="H536" s="239" t="inlineStr">
        <is>
          <t>Workplace &amp; Enterprise Tooling</t>
        </is>
      </c>
      <c r="I536" s="239" t="inlineStr">
        <is>
          <t>TDD</t>
        </is>
      </c>
      <c r="J536" s="315" t="inlineStr">
        <is>
          <t>TDD</t>
        </is>
      </c>
      <c r="K536" s="315" t="inlineStr">
        <is>
          <t>Workplace &amp; Enterprise Tooling</t>
        </is>
      </c>
      <c r="L536" s="315" t="n"/>
      <c r="M536" s="316" t="inlineStr">
        <is>
          <t>Australia</t>
        </is>
      </c>
      <c r="N536" t="inlineStr">
        <is>
          <t>TDD Group Functions</t>
        </is>
      </c>
      <c r="O536" t="inlineStr">
        <is>
          <t>TDD Group Functions</t>
        </is>
      </c>
      <c r="P536" t="inlineStr">
        <is>
          <t>Workplace &amp; Enterprise Tooling</t>
        </is>
      </c>
      <c r="Q536" t="inlineStr">
        <is>
          <t>Squad</t>
        </is>
      </c>
      <c r="R536" t="inlineStr">
        <is>
          <t>Filled</t>
        </is>
      </c>
    </row>
    <row r="537" ht="18" customHeight="1" s="302">
      <c r="A537" s="314" t="n"/>
      <c r="B537" s="341" t="inlineStr">
        <is>
          <t>Vacant</t>
        </is>
      </c>
      <c r="C537" s="326" t="inlineStr">
        <is>
          <t>Enterprise Systems Specialist</t>
        </is>
      </c>
      <c r="D537" s="315" t="inlineStr">
        <is>
          <t>Vacant</t>
        </is>
      </c>
      <c r="E537" s="239" t="inlineStr">
        <is>
          <t>Technology Manager, Workplace and Enterprise Tooling</t>
        </is>
      </c>
      <c r="F537" s="239" t="inlineStr">
        <is>
          <t>TDD Group Functions</t>
        </is>
      </c>
      <c r="G537" s="315" t="inlineStr">
        <is>
          <t xml:space="preserve">TDD &amp; Engineering </t>
        </is>
      </c>
      <c r="H537" s="239" t="inlineStr">
        <is>
          <t>Workplace &amp; Enterprise Tooling</t>
        </is>
      </c>
      <c r="I537" s="239" t="inlineStr">
        <is>
          <t>TDD</t>
        </is>
      </c>
      <c r="J537" s="315" t="inlineStr">
        <is>
          <t>TDD</t>
        </is>
      </c>
      <c r="K537" s="315" t="inlineStr">
        <is>
          <t>Workplace &amp; Enterprise Tooling</t>
        </is>
      </c>
      <c r="L537" s="315" t="n"/>
      <c r="M537" s="316" t="n"/>
      <c r="N537" t="inlineStr">
        <is>
          <t>TDD Group Functions</t>
        </is>
      </c>
      <c r="O537" t="inlineStr">
        <is>
          <t>TDD Group Functions</t>
        </is>
      </c>
      <c r="P537" t="inlineStr">
        <is>
          <t>Workplace &amp; Enterprise Tooling</t>
        </is>
      </c>
      <c r="Q537" t="inlineStr">
        <is>
          <t>Squad</t>
        </is>
      </c>
      <c r="R537" t="inlineStr">
        <is>
          <t>Vacant</t>
        </is>
      </c>
    </row>
    <row r="538" ht="18" customHeight="1" s="302">
      <c r="A538" s="314" t="n">
        <v>99999102124</v>
      </c>
      <c r="B538" s="239" t="n"/>
      <c r="C538" s="239" t="n"/>
      <c r="D538" s="239" t="inlineStr">
        <is>
          <t>Vacant</t>
        </is>
      </c>
      <c r="E538" s="239" t="n"/>
      <c r="F538" s="239" t="n"/>
      <c r="G538" s="315" t="n"/>
      <c r="H538" s="239" t="n"/>
      <c r="I538" s="315" t="n"/>
      <c r="J538" s="239" t="n"/>
      <c r="K538" s="239" t="n"/>
      <c r="L538" s="315" t="n"/>
      <c r="M538" s="316" t="inlineStr">
        <is>
          <t>NZ</t>
        </is>
      </c>
    </row>
  </sheetData>
  <autoFilter ref="A1:XEV538"/>
  <pageMargins left="0.75" right="0.75" top="1" bottom="1" header="0.5" footer="0.5"/>
  <headerFooter>
    <oddHeader>&amp;L&amp;"Aptos"&amp;1 &amp;K000000 Restricted#_x000d_</oddHeader>
    <oddFooter/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8"/>
  <sheetViews>
    <sheetView zoomScaleNormal="100" workbookViewId="0">
      <selection activeCell="A1" sqref="A1"/>
    </sheetView>
  </sheetViews>
  <sheetFormatPr baseColWidth="8" defaultColWidth="8.54296875" defaultRowHeight="14.5"/>
  <sheetData>
    <row r="1">
      <c r="A1" t="inlineStr">
        <is>
          <t>Squad Types</t>
        </is>
      </c>
      <c r="B1" t="inlineStr">
        <is>
          <t>Sizes</t>
        </is>
      </c>
      <c r="C1" t="inlineStr">
        <is>
          <t>On/Off</t>
        </is>
      </c>
      <c r="D1" t="inlineStr">
        <is>
          <t>Support %</t>
        </is>
      </c>
    </row>
    <row r="2">
      <c r="A2" t="inlineStr">
        <is>
          <t>Engineering</t>
        </is>
      </c>
      <c r="B2" t="inlineStr">
        <is>
          <t>XS</t>
        </is>
      </c>
      <c r="C2" t="inlineStr">
        <is>
          <t>Onshore</t>
        </is>
      </c>
      <c r="D2" s="258" t="n">
        <v>0</v>
      </c>
    </row>
    <row r="3">
      <c r="A3" t="inlineStr">
        <is>
          <t>Configuration / Integration</t>
        </is>
      </c>
      <c r="B3" t="inlineStr">
        <is>
          <t>S</t>
        </is>
      </c>
      <c r="C3" t="inlineStr">
        <is>
          <t>Offshore</t>
        </is>
      </c>
      <c r="D3" s="258" t="n">
        <v>0.2</v>
      </c>
    </row>
    <row r="4">
      <c r="A4" t="inlineStr">
        <is>
          <t>Product</t>
        </is>
      </c>
      <c r="B4" t="inlineStr">
        <is>
          <t>M</t>
        </is>
      </c>
      <c r="D4" s="258" t="n">
        <v>1</v>
      </c>
    </row>
    <row r="5">
      <c r="A5" t="inlineStr">
        <is>
          <t>Operations</t>
        </is>
      </c>
      <c r="B5" t="inlineStr">
        <is>
          <t>L</t>
        </is>
      </c>
    </row>
    <row r="6">
      <c r="A6" t="inlineStr">
        <is>
          <t>Enterprise Data and Insights</t>
        </is>
      </c>
    </row>
    <row r="7">
      <c r="A7" t="inlineStr">
        <is>
          <t>Build and Run</t>
        </is>
      </c>
    </row>
    <row r="8">
      <c r="A8" t="inlineStr">
        <is>
          <t>Strategic Programs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2026-07-20T10:52:13Z</dcterms:created>
  <dcterms:modified xsi:type="dcterms:W3CDTF">2026-07-21T07:27:34Z</dcterms:modified>
  <cp:lastModifiedBy>Leewaine Scott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0x010100F04FBCABD6E803438FCB3E42FB7A7A49</vt:lpwstr>
  </property>
  <property name="MediaServiceImageTags" fmtid="{D5CDD505-2E9C-101B-9397-08002B2CF9AE}" pid="3">
    <vt:lpwstr/>
  </property>
</Properties>
</file>